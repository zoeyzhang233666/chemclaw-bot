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口径与来源" sheetId="2" state="visible" r:id="rId2"/>
    <sheet xmlns:r="http://schemas.openxmlformats.org/officeDocument/2006/relationships" name="02_参数" sheetId="3" state="visible" r:id="rId3"/>
    <sheet xmlns:r="http://schemas.openxmlformats.org/officeDocument/2006/relationships" name="03_原始数据" sheetId="4" state="visible" r:id="rId4"/>
    <sheet xmlns:r="http://schemas.openxmlformats.org/officeDocument/2006/relationships" name="04_单耗台账" sheetId="5" state="visible" r:id="rId5"/>
    <sheet xmlns:r="http://schemas.openxmlformats.org/officeDocument/2006/relationships" name="05_单耗敏感性" sheetId="6" state="visible" r:id="rId6"/>
    <sheet xmlns:r="http://schemas.openxmlformats.org/officeDocument/2006/relationships" name="06_加工价差" sheetId="7" state="visible" r:id="rId7"/>
    <sheet xmlns:r="http://schemas.openxmlformats.org/officeDocument/2006/relationships" name="07_历史分位" sheetId="8" state="visible" r:id="rId8"/>
    <sheet xmlns:r="http://schemas.openxmlformats.org/officeDocument/2006/relationships" name="08_相关性" sheetId="9" state="visible" r:id="rId9"/>
    <sheet xmlns:r="http://schemas.openxmlformats.org/officeDocument/2006/relationships" name="09_滚动相关" sheetId="10" state="visible" r:id="rId10"/>
    <sheet xmlns:r="http://schemas.openxmlformats.org/officeDocument/2006/relationships" name="10_领先滞后" sheetId="11" state="visible" r:id="rId11"/>
    <sheet xmlns:r="http://schemas.openxmlformats.org/officeDocument/2006/relationships" name="11_阶段与背离" sheetId="12" state="visible" r:id="rId12"/>
    <sheet xmlns:r="http://schemas.openxmlformats.org/officeDocument/2006/relationships" name="12_公式说明" sheetId="13" state="visible" r:id="rId13"/>
  </sheets>
  <definedNames>
    <definedName name="Lambda">'02_参数'!$C$5</definedName>
    <definedName name="LambdaLo">'02_参数'!$C$6</definedName>
    <definedName name="LambdaHi">'02_参数'!$C$7</definedName>
    <definedName name="OtherCost">'02_参数'!$C$8</definedName>
    <definedName name="AceticCoef">'02_参数'!$C$9</definedName>
    <definedName name="WinA">'02_参数'!$C$10</definedName>
    <definedName name="WinB">'02_参数'!$C$11</definedName>
    <definedName name="WinC">'02_参数'!$C$12</definedName>
    <definedName name="MinObs">'02_参数'!$C$13</definedName>
    <definedName name="Alpha">'02_参数'!$C$14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0.0000"/>
    <numFmt numFmtId="166" formatCode="0.000"/>
    <numFmt numFmtId="167" formatCode="0.0"/>
    <numFmt numFmtId="168" formatCode="0.0%"/>
    <numFmt numFmtId="169" formatCode="#,##0.0000"/>
    <numFmt numFmtId="170" formatCode="+0;-0;0"/>
  </numFmts>
  <fonts count="13">
    <font>
      <name val="Calibri"/>
      <family val="2"/>
      <color theme="1"/>
      <sz val="11"/>
      <scheme val="minor"/>
    </font>
    <font>
      <name val="微软雅黑"/>
      <b val="1"/>
      <color rgb="FF1F2937"/>
      <sz val="15"/>
    </font>
    <font>
      <name val="微软雅黑"/>
      <color rgb="FF6B7280"/>
      <sz val="10"/>
    </font>
    <font>
      <name val="微软雅黑"/>
      <b val="1"/>
      <sz val="10.5"/>
    </font>
    <font>
      <name val="微软雅黑"/>
      <sz val="10.5"/>
    </font>
    <font>
      <name val="微软雅黑"/>
      <b val="1"/>
      <color rgb="FFFFFFFF"/>
      <sz val="10.5"/>
    </font>
    <font>
      <name val="微软雅黑"/>
      <b val="1"/>
      <color rgb="FF92400E"/>
      <sz val="10.5"/>
    </font>
    <font>
      <name val="微软雅黑"/>
      <b val="1"/>
      <color rgb="FF1F2937"/>
      <sz val="12"/>
    </font>
    <font>
      <name val="微软雅黑"/>
      <color rgb="FF0B5FFF"/>
      <sz val="10.5"/>
    </font>
    <font>
      <name val="微软雅黑"/>
      <color rgb="FF9CA3AF"/>
      <sz val="9"/>
    </font>
    <font>
      <name val="微软雅黑"/>
      <color rgb="FF9CA3AF"/>
      <sz val="8.5"/>
    </font>
    <font>
      <name val="微软雅黑"/>
      <color rgb="FF9CA3AF"/>
      <sz val="8"/>
    </font>
    <font>
      <name val="微软雅黑"/>
      <b val="1"/>
      <sz val="12"/>
    </font>
  </fonts>
  <fills count="6">
    <fill>
      <patternFill/>
    </fill>
    <fill>
      <patternFill patternType="gray125"/>
    </fill>
    <fill>
      <patternFill patternType="solid">
        <fgColor rgb="FFF1F5FB"/>
      </patternFill>
    </fill>
    <fill>
      <patternFill patternType="solid">
        <fgColor rgb="FF1F3A5F"/>
      </patternFill>
    </fill>
    <fill>
      <patternFill patternType="solid">
        <fgColor rgb="FFFAFCFF"/>
      </patternFill>
    </fill>
    <fill>
      <patternFill patternType="solid">
        <fgColor rgb="FFFFF3CD"/>
      </patternFill>
    </fill>
  </fills>
  <borders count="6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  <border>
      <left/>
      <right/>
      <top style="thin">
        <color rgb="FFD8DEE9"/>
      </top>
      <bottom/>
      <diagonal/>
    </border>
    <border>
      <left/>
      <right style="thin">
        <color rgb="FFD8DEE9"/>
      </right>
      <top style="thin">
        <color rgb="FFD8DEE9"/>
      </top>
      <bottom/>
      <diagonal/>
    </border>
    <border>
      <left/>
      <right/>
      <top style="thin">
        <color rgb="FFD8DEE9"/>
      </top>
      <bottom style="thin">
        <color rgb="FFD8DEE9"/>
      </bottom>
      <diagonal/>
    </border>
    <border>
      <left/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" fontId="4" fillId="0" borderId="1" pivotButton="0" quotePrefix="0" xfId="0"/>
    <xf numFmtId="0" fontId="4" fillId="0" borderId="1" pivotButton="0" quotePrefix="0" xfId="0"/>
    <xf numFmtId="1" fontId="4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9" fillId="0" borderId="0" pivotButton="0" quotePrefix="0" xfId="0"/>
    <xf numFmtId="164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4" fontId="4" fillId="4" borderId="1" pivotButton="0" quotePrefix="0" xfId="0"/>
    <xf numFmtId="4" fontId="4" fillId="4" borderId="1" pivotButton="0" quotePrefix="0" xfId="0"/>
    <xf numFmtId="10" fontId="4" fillId="4" borderId="1" pivotButton="0" quotePrefix="0" xfId="0"/>
    <xf numFmtId="4" fontId="8" fillId="4" borderId="1" applyAlignment="1" pivotButton="0" quotePrefix="0" xfId="0">
      <alignment horizontal="right"/>
    </xf>
    <xf numFmtId="165" fontId="8" fillId="4" borderId="1" applyAlignment="1" pivotButton="0" quotePrefix="0" xfId="0">
      <alignment horizontal="right"/>
    </xf>
    <xf numFmtId="10" fontId="8" fillId="4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166" fontId="4" fillId="0" borderId="1" pivotButton="0" quotePrefix="0" xfId="0"/>
    <xf numFmtId="2" fontId="4" fillId="0" borderId="1" pivotButton="0" quotePrefix="0" xfId="0"/>
    <xf numFmtId="167" fontId="4" fillId="0" borderId="1" pivotButton="0" quotePrefix="0" xfId="0"/>
    <xf numFmtId="166" fontId="4" fillId="4" borderId="1" pivotButton="0" quotePrefix="0" xfId="0"/>
    <xf numFmtId="2" fontId="4" fillId="4" borderId="1" pivotButton="0" quotePrefix="0" xfId="0"/>
    <xf numFmtId="167" fontId="4" fillId="4" borderId="1" pivotButton="0" quotePrefix="0" xfId="0"/>
    <xf numFmtId="166" fontId="8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166" fontId="8" fillId="4" borderId="1" applyAlignment="1" pivotButton="0" quotePrefix="0" xfId="0">
      <alignment horizontal="right"/>
    </xf>
    <xf numFmtId="2" fontId="8" fillId="4" borderId="1" applyAlignment="1" pivotButton="0" quotePrefix="0" xfId="0">
      <alignment horizontal="right"/>
    </xf>
    <xf numFmtId="166" fontId="10" fillId="0" borderId="0" pivotButton="0" quotePrefix="0" xfId="0"/>
    <xf numFmtId="4" fontId="11" fillId="0" borderId="0" pivotButton="0" quotePrefix="0" xfId="0"/>
    <xf numFmtId="164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164" fontId="8" fillId="4" borderId="1" applyAlignment="1" pivotButton="0" quotePrefix="0" xfId="0">
      <alignment horizontal="right"/>
    </xf>
    <xf numFmtId="168" fontId="8" fillId="4" borderId="1" applyAlignment="1" pivotButton="0" quotePrefix="0" xfId="0">
      <alignment horizontal="right"/>
    </xf>
    <xf numFmtId="49" fontId="4" fillId="0" borderId="1" pivotButton="0" quotePrefix="0" xfId="0"/>
    <xf numFmtId="49" fontId="4" fillId="4" borderId="1" pivotButton="0" quotePrefix="0" xfId="0"/>
    <xf numFmtId="0" fontId="12" fillId="0" borderId="0" pivotButton="0" quotePrefix="0" xfId="0"/>
    <xf numFmtId="169" fontId="8" fillId="0" borderId="1" applyAlignment="1" pivotButton="0" quotePrefix="0" xfId="0">
      <alignment horizontal="right"/>
    </xf>
    <xf numFmtId="169" fontId="8" fillId="4" borderId="1" applyAlignment="1" pivotButton="0" quotePrefix="0" xfId="0">
      <alignment horizontal="right"/>
    </xf>
    <xf numFmtId="1" fontId="8" fillId="0" borderId="1" applyAlignment="1" pivotButton="0" quotePrefix="0" xfId="0">
      <alignment horizontal="right"/>
    </xf>
    <xf numFmtId="11" fontId="8" fillId="0" borderId="1" applyAlignment="1" pivotButton="0" quotePrefix="0" xfId="0">
      <alignment horizontal="right"/>
    </xf>
    <xf numFmtId="167" fontId="9" fillId="0" borderId="0" pivotButton="0" quotePrefix="0" xfId="0"/>
    <xf numFmtId="1" fontId="8" fillId="4" borderId="1" applyAlignment="1" pivotButton="0" quotePrefix="0" xfId="0">
      <alignment horizontal="right"/>
    </xf>
    <xf numFmtId="11" fontId="8" fillId="4" borderId="1" applyAlignment="1" pivotButton="0" quotePrefix="0" xfId="0">
      <alignment horizontal="right"/>
    </xf>
    <xf numFmtId="0" fontId="3" fillId="0" borderId="0" pivotButton="0" quotePrefix="0" xfId="0"/>
    <xf numFmtId="167" fontId="8" fillId="4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  <xf numFmtId="170" fontId="4" fillId="0" borderId="1" pivotButton="0" quotePrefix="0" xfId="0"/>
    <xf numFmtId="170" fontId="4" fillId="4" borderId="1" pivotButton="0" quotePrefix="0" xfId="0"/>
    <xf numFmtId="170" fontId="8" fillId="0" borderId="1" applyAlignment="1" pivotButton="0" quotePrefix="0" xfId="0">
      <alignment horizontal="right"/>
    </xf>
    <xf numFmtId="170" fontId="8" fillId="4" borderId="1" applyAlignment="1" pivotButton="0" quotePrefix="0" xfId="0">
      <alignment horizontal="right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PriceData" displayName="PriceData" ref="A4:H873" headerRowCount="1">
  <autoFilter ref="A4:H873"/>
  <tableColumns count="8">
    <tableColumn id="1" name="日期"/>
    <tableColumn id="2" name="PX 元/吨"/>
    <tableColumn id="3" name="PTA 元/吨"/>
    <tableColumn id="4" name="区间涨跌 PX%"/>
    <tableColumn id="5" name="理论价差"/>
    <tableColumn id="6" name="PTA/PX"/>
    <tableColumn id="7" name="PX 日收益"/>
    <tableColumn id="8" name="PTA 日收益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4" customWidth="1" min="3" max="3"/>
  </cols>
  <sheetData>
    <row r="1" ht="30" customHeight="1">
      <c r="A1" s="1" t="inlineStr">
        <is>
          <t>PX × PTA 上下游价格联动研究 · 数据与计算工作簿</t>
        </is>
      </c>
    </row>
    <row r="2" ht="20" customHeight="1">
      <c r="A2" s="2" t="inlineStr">
        <is>
          <t>所有结果均为活公式；改动「02_参数」的 λ 或「03_原始数据」的价格，其余各表自动重算。</t>
        </is>
      </c>
    </row>
    <row r="4" ht="32" customHeight="1">
      <c r="B4" s="3" t="inlineStr">
        <is>
          <t>研究问题</t>
        </is>
      </c>
      <c r="C4" s="4" t="inlineStr">
        <is>
          <t>PX（上游）与 PTA（下游）之间价格传导是否明显？哪些阶段出现背离？理论加工价差处于历史什么位置？是否存在可识别的领先/滞后？</t>
        </is>
      </c>
    </row>
    <row r="5" ht="32" customHeight="1">
      <c r="B5" s="3" t="inlineStr">
        <is>
          <t>产业关系</t>
        </is>
      </c>
      <c r="C5" s="4" t="inlineStr">
        <is>
          <t>PTA 由 PX 液相空气氧化制得（醋酸为溶剂、Co-Mn-Br 催化），PX 是唯一主要原料，不存在第二条主要原料路线 → 允许做单耗折算加工价差。</t>
        </is>
      </c>
    </row>
    <row r="6" ht="32" customHeight="1">
      <c r="B6" s="3" t="inlineStr">
        <is>
          <t>数据源</t>
        </is>
      </c>
      <c r="C6" s="4" t="inlineStr">
        <is>
          <t>100ppi 生意社 PX/PTA 基准价（中文，2025-05-22 起）；SunSirs 日度现货价（英文站，可回溯 2023-01）。两源在重叠期逐日一致（差异 0 元/吨）。</t>
        </is>
      </c>
    </row>
    <row r="7" ht="20" customHeight="1">
      <c r="B7" s="3" t="inlineStr">
        <is>
          <t>价格口径</t>
        </is>
      </c>
      <c r="C7" s="4" t="inlineStr">
        <is>
          <t>元/吨，含增值税，华东现货基准价；同一机构同一口径，避免跨源拼接。</t>
        </is>
      </c>
    </row>
    <row r="8" ht="32" customHeight="1">
      <c r="B8" s="3" t="inlineStr">
        <is>
          <t>频率与样本</t>
        </is>
      </c>
      <c r="C8" s="4" t="inlineStr">
        <is>
          <t>日频；成对有效样本 N=869；区间 2023-10-08 ~ 2026-10-20。缺失日不插值，统计一律用成对有效样本。</t>
        </is>
      </c>
    </row>
    <row r="9" ht="32" customHeight="1">
      <c r="B9" s="3" t="inlineStr">
        <is>
          <t>发布时点</t>
        </is>
      </c>
      <c r="C9" s="4" t="inlineStr">
        <is>
          <t>生意社基准价于当日 08:30 发布，反映当日市场水平（发布滞后 0 天）；SunSirs 英文站页面日期为报道日，价格对应链接日期（滞后 1 天），已校正。</t>
        </is>
      </c>
    </row>
    <row r="10" ht="32" customHeight="1">
      <c r="B10" s="3" t="inlineStr">
        <is>
          <t>单耗来源</t>
        </is>
      </c>
      <c r="C10" s="4" t="inlineStr">
        <is>
          <t>0.655 t PX/t PTA：长江期货 2023-12-18；0.653：SCI99 2026-08-20；0.647~0.657：天风证券 2019-12-14 表 4 逐套装置。见「04_单耗台账」。</t>
        </is>
      </c>
    </row>
    <row r="11" ht="32" customHeight="1">
      <c r="B11" s="3" t="inlineStr">
        <is>
          <t>加工价差定义</t>
        </is>
      </c>
      <c r="C11" s="4" t="inlineStr">
        <is>
          <t>Δ = PTA − λ×PX − 其他成本。λ 默认 0.655；「其他成本」= 醋酸贡献(≈0.032 t/t×醋酸价) + 动力 + 折旧的简化项，默认为 0，含义为「不含折旧与能源的收入型加工费」。</t>
        </is>
      </c>
    </row>
    <row r="12" ht="32" customHeight="1">
      <c r="B12" s="3" t="inlineStr">
        <is>
          <t>禁止事项</t>
        </is>
      </c>
      <c r="C12" s="4" t="inlineStr">
        <is>
          <t>① 不得把相关性表述为成本传导的因果证据；② 加工价差不等同企业利润；③ 不得给出交易建议/目标价；④ 单耗无出处时不得自造系数；⑤ 缺失不插值。</t>
        </is>
      </c>
    </row>
    <row r="13" ht="32" customHeight="1">
      <c r="B13" s="3" t="inlineStr">
        <is>
          <t>待补缺口</t>
        </is>
      </c>
      <c r="C13" s="4" t="inlineStr">
        <is>
          <t>醋酸价格序列未纳入（未取得可靠日频公开序列），故「其他成本」以参数形式暴露，默认 0 并在敏感性中说明；一体化装置的内部结算价与物流成本未剔除。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26" customWidth="1" min="4" max="4"/>
    <col width="10" customWidth="1" min="5" max="5"/>
    <col width="30" customWidth="1" min="6" max="6"/>
    <col width="34" customWidth="1" min="7" max="7"/>
    <col width="18" customWidth="1" min="8" max="8"/>
    <col width="30" customWidth="1" min="9" max="9"/>
  </cols>
  <sheetData>
    <row r="1" ht="30" customHeight="1">
      <c r="A1" s="1" t="inlineStr">
        <is>
          <t>口径与来源台账</t>
        </is>
      </c>
    </row>
    <row r="2" ht="20" customHeight="1">
      <c r="A2" s="2" t="inlineStr">
        <is>
          <t>每一条价格数据都必须能回答：什么品种/规格、哪个地区、含不含税、哪天发布、来自哪里。</t>
        </is>
      </c>
    </row>
    <row r="4" ht="26" customHeight="1">
      <c r="A4" s="5" t="inlineStr">
        <is>
          <t>序号</t>
        </is>
      </c>
      <c r="B4" s="5" t="inlineStr">
        <is>
          <t>口径项</t>
        </is>
      </c>
      <c r="C4" s="5" t="inlineStr">
        <is>
          <t>上游 PX</t>
        </is>
      </c>
      <c r="D4" s="5" t="inlineStr">
        <is>
          <t>下游 PTA</t>
        </is>
      </c>
      <c r="E4" s="5" t="inlineStr">
        <is>
          <t>是否一致</t>
        </is>
      </c>
      <c r="F4" s="5" t="inlineStr">
        <is>
          <t>处理方式</t>
        </is>
      </c>
      <c r="G4" s="5" t="inlineStr">
        <is>
          <t>数据来源</t>
        </is>
      </c>
      <c r="H4" s="5" t="inlineStr">
        <is>
          <t>发布时点</t>
        </is>
      </c>
      <c r="I4" s="5" t="inlineStr">
        <is>
          <t>备注</t>
        </is>
      </c>
    </row>
    <row r="5" ht="17" customHeight="1">
      <c r="A5" s="6" t="n">
        <v>1</v>
      </c>
      <c r="B5" s="7" t="inlineStr">
        <is>
          <t>品种/规格</t>
        </is>
      </c>
      <c r="C5" s="7" t="inlineStr">
        <is>
          <t>对二甲苯 PX，优等品</t>
        </is>
      </c>
      <c r="D5" s="7" t="inlineStr">
        <is>
          <t>精对苯二甲酸 PTA，优等品</t>
        </is>
      </c>
      <c r="E5" s="7" t="inlineStr">
        <is>
          <t>是</t>
        </is>
      </c>
      <c r="F5" s="7" t="inlineStr">
        <is>
          <t>按品种标准品取值</t>
        </is>
      </c>
      <c r="G5" s="7" t="inlineStr">
        <is>
          <t>生意社/ SunSirs</t>
        </is>
      </c>
      <c r="H5" s="7" t="inlineStr">
        <is>
          <t>每日</t>
        </is>
      </c>
      <c r="I5" s="7" t="inlineStr"/>
    </row>
    <row r="6" ht="17" customHeight="1">
      <c r="A6" s="8" t="n">
        <v>2</v>
      </c>
      <c r="B6" s="9" t="inlineStr">
        <is>
          <t>地区</t>
        </is>
      </c>
      <c r="C6" s="9" t="inlineStr">
        <is>
          <t>华东综合现货</t>
        </is>
      </c>
      <c r="D6" s="9" t="inlineStr">
        <is>
          <t>华东现货</t>
        </is>
      </c>
      <c r="E6" s="9" t="inlineStr">
        <is>
          <t>近似一致</t>
        </is>
      </c>
      <c r="F6" s="9" t="inlineStr">
        <is>
          <t>统一用华东口径，不做跨区拼价</t>
        </is>
      </c>
      <c r="G6" s="9" t="inlineStr">
        <is>
          <t>生意社/ SunSirs</t>
        </is>
      </c>
      <c r="H6" s="9" t="inlineStr">
        <is>
          <t>每日</t>
        </is>
      </c>
      <c r="I6" s="9" t="inlineStr">
        <is>
          <t>跨区升贴水未剔除</t>
        </is>
      </c>
    </row>
    <row r="7" ht="17" customHeight="1">
      <c r="A7" s="6" t="n">
        <v>3</v>
      </c>
      <c r="B7" s="7" t="inlineStr">
        <is>
          <t>计量单位</t>
        </is>
      </c>
      <c r="C7" s="7" t="inlineStr">
        <is>
          <t>元/吨</t>
        </is>
      </c>
      <c r="D7" s="7" t="inlineStr">
        <is>
          <t>元/吨</t>
        </is>
      </c>
      <c r="E7" s="7" t="inlineStr">
        <is>
          <t>是</t>
        </is>
      </c>
      <c r="F7" s="7" t="inlineStr">
        <is>
          <t>无需换算</t>
        </is>
      </c>
      <c r="G7" s="7" t="inlineStr">
        <is>
          <t>—</t>
        </is>
      </c>
      <c r="H7" s="7" t="inlineStr">
        <is>
          <t>—</t>
        </is>
      </c>
      <c r="I7" s="7" t="inlineStr"/>
    </row>
    <row r="8" ht="17" customHeight="1">
      <c r="A8" s="8" t="n">
        <v>4</v>
      </c>
      <c r="B8" s="9" t="inlineStr">
        <is>
          <t>税费</t>
        </is>
      </c>
      <c r="C8" s="9" t="inlineStr">
        <is>
          <t>含增值税</t>
        </is>
      </c>
      <c r="D8" s="9" t="inlineStr">
        <is>
          <t>含增值税</t>
        </is>
      </c>
      <c r="E8" s="9" t="inlineStr">
        <is>
          <t>是</t>
        </is>
      </c>
      <c r="F8" s="9" t="inlineStr">
        <is>
          <t>税基相同，无需价税分离</t>
        </is>
      </c>
      <c r="G8" s="9" t="inlineStr">
        <is>
          <t>—</t>
        </is>
      </c>
      <c r="H8" s="9" t="inlineStr">
        <is>
          <t>—</t>
        </is>
      </c>
      <c r="I8" s="9" t="inlineStr">
        <is>
          <t>若一含税一不含税须先×1.13/1.09</t>
        </is>
      </c>
    </row>
    <row r="9" ht="17" customHeight="1">
      <c r="A9" s="6" t="n">
        <v>5</v>
      </c>
      <c r="B9" s="7" t="inlineStr">
        <is>
          <t>价格性质</t>
        </is>
      </c>
      <c r="C9" s="7" t="inlineStr">
        <is>
          <t>现货基准价</t>
        </is>
      </c>
      <c r="D9" s="7" t="inlineStr">
        <is>
          <t>现货基准价</t>
        </is>
      </c>
      <c r="E9" s="7" t="inlineStr">
        <is>
          <t>是</t>
        </is>
      </c>
      <c r="F9" s="7" t="inlineStr">
        <is>
          <t>不使用期货价格，避免基差混入</t>
        </is>
      </c>
      <c r="G9" s="7" t="inlineStr">
        <is>
          <t>生意社/ SunSirs</t>
        </is>
      </c>
      <c r="H9" s="7" t="inlineStr">
        <is>
          <t>每日 08:30</t>
        </is>
      </c>
      <c r="I9" s="7" t="inlineStr">
        <is>
          <t>期货仅用于交叉验证</t>
        </is>
      </c>
    </row>
    <row r="10" ht="17" customHeight="1">
      <c r="A10" s="8" t="n">
        <v>6</v>
      </c>
      <c r="B10" s="9" t="inlineStr">
        <is>
          <t>频率</t>
        </is>
      </c>
      <c r="C10" s="9" t="inlineStr">
        <is>
          <t>日度</t>
        </is>
      </c>
      <c r="D10" s="9" t="inlineStr">
        <is>
          <t>日度</t>
        </is>
      </c>
      <c r="E10" s="9" t="inlineStr">
        <is>
          <t>是</t>
        </is>
      </c>
      <c r="F10" s="9" t="inlineStr">
        <is>
          <t>成对有效样本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缺失不插值</t>
        </is>
      </c>
    </row>
    <row r="11" ht="17" customHeight="1">
      <c r="A11" s="6" t="n">
        <v>7</v>
      </c>
      <c r="B11" s="7" t="inlineStr">
        <is>
          <t>日期对齐</t>
        </is>
      </c>
      <c r="C11" s="7" t="inlineStr">
        <is>
          <t>价格口径日</t>
        </is>
      </c>
      <c r="D11" s="7" t="inlineStr">
        <is>
          <t>价格口径日</t>
        </is>
      </c>
      <c r="E11" s="7" t="inlineStr">
        <is>
          <t>是</t>
        </is>
      </c>
      <c r="F11" s="7" t="inlineStr">
        <is>
          <t>英文站滞后一天已校正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错位会导致价差约 80 元/吨的系统偏差</t>
        </is>
      </c>
    </row>
    <row r="12" ht="17" customHeight="1">
      <c r="A12" s="8" t="n">
        <v>8</v>
      </c>
      <c r="B12" s="9" t="inlineStr">
        <is>
          <t>交叉校验</t>
        </is>
      </c>
      <c r="C12" s="9" t="inlineStr">
        <is>
          <t>两源重叠期逐日一致</t>
        </is>
      </c>
      <c r="D12" s="9" t="inlineStr">
        <is>
          <t>两源重叠期逐日一致</t>
        </is>
      </c>
      <c r="E12" s="9" t="inlineStr">
        <is>
          <t>是</t>
        </is>
      </c>
      <c r="F12" s="9" t="inlineStr">
        <is>
          <t>差异 0 元/吨，误差 0.00%</t>
        </is>
      </c>
      <c r="G12" s="9" t="inlineStr">
        <is>
          <t>100ppi vs SunSirs</t>
        </is>
      </c>
      <c r="H12" s="9" t="inlineStr">
        <is>
          <t>—</t>
        </is>
      </c>
      <c r="I12" s="9" t="inlineStr">
        <is>
          <t>见 12_公式说明 的校验方法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4" customWidth="1" min="4" max="4"/>
    <col width="60" customWidth="1" min="5" max="5"/>
  </cols>
  <sheetData>
    <row r="1" ht="30" customHeight="1">
      <c r="A1" s="1" t="inlineStr">
        <is>
          <t>参数与命名区域</t>
        </is>
      </c>
    </row>
    <row r="2" ht="20" customHeight="1">
      <c r="A2" s="2" t="inlineStr">
        <is>
          <t>改这里，全表重算。λ 只有一个出处，禁止在各表重复写死。</t>
        </is>
      </c>
    </row>
    <row r="4" ht="26" customHeight="1">
      <c r="A4" s="5" t="inlineStr">
        <is>
          <t>参数</t>
        </is>
      </c>
      <c r="B4" s="5" t="inlineStr">
        <is>
          <t>名称</t>
        </is>
      </c>
      <c r="C4" s="5" t="inlineStr">
        <is>
          <t>取值</t>
        </is>
      </c>
      <c r="D4" s="5" t="inlineStr">
        <is>
          <t>单位</t>
        </is>
      </c>
      <c r="E4" s="5" t="inlineStr">
        <is>
          <t>来源/说明</t>
        </is>
      </c>
    </row>
    <row r="5" ht="17" customHeight="1">
      <c r="A5" s="7" t="inlineStr">
        <is>
          <t>单耗系数 λ</t>
        </is>
      </c>
      <c r="B5" s="7" t="inlineStr">
        <is>
          <t>Lambda</t>
        </is>
      </c>
      <c r="C5" s="10" t="n">
        <v>0.655</v>
      </c>
      <c r="D5" s="7" t="inlineStr">
        <is>
          <t>t PX/t PTA</t>
        </is>
      </c>
      <c r="E5" s="7" t="inlineStr">
        <is>
          <t>长江期货 2023-12-18（行业通用 0.655）</t>
        </is>
      </c>
    </row>
    <row r="6" ht="17" customHeight="1">
      <c r="A6" s="9" t="inlineStr">
        <is>
          <t>单耗下限</t>
        </is>
      </c>
      <c r="B6" s="9" t="inlineStr">
        <is>
          <t>LambdaLo</t>
        </is>
      </c>
      <c r="C6" s="10" t="n">
        <v>0.647</v>
      </c>
      <c r="D6" s="9" t="inlineStr">
        <is>
          <t>t PX/t PTA</t>
        </is>
      </c>
      <c r="E6" s="9" t="inlineStr">
        <is>
          <t>天风证券 2019-12-14 表4：新凤鸣独山</t>
        </is>
      </c>
    </row>
    <row r="7" ht="17" customHeight="1">
      <c r="A7" s="7" t="inlineStr">
        <is>
          <t>单耗上限</t>
        </is>
      </c>
      <c r="B7" s="7" t="inlineStr">
        <is>
          <t>LambdaHi</t>
        </is>
      </c>
      <c r="C7" s="10" t="n">
        <v>0.657</v>
      </c>
      <c r="D7" s="7" t="inlineStr">
        <is>
          <t>t PX/t PTA</t>
        </is>
      </c>
      <c r="E7" s="7" t="inlineStr">
        <is>
          <t>天风证券 2019-12-14 表4：汉邦一期/桐昆嘉兴一期</t>
        </is>
      </c>
    </row>
    <row r="8" ht="17" customHeight="1">
      <c r="A8" s="9" t="inlineStr">
        <is>
          <t>其他成本</t>
        </is>
      </c>
      <c r="B8" s="9" t="inlineStr">
        <is>
          <t>OtherCost</t>
        </is>
      </c>
      <c r="C8" s="10" t="n">
        <v>0</v>
      </c>
      <c r="D8" s="9" t="inlineStr">
        <is>
          <t>元/吨</t>
        </is>
      </c>
      <c r="E8" s="9" t="inlineStr">
        <is>
          <t>醋酸+动力+折旧简化项；默认 0 = 仅收入型加工费</t>
        </is>
      </c>
    </row>
    <row r="9" ht="17" customHeight="1">
      <c r="A9" s="7" t="inlineStr">
        <is>
          <t>醋酸单耗</t>
        </is>
      </c>
      <c r="B9" s="7" t="inlineStr">
        <is>
          <t>AceticCoef</t>
        </is>
      </c>
      <c r="C9" s="10" t="n">
        <v>0.032</v>
      </c>
      <c r="D9" s="7" t="inlineStr">
        <is>
          <t>t/t</t>
        </is>
      </c>
      <c r="E9" s="7" t="inlineStr">
        <is>
          <t>天风证券表4（0.029~0.040）；SCI99 0.030~0.039</t>
        </is>
      </c>
    </row>
    <row r="10" ht="17" customHeight="1">
      <c r="A10" s="9" t="inlineStr">
        <is>
          <t>滚动窗口A</t>
        </is>
      </c>
      <c r="B10" s="9" t="inlineStr">
        <is>
          <t>WinA</t>
        </is>
      </c>
      <c r="C10" s="10" t="n">
        <v>20</v>
      </c>
      <c r="D10" s="9" t="inlineStr">
        <is>
          <t>观测</t>
        </is>
      </c>
      <c r="E10" s="9" t="inlineStr">
        <is>
          <t>短期</t>
        </is>
      </c>
    </row>
    <row r="11" ht="17" customHeight="1">
      <c r="A11" s="7" t="inlineStr">
        <is>
          <t>滚动窗口B</t>
        </is>
      </c>
      <c r="B11" s="7" t="inlineStr">
        <is>
          <t>WinB</t>
        </is>
      </c>
      <c r="C11" s="10" t="n">
        <v>60</v>
      </c>
      <c r="D11" s="7" t="inlineStr">
        <is>
          <t>观测</t>
        </is>
      </c>
      <c r="E11" s="7" t="inlineStr">
        <is>
          <t>主口径（报告 §5 默认）</t>
        </is>
      </c>
    </row>
    <row r="12" ht="17" customHeight="1">
      <c r="A12" s="9" t="inlineStr">
        <is>
          <t>滚动窗口C</t>
        </is>
      </c>
      <c r="B12" s="9" t="inlineStr">
        <is>
          <t>WinC</t>
        </is>
      </c>
      <c r="C12" s="10" t="n">
        <v>120</v>
      </c>
      <c r="D12" s="9" t="inlineStr">
        <is>
          <t>观测</t>
        </is>
      </c>
      <c r="E12" s="9" t="inlineStr">
        <is>
          <t>中期</t>
        </is>
      </c>
    </row>
    <row r="13" ht="17" customHeight="1">
      <c r="A13" s="7" t="inlineStr">
        <is>
          <t>最小有效样本比</t>
        </is>
      </c>
      <c r="B13" s="7" t="inlineStr">
        <is>
          <t>MinObs</t>
        </is>
      </c>
      <c r="C13" s="10" t="n">
        <v>0.8</v>
      </c>
      <c r="D13" s="7" t="inlineStr">
        <is>
          <t>比例</t>
        </is>
      </c>
      <c r="E13" s="7" t="inlineStr">
        <is>
          <t>窗口内有效样本 &lt; 80% 时不出数</t>
        </is>
      </c>
    </row>
    <row r="14" ht="17" customHeight="1">
      <c r="A14" s="9" t="inlineStr">
        <is>
          <t>显著水平</t>
        </is>
      </c>
      <c r="B14" s="9" t="inlineStr">
        <is>
          <t>Alpha</t>
        </is>
      </c>
      <c r="C14" s="10" t="n">
        <v>0.05</v>
      </c>
      <c r="D14" s="9" t="inlineStr">
        <is>
          <t>—</t>
        </is>
      </c>
      <c r="E14" s="9" t="inlineStr">
        <is>
          <t>双尾</t>
        </is>
      </c>
    </row>
    <row r="17">
      <c r="A17" s="11" t="inlineStr">
        <is>
          <t>阶段定义</t>
        </is>
      </c>
    </row>
    <row r="18" ht="26" customHeight="1">
      <c r="A18" s="5" t="inlineStr">
        <is>
          <t>阶段</t>
        </is>
      </c>
      <c r="B18" s="5" t="inlineStr">
        <is>
          <t>起始日</t>
        </is>
      </c>
      <c r="C18" s="5" t="inlineStr">
        <is>
          <t>结束日</t>
        </is>
      </c>
      <c r="D18" s="5" t="inlineStr">
        <is>
          <t>名称</t>
        </is>
      </c>
    </row>
    <row r="19" ht="17" customHeight="1">
      <c r="A19" s="7" t="inlineStr">
        <is>
          <t>S1</t>
        </is>
      </c>
      <c r="B19" s="7" t="inlineStr">
        <is>
          <t>2023-10-07</t>
        </is>
      </c>
      <c r="C19" s="7" t="inlineStr">
        <is>
          <t>2024-12-31</t>
        </is>
      </c>
      <c r="D19" s="7" t="inlineStr">
        <is>
          <t>PX扩能兑现+PTA过剩，加工费中枢下移</t>
        </is>
      </c>
    </row>
    <row r="20" ht="17" customHeight="1">
      <c r="A20" s="9" t="inlineStr">
        <is>
          <t>S2</t>
        </is>
      </c>
      <c r="B20" s="9" t="inlineStr">
        <is>
          <t>2025-01-01</t>
        </is>
      </c>
      <c r="C20" s="9" t="inlineStr">
        <is>
          <t>2025-12-31</t>
        </is>
      </c>
      <c r="D20" s="9" t="inlineStr">
        <is>
          <t>PX供给趋紧、PTA加工费走阔</t>
        </is>
      </c>
    </row>
    <row r="21" ht="17" customHeight="1">
      <c r="A21" s="7" t="inlineStr">
        <is>
          <t>S3</t>
        </is>
      </c>
      <c r="B21" s="7" t="inlineStr">
        <is>
          <t>2026-01-01</t>
        </is>
      </c>
      <c r="C21" s="7" t="inlineStr">
        <is>
          <t>2026-10-20</t>
        </is>
      </c>
      <c r="D21" s="7" t="inlineStr">
        <is>
          <t>PTA集中检修+地缘油价扰动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O8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1" customWidth="1" min="6" max="6"/>
    <col width="13" customWidth="1" min="7" max="7"/>
    <col width="13" customWidth="1" min="8" max="8"/>
  </cols>
  <sheetData>
    <row r="1" ht="30" customHeight="1">
      <c r="A1" s="1" t="inlineStr">
        <is>
          <t>原始价格数据与派生列</t>
        </is>
      </c>
    </row>
    <row r="2" ht="20" customHeight="1">
      <c r="A2" s="2" t="inlineStr">
        <is>
          <t>E/F/G/H 列为公式，改 PX/PTA 两列即全表联动。</t>
        </is>
      </c>
    </row>
    <row r="3">
      <c r="N3" s="12" t="inlineStr">
        <is>
          <t>阶段起点行</t>
        </is>
      </c>
      <c r="O3" s="12" t="inlineStr">
        <is>
          <t>阶段终点行</t>
        </is>
      </c>
    </row>
    <row r="4" ht="26" customHeight="1">
      <c r="A4" s="5" t="inlineStr">
        <is>
          <t>日期</t>
        </is>
      </c>
      <c r="B4" s="5" t="inlineStr">
        <is>
          <t>PX 元/吨</t>
        </is>
      </c>
      <c r="C4" s="5" t="inlineStr">
        <is>
          <t>PTA 元/吨</t>
        </is>
      </c>
      <c r="D4" s="5" t="inlineStr">
        <is>
          <t>区间涨跌 PX%</t>
        </is>
      </c>
      <c r="E4" s="5" t="inlineStr">
        <is>
          <t>理论价差</t>
        </is>
      </c>
      <c r="F4" s="5" t="inlineStr">
        <is>
          <t>PTA/PX</t>
        </is>
      </c>
      <c r="G4" s="5" t="inlineStr">
        <is>
          <t>PX 日收益</t>
        </is>
      </c>
      <c r="H4" s="5" t="inlineStr">
        <is>
          <t>PTA 日收益</t>
        </is>
      </c>
    </row>
    <row r="5" ht="17" customHeight="1">
      <c r="A5" s="13" t="inlineStr">
        <is>
          <t>2023-10-08</t>
        </is>
      </c>
      <c r="B5" s="14" t="n">
        <v>9500</v>
      </c>
      <c r="C5" s="14" t="n">
        <v>6013.64</v>
      </c>
      <c r="D5" s="15" t="n"/>
      <c r="E5" s="16">
        <f>C5-Lambda*B5-OtherCost</f>
        <v/>
      </c>
      <c r="F5" s="17">
        <f>C5/B5</f>
        <v/>
      </c>
      <c r="G5" s="15" t="n"/>
      <c r="H5" s="15" t="n"/>
      <c r="N5" t="n">
        <v>5</v>
      </c>
      <c r="O5" t="n">
        <v>328</v>
      </c>
    </row>
    <row r="6" ht="17" customHeight="1">
      <c r="A6" s="18" t="inlineStr">
        <is>
          <t>2023-10-09</t>
        </is>
      </c>
      <c r="B6" s="19" t="n">
        <v>9500</v>
      </c>
      <c r="C6" s="19" t="n">
        <v>5962.73</v>
      </c>
      <c r="D6" s="20" t="n"/>
      <c r="E6" s="21">
        <f>C6-Lambda*B6-OtherCost</f>
        <v/>
      </c>
      <c r="F6" s="22">
        <f>C6/B6</f>
        <v/>
      </c>
      <c r="G6" s="23">
        <f>B6/B5-1</f>
        <v/>
      </c>
      <c r="H6" s="23">
        <f>C6/C5-1</f>
        <v/>
      </c>
      <c r="N6" t="n">
        <v>329</v>
      </c>
      <c r="O6" t="n">
        <v>622</v>
      </c>
    </row>
    <row r="7" ht="17" customHeight="1">
      <c r="A7" s="13" t="inlineStr">
        <is>
          <t>2023-10-10</t>
        </is>
      </c>
      <c r="B7" s="14" t="n">
        <v>9100</v>
      </c>
      <c r="C7" s="14" t="n">
        <v>5961.82</v>
      </c>
      <c r="D7" s="15" t="n"/>
      <c r="E7" s="16">
        <f>C7-Lambda*B7-OtherCost</f>
        <v/>
      </c>
      <c r="F7" s="17">
        <f>C7/B7</f>
        <v/>
      </c>
      <c r="G7" s="24">
        <f>B7/B6-1</f>
        <v/>
      </c>
      <c r="H7" s="24">
        <f>C7/C6-1</f>
        <v/>
      </c>
      <c r="N7" t="n">
        <v>623</v>
      </c>
      <c r="O7" t="n">
        <v>873</v>
      </c>
    </row>
    <row r="8" ht="17" customHeight="1">
      <c r="A8" s="18" t="inlineStr">
        <is>
          <t>2023-10-11</t>
        </is>
      </c>
      <c r="B8" s="19" t="n">
        <v>9100</v>
      </c>
      <c r="C8" s="19" t="n">
        <v>5898</v>
      </c>
      <c r="D8" s="20" t="n"/>
      <c r="E8" s="21">
        <f>C8-Lambda*B8-OtherCost</f>
        <v/>
      </c>
      <c r="F8" s="22">
        <f>C8/B8</f>
        <v/>
      </c>
      <c r="G8" s="23">
        <f>B8/B7-1</f>
        <v/>
      </c>
      <c r="H8" s="23">
        <f>C8/C7-1</f>
        <v/>
      </c>
    </row>
    <row r="9" ht="17" customHeight="1">
      <c r="A9" s="13" t="inlineStr">
        <is>
          <t>2023-10-12</t>
        </is>
      </c>
      <c r="B9" s="14" t="n">
        <v>9100</v>
      </c>
      <c r="C9" s="14" t="n">
        <v>5854.5</v>
      </c>
      <c r="D9" s="15" t="n"/>
      <c r="E9" s="16">
        <f>C9-Lambda*B9-OtherCost</f>
        <v/>
      </c>
      <c r="F9" s="17">
        <f>C9/B9</f>
        <v/>
      </c>
      <c r="G9" s="24">
        <f>B9/B8-1</f>
        <v/>
      </c>
      <c r="H9" s="24">
        <f>C9/C8-1</f>
        <v/>
      </c>
    </row>
    <row r="10" ht="17" customHeight="1">
      <c r="A10" s="18" t="inlineStr">
        <is>
          <t>2023-10-15</t>
        </is>
      </c>
      <c r="B10" s="19" t="n">
        <v>9100</v>
      </c>
      <c r="C10" s="19" t="n">
        <v>5871</v>
      </c>
      <c r="D10" s="20" t="n"/>
      <c r="E10" s="21">
        <f>C10-Lambda*B10-OtherCost</f>
        <v/>
      </c>
      <c r="F10" s="22">
        <f>C10/B10</f>
        <v/>
      </c>
      <c r="G10" s="23">
        <f>B10/B9-1</f>
        <v/>
      </c>
      <c r="H10" s="23">
        <f>C10/C9-1</f>
        <v/>
      </c>
    </row>
    <row r="11" ht="17" customHeight="1">
      <c r="A11" s="13" t="inlineStr">
        <is>
          <t>2023-10-16</t>
        </is>
      </c>
      <c r="B11" s="14" t="n">
        <v>9100</v>
      </c>
      <c r="C11" s="14" t="n">
        <v>5870</v>
      </c>
      <c r="D11" s="15" t="n"/>
      <c r="E11" s="16">
        <f>C11-Lambda*B11-OtherCost</f>
        <v/>
      </c>
      <c r="F11" s="17">
        <f>C11/B11</f>
        <v/>
      </c>
      <c r="G11" s="24">
        <f>B11/B10-1</f>
        <v/>
      </c>
      <c r="H11" s="24">
        <f>C11/C10-1</f>
        <v/>
      </c>
    </row>
    <row r="12" ht="17" customHeight="1">
      <c r="A12" s="18" t="inlineStr">
        <is>
          <t>2023-10-17</t>
        </is>
      </c>
      <c r="B12" s="19" t="n">
        <v>9100</v>
      </c>
      <c r="C12" s="19" t="n">
        <v>5867.5</v>
      </c>
      <c r="D12" s="20" t="n"/>
      <c r="E12" s="21">
        <f>C12-Lambda*B12-OtherCost</f>
        <v/>
      </c>
      <c r="F12" s="22">
        <f>C12/B12</f>
        <v/>
      </c>
      <c r="G12" s="23">
        <f>B12/B11-1</f>
        <v/>
      </c>
      <c r="H12" s="23">
        <f>C12/C11-1</f>
        <v/>
      </c>
    </row>
    <row r="13" ht="17" customHeight="1">
      <c r="A13" s="13" t="inlineStr">
        <is>
          <t>2023-10-18</t>
        </is>
      </c>
      <c r="B13" s="14" t="n">
        <v>9100</v>
      </c>
      <c r="C13" s="14" t="n">
        <v>5856</v>
      </c>
      <c r="D13" s="15" t="n"/>
      <c r="E13" s="16">
        <f>C13-Lambda*B13-OtherCost</f>
        <v/>
      </c>
      <c r="F13" s="17">
        <f>C13/B13</f>
        <v/>
      </c>
      <c r="G13" s="24">
        <f>B13/B12-1</f>
        <v/>
      </c>
      <c r="H13" s="24">
        <f>C13/C12-1</f>
        <v/>
      </c>
    </row>
    <row r="14" ht="17" customHeight="1">
      <c r="A14" s="18" t="inlineStr">
        <is>
          <t>2023-10-19</t>
        </is>
      </c>
      <c r="B14" s="19" t="n">
        <v>9100</v>
      </c>
      <c r="C14" s="19" t="n">
        <v>5851</v>
      </c>
      <c r="D14" s="20" t="n"/>
      <c r="E14" s="21">
        <f>C14-Lambda*B14-OtherCost</f>
        <v/>
      </c>
      <c r="F14" s="22">
        <f>C14/B14</f>
        <v/>
      </c>
      <c r="G14" s="23">
        <f>B14/B13-1</f>
        <v/>
      </c>
      <c r="H14" s="23">
        <f>C14/C13-1</f>
        <v/>
      </c>
    </row>
    <row r="15" ht="17" customHeight="1">
      <c r="A15" s="13" t="inlineStr">
        <is>
          <t>2023-10-22</t>
        </is>
      </c>
      <c r="B15" s="14" t="n">
        <v>9100</v>
      </c>
      <c r="C15" s="14" t="n">
        <v>5851</v>
      </c>
      <c r="D15" s="15" t="n"/>
      <c r="E15" s="16">
        <f>C15-Lambda*B15-OtherCost</f>
        <v/>
      </c>
      <c r="F15" s="17">
        <f>C15/B15</f>
        <v/>
      </c>
      <c r="G15" s="24">
        <f>B15/B14-1</f>
        <v/>
      </c>
      <c r="H15" s="24">
        <f>C15/C14-1</f>
        <v/>
      </c>
    </row>
    <row r="16" ht="17" customHeight="1">
      <c r="A16" s="18" t="inlineStr">
        <is>
          <t>2023-10-23</t>
        </is>
      </c>
      <c r="B16" s="19" t="n">
        <v>9100</v>
      </c>
      <c r="C16" s="19" t="n">
        <v>5851</v>
      </c>
      <c r="D16" s="20" t="n"/>
      <c r="E16" s="21">
        <f>C16-Lambda*B16-OtherCost</f>
        <v/>
      </c>
      <c r="F16" s="22">
        <f>C16/B16</f>
        <v/>
      </c>
      <c r="G16" s="23">
        <f>B16/B15-1</f>
        <v/>
      </c>
      <c r="H16" s="23">
        <f>C16/C15-1</f>
        <v/>
      </c>
    </row>
    <row r="17" ht="17" customHeight="1">
      <c r="A17" s="13" t="inlineStr">
        <is>
          <t>2023-10-24</t>
        </is>
      </c>
      <c r="B17" s="14" t="n">
        <v>9100</v>
      </c>
      <c r="C17" s="14" t="n">
        <v>5851.5</v>
      </c>
      <c r="D17" s="15" t="n"/>
      <c r="E17" s="16">
        <f>C17-Lambda*B17-OtherCost</f>
        <v/>
      </c>
      <c r="F17" s="17">
        <f>C17/B17</f>
        <v/>
      </c>
      <c r="G17" s="24">
        <f>B17/B16-1</f>
        <v/>
      </c>
      <c r="H17" s="24">
        <f>C17/C16-1</f>
        <v/>
      </c>
    </row>
    <row r="18" ht="17" customHeight="1">
      <c r="A18" s="18" t="inlineStr">
        <is>
          <t>2023-10-25</t>
        </is>
      </c>
      <c r="B18" s="19" t="n">
        <v>9100</v>
      </c>
      <c r="C18" s="19" t="n">
        <v>5873</v>
      </c>
      <c r="D18" s="20" t="n"/>
      <c r="E18" s="21">
        <f>C18-Lambda*B18-OtherCost</f>
        <v/>
      </c>
      <c r="F18" s="22">
        <f>C18/B18</f>
        <v/>
      </c>
      <c r="G18" s="23">
        <f>B18/B17-1</f>
        <v/>
      </c>
      <c r="H18" s="23">
        <f>C18/C17-1</f>
        <v/>
      </c>
    </row>
    <row r="19" ht="17" customHeight="1">
      <c r="A19" s="13" t="inlineStr">
        <is>
          <t>2023-10-26</t>
        </is>
      </c>
      <c r="B19" s="14" t="n">
        <v>9100</v>
      </c>
      <c r="C19" s="14" t="n">
        <v>5875.5</v>
      </c>
      <c r="D19" s="15" t="n"/>
      <c r="E19" s="16">
        <f>C19-Lambda*B19-OtherCost</f>
        <v/>
      </c>
      <c r="F19" s="17">
        <f>C19/B19</f>
        <v/>
      </c>
      <c r="G19" s="24">
        <f>B19/B18-1</f>
        <v/>
      </c>
      <c r="H19" s="24">
        <f>C19/C18-1</f>
        <v/>
      </c>
    </row>
    <row r="20" ht="17" customHeight="1">
      <c r="A20" s="18" t="inlineStr">
        <is>
          <t>2023-10-29</t>
        </is>
      </c>
      <c r="B20" s="19" t="n">
        <v>8700</v>
      </c>
      <c r="C20" s="19" t="n">
        <v>5915</v>
      </c>
      <c r="D20" s="20" t="n"/>
      <c r="E20" s="21">
        <f>C20-Lambda*B20-OtherCost</f>
        <v/>
      </c>
      <c r="F20" s="22">
        <f>C20/B20</f>
        <v/>
      </c>
      <c r="G20" s="23">
        <f>B20/B19-1</f>
        <v/>
      </c>
      <c r="H20" s="23">
        <f>C20/C19-1</f>
        <v/>
      </c>
    </row>
    <row r="21" ht="17" customHeight="1">
      <c r="A21" s="13" t="inlineStr">
        <is>
          <t>2023-10-30</t>
        </is>
      </c>
      <c r="B21" s="14" t="n">
        <v>8700</v>
      </c>
      <c r="C21" s="14" t="n">
        <v>5915</v>
      </c>
      <c r="D21" s="15" t="n"/>
      <c r="E21" s="16">
        <f>C21-Lambda*B21-OtherCost</f>
        <v/>
      </c>
      <c r="F21" s="17">
        <f>C21/B21</f>
        <v/>
      </c>
      <c r="G21" s="24">
        <f>B21/B20-1</f>
        <v/>
      </c>
      <c r="H21" s="24">
        <f>C21/C20-1</f>
        <v/>
      </c>
    </row>
    <row r="22" ht="17" customHeight="1">
      <c r="A22" s="18" t="inlineStr">
        <is>
          <t>2023-10-31</t>
        </is>
      </c>
      <c r="B22" s="19" t="n">
        <v>8700</v>
      </c>
      <c r="C22" s="19" t="n">
        <v>5937</v>
      </c>
      <c r="D22" s="20" t="n"/>
      <c r="E22" s="21">
        <f>C22-Lambda*B22-OtherCost</f>
        <v/>
      </c>
      <c r="F22" s="22">
        <f>C22/B22</f>
        <v/>
      </c>
      <c r="G22" s="23">
        <f>B22/B21-1</f>
        <v/>
      </c>
      <c r="H22" s="23">
        <f>C22/C21-1</f>
        <v/>
      </c>
    </row>
    <row r="23" ht="17" customHeight="1">
      <c r="A23" s="13" t="inlineStr">
        <is>
          <t>2023-11-01</t>
        </is>
      </c>
      <c r="B23" s="14" t="n">
        <v>8700</v>
      </c>
      <c r="C23" s="14" t="n">
        <v>5937</v>
      </c>
      <c r="D23" s="15" t="n"/>
      <c r="E23" s="16">
        <f>C23-Lambda*B23-OtherCost</f>
        <v/>
      </c>
      <c r="F23" s="17">
        <f>C23/B23</f>
        <v/>
      </c>
      <c r="G23" s="24">
        <f>B23/B22-1</f>
        <v/>
      </c>
      <c r="H23" s="24">
        <f>C23/C22-1</f>
        <v/>
      </c>
    </row>
    <row r="24" ht="17" customHeight="1">
      <c r="A24" s="18" t="inlineStr">
        <is>
          <t>2023-11-02</t>
        </is>
      </c>
      <c r="B24" s="19" t="n">
        <v>8700</v>
      </c>
      <c r="C24" s="19" t="n">
        <v>5938</v>
      </c>
      <c r="D24" s="20" t="n"/>
      <c r="E24" s="21">
        <f>C24-Lambda*B24-OtherCost</f>
        <v/>
      </c>
      <c r="F24" s="22">
        <f>C24/B24</f>
        <v/>
      </c>
      <c r="G24" s="23">
        <f>B24/B23-1</f>
        <v/>
      </c>
      <c r="H24" s="23">
        <f>C24/C23-1</f>
        <v/>
      </c>
    </row>
    <row r="25" ht="17" customHeight="1">
      <c r="A25" s="13" t="inlineStr">
        <is>
          <t>2023-11-05</t>
        </is>
      </c>
      <c r="B25" s="14" t="n">
        <v>8700</v>
      </c>
      <c r="C25" s="14" t="n">
        <v>5916</v>
      </c>
      <c r="D25" s="15" t="n"/>
      <c r="E25" s="16">
        <f>C25-Lambda*B25-OtherCost</f>
        <v/>
      </c>
      <c r="F25" s="17">
        <f>C25/B25</f>
        <v/>
      </c>
      <c r="G25" s="24">
        <f>B25/B24-1</f>
        <v/>
      </c>
      <c r="H25" s="24">
        <f>C25/C24-1</f>
        <v/>
      </c>
    </row>
    <row r="26" ht="17" customHeight="1">
      <c r="A26" s="18" t="inlineStr">
        <is>
          <t>2023-11-06</t>
        </is>
      </c>
      <c r="B26" s="19" t="n">
        <v>8700</v>
      </c>
      <c r="C26" s="19" t="n">
        <v>5901</v>
      </c>
      <c r="D26" s="20" t="n"/>
      <c r="E26" s="21">
        <f>C26-Lambda*B26-OtherCost</f>
        <v/>
      </c>
      <c r="F26" s="22">
        <f>C26/B26</f>
        <v/>
      </c>
      <c r="G26" s="23">
        <f>B26/B25-1</f>
        <v/>
      </c>
      <c r="H26" s="23">
        <f>C26/C25-1</f>
        <v/>
      </c>
    </row>
    <row r="27" ht="17" customHeight="1">
      <c r="A27" s="13" t="inlineStr">
        <is>
          <t>2023-11-07</t>
        </is>
      </c>
      <c r="B27" s="14" t="n">
        <v>8700</v>
      </c>
      <c r="C27" s="14" t="n">
        <v>5888</v>
      </c>
      <c r="D27" s="15" t="n"/>
      <c r="E27" s="16">
        <f>C27-Lambda*B27-OtherCost</f>
        <v/>
      </c>
      <c r="F27" s="17">
        <f>C27/B27</f>
        <v/>
      </c>
      <c r="G27" s="24">
        <f>B27/B26-1</f>
        <v/>
      </c>
      <c r="H27" s="24">
        <f>C27/C26-1</f>
        <v/>
      </c>
    </row>
    <row r="28" ht="17" customHeight="1">
      <c r="A28" s="18" t="inlineStr">
        <is>
          <t>2023-11-08</t>
        </is>
      </c>
      <c r="B28" s="19" t="n">
        <v>8700</v>
      </c>
      <c r="C28" s="19" t="n">
        <v>5888</v>
      </c>
      <c r="D28" s="20" t="n"/>
      <c r="E28" s="21">
        <f>C28-Lambda*B28-OtherCost</f>
        <v/>
      </c>
      <c r="F28" s="22">
        <f>C28/B28</f>
        <v/>
      </c>
      <c r="G28" s="23">
        <f>B28/B27-1</f>
        <v/>
      </c>
      <c r="H28" s="23">
        <f>C28/C27-1</f>
        <v/>
      </c>
    </row>
    <row r="29" ht="17" customHeight="1">
      <c r="A29" s="13" t="inlineStr">
        <is>
          <t>2023-11-09</t>
        </is>
      </c>
      <c r="B29" s="14" t="n">
        <v>8700</v>
      </c>
      <c r="C29" s="14" t="n">
        <v>5893.5</v>
      </c>
      <c r="D29" s="15" t="n"/>
      <c r="E29" s="16">
        <f>C29-Lambda*B29-OtherCost</f>
        <v/>
      </c>
      <c r="F29" s="17">
        <f>C29/B29</f>
        <v/>
      </c>
      <c r="G29" s="24">
        <f>B29/B28-1</f>
        <v/>
      </c>
      <c r="H29" s="24">
        <f>C29/C28-1</f>
        <v/>
      </c>
    </row>
    <row r="30" ht="17" customHeight="1">
      <c r="A30" s="18" t="inlineStr">
        <is>
          <t>2023-11-12</t>
        </is>
      </c>
      <c r="B30" s="19" t="n">
        <v>8700</v>
      </c>
      <c r="C30" s="19" t="n">
        <v>5869.44</v>
      </c>
      <c r="D30" s="20" t="n"/>
      <c r="E30" s="21">
        <f>C30-Lambda*B30-OtherCost</f>
        <v/>
      </c>
      <c r="F30" s="22">
        <f>C30/B30</f>
        <v/>
      </c>
      <c r="G30" s="23">
        <f>B30/B29-1</f>
        <v/>
      </c>
      <c r="H30" s="23">
        <f>C30/C29-1</f>
        <v/>
      </c>
    </row>
    <row r="31" ht="17" customHeight="1">
      <c r="A31" s="13" t="inlineStr">
        <is>
          <t>2023-11-13</t>
        </is>
      </c>
      <c r="B31" s="14" t="n">
        <v>8700</v>
      </c>
      <c r="C31" s="14" t="n">
        <v>5909.44</v>
      </c>
      <c r="D31" s="15" t="n"/>
      <c r="E31" s="16">
        <f>C31-Lambda*B31-OtherCost</f>
        <v/>
      </c>
      <c r="F31" s="17">
        <f>C31/B31</f>
        <v/>
      </c>
      <c r="G31" s="24">
        <f>B31/B30-1</f>
        <v/>
      </c>
      <c r="H31" s="24">
        <f>C31/C30-1</f>
        <v/>
      </c>
    </row>
    <row r="32" ht="17" customHeight="1">
      <c r="A32" s="18" t="inlineStr">
        <is>
          <t>2023-11-14</t>
        </is>
      </c>
      <c r="B32" s="19" t="n">
        <v>8700</v>
      </c>
      <c r="C32" s="19" t="n">
        <v>5937.22</v>
      </c>
      <c r="D32" s="20" t="n"/>
      <c r="E32" s="21">
        <f>C32-Lambda*B32-OtherCost</f>
        <v/>
      </c>
      <c r="F32" s="22">
        <f>C32/B32</f>
        <v/>
      </c>
      <c r="G32" s="23">
        <f>B32/B31-1</f>
        <v/>
      </c>
      <c r="H32" s="23">
        <f>C32/C31-1</f>
        <v/>
      </c>
    </row>
    <row r="33" ht="17" customHeight="1">
      <c r="A33" s="13" t="inlineStr">
        <is>
          <t>2023-11-15</t>
        </is>
      </c>
      <c r="B33" s="14" t="n">
        <v>8700</v>
      </c>
      <c r="C33" s="14" t="n">
        <v>6025</v>
      </c>
      <c r="D33" s="15" t="n"/>
      <c r="E33" s="16">
        <f>C33-Lambda*B33-OtherCost</f>
        <v/>
      </c>
      <c r="F33" s="17">
        <f>C33/B33</f>
        <v/>
      </c>
      <c r="G33" s="24">
        <f>B33/B32-1</f>
        <v/>
      </c>
      <c r="H33" s="24">
        <f>C33/C32-1</f>
        <v/>
      </c>
    </row>
    <row r="34" ht="17" customHeight="1">
      <c r="A34" s="18" t="inlineStr">
        <is>
          <t>2023-11-16</t>
        </is>
      </c>
      <c r="B34" s="19" t="n">
        <v>8700</v>
      </c>
      <c r="C34" s="19" t="n">
        <v>6026.5</v>
      </c>
      <c r="D34" s="20" t="n"/>
      <c r="E34" s="21">
        <f>C34-Lambda*B34-OtherCost</f>
        <v/>
      </c>
      <c r="F34" s="22">
        <f>C34/B34</f>
        <v/>
      </c>
      <c r="G34" s="23">
        <f>B34/B33-1</f>
        <v/>
      </c>
      <c r="H34" s="23">
        <f>C34/C33-1</f>
        <v/>
      </c>
    </row>
    <row r="35" ht="17" customHeight="1">
      <c r="A35" s="13" t="inlineStr">
        <is>
          <t>2023-11-19</t>
        </is>
      </c>
      <c r="B35" s="14" t="n">
        <v>8700</v>
      </c>
      <c r="C35" s="14" t="n">
        <v>6049</v>
      </c>
      <c r="D35" s="15" t="n"/>
      <c r="E35" s="16">
        <f>C35-Lambda*B35-OtherCost</f>
        <v/>
      </c>
      <c r="F35" s="17">
        <f>C35/B35</f>
        <v/>
      </c>
      <c r="G35" s="24">
        <f>B35/B34-1</f>
        <v/>
      </c>
      <c r="H35" s="24">
        <f>C35/C34-1</f>
        <v/>
      </c>
    </row>
    <row r="36" ht="17" customHeight="1">
      <c r="A36" s="18" t="inlineStr">
        <is>
          <t>2023-11-20</t>
        </is>
      </c>
      <c r="B36" s="19" t="n">
        <v>8700</v>
      </c>
      <c r="C36" s="19" t="n">
        <v>5879.7</v>
      </c>
      <c r="D36" s="20" t="n"/>
      <c r="E36" s="21">
        <f>C36-Lambda*B36-OtherCost</f>
        <v/>
      </c>
      <c r="F36" s="22">
        <f>C36/B36</f>
        <v/>
      </c>
      <c r="G36" s="23">
        <f>B36/B35-1</f>
        <v/>
      </c>
      <c r="H36" s="23">
        <f>C36/C35-1</f>
        <v/>
      </c>
    </row>
    <row r="37" ht="17" customHeight="1">
      <c r="A37" s="13" t="inlineStr">
        <is>
          <t>2023-11-21</t>
        </is>
      </c>
      <c r="B37" s="14" t="n">
        <v>8700</v>
      </c>
      <c r="C37" s="14" t="n">
        <v>5879.7</v>
      </c>
      <c r="D37" s="15" t="n"/>
      <c r="E37" s="16">
        <f>C37-Lambda*B37-OtherCost</f>
        <v/>
      </c>
      <c r="F37" s="17">
        <f>C37/B37</f>
        <v/>
      </c>
      <c r="G37" s="24">
        <f>B37/B36-1</f>
        <v/>
      </c>
      <c r="H37" s="24">
        <f>C37/C36-1</f>
        <v/>
      </c>
    </row>
    <row r="38" ht="17" customHeight="1">
      <c r="A38" s="18" t="inlineStr">
        <is>
          <t>2023-11-22</t>
        </is>
      </c>
      <c r="B38" s="19" t="n">
        <v>8700</v>
      </c>
      <c r="C38" s="19" t="n">
        <v>5825.7</v>
      </c>
      <c r="D38" s="20" t="n"/>
      <c r="E38" s="21">
        <f>C38-Lambda*B38-OtherCost</f>
        <v/>
      </c>
      <c r="F38" s="22">
        <f>C38/B38</f>
        <v/>
      </c>
      <c r="G38" s="23">
        <f>B38/B37-1</f>
        <v/>
      </c>
      <c r="H38" s="23">
        <f>C38/C37-1</f>
        <v/>
      </c>
    </row>
    <row r="39" ht="17" customHeight="1">
      <c r="A39" s="13" t="inlineStr">
        <is>
          <t>2023-11-23</t>
        </is>
      </c>
      <c r="B39" s="14" t="n">
        <v>8700</v>
      </c>
      <c r="C39" s="14" t="n">
        <v>5825.7</v>
      </c>
      <c r="D39" s="15" t="n"/>
      <c r="E39" s="16">
        <f>C39-Lambda*B39-OtherCost</f>
        <v/>
      </c>
      <c r="F39" s="17">
        <f>C39/B39</f>
        <v/>
      </c>
      <c r="G39" s="24">
        <f>B39/B38-1</f>
        <v/>
      </c>
      <c r="H39" s="24">
        <f>C39/C38-1</f>
        <v/>
      </c>
    </row>
    <row r="40" ht="17" customHeight="1">
      <c r="A40" s="18" t="inlineStr">
        <is>
          <t>2023-11-26</t>
        </is>
      </c>
      <c r="B40" s="19" t="n">
        <v>8700</v>
      </c>
      <c r="C40" s="19" t="n">
        <v>5775</v>
      </c>
      <c r="D40" s="20" t="n"/>
      <c r="E40" s="21">
        <f>C40-Lambda*B40-OtherCost</f>
        <v/>
      </c>
      <c r="F40" s="22">
        <f>C40/B40</f>
        <v/>
      </c>
      <c r="G40" s="23">
        <f>B40/B39-1</f>
        <v/>
      </c>
      <c r="H40" s="23">
        <f>C40/C39-1</f>
        <v/>
      </c>
    </row>
    <row r="41" ht="17" customHeight="1">
      <c r="A41" s="13" t="inlineStr">
        <is>
          <t>2023-11-27</t>
        </is>
      </c>
      <c r="B41" s="14" t="n">
        <v>8700</v>
      </c>
      <c r="C41" s="14" t="n">
        <v>5692</v>
      </c>
      <c r="D41" s="15" t="n"/>
      <c r="E41" s="16">
        <f>C41-Lambda*B41-OtherCost</f>
        <v/>
      </c>
      <c r="F41" s="17">
        <f>C41/B41</f>
        <v/>
      </c>
      <c r="G41" s="24">
        <f>B41/B40-1</f>
        <v/>
      </c>
      <c r="H41" s="24">
        <f>C41/C40-1</f>
        <v/>
      </c>
    </row>
    <row r="42" ht="17" customHeight="1">
      <c r="A42" s="18" t="inlineStr">
        <is>
          <t>2023-11-28</t>
        </is>
      </c>
      <c r="B42" s="19" t="n">
        <v>8300</v>
      </c>
      <c r="C42" s="19" t="n">
        <v>5675</v>
      </c>
      <c r="D42" s="20" t="n"/>
      <c r="E42" s="21">
        <f>C42-Lambda*B42-OtherCost</f>
        <v/>
      </c>
      <c r="F42" s="22">
        <f>C42/B42</f>
        <v/>
      </c>
      <c r="G42" s="23">
        <f>B42/B41-1</f>
        <v/>
      </c>
      <c r="H42" s="23">
        <f>C42/C41-1</f>
        <v/>
      </c>
    </row>
    <row r="43" ht="17" customHeight="1">
      <c r="A43" s="13" t="inlineStr">
        <is>
          <t>2023-11-29</t>
        </is>
      </c>
      <c r="B43" s="14" t="n">
        <v>8300</v>
      </c>
      <c r="C43" s="14" t="n">
        <v>5675</v>
      </c>
      <c r="D43" s="15" t="n"/>
      <c r="E43" s="16">
        <f>C43-Lambda*B43-OtherCost</f>
        <v/>
      </c>
      <c r="F43" s="17">
        <f>C43/B43</f>
        <v/>
      </c>
      <c r="G43" s="24">
        <f>B43/B42-1</f>
        <v/>
      </c>
      <c r="H43" s="24">
        <f>C43/C42-1</f>
        <v/>
      </c>
    </row>
    <row r="44" ht="17" customHeight="1">
      <c r="A44" s="18" t="inlineStr">
        <is>
          <t>2023-11-30</t>
        </is>
      </c>
      <c r="B44" s="19" t="n">
        <v>8300</v>
      </c>
      <c r="C44" s="19" t="n">
        <v>5675</v>
      </c>
      <c r="D44" s="20" t="n"/>
      <c r="E44" s="21">
        <f>C44-Lambda*B44-OtherCost</f>
        <v/>
      </c>
      <c r="F44" s="22">
        <f>C44/B44</f>
        <v/>
      </c>
      <c r="G44" s="23">
        <f>B44/B43-1</f>
        <v/>
      </c>
      <c r="H44" s="23">
        <f>C44/C43-1</f>
        <v/>
      </c>
    </row>
    <row r="45" ht="17" customHeight="1">
      <c r="A45" s="13" t="inlineStr">
        <is>
          <t>2023-12-03</t>
        </is>
      </c>
      <c r="B45" s="14" t="n">
        <v>8300</v>
      </c>
      <c r="C45" s="14" t="n">
        <v>5681.5</v>
      </c>
      <c r="D45" s="15" t="n"/>
      <c r="E45" s="16">
        <f>C45-Lambda*B45-OtherCost</f>
        <v/>
      </c>
      <c r="F45" s="17">
        <f>C45/B45</f>
        <v/>
      </c>
      <c r="G45" s="24">
        <f>B45/B44-1</f>
        <v/>
      </c>
      <c r="H45" s="24">
        <f>C45/C44-1</f>
        <v/>
      </c>
    </row>
    <row r="46" ht="17" customHeight="1">
      <c r="A46" s="18" t="inlineStr">
        <is>
          <t>2023-12-04</t>
        </is>
      </c>
      <c r="B46" s="19" t="n">
        <v>8300</v>
      </c>
      <c r="C46" s="19" t="n">
        <v>5681.5</v>
      </c>
      <c r="D46" s="20" t="n"/>
      <c r="E46" s="21">
        <f>C46-Lambda*B46-OtherCost</f>
        <v/>
      </c>
      <c r="F46" s="22">
        <f>C46/B46</f>
        <v/>
      </c>
      <c r="G46" s="23">
        <f>B46/B45-1</f>
        <v/>
      </c>
      <c r="H46" s="23">
        <f>C46/C45-1</f>
        <v/>
      </c>
    </row>
    <row r="47" ht="17" customHeight="1">
      <c r="A47" s="13" t="inlineStr">
        <is>
          <t>2023-12-05</t>
        </is>
      </c>
      <c r="B47" s="14" t="n">
        <v>8300</v>
      </c>
      <c r="C47" s="14" t="n">
        <v>5681.5</v>
      </c>
      <c r="D47" s="15" t="n"/>
      <c r="E47" s="16">
        <f>C47-Lambda*B47-OtherCost</f>
        <v/>
      </c>
      <c r="F47" s="17">
        <f>C47/B47</f>
        <v/>
      </c>
      <c r="G47" s="24">
        <f>B47/B46-1</f>
        <v/>
      </c>
      <c r="H47" s="24">
        <f>C47/C46-1</f>
        <v/>
      </c>
    </row>
    <row r="48" ht="17" customHeight="1">
      <c r="A48" s="18" t="inlineStr">
        <is>
          <t>2023-12-06</t>
        </is>
      </c>
      <c r="B48" s="19" t="n">
        <v>8300</v>
      </c>
      <c r="C48" s="19" t="n">
        <v>5694</v>
      </c>
      <c r="D48" s="20" t="n"/>
      <c r="E48" s="21">
        <f>C48-Lambda*B48-OtherCost</f>
        <v/>
      </c>
      <c r="F48" s="22">
        <f>C48/B48</f>
        <v/>
      </c>
      <c r="G48" s="23">
        <f>B48/B47-1</f>
        <v/>
      </c>
      <c r="H48" s="23">
        <f>C48/C47-1</f>
        <v/>
      </c>
    </row>
    <row r="49" ht="17" customHeight="1">
      <c r="A49" s="13" t="inlineStr">
        <is>
          <t>2023-12-07</t>
        </is>
      </c>
      <c r="B49" s="14" t="n">
        <v>8300</v>
      </c>
      <c r="C49" s="14" t="n">
        <v>5745</v>
      </c>
      <c r="D49" s="15" t="n"/>
      <c r="E49" s="16">
        <f>C49-Lambda*B49-OtherCost</f>
        <v/>
      </c>
      <c r="F49" s="17">
        <f>C49/B49</f>
        <v/>
      </c>
      <c r="G49" s="24">
        <f>B49/B48-1</f>
        <v/>
      </c>
      <c r="H49" s="24">
        <f>C49/C48-1</f>
        <v/>
      </c>
    </row>
    <row r="50" ht="17" customHeight="1">
      <c r="A50" s="18" t="inlineStr">
        <is>
          <t>2023-12-10</t>
        </is>
      </c>
      <c r="B50" s="19" t="n">
        <v>8300</v>
      </c>
      <c r="C50" s="19" t="n">
        <v>5728.5</v>
      </c>
      <c r="D50" s="20" t="n"/>
      <c r="E50" s="21">
        <f>C50-Lambda*B50-OtherCost</f>
        <v/>
      </c>
      <c r="F50" s="22">
        <f>C50/B50</f>
        <v/>
      </c>
      <c r="G50" s="23">
        <f>B50/B49-1</f>
        <v/>
      </c>
      <c r="H50" s="23">
        <f>C50/C49-1</f>
        <v/>
      </c>
    </row>
    <row r="51" ht="17" customHeight="1">
      <c r="A51" s="13" t="inlineStr">
        <is>
          <t>2023-12-11</t>
        </is>
      </c>
      <c r="B51" s="14" t="n">
        <v>8300</v>
      </c>
      <c r="C51" s="14" t="n">
        <v>5728.5</v>
      </c>
      <c r="D51" s="15" t="n"/>
      <c r="E51" s="16">
        <f>C51-Lambda*B51-OtherCost</f>
        <v/>
      </c>
      <c r="F51" s="17">
        <f>C51/B51</f>
        <v/>
      </c>
      <c r="G51" s="24">
        <f>B51/B50-1</f>
        <v/>
      </c>
      <c r="H51" s="24">
        <f>C51/C50-1</f>
        <v/>
      </c>
    </row>
    <row r="52" ht="17" customHeight="1">
      <c r="A52" s="18" t="inlineStr">
        <is>
          <t>2023-12-12</t>
        </is>
      </c>
      <c r="B52" s="19" t="n">
        <v>8300</v>
      </c>
      <c r="C52" s="19" t="n">
        <v>5657.5</v>
      </c>
      <c r="D52" s="20" t="n"/>
      <c r="E52" s="21">
        <f>C52-Lambda*B52-OtherCost</f>
        <v/>
      </c>
      <c r="F52" s="22">
        <f>C52/B52</f>
        <v/>
      </c>
      <c r="G52" s="23">
        <f>B52/B51-1</f>
        <v/>
      </c>
      <c r="H52" s="23">
        <f>C52/C51-1</f>
        <v/>
      </c>
    </row>
    <row r="53" ht="17" customHeight="1">
      <c r="A53" s="13" t="inlineStr">
        <is>
          <t>2023-12-13</t>
        </is>
      </c>
      <c r="B53" s="14" t="n">
        <v>8300</v>
      </c>
      <c r="C53" s="14" t="n">
        <v>5657.5</v>
      </c>
      <c r="D53" s="15" t="n"/>
      <c r="E53" s="16">
        <f>C53-Lambda*B53-OtherCost</f>
        <v/>
      </c>
      <c r="F53" s="17">
        <f>C53/B53</f>
        <v/>
      </c>
      <c r="G53" s="24">
        <f>B53/B52-1</f>
        <v/>
      </c>
      <c r="H53" s="24">
        <f>C53/C52-1</f>
        <v/>
      </c>
    </row>
    <row r="54" ht="17" customHeight="1">
      <c r="A54" s="18" t="inlineStr">
        <is>
          <t>2023-12-14</t>
        </is>
      </c>
      <c r="B54" s="19" t="n">
        <v>8300</v>
      </c>
      <c r="C54" s="19" t="n">
        <v>5666.5</v>
      </c>
      <c r="D54" s="20" t="n"/>
      <c r="E54" s="21">
        <f>C54-Lambda*B54-OtherCost</f>
        <v/>
      </c>
      <c r="F54" s="22">
        <f>C54/B54</f>
        <v/>
      </c>
      <c r="G54" s="23">
        <f>B54/B53-1</f>
        <v/>
      </c>
      <c r="H54" s="23">
        <f>C54/C53-1</f>
        <v/>
      </c>
    </row>
    <row r="55" ht="17" customHeight="1">
      <c r="A55" s="13" t="inlineStr">
        <is>
          <t>2023-12-17</t>
        </is>
      </c>
      <c r="B55" s="14" t="n">
        <v>8300</v>
      </c>
      <c r="C55" s="14" t="n">
        <v>5712.5</v>
      </c>
      <c r="D55" s="15" t="n"/>
      <c r="E55" s="16">
        <f>C55-Lambda*B55-OtherCost</f>
        <v/>
      </c>
      <c r="F55" s="17">
        <f>C55/B55</f>
        <v/>
      </c>
      <c r="G55" s="24">
        <f>B55/B54-1</f>
        <v/>
      </c>
      <c r="H55" s="24">
        <f>C55/C54-1</f>
        <v/>
      </c>
    </row>
    <row r="56" ht="17" customHeight="1">
      <c r="A56" s="18" t="inlineStr">
        <is>
          <t>2023-12-18</t>
        </is>
      </c>
      <c r="B56" s="19" t="n">
        <v>8300</v>
      </c>
      <c r="C56" s="19" t="n">
        <v>5727.5</v>
      </c>
      <c r="D56" s="20" t="n"/>
      <c r="E56" s="21">
        <f>C56-Lambda*B56-OtherCost</f>
        <v/>
      </c>
      <c r="F56" s="22">
        <f>C56/B56</f>
        <v/>
      </c>
      <c r="G56" s="23">
        <f>B56/B55-1</f>
        <v/>
      </c>
      <c r="H56" s="23">
        <f>C56/C55-1</f>
        <v/>
      </c>
    </row>
    <row r="57" ht="17" customHeight="1">
      <c r="A57" s="13" t="inlineStr">
        <is>
          <t>2023-12-19</t>
        </is>
      </c>
      <c r="B57" s="14" t="n">
        <v>8300</v>
      </c>
      <c r="C57" s="14" t="n">
        <v>5727.5</v>
      </c>
      <c r="D57" s="15" t="n"/>
      <c r="E57" s="16">
        <f>C57-Lambda*B57-OtherCost</f>
        <v/>
      </c>
      <c r="F57" s="17">
        <f>C57/B57</f>
        <v/>
      </c>
      <c r="G57" s="24">
        <f>B57/B56-1</f>
        <v/>
      </c>
      <c r="H57" s="24">
        <f>C57/C56-1</f>
        <v/>
      </c>
    </row>
    <row r="58" ht="17" customHeight="1">
      <c r="A58" s="18" t="inlineStr">
        <is>
          <t>2023-12-20</t>
        </is>
      </c>
      <c r="B58" s="19" t="n">
        <v>8300</v>
      </c>
      <c r="C58" s="19" t="n">
        <v>5727.5</v>
      </c>
      <c r="D58" s="20" t="n"/>
      <c r="E58" s="21">
        <f>C58-Lambda*B58-OtherCost</f>
        <v/>
      </c>
      <c r="F58" s="22">
        <f>C58/B58</f>
        <v/>
      </c>
      <c r="G58" s="23">
        <f>B58/B57-1</f>
        <v/>
      </c>
      <c r="H58" s="23">
        <f>C58/C57-1</f>
        <v/>
      </c>
    </row>
    <row r="59" ht="17" customHeight="1">
      <c r="A59" s="13" t="inlineStr">
        <is>
          <t>2023-12-21</t>
        </is>
      </c>
      <c r="B59" s="14" t="n">
        <v>8300</v>
      </c>
      <c r="C59" s="14" t="n">
        <v>5874</v>
      </c>
      <c r="D59" s="15" t="n"/>
      <c r="E59" s="16">
        <f>C59-Lambda*B59-OtherCost</f>
        <v/>
      </c>
      <c r="F59" s="17">
        <f>C59/B59</f>
        <v/>
      </c>
      <c r="G59" s="24">
        <f>B59/B58-1</f>
        <v/>
      </c>
      <c r="H59" s="24">
        <f>C59/C58-1</f>
        <v/>
      </c>
    </row>
    <row r="60" ht="17" customHeight="1">
      <c r="A60" s="18" t="inlineStr">
        <is>
          <t>2023-12-24</t>
        </is>
      </c>
      <c r="B60" s="19" t="n">
        <v>8300</v>
      </c>
      <c r="C60" s="19" t="n">
        <v>5874</v>
      </c>
      <c r="D60" s="20" t="n"/>
      <c r="E60" s="21">
        <f>C60-Lambda*B60-OtherCost</f>
        <v/>
      </c>
      <c r="F60" s="22">
        <f>C60/B60</f>
        <v/>
      </c>
      <c r="G60" s="23">
        <f>B60/B59-1</f>
        <v/>
      </c>
      <c r="H60" s="23">
        <f>C60/C59-1</f>
        <v/>
      </c>
    </row>
    <row r="61" ht="17" customHeight="1">
      <c r="A61" s="13" t="inlineStr">
        <is>
          <t>2023-12-25</t>
        </is>
      </c>
      <c r="B61" s="14" t="n">
        <v>8300</v>
      </c>
      <c r="C61" s="14" t="n">
        <v>5900</v>
      </c>
      <c r="D61" s="15" t="n"/>
      <c r="E61" s="16">
        <f>C61-Lambda*B61-OtherCost</f>
        <v/>
      </c>
      <c r="F61" s="17">
        <f>C61/B61</f>
        <v/>
      </c>
      <c r="G61" s="24">
        <f>B61/B60-1</f>
        <v/>
      </c>
      <c r="H61" s="24">
        <f>C61/C60-1</f>
        <v/>
      </c>
    </row>
    <row r="62" ht="17" customHeight="1">
      <c r="A62" s="18" t="inlineStr">
        <is>
          <t>2023-12-26</t>
        </is>
      </c>
      <c r="B62" s="19" t="n">
        <v>8300</v>
      </c>
      <c r="C62" s="19" t="n">
        <v>5900</v>
      </c>
      <c r="D62" s="20" t="n"/>
      <c r="E62" s="21">
        <f>C62-Lambda*B62-OtherCost</f>
        <v/>
      </c>
      <c r="F62" s="22">
        <f>C62/B62</f>
        <v/>
      </c>
      <c r="G62" s="23">
        <f>B62/B61-1</f>
        <v/>
      </c>
      <c r="H62" s="23">
        <f>C62/C61-1</f>
        <v/>
      </c>
    </row>
    <row r="63" ht="17" customHeight="1">
      <c r="A63" s="13" t="inlineStr">
        <is>
          <t>2023-12-27</t>
        </is>
      </c>
      <c r="B63" s="14" t="n">
        <v>8300</v>
      </c>
      <c r="C63" s="14" t="n">
        <v>5953</v>
      </c>
      <c r="D63" s="15" t="n"/>
      <c r="E63" s="16">
        <f>C63-Lambda*B63-OtherCost</f>
        <v/>
      </c>
      <c r="F63" s="17">
        <f>C63/B63</f>
        <v/>
      </c>
      <c r="G63" s="24">
        <f>B63/B62-1</f>
        <v/>
      </c>
      <c r="H63" s="24">
        <f>C63/C62-1</f>
        <v/>
      </c>
    </row>
    <row r="64" ht="17" customHeight="1">
      <c r="A64" s="18" t="inlineStr">
        <is>
          <t>2023-12-28</t>
        </is>
      </c>
      <c r="B64" s="19" t="n">
        <v>8600</v>
      </c>
      <c r="C64" s="19" t="n">
        <v>5930</v>
      </c>
      <c r="D64" s="20" t="n"/>
      <c r="E64" s="21">
        <f>C64-Lambda*B64-OtherCost</f>
        <v/>
      </c>
      <c r="F64" s="22">
        <f>C64/B64</f>
        <v/>
      </c>
      <c r="G64" s="23">
        <f>B64/B63-1</f>
        <v/>
      </c>
      <c r="H64" s="23">
        <f>C64/C63-1</f>
        <v/>
      </c>
    </row>
    <row r="65" ht="17" customHeight="1">
      <c r="A65" s="13" t="inlineStr">
        <is>
          <t>2023-12-31</t>
        </is>
      </c>
      <c r="B65" s="14" t="n">
        <v>8600</v>
      </c>
      <c r="C65" s="14" t="n">
        <v>5930</v>
      </c>
      <c r="D65" s="15" t="n"/>
      <c r="E65" s="16">
        <f>C65-Lambda*B65-OtherCost</f>
        <v/>
      </c>
      <c r="F65" s="17">
        <f>C65/B65</f>
        <v/>
      </c>
      <c r="G65" s="24">
        <f>B65/B64-1</f>
        <v/>
      </c>
      <c r="H65" s="24">
        <f>C65/C64-1</f>
        <v/>
      </c>
    </row>
    <row r="66" ht="17" customHeight="1">
      <c r="A66" s="18" t="inlineStr">
        <is>
          <t>2024-01-01</t>
        </is>
      </c>
      <c r="B66" s="19" t="n">
        <v>8600</v>
      </c>
      <c r="C66" s="19" t="n">
        <v>5942.5</v>
      </c>
      <c r="D66" s="20" t="n"/>
      <c r="E66" s="21">
        <f>C66-Lambda*B66-OtherCost</f>
        <v/>
      </c>
      <c r="F66" s="22">
        <f>C66/B66</f>
        <v/>
      </c>
      <c r="G66" s="23">
        <f>B66/B65-1</f>
        <v/>
      </c>
      <c r="H66" s="23">
        <f>C66/C65-1</f>
        <v/>
      </c>
    </row>
    <row r="67" ht="17" customHeight="1">
      <c r="A67" s="13" t="inlineStr">
        <is>
          <t>2024-01-02</t>
        </is>
      </c>
      <c r="B67" s="14" t="n">
        <v>8600</v>
      </c>
      <c r="C67" s="14" t="n">
        <v>5896</v>
      </c>
      <c r="D67" s="15" t="n"/>
      <c r="E67" s="16">
        <f>C67-Lambda*B67-OtherCost</f>
        <v/>
      </c>
      <c r="F67" s="17">
        <f>C67/B67</f>
        <v/>
      </c>
      <c r="G67" s="24">
        <f>B67/B66-1</f>
        <v/>
      </c>
      <c r="H67" s="24">
        <f>C67/C66-1</f>
        <v/>
      </c>
    </row>
    <row r="68" ht="17" customHeight="1">
      <c r="A68" s="18" t="inlineStr">
        <is>
          <t>2024-01-03</t>
        </is>
      </c>
      <c r="B68" s="19" t="n">
        <v>8600</v>
      </c>
      <c r="C68" s="19" t="n">
        <v>5896</v>
      </c>
      <c r="D68" s="20" t="n"/>
      <c r="E68" s="21">
        <f>C68-Lambda*B68-OtherCost</f>
        <v/>
      </c>
      <c r="F68" s="22">
        <f>C68/B68</f>
        <v/>
      </c>
      <c r="G68" s="23">
        <f>B68/B67-1</f>
        <v/>
      </c>
      <c r="H68" s="23">
        <f>C68/C67-1</f>
        <v/>
      </c>
    </row>
    <row r="69" ht="17" customHeight="1">
      <c r="A69" s="13" t="inlineStr">
        <is>
          <t>2024-01-04</t>
        </is>
      </c>
      <c r="B69" s="14" t="n">
        <v>8600</v>
      </c>
      <c r="C69" s="14" t="n">
        <v>5893.5</v>
      </c>
      <c r="D69" s="15" t="n"/>
      <c r="E69" s="16">
        <f>C69-Lambda*B69-OtherCost</f>
        <v/>
      </c>
      <c r="F69" s="17">
        <f>C69/B69</f>
        <v/>
      </c>
      <c r="G69" s="24">
        <f>B69/B68-1</f>
        <v/>
      </c>
      <c r="H69" s="24">
        <f>C69/C68-1</f>
        <v/>
      </c>
    </row>
    <row r="70" ht="17" customHeight="1">
      <c r="A70" s="18" t="inlineStr">
        <is>
          <t>2024-01-07</t>
        </is>
      </c>
      <c r="B70" s="19" t="n">
        <v>8600</v>
      </c>
      <c r="C70" s="19" t="n">
        <v>5893.5</v>
      </c>
      <c r="D70" s="20" t="n"/>
      <c r="E70" s="21">
        <f>C70-Lambda*B70-OtherCost</f>
        <v/>
      </c>
      <c r="F70" s="22">
        <f>C70/B70</f>
        <v/>
      </c>
      <c r="G70" s="23">
        <f>B70/B69-1</f>
        <v/>
      </c>
      <c r="H70" s="23">
        <f>C70/C69-1</f>
        <v/>
      </c>
    </row>
    <row r="71" ht="17" customHeight="1">
      <c r="A71" s="13" t="inlineStr">
        <is>
          <t>2024-01-08</t>
        </is>
      </c>
      <c r="B71" s="14" t="n">
        <v>8600</v>
      </c>
      <c r="C71" s="14" t="n">
        <v>5766</v>
      </c>
      <c r="D71" s="15" t="n"/>
      <c r="E71" s="16">
        <f>C71-Lambda*B71-OtherCost</f>
        <v/>
      </c>
      <c r="F71" s="17">
        <f>C71/B71</f>
        <v/>
      </c>
      <c r="G71" s="24">
        <f>B71/B70-1</f>
        <v/>
      </c>
      <c r="H71" s="24">
        <f>C71/C70-1</f>
        <v/>
      </c>
    </row>
    <row r="72" ht="17" customHeight="1">
      <c r="A72" s="18" t="inlineStr">
        <is>
          <t>2024-01-09</t>
        </is>
      </c>
      <c r="B72" s="19" t="n">
        <v>8600</v>
      </c>
      <c r="C72" s="19" t="n">
        <v>5723.5</v>
      </c>
      <c r="D72" s="20" t="n"/>
      <c r="E72" s="21">
        <f>C72-Lambda*B72-OtherCost</f>
        <v/>
      </c>
      <c r="F72" s="22">
        <f>C72/B72</f>
        <v/>
      </c>
      <c r="G72" s="23">
        <f>B72/B71-1</f>
        <v/>
      </c>
      <c r="H72" s="23">
        <f>C72/C71-1</f>
        <v/>
      </c>
    </row>
    <row r="73" ht="17" customHeight="1">
      <c r="A73" s="13" t="inlineStr">
        <is>
          <t>2024-01-10</t>
        </is>
      </c>
      <c r="B73" s="14" t="n">
        <v>8600</v>
      </c>
      <c r="C73" s="14" t="n">
        <v>5718</v>
      </c>
      <c r="D73" s="15" t="n"/>
      <c r="E73" s="16">
        <f>C73-Lambda*B73-OtherCost</f>
        <v/>
      </c>
      <c r="F73" s="17">
        <f>C73/B73</f>
        <v/>
      </c>
      <c r="G73" s="24">
        <f>B73/B72-1</f>
        <v/>
      </c>
      <c r="H73" s="24">
        <f>C73/C72-1</f>
        <v/>
      </c>
    </row>
    <row r="74" ht="17" customHeight="1">
      <c r="A74" s="18" t="inlineStr">
        <is>
          <t>2024-01-11</t>
        </is>
      </c>
      <c r="B74" s="19" t="n">
        <v>8600</v>
      </c>
      <c r="C74" s="19" t="n">
        <v>5731</v>
      </c>
      <c r="D74" s="20" t="n"/>
      <c r="E74" s="21">
        <f>C74-Lambda*B74-OtherCost</f>
        <v/>
      </c>
      <c r="F74" s="22">
        <f>C74/B74</f>
        <v/>
      </c>
      <c r="G74" s="23">
        <f>B74/B73-1</f>
        <v/>
      </c>
      <c r="H74" s="23">
        <f>C74/C73-1</f>
        <v/>
      </c>
    </row>
    <row r="75" ht="17" customHeight="1">
      <c r="A75" s="13" t="inlineStr">
        <is>
          <t>2024-01-14</t>
        </is>
      </c>
      <c r="B75" s="14" t="n">
        <v>8600</v>
      </c>
      <c r="C75" s="14" t="n">
        <v>5753</v>
      </c>
      <c r="D75" s="15" t="n"/>
      <c r="E75" s="16">
        <f>C75-Lambda*B75-OtherCost</f>
        <v/>
      </c>
      <c r="F75" s="17">
        <f>C75/B75</f>
        <v/>
      </c>
      <c r="G75" s="24">
        <f>B75/B74-1</f>
        <v/>
      </c>
      <c r="H75" s="24">
        <f>C75/C74-1</f>
        <v/>
      </c>
    </row>
    <row r="76" ht="17" customHeight="1">
      <c r="A76" s="18" t="inlineStr">
        <is>
          <t>2024-01-15</t>
        </is>
      </c>
      <c r="B76" s="19" t="n">
        <v>8600</v>
      </c>
      <c r="C76" s="19" t="n">
        <v>5794</v>
      </c>
      <c r="D76" s="20" t="n"/>
      <c r="E76" s="21">
        <f>C76-Lambda*B76-OtherCost</f>
        <v/>
      </c>
      <c r="F76" s="22">
        <f>C76/B76</f>
        <v/>
      </c>
      <c r="G76" s="23">
        <f>B76/B75-1</f>
        <v/>
      </c>
      <c r="H76" s="23">
        <f>C76/C75-1</f>
        <v/>
      </c>
    </row>
    <row r="77" ht="17" customHeight="1">
      <c r="A77" s="13" t="inlineStr">
        <is>
          <t>2024-01-16</t>
        </is>
      </c>
      <c r="B77" s="14" t="n">
        <v>8600</v>
      </c>
      <c r="C77" s="14" t="n">
        <v>5796</v>
      </c>
      <c r="D77" s="15" t="n"/>
      <c r="E77" s="16">
        <f>C77-Lambda*B77-OtherCost</f>
        <v/>
      </c>
      <c r="F77" s="17">
        <f>C77/B77</f>
        <v/>
      </c>
      <c r="G77" s="24">
        <f>B77/B76-1</f>
        <v/>
      </c>
      <c r="H77" s="24">
        <f>C77/C76-1</f>
        <v/>
      </c>
    </row>
    <row r="78" ht="17" customHeight="1">
      <c r="A78" s="18" t="inlineStr">
        <is>
          <t>2024-01-17</t>
        </is>
      </c>
      <c r="B78" s="19" t="n">
        <v>8600</v>
      </c>
      <c r="C78" s="19" t="n">
        <v>5824</v>
      </c>
      <c r="D78" s="20" t="n"/>
      <c r="E78" s="21">
        <f>C78-Lambda*B78-OtherCost</f>
        <v/>
      </c>
      <c r="F78" s="22">
        <f>C78/B78</f>
        <v/>
      </c>
      <c r="G78" s="23">
        <f>B78/B77-1</f>
        <v/>
      </c>
      <c r="H78" s="23">
        <f>C78/C77-1</f>
        <v/>
      </c>
    </row>
    <row r="79" ht="17" customHeight="1">
      <c r="A79" s="13" t="inlineStr">
        <is>
          <t>2024-01-18</t>
        </is>
      </c>
      <c r="B79" s="14" t="n">
        <v>8600</v>
      </c>
      <c r="C79" s="14" t="n">
        <v>5854</v>
      </c>
      <c r="D79" s="15" t="n"/>
      <c r="E79" s="16">
        <f>C79-Lambda*B79-OtherCost</f>
        <v/>
      </c>
      <c r="F79" s="17">
        <f>C79/B79</f>
        <v/>
      </c>
      <c r="G79" s="24">
        <f>B79/B78-1</f>
        <v/>
      </c>
      <c r="H79" s="24">
        <f>C79/C78-1</f>
        <v/>
      </c>
    </row>
    <row r="80" ht="17" customHeight="1">
      <c r="A80" s="18" t="inlineStr">
        <is>
          <t>2024-01-21</t>
        </is>
      </c>
      <c r="B80" s="19" t="n">
        <v>8600</v>
      </c>
      <c r="C80" s="19" t="n">
        <v>5884.9</v>
      </c>
      <c r="D80" s="20" t="n"/>
      <c r="E80" s="21">
        <f>C80-Lambda*B80-OtherCost</f>
        <v/>
      </c>
      <c r="F80" s="22">
        <f>C80/B80</f>
        <v/>
      </c>
      <c r="G80" s="23">
        <f>B80/B79-1</f>
        <v/>
      </c>
      <c r="H80" s="23">
        <f>C80/C79-1</f>
        <v/>
      </c>
    </row>
    <row r="81" ht="17" customHeight="1">
      <c r="A81" s="13" t="inlineStr">
        <is>
          <t>2024-01-22</t>
        </is>
      </c>
      <c r="B81" s="14" t="n">
        <v>8600</v>
      </c>
      <c r="C81" s="14" t="n">
        <v>5902</v>
      </c>
      <c r="D81" s="15" t="n"/>
      <c r="E81" s="16">
        <f>C81-Lambda*B81-OtherCost</f>
        <v/>
      </c>
      <c r="F81" s="17">
        <f>C81/B81</f>
        <v/>
      </c>
      <c r="G81" s="24">
        <f>B81/B80-1</f>
        <v/>
      </c>
      <c r="H81" s="24">
        <f>C81/C80-1</f>
        <v/>
      </c>
    </row>
    <row r="82" ht="17" customHeight="1">
      <c r="A82" s="18" t="inlineStr">
        <is>
          <t>2024-01-23</t>
        </is>
      </c>
      <c r="B82" s="19" t="n">
        <v>8600</v>
      </c>
      <c r="C82" s="19" t="n">
        <v>5902</v>
      </c>
      <c r="D82" s="20" t="n"/>
      <c r="E82" s="21">
        <f>C82-Lambda*B82-OtherCost</f>
        <v/>
      </c>
      <c r="F82" s="22">
        <f>C82/B82</f>
        <v/>
      </c>
      <c r="G82" s="23">
        <f>B82/B81-1</f>
        <v/>
      </c>
      <c r="H82" s="23">
        <f>C82/C81-1</f>
        <v/>
      </c>
    </row>
    <row r="83" ht="17" customHeight="1">
      <c r="A83" s="13" t="inlineStr">
        <is>
          <t>2024-01-24</t>
        </is>
      </c>
      <c r="B83" s="14" t="n">
        <v>8600</v>
      </c>
      <c r="C83" s="14" t="n">
        <v>6007</v>
      </c>
      <c r="D83" s="15" t="n"/>
      <c r="E83" s="16">
        <f>C83-Lambda*B83-OtherCost</f>
        <v/>
      </c>
      <c r="F83" s="17">
        <f>C83/B83</f>
        <v/>
      </c>
      <c r="G83" s="24">
        <f>B83/B82-1</f>
        <v/>
      </c>
      <c r="H83" s="24">
        <f>C83/C82-1</f>
        <v/>
      </c>
    </row>
    <row r="84" ht="17" customHeight="1">
      <c r="A84" s="18" t="inlineStr">
        <is>
          <t>2024-01-25</t>
        </is>
      </c>
      <c r="B84" s="19" t="n">
        <v>8600</v>
      </c>
      <c r="C84" s="19" t="n">
        <v>6007</v>
      </c>
      <c r="D84" s="20" t="n"/>
      <c r="E84" s="21">
        <f>C84-Lambda*B84-OtherCost</f>
        <v/>
      </c>
      <c r="F84" s="22">
        <f>C84/B84</f>
        <v/>
      </c>
      <c r="G84" s="23">
        <f>B84/B83-1</f>
        <v/>
      </c>
      <c r="H84" s="23">
        <f>C84/C83-1</f>
        <v/>
      </c>
    </row>
    <row r="85" ht="17" customHeight="1">
      <c r="A85" s="13" t="inlineStr">
        <is>
          <t>2024-01-28</t>
        </is>
      </c>
      <c r="B85" s="14" t="n">
        <v>8600</v>
      </c>
      <c r="C85" s="14" t="n">
        <v>6007</v>
      </c>
      <c r="D85" s="15" t="n"/>
      <c r="E85" s="16">
        <f>C85-Lambda*B85-OtherCost</f>
        <v/>
      </c>
      <c r="F85" s="17">
        <f>C85/B85</f>
        <v/>
      </c>
      <c r="G85" s="24">
        <f>B85/B84-1</f>
        <v/>
      </c>
      <c r="H85" s="24">
        <f>C85/C84-1</f>
        <v/>
      </c>
    </row>
    <row r="86" ht="17" customHeight="1">
      <c r="A86" s="18" t="inlineStr">
        <is>
          <t>2024-01-29</t>
        </is>
      </c>
      <c r="B86" s="19" t="n">
        <v>8600</v>
      </c>
      <c r="C86" s="19" t="n">
        <v>6001</v>
      </c>
      <c r="D86" s="20" t="n"/>
      <c r="E86" s="21">
        <f>C86-Lambda*B86-OtherCost</f>
        <v/>
      </c>
      <c r="F86" s="22">
        <f>C86/B86</f>
        <v/>
      </c>
      <c r="G86" s="23">
        <f>B86/B85-1</f>
        <v/>
      </c>
      <c r="H86" s="23">
        <f>C86/C85-1</f>
        <v/>
      </c>
    </row>
    <row r="87" ht="17" customHeight="1">
      <c r="A87" s="13" t="inlineStr">
        <is>
          <t>2024-01-30</t>
        </is>
      </c>
      <c r="B87" s="14" t="n">
        <v>8685.709999999999</v>
      </c>
      <c r="C87" s="14" t="n">
        <v>5994</v>
      </c>
      <c r="D87" s="15" t="n"/>
      <c r="E87" s="16">
        <f>C87-Lambda*B87-OtherCost</f>
        <v/>
      </c>
      <c r="F87" s="17">
        <f>C87/B87</f>
        <v/>
      </c>
      <c r="G87" s="24">
        <f>B87/B86-1</f>
        <v/>
      </c>
      <c r="H87" s="24">
        <f>C87/C86-1</f>
        <v/>
      </c>
    </row>
    <row r="88" ht="17" customHeight="1">
      <c r="A88" s="18" t="inlineStr">
        <is>
          <t>2024-01-31</t>
        </is>
      </c>
      <c r="B88" s="19" t="n">
        <v>8685.709999999999</v>
      </c>
      <c r="C88" s="19" t="n">
        <v>5994</v>
      </c>
      <c r="D88" s="20" t="n"/>
      <c r="E88" s="21">
        <f>C88-Lambda*B88-OtherCost</f>
        <v/>
      </c>
      <c r="F88" s="22">
        <f>C88/B88</f>
        <v/>
      </c>
      <c r="G88" s="23">
        <f>B88/B87-1</f>
        <v/>
      </c>
      <c r="H88" s="23">
        <f>C88/C87-1</f>
        <v/>
      </c>
    </row>
    <row r="89" ht="17" customHeight="1">
      <c r="A89" s="13" t="inlineStr">
        <is>
          <t>2024-02-01</t>
        </is>
      </c>
      <c r="B89" s="14" t="n">
        <v>8685.709999999999</v>
      </c>
      <c r="C89" s="14" t="n">
        <v>5982.22</v>
      </c>
      <c r="D89" s="15" t="n"/>
      <c r="E89" s="16">
        <f>C89-Lambda*B89-OtherCost</f>
        <v/>
      </c>
      <c r="F89" s="17">
        <f>C89/B89</f>
        <v/>
      </c>
      <c r="G89" s="24">
        <f>B89/B88-1</f>
        <v/>
      </c>
      <c r="H89" s="24">
        <f>C89/C88-1</f>
        <v/>
      </c>
    </row>
    <row r="90" ht="17" customHeight="1">
      <c r="A90" s="18" t="inlineStr">
        <is>
          <t>2024-02-04</t>
        </is>
      </c>
      <c r="B90" s="19" t="n">
        <v>8685.709999999999</v>
      </c>
      <c r="C90" s="19" t="n">
        <v>5950</v>
      </c>
      <c r="D90" s="20" t="n"/>
      <c r="E90" s="21">
        <f>C90-Lambda*B90-OtherCost</f>
        <v/>
      </c>
      <c r="F90" s="22">
        <f>C90/B90</f>
        <v/>
      </c>
      <c r="G90" s="23">
        <f>B90/B89-1</f>
        <v/>
      </c>
      <c r="H90" s="23">
        <f>C90/C89-1</f>
        <v/>
      </c>
    </row>
    <row r="91" ht="17" customHeight="1">
      <c r="A91" s="13" t="inlineStr">
        <is>
          <t>2024-02-05</t>
        </is>
      </c>
      <c r="B91" s="14" t="n">
        <v>8685.709999999999</v>
      </c>
      <c r="C91" s="14" t="n">
        <v>5945</v>
      </c>
      <c r="D91" s="15" t="n"/>
      <c r="E91" s="16">
        <f>C91-Lambda*B91-OtherCost</f>
        <v/>
      </c>
      <c r="F91" s="17">
        <f>C91/B91</f>
        <v/>
      </c>
      <c r="G91" s="24">
        <f>B91/B90-1</f>
        <v/>
      </c>
      <c r="H91" s="24">
        <f>C91/C90-1</f>
        <v/>
      </c>
    </row>
    <row r="92" ht="17" customHeight="1">
      <c r="A92" s="18" t="inlineStr">
        <is>
          <t>2024-02-06</t>
        </is>
      </c>
      <c r="B92" s="19" t="n">
        <v>8685.709999999999</v>
      </c>
      <c r="C92" s="19" t="n">
        <v>5945</v>
      </c>
      <c r="D92" s="20" t="n"/>
      <c r="E92" s="21">
        <f>C92-Lambda*B92-OtherCost</f>
        <v/>
      </c>
      <c r="F92" s="22">
        <f>C92/B92</f>
        <v/>
      </c>
      <c r="G92" s="23">
        <f>B92/B91-1</f>
        <v/>
      </c>
      <c r="H92" s="23">
        <f>C92/C91-1</f>
        <v/>
      </c>
    </row>
    <row r="93" ht="17" customHeight="1">
      <c r="A93" s="13" t="inlineStr">
        <is>
          <t>2024-02-07</t>
        </is>
      </c>
      <c r="B93" s="14" t="n">
        <v>8685.709999999999</v>
      </c>
      <c r="C93" s="14" t="n">
        <v>5945</v>
      </c>
      <c r="D93" s="15" t="n"/>
      <c r="E93" s="16">
        <f>C93-Lambda*B93-OtherCost</f>
        <v/>
      </c>
      <c r="F93" s="17">
        <f>C93/B93</f>
        <v/>
      </c>
      <c r="G93" s="24">
        <f>B93/B92-1</f>
        <v/>
      </c>
      <c r="H93" s="24">
        <f>C93/C92-1</f>
        <v/>
      </c>
    </row>
    <row r="94" ht="17" customHeight="1">
      <c r="A94" s="18" t="inlineStr">
        <is>
          <t>2024-02-08</t>
        </is>
      </c>
      <c r="B94" s="19" t="n">
        <v>8685.709999999999</v>
      </c>
      <c r="C94" s="19" t="n">
        <v>5945</v>
      </c>
      <c r="D94" s="20" t="n"/>
      <c r="E94" s="21">
        <f>C94-Lambda*B94-OtherCost</f>
        <v/>
      </c>
      <c r="F94" s="22">
        <f>C94/B94</f>
        <v/>
      </c>
      <c r="G94" s="23">
        <f>B94/B93-1</f>
        <v/>
      </c>
      <c r="H94" s="23">
        <f>C94/C93-1</f>
        <v/>
      </c>
    </row>
    <row r="95" ht="17" customHeight="1">
      <c r="A95" s="13" t="inlineStr">
        <is>
          <t>2024-02-11</t>
        </is>
      </c>
      <c r="B95" s="14" t="n">
        <v>8685.709999999999</v>
      </c>
      <c r="C95" s="14" t="n">
        <v>5945</v>
      </c>
      <c r="D95" s="15" t="n"/>
      <c r="E95" s="16">
        <f>C95-Lambda*B95-OtherCost</f>
        <v/>
      </c>
      <c r="F95" s="17">
        <f>C95/B95</f>
        <v/>
      </c>
      <c r="G95" s="24">
        <f>B95/B94-1</f>
        <v/>
      </c>
      <c r="H95" s="24">
        <f>C95/C94-1</f>
        <v/>
      </c>
    </row>
    <row r="96" ht="17" customHeight="1">
      <c r="A96" s="18" t="inlineStr">
        <is>
          <t>2024-02-12</t>
        </is>
      </c>
      <c r="B96" s="19" t="n">
        <v>8685.709999999999</v>
      </c>
      <c r="C96" s="19" t="n">
        <v>5945</v>
      </c>
      <c r="D96" s="20" t="n"/>
      <c r="E96" s="21">
        <f>C96-Lambda*B96-OtherCost</f>
        <v/>
      </c>
      <c r="F96" s="22">
        <f>C96/B96</f>
        <v/>
      </c>
      <c r="G96" s="23">
        <f>B96/B95-1</f>
        <v/>
      </c>
      <c r="H96" s="23">
        <f>C96/C95-1</f>
        <v/>
      </c>
    </row>
    <row r="97" ht="17" customHeight="1">
      <c r="A97" s="13" t="inlineStr">
        <is>
          <t>2024-02-13</t>
        </is>
      </c>
      <c r="B97" s="14" t="n">
        <v>8685.709999999999</v>
      </c>
      <c r="C97" s="14" t="n">
        <v>5945</v>
      </c>
      <c r="D97" s="15" t="n"/>
      <c r="E97" s="16">
        <f>C97-Lambda*B97-OtherCost</f>
        <v/>
      </c>
      <c r="F97" s="17">
        <f>C97/B97</f>
        <v/>
      </c>
      <c r="G97" s="24">
        <f>B97/B96-1</f>
        <v/>
      </c>
      <c r="H97" s="24">
        <f>C97/C96-1</f>
        <v/>
      </c>
    </row>
    <row r="98" ht="17" customHeight="1">
      <c r="A98" s="18" t="inlineStr">
        <is>
          <t>2024-02-14</t>
        </is>
      </c>
      <c r="B98" s="19" t="n">
        <v>8685.709999999999</v>
      </c>
      <c r="C98" s="19" t="n">
        <v>5945</v>
      </c>
      <c r="D98" s="20" t="n"/>
      <c r="E98" s="21">
        <f>C98-Lambda*B98-OtherCost</f>
        <v/>
      </c>
      <c r="F98" s="22">
        <f>C98/B98</f>
        <v/>
      </c>
      <c r="G98" s="23">
        <f>B98/B97-1</f>
        <v/>
      </c>
      <c r="H98" s="23">
        <f>C98/C97-1</f>
        <v/>
      </c>
    </row>
    <row r="99" ht="17" customHeight="1">
      <c r="A99" s="13" t="inlineStr">
        <is>
          <t>2024-02-15</t>
        </is>
      </c>
      <c r="B99" s="14" t="n">
        <v>8685.709999999999</v>
      </c>
      <c r="C99" s="14" t="n">
        <v>5945</v>
      </c>
      <c r="D99" s="15" t="n"/>
      <c r="E99" s="16">
        <f>C99-Lambda*B99-OtherCost</f>
        <v/>
      </c>
      <c r="F99" s="17">
        <f>C99/B99</f>
        <v/>
      </c>
      <c r="G99" s="24">
        <f>B99/B98-1</f>
        <v/>
      </c>
      <c r="H99" s="24">
        <f>C99/C98-1</f>
        <v/>
      </c>
    </row>
    <row r="100" ht="17" customHeight="1">
      <c r="A100" s="18" t="inlineStr">
        <is>
          <t>2024-02-17</t>
        </is>
      </c>
      <c r="B100" s="19" t="n">
        <v>8685.709999999999</v>
      </c>
      <c r="C100" s="19" t="n">
        <v>5945</v>
      </c>
      <c r="D100" s="20" t="n"/>
      <c r="E100" s="21">
        <f>C100-Lambda*B100-OtherCost</f>
        <v/>
      </c>
      <c r="F100" s="22">
        <f>C100/B100</f>
        <v/>
      </c>
      <c r="G100" s="23">
        <f>B100/B99-1</f>
        <v/>
      </c>
      <c r="H100" s="23">
        <f>C100/C99-1</f>
        <v/>
      </c>
    </row>
    <row r="101" ht="17" customHeight="1">
      <c r="A101" s="13" t="inlineStr">
        <is>
          <t>2024-02-18</t>
        </is>
      </c>
      <c r="B101" s="14" t="n">
        <v>8685.709999999999</v>
      </c>
      <c r="C101" s="14" t="n">
        <v>5945</v>
      </c>
      <c r="D101" s="15" t="n"/>
      <c r="E101" s="16">
        <f>C101-Lambda*B101-OtherCost</f>
        <v/>
      </c>
      <c r="F101" s="17">
        <f>C101/B101</f>
        <v/>
      </c>
      <c r="G101" s="24">
        <f>B101/B100-1</f>
        <v/>
      </c>
      <c r="H101" s="24">
        <f>C101/C100-1</f>
        <v/>
      </c>
    </row>
    <row r="102" ht="17" customHeight="1">
      <c r="A102" s="18" t="inlineStr">
        <is>
          <t>2024-02-19</t>
        </is>
      </c>
      <c r="B102" s="19" t="n">
        <v>8685.709999999999</v>
      </c>
      <c r="C102" s="19" t="n">
        <v>5929</v>
      </c>
      <c r="D102" s="20" t="n"/>
      <c r="E102" s="21">
        <f>C102-Lambda*B102-OtherCost</f>
        <v/>
      </c>
      <c r="F102" s="22">
        <f>C102/B102</f>
        <v/>
      </c>
      <c r="G102" s="23">
        <f>B102/B101-1</f>
        <v/>
      </c>
      <c r="H102" s="23">
        <f>C102/C101-1</f>
        <v/>
      </c>
    </row>
    <row r="103" ht="17" customHeight="1">
      <c r="A103" s="13" t="inlineStr">
        <is>
          <t>2024-02-20</t>
        </is>
      </c>
      <c r="B103" s="14" t="n">
        <v>8685.709999999999</v>
      </c>
      <c r="C103" s="14" t="n">
        <v>5929</v>
      </c>
      <c r="D103" s="15" t="n"/>
      <c r="E103" s="16">
        <f>C103-Lambda*B103-OtherCost</f>
        <v/>
      </c>
      <c r="F103" s="17">
        <f>C103/B103</f>
        <v/>
      </c>
      <c r="G103" s="24">
        <f>B103/B102-1</f>
        <v/>
      </c>
      <c r="H103" s="24">
        <f>C103/C102-1</f>
        <v/>
      </c>
    </row>
    <row r="104" ht="17" customHeight="1">
      <c r="A104" s="18" t="inlineStr">
        <is>
          <t>2024-02-21</t>
        </is>
      </c>
      <c r="B104" s="19" t="n">
        <v>8685.709999999999</v>
      </c>
      <c r="C104" s="19" t="n">
        <v>5943</v>
      </c>
      <c r="D104" s="20" t="n"/>
      <c r="E104" s="21">
        <f>C104-Lambda*B104-OtherCost</f>
        <v/>
      </c>
      <c r="F104" s="22">
        <f>C104/B104</f>
        <v/>
      </c>
      <c r="G104" s="23">
        <f>B104/B103-1</f>
        <v/>
      </c>
      <c r="H104" s="23">
        <f>C104/C103-1</f>
        <v/>
      </c>
    </row>
    <row r="105" ht="17" customHeight="1">
      <c r="A105" s="13" t="inlineStr">
        <is>
          <t>2024-02-22</t>
        </is>
      </c>
      <c r="B105" s="14" t="n">
        <v>8700</v>
      </c>
      <c r="C105" s="14" t="n">
        <v>5941</v>
      </c>
      <c r="D105" s="15" t="n"/>
      <c r="E105" s="16">
        <f>C105-Lambda*B105-OtherCost</f>
        <v/>
      </c>
      <c r="F105" s="17">
        <f>C105/B105</f>
        <v/>
      </c>
      <c r="G105" s="24">
        <f>B105/B104-1</f>
        <v/>
      </c>
      <c r="H105" s="24">
        <f>C105/C104-1</f>
        <v/>
      </c>
    </row>
    <row r="106" ht="17" customHeight="1">
      <c r="A106" s="18" t="inlineStr">
        <is>
          <t>2024-02-25</t>
        </is>
      </c>
      <c r="B106" s="19" t="n">
        <v>8700</v>
      </c>
      <c r="C106" s="19" t="n">
        <v>5879</v>
      </c>
      <c r="D106" s="20" t="n"/>
      <c r="E106" s="21">
        <f>C106-Lambda*B106-OtherCost</f>
        <v/>
      </c>
      <c r="F106" s="22">
        <f>C106/B106</f>
        <v/>
      </c>
      <c r="G106" s="23">
        <f>B106/B105-1</f>
        <v/>
      </c>
      <c r="H106" s="23">
        <f>C106/C105-1</f>
        <v/>
      </c>
    </row>
    <row r="107" ht="17" customHeight="1">
      <c r="A107" s="13" t="inlineStr">
        <is>
          <t>2024-02-26</t>
        </is>
      </c>
      <c r="B107" s="14" t="n">
        <v>8700</v>
      </c>
      <c r="C107" s="14" t="n">
        <v>5911</v>
      </c>
      <c r="D107" s="15" t="n"/>
      <c r="E107" s="16">
        <f>C107-Lambda*B107-OtherCost</f>
        <v/>
      </c>
      <c r="F107" s="17">
        <f>C107/B107</f>
        <v/>
      </c>
      <c r="G107" s="24">
        <f>B107/B106-1</f>
        <v/>
      </c>
      <c r="H107" s="24">
        <f>C107/C106-1</f>
        <v/>
      </c>
    </row>
    <row r="108" ht="17" customHeight="1">
      <c r="A108" s="18" t="inlineStr">
        <is>
          <t>2024-02-27</t>
        </is>
      </c>
      <c r="B108" s="19" t="n">
        <v>8700</v>
      </c>
      <c r="C108" s="19" t="n">
        <v>5911</v>
      </c>
      <c r="D108" s="20" t="n"/>
      <c r="E108" s="21">
        <f>C108-Lambda*B108-OtherCost</f>
        <v/>
      </c>
      <c r="F108" s="22">
        <f>C108/B108</f>
        <v/>
      </c>
      <c r="G108" s="23">
        <f>B108/B107-1</f>
        <v/>
      </c>
      <c r="H108" s="23">
        <f>C108/C107-1</f>
        <v/>
      </c>
    </row>
    <row r="109" ht="17" customHeight="1">
      <c r="A109" s="13" t="inlineStr">
        <is>
          <t>2024-02-28</t>
        </is>
      </c>
      <c r="B109" s="14" t="n">
        <v>8600</v>
      </c>
      <c r="C109" s="14" t="n">
        <v>5950</v>
      </c>
      <c r="D109" s="15" t="n"/>
      <c r="E109" s="16">
        <f>C109-Lambda*B109-OtherCost</f>
        <v/>
      </c>
      <c r="F109" s="17">
        <f>C109/B109</f>
        <v/>
      </c>
      <c r="G109" s="24">
        <f>B109/B108-1</f>
        <v/>
      </c>
      <c r="H109" s="24">
        <f>C109/C108-1</f>
        <v/>
      </c>
    </row>
    <row r="110" ht="17" customHeight="1">
      <c r="A110" s="18" t="inlineStr">
        <is>
          <t>2024-02-29</t>
        </is>
      </c>
      <c r="B110" s="19" t="n">
        <v>8600</v>
      </c>
      <c r="C110" s="19" t="n">
        <v>5950</v>
      </c>
      <c r="D110" s="20" t="n"/>
      <c r="E110" s="21">
        <f>C110-Lambda*B110-OtherCost</f>
        <v/>
      </c>
      <c r="F110" s="22">
        <f>C110/B110</f>
        <v/>
      </c>
      <c r="G110" s="23">
        <f>B110/B109-1</f>
        <v/>
      </c>
      <c r="H110" s="23">
        <f>C110/C109-1</f>
        <v/>
      </c>
    </row>
    <row r="111" ht="17" customHeight="1">
      <c r="A111" s="13" t="inlineStr">
        <is>
          <t>2024-03-03</t>
        </is>
      </c>
      <c r="B111" s="14" t="n">
        <v>8600</v>
      </c>
      <c r="C111" s="14" t="n">
        <v>5930.5</v>
      </c>
      <c r="D111" s="15" t="n"/>
      <c r="E111" s="16">
        <f>C111-Lambda*B111-OtherCost</f>
        <v/>
      </c>
      <c r="F111" s="17">
        <f>C111/B111</f>
        <v/>
      </c>
      <c r="G111" s="24">
        <f>B111/B110-1</f>
        <v/>
      </c>
      <c r="H111" s="24">
        <f>C111/C110-1</f>
        <v/>
      </c>
    </row>
    <row r="112" ht="17" customHeight="1">
      <c r="A112" s="18" t="inlineStr">
        <is>
          <t>2024-03-04</t>
        </is>
      </c>
      <c r="B112" s="19" t="n">
        <v>8600</v>
      </c>
      <c r="C112" s="19" t="n">
        <v>5873.5</v>
      </c>
      <c r="D112" s="20" t="n"/>
      <c r="E112" s="21">
        <f>C112-Lambda*B112-OtherCost</f>
        <v/>
      </c>
      <c r="F112" s="22">
        <f>C112/B112</f>
        <v/>
      </c>
      <c r="G112" s="23">
        <f>B112/B111-1</f>
        <v/>
      </c>
      <c r="H112" s="23">
        <f>C112/C111-1</f>
        <v/>
      </c>
    </row>
    <row r="113" ht="17" customHeight="1">
      <c r="A113" s="13" t="inlineStr">
        <is>
          <t>2024-03-05</t>
        </is>
      </c>
      <c r="B113" s="14" t="n">
        <v>8600</v>
      </c>
      <c r="C113" s="14" t="n">
        <v>5878.5</v>
      </c>
      <c r="D113" s="15" t="n"/>
      <c r="E113" s="16">
        <f>C113-Lambda*B113-OtherCost</f>
        <v/>
      </c>
      <c r="F113" s="17">
        <f>C113/B113</f>
        <v/>
      </c>
      <c r="G113" s="24">
        <f>B113/B112-1</f>
        <v/>
      </c>
      <c r="H113" s="24">
        <f>C113/C112-1</f>
        <v/>
      </c>
    </row>
    <row r="114" ht="17" customHeight="1">
      <c r="A114" s="18" t="inlineStr">
        <is>
          <t>2024-03-06</t>
        </is>
      </c>
      <c r="B114" s="19" t="n">
        <v>8600</v>
      </c>
      <c r="C114" s="19" t="n">
        <v>5843</v>
      </c>
      <c r="D114" s="20" t="n"/>
      <c r="E114" s="21">
        <f>C114-Lambda*B114-OtherCost</f>
        <v/>
      </c>
      <c r="F114" s="22">
        <f>C114/B114</f>
        <v/>
      </c>
      <c r="G114" s="23">
        <f>B114/B113-1</f>
        <v/>
      </c>
      <c r="H114" s="23">
        <f>C114/C113-1</f>
        <v/>
      </c>
    </row>
    <row r="115" ht="17" customHeight="1">
      <c r="A115" s="13" t="inlineStr">
        <is>
          <t>2024-03-07</t>
        </is>
      </c>
      <c r="B115" s="14" t="n">
        <v>8600</v>
      </c>
      <c r="C115" s="14" t="n">
        <v>5839</v>
      </c>
      <c r="D115" s="15" t="n"/>
      <c r="E115" s="16">
        <f>C115-Lambda*B115-OtherCost</f>
        <v/>
      </c>
      <c r="F115" s="17">
        <f>C115/B115</f>
        <v/>
      </c>
      <c r="G115" s="24">
        <f>B115/B114-1</f>
        <v/>
      </c>
      <c r="H115" s="24">
        <f>C115/C114-1</f>
        <v/>
      </c>
    </row>
    <row r="116" ht="17" customHeight="1">
      <c r="A116" s="18" t="inlineStr">
        <is>
          <t>2024-03-10</t>
        </is>
      </c>
      <c r="B116" s="19" t="n">
        <v>8600</v>
      </c>
      <c r="C116" s="19" t="n">
        <v>5839</v>
      </c>
      <c r="D116" s="20" t="n"/>
      <c r="E116" s="21">
        <f>C116-Lambda*B116-OtherCost</f>
        <v/>
      </c>
      <c r="F116" s="22">
        <f>C116/B116</f>
        <v/>
      </c>
      <c r="G116" s="23">
        <f>B116/B115-1</f>
        <v/>
      </c>
      <c r="H116" s="23">
        <f>C116/C115-1</f>
        <v/>
      </c>
    </row>
    <row r="117" ht="17" customHeight="1">
      <c r="A117" s="13" t="inlineStr">
        <is>
          <t>2024-03-11</t>
        </is>
      </c>
      <c r="B117" s="14" t="n">
        <v>8600</v>
      </c>
      <c r="C117" s="14" t="n">
        <v>5806</v>
      </c>
      <c r="D117" s="15" t="n"/>
      <c r="E117" s="16">
        <f>C117-Lambda*B117-OtherCost</f>
        <v/>
      </c>
      <c r="F117" s="17">
        <f>C117/B117</f>
        <v/>
      </c>
      <c r="G117" s="24">
        <f>B117/B116-1</f>
        <v/>
      </c>
      <c r="H117" s="24">
        <f>C117/C116-1</f>
        <v/>
      </c>
    </row>
    <row r="118" ht="17" customHeight="1">
      <c r="A118" s="18" t="inlineStr">
        <is>
          <t>2024-03-12</t>
        </is>
      </c>
      <c r="B118" s="19" t="n">
        <v>8600</v>
      </c>
      <c r="C118" s="19" t="n">
        <v>5809</v>
      </c>
      <c r="D118" s="20" t="n"/>
      <c r="E118" s="21">
        <f>C118-Lambda*B118-OtherCost</f>
        <v/>
      </c>
      <c r="F118" s="22">
        <f>C118/B118</f>
        <v/>
      </c>
      <c r="G118" s="23">
        <f>B118/B117-1</f>
        <v/>
      </c>
      <c r="H118" s="23">
        <f>C118/C117-1</f>
        <v/>
      </c>
    </row>
    <row r="119" ht="17" customHeight="1">
      <c r="A119" s="13" t="inlineStr">
        <is>
          <t>2024-03-13</t>
        </is>
      </c>
      <c r="B119" s="14" t="n">
        <v>8600</v>
      </c>
      <c r="C119" s="14" t="n">
        <v>5835</v>
      </c>
      <c r="D119" s="15" t="n"/>
      <c r="E119" s="16">
        <f>C119-Lambda*B119-OtherCost</f>
        <v/>
      </c>
      <c r="F119" s="17">
        <f>C119/B119</f>
        <v/>
      </c>
      <c r="G119" s="24">
        <f>B119/B118-1</f>
        <v/>
      </c>
      <c r="H119" s="24">
        <f>C119/C118-1</f>
        <v/>
      </c>
    </row>
    <row r="120" ht="17" customHeight="1">
      <c r="A120" s="18" t="inlineStr">
        <is>
          <t>2024-03-14</t>
        </is>
      </c>
      <c r="B120" s="19" t="n">
        <v>8600</v>
      </c>
      <c r="C120" s="19" t="n">
        <v>5883</v>
      </c>
      <c r="D120" s="20" t="n"/>
      <c r="E120" s="21">
        <f>C120-Lambda*B120-OtherCost</f>
        <v/>
      </c>
      <c r="F120" s="22">
        <f>C120/B120</f>
        <v/>
      </c>
      <c r="G120" s="23">
        <f>B120/B119-1</f>
        <v/>
      </c>
      <c r="H120" s="23">
        <f>C120/C119-1</f>
        <v/>
      </c>
    </row>
    <row r="121" ht="17" customHeight="1">
      <c r="A121" s="13" t="inlineStr">
        <is>
          <t>2024-03-17</t>
        </is>
      </c>
      <c r="B121" s="14" t="n">
        <v>8600</v>
      </c>
      <c r="C121" s="14" t="n">
        <v>5931</v>
      </c>
      <c r="D121" s="15" t="n"/>
      <c r="E121" s="16">
        <f>C121-Lambda*B121-OtherCost</f>
        <v/>
      </c>
      <c r="F121" s="17">
        <f>C121/B121</f>
        <v/>
      </c>
      <c r="G121" s="24">
        <f>B121/B120-1</f>
        <v/>
      </c>
      <c r="H121" s="24">
        <f>C121/C120-1</f>
        <v/>
      </c>
    </row>
    <row r="122" ht="17" customHeight="1">
      <c r="A122" s="18" t="inlineStr">
        <is>
          <t>2024-03-18</t>
        </is>
      </c>
      <c r="B122" s="19" t="n">
        <v>8600</v>
      </c>
      <c r="C122" s="19" t="n">
        <v>5933</v>
      </c>
      <c r="D122" s="20" t="n"/>
      <c r="E122" s="21">
        <f>C122-Lambda*B122-OtherCost</f>
        <v/>
      </c>
      <c r="F122" s="22">
        <f>C122/B122</f>
        <v/>
      </c>
      <c r="G122" s="23">
        <f>B122/B121-1</f>
        <v/>
      </c>
      <c r="H122" s="23">
        <f>C122/C121-1</f>
        <v/>
      </c>
    </row>
    <row r="123" ht="17" customHeight="1">
      <c r="A123" s="13" t="inlineStr">
        <is>
          <t>2024-03-19</t>
        </is>
      </c>
      <c r="B123" s="14" t="n">
        <v>8600</v>
      </c>
      <c r="C123" s="14" t="n">
        <v>5923</v>
      </c>
      <c r="D123" s="15" t="n"/>
      <c r="E123" s="16">
        <f>C123-Lambda*B123-OtherCost</f>
        <v/>
      </c>
      <c r="F123" s="17">
        <f>C123/B123</f>
        <v/>
      </c>
      <c r="G123" s="24">
        <f>B123/B122-1</f>
        <v/>
      </c>
      <c r="H123" s="24">
        <f>C123/C122-1</f>
        <v/>
      </c>
    </row>
    <row r="124" ht="17" customHeight="1">
      <c r="A124" s="18" t="inlineStr">
        <is>
          <t>2024-03-20</t>
        </is>
      </c>
      <c r="B124" s="19" t="n">
        <v>8600</v>
      </c>
      <c r="C124" s="19" t="n">
        <v>5813</v>
      </c>
      <c r="D124" s="20" t="n"/>
      <c r="E124" s="21">
        <f>C124-Lambda*B124-OtherCost</f>
        <v/>
      </c>
      <c r="F124" s="22">
        <f>C124/B124</f>
        <v/>
      </c>
      <c r="G124" s="23">
        <f>B124/B123-1</f>
        <v/>
      </c>
      <c r="H124" s="23">
        <f>C124/C123-1</f>
        <v/>
      </c>
    </row>
    <row r="125" ht="17" customHeight="1">
      <c r="A125" s="13" t="inlineStr">
        <is>
          <t>2024-03-21</t>
        </is>
      </c>
      <c r="B125" s="14" t="n">
        <v>8508.33</v>
      </c>
      <c r="C125" s="14" t="n">
        <v>5813</v>
      </c>
      <c r="D125" s="15" t="n"/>
      <c r="E125" s="16">
        <f>C125-Lambda*B125-OtherCost</f>
        <v/>
      </c>
      <c r="F125" s="17">
        <f>C125/B125</f>
        <v/>
      </c>
      <c r="G125" s="24">
        <f>B125/B124-1</f>
        <v/>
      </c>
      <c r="H125" s="24">
        <f>C125/C124-1</f>
        <v/>
      </c>
    </row>
    <row r="126" ht="17" customHeight="1">
      <c r="A126" s="18" t="inlineStr">
        <is>
          <t>2024-03-24</t>
        </is>
      </c>
      <c r="B126" s="19" t="n">
        <v>8508.33</v>
      </c>
      <c r="C126" s="19" t="n">
        <v>5813</v>
      </c>
      <c r="D126" s="20" t="n"/>
      <c r="E126" s="21">
        <f>C126-Lambda*B126-OtherCost</f>
        <v/>
      </c>
      <c r="F126" s="22">
        <f>C126/B126</f>
        <v/>
      </c>
      <c r="G126" s="23">
        <f>B126/B125-1</f>
        <v/>
      </c>
      <c r="H126" s="23">
        <f>C126/C125-1</f>
        <v/>
      </c>
    </row>
    <row r="127" ht="17" customHeight="1">
      <c r="A127" s="13" t="inlineStr">
        <is>
          <t>2024-03-25</t>
        </is>
      </c>
      <c r="B127" s="14" t="n">
        <v>8508.33</v>
      </c>
      <c r="C127" s="14" t="n">
        <v>5833</v>
      </c>
      <c r="D127" s="15" t="n"/>
      <c r="E127" s="16">
        <f>C127-Lambda*B127-OtherCost</f>
        <v/>
      </c>
      <c r="F127" s="17">
        <f>C127/B127</f>
        <v/>
      </c>
      <c r="G127" s="24">
        <f>B127/B126-1</f>
        <v/>
      </c>
      <c r="H127" s="24">
        <f>C127/C126-1</f>
        <v/>
      </c>
    </row>
    <row r="128" ht="17" customHeight="1">
      <c r="A128" s="18" t="inlineStr">
        <is>
          <t>2024-03-26</t>
        </is>
      </c>
      <c r="B128" s="19" t="n">
        <v>8508.33</v>
      </c>
      <c r="C128" s="19" t="n">
        <v>5833</v>
      </c>
      <c r="D128" s="20" t="n"/>
      <c r="E128" s="21">
        <f>C128-Lambda*B128-OtherCost</f>
        <v/>
      </c>
      <c r="F128" s="22">
        <f>C128/B128</f>
        <v/>
      </c>
      <c r="G128" s="23">
        <f>B128/B127-1</f>
        <v/>
      </c>
      <c r="H128" s="23">
        <f>C128/C127-1</f>
        <v/>
      </c>
    </row>
    <row r="129" ht="17" customHeight="1">
      <c r="A129" s="13" t="inlineStr">
        <is>
          <t>2024-03-27</t>
        </is>
      </c>
      <c r="B129" s="14" t="n">
        <v>8700</v>
      </c>
      <c r="C129" s="14" t="n">
        <v>5833</v>
      </c>
      <c r="D129" s="15" t="n"/>
      <c r="E129" s="16">
        <f>C129-Lambda*B129-OtherCost</f>
        <v/>
      </c>
      <c r="F129" s="17">
        <f>C129/B129</f>
        <v/>
      </c>
      <c r="G129" s="24">
        <f>B129/B128-1</f>
        <v/>
      </c>
      <c r="H129" s="24">
        <f>C129/C128-1</f>
        <v/>
      </c>
    </row>
    <row r="130" ht="17" customHeight="1">
      <c r="A130" s="18" t="inlineStr">
        <is>
          <t>2024-03-28</t>
        </is>
      </c>
      <c r="B130" s="19" t="n">
        <v>8700</v>
      </c>
      <c r="C130" s="19" t="n">
        <v>5859</v>
      </c>
      <c r="D130" s="20" t="n"/>
      <c r="E130" s="21">
        <f>C130-Lambda*B130-OtherCost</f>
        <v/>
      </c>
      <c r="F130" s="22">
        <f>C130/B130</f>
        <v/>
      </c>
      <c r="G130" s="23">
        <f>B130/B129-1</f>
        <v/>
      </c>
      <c r="H130" s="23">
        <f>C130/C129-1</f>
        <v/>
      </c>
    </row>
    <row r="131" ht="17" customHeight="1">
      <c r="A131" s="13" t="inlineStr">
        <is>
          <t>2024-03-31</t>
        </is>
      </c>
      <c r="B131" s="14" t="n">
        <v>8700</v>
      </c>
      <c r="C131" s="14" t="n">
        <v>5994</v>
      </c>
      <c r="D131" s="15" t="n"/>
      <c r="E131" s="16">
        <f>C131-Lambda*B131-OtherCost</f>
        <v/>
      </c>
      <c r="F131" s="17">
        <f>C131/B131</f>
        <v/>
      </c>
      <c r="G131" s="24">
        <f>B131/B130-1</f>
        <v/>
      </c>
      <c r="H131" s="24">
        <f>C131/C130-1</f>
        <v/>
      </c>
    </row>
    <row r="132" ht="17" customHeight="1">
      <c r="A132" s="18" t="inlineStr">
        <is>
          <t>2024-04-01</t>
        </is>
      </c>
      <c r="B132" s="19" t="n">
        <v>8700</v>
      </c>
      <c r="C132" s="19" t="n">
        <v>5994</v>
      </c>
      <c r="D132" s="20" t="n"/>
      <c r="E132" s="21">
        <f>C132-Lambda*B132-OtherCost</f>
        <v/>
      </c>
      <c r="F132" s="22">
        <f>C132/B132</f>
        <v/>
      </c>
      <c r="G132" s="23">
        <f>B132/B131-1</f>
        <v/>
      </c>
      <c r="H132" s="23">
        <f>C132/C131-1</f>
        <v/>
      </c>
    </row>
    <row r="133" ht="17" customHeight="1">
      <c r="A133" s="13" t="inlineStr">
        <is>
          <t>2024-04-02</t>
        </is>
      </c>
      <c r="B133" s="14" t="n">
        <v>8700</v>
      </c>
      <c r="C133" s="14" t="n">
        <v>6015.5</v>
      </c>
      <c r="D133" s="15" t="n"/>
      <c r="E133" s="16">
        <f>C133-Lambda*B133-OtherCost</f>
        <v/>
      </c>
      <c r="F133" s="17">
        <f>C133/B133</f>
        <v/>
      </c>
      <c r="G133" s="24">
        <f>B133/B132-1</f>
        <v/>
      </c>
      <c r="H133" s="24">
        <f>C133/C132-1</f>
        <v/>
      </c>
    </row>
    <row r="134" ht="17" customHeight="1">
      <c r="A134" s="18" t="inlineStr">
        <is>
          <t>2024-04-03</t>
        </is>
      </c>
      <c r="B134" s="19" t="n">
        <v>8700</v>
      </c>
      <c r="C134" s="19" t="n">
        <v>6015.5</v>
      </c>
      <c r="D134" s="20" t="n"/>
      <c r="E134" s="21">
        <f>C134-Lambda*B134-OtherCost</f>
        <v/>
      </c>
      <c r="F134" s="22">
        <f>C134/B134</f>
        <v/>
      </c>
      <c r="G134" s="23">
        <f>B134/B133-1</f>
        <v/>
      </c>
      <c r="H134" s="23">
        <f>C134/C133-1</f>
        <v/>
      </c>
    </row>
    <row r="135" ht="17" customHeight="1">
      <c r="A135" s="13" t="inlineStr">
        <is>
          <t>2024-04-04</t>
        </is>
      </c>
      <c r="B135" s="14" t="n">
        <v>8700</v>
      </c>
      <c r="C135" s="14" t="n">
        <v>6015.5</v>
      </c>
      <c r="D135" s="15" t="n"/>
      <c r="E135" s="16">
        <f>C135-Lambda*B135-OtherCost</f>
        <v/>
      </c>
      <c r="F135" s="17">
        <f>C135/B135</f>
        <v/>
      </c>
      <c r="G135" s="24">
        <f>B135/B134-1</f>
        <v/>
      </c>
      <c r="H135" s="24">
        <f>C135/C134-1</f>
        <v/>
      </c>
    </row>
    <row r="136" ht="17" customHeight="1">
      <c r="A136" s="18" t="inlineStr">
        <is>
          <t>2024-04-07</t>
        </is>
      </c>
      <c r="B136" s="19" t="n">
        <v>8700</v>
      </c>
      <c r="C136" s="19" t="n">
        <v>5999</v>
      </c>
      <c r="D136" s="20" t="n"/>
      <c r="E136" s="21">
        <f>C136-Lambda*B136-OtherCost</f>
        <v/>
      </c>
      <c r="F136" s="22">
        <f>C136/B136</f>
        <v/>
      </c>
      <c r="G136" s="23">
        <f>B136/B135-1</f>
        <v/>
      </c>
      <c r="H136" s="23">
        <f>C136/C135-1</f>
        <v/>
      </c>
    </row>
    <row r="137" ht="17" customHeight="1">
      <c r="A137" s="13" t="inlineStr">
        <is>
          <t>2024-04-08</t>
        </is>
      </c>
      <c r="B137" s="14" t="n">
        <v>8700</v>
      </c>
      <c r="C137" s="14" t="n">
        <v>5996</v>
      </c>
      <c r="D137" s="15" t="n"/>
      <c r="E137" s="16">
        <f>C137-Lambda*B137-OtherCost</f>
        <v/>
      </c>
      <c r="F137" s="17">
        <f>C137/B137</f>
        <v/>
      </c>
      <c r="G137" s="24">
        <f>B137/B136-1</f>
        <v/>
      </c>
      <c r="H137" s="24">
        <f>C137/C136-1</f>
        <v/>
      </c>
    </row>
    <row r="138" ht="17" customHeight="1">
      <c r="A138" s="18" t="inlineStr">
        <is>
          <t>2024-04-09</t>
        </is>
      </c>
      <c r="B138" s="19" t="n">
        <v>8700</v>
      </c>
      <c r="C138" s="19" t="n">
        <v>5996</v>
      </c>
      <c r="D138" s="20" t="n"/>
      <c r="E138" s="21">
        <f>C138-Lambda*B138-OtherCost</f>
        <v/>
      </c>
      <c r="F138" s="22">
        <f>C138/B138</f>
        <v/>
      </c>
      <c r="G138" s="23">
        <f>B138/B137-1</f>
        <v/>
      </c>
      <c r="H138" s="23">
        <f>C138/C137-1</f>
        <v/>
      </c>
    </row>
    <row r="139" ht="17" customHeight="1">
      <c r="A139" s="13" t="inlineStr">
        <is>
          <t>2024-04-10</t>
        </is>
      </c>
      <c r="B139" s="14" t="n">
        <v>8700</v>
      </c>
      <c r="C139" s="14" t="n">
        <v>5990</v>
      </c>
      <c r="D139" s="15" t="n"/>
      <c r="E139" s="16">
        <f>C139-Lambda*B139-OtherCost</f>
        <v/>
      </c>
      <c r="F139" s="17">
        <f>C139/B139</f>
        <v/>
      </c>
      <c r="G139" s="24">
        <f>B139/B138-1</f>
        <v/>
      </c>
      <c r="H139" s="24">
        <f>C139/C138-1</f>
        <v/>
      </c>
    </row>
    <row r="140" ht="17" customHeight="1">
      <c r="A140" s="18" t="inlineStr">
        <is>
          <t>2024-04-11</t>
        </is>
      </c>
      <c r="B140" s="19" t="n">
        <v>8700</v>
      </c>
      <c r="C140" s="19" t="n">
        <v>5927</v>
      </c>
      <c r="D140" s="20" t="n"/>
      <c r="E140" s="21">
        <f>C140-Lambda*B140-OtherCost</f>
        <v/>
      </c>
      <c r="F140" s="22">
        <f>C140/B140</f>
        <v/>
      </c>
      <c r="G140" s="23">
        <f>B140/B139-1</f>
        <v/>
      </c>
      <c r="H140" s="23">
        <f>C140/C139-1</f>
        <v/>
      </c>
    </row>
    <row r="141" ht="17" customHeight="1">
      <c r="A141" s="13" t="inlineStr">
        <is>
          <t>2024-04-14</t>
        </is>
      </c>
      <c r="B141" s="14" t="n">
        <v>8700</v>
      </c>
      <c r="C141" s="14" t="n">
        <v>5959</v>
      </c>
      <c r="D141" s="15" t="n"/>
      <c r="E141" s="16">
        <f>C141-Lambda*B141-OtherCost</f>
        <v/>
      </c>
      <c r="F141" s="17">
        <f>C141/B141</f>
        <v/>
      </c>
      <c r="G141" s="24">
        <f>B141/B140-1</f>
        <v/>
      </c>
      <c r="H141" s="24">
        <f>C141/C140-1</f>
        <v/>
      </c>
    </row>
    <row r="142" ht="17" customHeight="1">
      <c r="A142" s="18" t="inlineStr">
        <is>
          <t>2024-04-15</t>
        </is>
      </c>
      <c r="B142" s="19" t="n">
        <v>8700</v>
      </c>
      <c r="C142" s="19" t="n">
        <v>5964</v>
      </c>
      <c r="D142" s="20" t="n"/>
      <c r="E142" s="21">
        <f>C142-Lambda*B142-OtherCost</f>
        <v/>
      </c>
      <c r="F142" s="22">
        <f>C142/B142</f>
        <v/>
      </c>
      <c r="G142" s="23">
        <f>B142/B141-1</f>
        <v/>
      </c>
      <c r="H142" s="23">
        <f>C142/C141-1</f>
        <v/>
      </c>
    </row>
    <row r="143" ht="17" customHeight="1">
      <c r="A143" s="13" t="inlineStr">
        <is>
          <t>2024-04-16</t>
        </is>
      </c>
      <c r="B143" s="14" t="n">
        <v>8700</v>
      </c>
      <c r="C143" s="14" t="n">
        <v>5964</v>
      </c>
      <c r="D143" s="15" t="n"/>
      <c r="E143" s="16">
        <f>C143-Lambda*B143-OtherCost</f>
        <v/>
      </c>
      <c r="F143" s="17">
        <f>C143/B143</f>
        <v/>
      </c>
      <c r="G143" s="24">
        <f>B143/B142-1</f>
        <v/>
      </c>
      <c r="H143" s="24">
        <f>C143/C142-1</f>
        <v/>
      </c>
    </row>
    <row r="144" ht="17" customHeight="1">
      <c r="A144" s="18" t="inlineStr">
        <is>
          <t>2024-04-17</t>
        </is>
      </c>
      <c r="B144" s="19" t="n">
        <v>8700</v>
      </c>
      <c r="C144" s="19" t="n">
        <v>5964</v>
      </c>
      <c r="D144" s="20" t="n"/>
      <c r="E144" s="21">
        <f>C144-Lambda*B144-OtherCost</f>
        <v/>
      </c>
      <c r="F144" s="22">
        <f>C144/B144</f>
        <v/>
      </c>
      <c r="G144" s="23">
        <f>B144/B143-1</f>
        <v/>
      </c>
      <c r="H144" s="23">
        <f>C144/C143-1</f>
        <v/>
      </c>
    </row>
    <row r="145" ht="17" customHeight="1">
      <c r="A145" s="13" t="inlineStr">
        <is>
          <t>2024-04-18</t>
        </is>
      </c>
      <c r="B145" s="14" t="n">
        <v>8700</v>
      </c>
      <c r="C145" s="14" t="n">
        <v>5948</v>
      </c>
      <c r="D145" s="15" t="n"/>
      <c r="E145" s="16">
        <f>C145-Lambda*B145-OtherCost</f>
        <v/>
      </c>
      <c r="F145" s="17">
        <f>C145/B145</f>
        <v/>
      </c>
      <c r="G145" s="24">
        <f>B145/B144-1</f>
        <v/>
      </c>
      <c r="H145" s="24">
        <f>C145/C144-1</f>
        <v/>
      </c>
    </row>
    <row r="146" ht="17" customHeight="1">
      <c r="A146" s="18" t="inlineStr">
        <is>
          <t>2024-04-21</t>
        </is>
      </c>
      <c r="B146" s="19" t="n">
        <v>8700</v>
      </c>
      <c r="C146" s="19" t="n">
        <v>5947</v>
      </c>
      <c r="D146" s="20" t="n"/>
      <c r="E146" s="21">
        <f>C146-Lambda*B146-OtherCost</f>
        <v/>
      </c>
      <c r="F146" s="22">
        <f>C146/B146</f>
        <v/>
      </c>
      <c r="G146" s="23">
        <f>B146/B145-1</f>
        <v/>
      </c>
      <c r="H146" s="23">
        <f>C146/C145-1</f>
        <v/>
      </c>
    </row>
    <row r="147" ht="17" customHeight="1">
      <c r="A147" s="13" t="inlineStr">
        <is>
          <t>2024-04-22</t>
        </is>
      </c>
      <c r="B147" s="14" t="n">
        <v>8700</v>
      </c>
      <c r="C147" s="14" t="n">
        <v>5945.5</v>
      </c>
      <c r="D147" s="15" t="n"/>
      <c r="E147" s="16">
        <f>C147-Lambda*B147-OtherCost</f>
        <v/>
      </c>
      <c r="F147" s="17">
        <f>C147/B147</f>
        <v/>
      </c>
      <c r="G147" s="24">
        <f>B147/B146-1</f>
        <v/>
      </c>
      <c r="H147" s="24">
        <f>C147/C146-1</f>
        <v/>
      </c>
    </row>
    <row r="148" ht="17" customHeight="1">
      <c r="A148" s="18" t="inlineStr">
        <is>
          <t>2024-04-23</t>
        </is>
      </c>
      <c r="B148" s="19" t="n">
        <v>8700</v>
      </c>
      <c r="C148" s="19" t="n">
        <v>5945.5</v>
      </c>
      <c r="D148" s="20" t="n"/>
      <c r="E148" s="21">
        <f>C148-Lambda*B148-OtherCost</f>
        <v/>
      </c>
      <c r="F148" s="22">
        <f>C148/B148</f>
        <v/>
      </c>
      <c r="G148" s="23">
        <f>B148/B147-1</f>
        <v/>
      </c>
      <c r="H148" s="23">
        <f>C148/C147-1</f>
        <v/>
      </c>
    </row>
    <row r="149" ht="17" customHeight="1">
      <c r="A149" s="13" t="inlineStr">
        <is>
          <t>2024-04-24</t>
        </is>
      </c>
      <c r="B149" s="14" t="n">
        <v>8700</v>
      </c>
      <c r="C149" s="14" t="n">
        <v>5935.5</v>
      </c>
      <c r="D149" s="15" t="n"/>
      <c r="E149" s="16">
        <f>C149-Lambda*B149-OtherCost</f>
        <v/>
      </c>
      <c r="F149" s="17">
        <f>C149/B149</f>
        <v/>
      </c>
      <c r="G149" s="24">
        <f>B149/B148-1</f>
        <v/>
      </c>
      <c r="H149" s="24">
        <f>C149/C148-1</f>
        <v/>
      </c>
    </row>
    <row r="150" ht="17" customHeight="1">
      <c r="A150" s="18" t="inlineStr">
        <is>
          <t>2024-04-25</t>
        </is>
      </c>
      <c r="B150" s="19" t="n">
        <v>8700</v>
      </c>
      <c r="C150" s="19" t="n">
        <v>5940.5</v>
      </c>
      <c r="D150" s="20" t="n"/>
      <c r="E150" s="21">
        <f>C150-Lambda*B150-OtherCost</f>
        <v/>
      </c>
      <c r="F150" s="22">
        <f>C150/B150</f>
        <v/>
      </c>
      <c r="G150" s="23">
        <f>B150/B149-1</f>
        <v/>
      </c>
      <c r="H150" s="23">
        <f>C150/C149-1</f>
        <v/>
      </c>
    </row>
    <row r="151" ht="17" customHeight="1">
      <c r="A151" s="13" t="inlineStr">
        <is>
          <t>2024-04-28</t>
        </is>
      </c>
      <c r="B151" s="14" t="n">
        <v>8700</v>
      </c>
      <c r="C151" s="14" t="n">
        <v>5940.5</v>
      </c>
      <c r="D151" s="15" t="n"/>
      <c r="E151" s="16">
        <f>C151-Lambda*B151-OtherCost</f>
        <v/>
      </c>
      <c r="F151" s="17">
        <f>C151/B151</f>
        <v/>
      </c>
      <c r="G151" s="24">
        <f>B151/B150-1</f>
        <v/>
      </c>
      <c r="H151" s="24">
        <f>C151/C150-1</f>
        <v/>
      </c>
    </row>
    <row r="152" ht="17" customHeight="1">
      <c r="A152" s="18" t="inlineStr">
        <is>
          <t>2024-04-29</t>
        </is>
      </c>
      <c r="B152" s="19" t="n">
        <v>8700</v>
      </c>
      <c r="C152" s="19" t="n">
        <v>5940.5</v>
      </c>
      <c r="D152" s="20" t="n"/>
      <c r="E152" s="21">
        <f>C152-Lambda*B152-OtherCost</f>
        <v/>
      </c>
      <c r="F152" s="22">
        <f>C152/B152</f>
        <v/>
      </c>
      <c r="G152" s="23">
        <f>B152/B151-1</f>
        <v/>
      </c>
      <c r="H152" s="23">
        <f>C152/C151-1</f>
        <v/>
      </c>
    </row>
    <row r="153" ht="17" customHeight="1">
      <c r="A153" s="13" t="inlineStr">
        <is>
          <t>2024-04-30</t>
        </is>
      </c>
      <c r="B153" s="14" t="n">
        <v>8700</v>
      </c>
      <c r="C153" s="14" t="n">
        <v>5940.5</v>
      </c>
      <c r="D153" s="15" t="n"/>
      <c r="E153" s="16">
        <f>C153-Lambda*B153-OtherCost</f>
        <v/>
      </c>
      <c r="F153" s="17">
        <f>C153/B153</f>
        <v/>
      </c>
      <c r="G153" s="24">
        <f>B153/B152-1</f>
        <v/>
      </c>
      <c r="H153" s="24">
        <f>C153/C152-1</f>
        <v/>
      </c>
    </row>
    <row r="154" ht="17" customHeight="1">
      <c r="A154" s="18" t="inlineStr">
        <is>
          <t>2024-05-01</t>
        </is>
      </c>
      <c r="B154" s="19" t="n">
        <v>8700</v>
      </c>
      <c r="C154" s="19" t="n">
        <v>5940.5</v>
      </c>
      <c r="D154" s="20" t="n"/>
      <c r="E154" s="21">
        <f>C154-Lambda*B154-OtherCost</f>
        <v/>
      </c>
      <c r="F154" s="22">
        <f>C154/B154</f>
        <v/>
      </c>
      <c r="G154" s="23">
        <f>B154/B153-1</f>
        <v/>
      </c>
      <c r="H154" s="23">
        <f>C154/C153-1</f>
        <v/>
      </c>
    </row>
    <row r="155" ht="17" customHeight="1">
      <c r="A155" s="13" t="inlineStr">
        <is>
          <t>2024-05-02</t>
        </is>
      </c>
      <c r="B155" s="14" t="n">
        <v>8700</v>
      </c>
      <c r="C155" s="14" t="n">
        <v>5940.5</v>
      </c>
      <c r="D155" s="15" t="n"/>
      <c r="E155" s="16">
        <f>C155-Lambda*B155-OtherCost</f>
        <v/>
      </c>
      <c r="F155" s="17">
        <f>C155/B155</f>
        <v/>
      </c>
      <c r="G155" s="24">
        <f>B155/B154-1</f>
        <v/>
      </c>
      <c r="H155" s="24">
        <f>C155/C154-1</f>
        <v/>
      </c>
    </row>
    <row r="156" ht="17" customHeight="1">
      <c r="A156" s="18" t="inlineStr">
        <is>
          <t>2024-05-05</t>
        </is>
      </c>
      <c r="B156" s="19" t="n">
        <v>8700</v>
      </c>
      <c r="C156" s="19" t="n">
        <v>5877</v>
      </c>
      <c r="D156" s="20" t="n"/>
      <c r="E156" s="21">
        <f>C156-Lambda*B156-OtherCost</f>
        <v/>
      </c>
      <c r="F156" s="22">
        <f>C156/B156</f>
        <v/>
      </c>
      <c r="G156" s="23">
        <f>B156/B155-1</f>
        <v/>
      </c>
      <c r="H156" s="23">
        <f>C156/C155-1</f>
        <v/>
      </c>
    </row>
    <row r="157" ht="17" customHeight="1">
      <c r="A157" s="13" t="inlineStr">
        <is>
          <t>2024-05-06</t>
        </is>
      </c>
      <c r="B157" s="14" t="n">
        <v>8700</v>
      </c>
      <c r="C157" s="14" t="n">
        <v>5878</v>
      </c>
      <c r="D157" s="15" t="n"/>
      <c r="E157" s="16">
        <f>C157-Lambda*B157-OtherCost</f>
        <v/>
      </c>
      <c r="F157" s="17">
        <f>C157/B157</f>
        <v/>
      </c>
      <c r="G157" s="24">
        <f>B157/B156-1</f>
        <v/>
      </c>
      <c r="H157" s="24">
        <f>C157/C156-1</f>
        <v/>
      </c>
    </row>
    <row r="158" ht="17" customHeight="1">
      <c r="A158" s="18" t="inlineStr">
        <is>
          <t>2024-05-07</t>
        </is>
      </c>
      <c r="B158" s="19" t="n">
        <v>8700</v>
      </c>
      <c r="C158" s="19" t="n">
        <v>5878</v>
      </c>
      <c r="D158" s="20" t="n"/>
      <c r="E158" s="21">
        <f>C158-Lambda*B158-OtherCost</f>
        <v/>
      </c>
      <c r="F158" s="22">
        <f>C158/B158</f>
        <v/>
      </c>
      <c r="G158" s="23">
        <f>B158/B157-1</f>
        <v/>
      </c>
      <c r="H158" s="23">
        <f>C158/C157-1</f>
        <v/>
      </c>
    </row>
    <row r="159" ht="17" customHeight="1">
      <c r="A159" s="13" t="inlineStr">
        <is>
          <t>2024-05-08</t>
        </is>
      </c>
      <c r="B159" s="14" t="n">
        <v>8700</v>
      </c>
      <c r="C159" s="14" t="n">
        <v>5853.5</v>
      </c>
      <c r="D159" s="15" t="n"/>
      <c r="E159" s="16">
        <f>C159-Lambda*B159-OtherCost</f>
        <v/>
      </c>
      <c r="F159" s="17">
        <f>C159/B159</f>
        <v/>
      </c>
      <c r="G159" s="24">
        <f>B159/B158-1</f>
        <v/>
      </c>
      <c r="H159" s="24">
        <f>C159/C158-1</f>
        <v/>
      </c>
    </row>
    <row r="160" ht="17" customHeight="1">
      <c r="A160" s="18" t="inlineStr">
        <is>
          <t>2024-05-09</t>
        </is>
      </c>
      <c r="B160" s="19" t="n">
        <v>8700</v>
      </c>
      <c r="C160" s="19" t="n">
        <v>5844.5</v>
      </c>
      <c r="D160" s="20" t="n"/>
      <c r="E160" s="21">
        <f>C160-Lambda*B160-OtherCost</f>
        <v/>
      </c>
      <c r="F160" s="22">
        <f>C160/B160</f>
        <v/>
      </c>
      <c r="G160" s="23">
        <f>B160/B159-1</f>
        <v/>
      </c>
      <c r="H160" s="23">
        <f>C160/C159-1</f>
        <v/>
      </c>
    </row>
    <row r="161" ht="17" customHeight="1">
      <c r="A161" s="13" t="inlineStr">
        <is>
          <t>2024-05-12</t>
        </is>
      </c>
      <c r="B161" s="14" t="n">
        <v>8700</v>
      </c>
      <c r="C161" s="14" t="n">
        <v>5842.5</v>
      </c>
      <c r="D161" s="15" t="n"/>
      <c r="E161" s="16">
        <f>C161-Lambda*B161-OtherCost</f>
        <v/>
      </c>
      <c r="F161" s="17">
        <f>C161/B161</f>
        <v/>
      </c>
      <c r="G161" s="24">
        <f>B161/B160-1</f>
        <v/>
      </c>
      <c r="H161" s="24">
        <f>C161/C160-1</f>
        <v/>
      </c>
    </row>
    <row r="162" ht="17" customHeight="1">
      <c r="A162" s="18" t="inlineStr">
        <is>
          <t>2024-05-13</t>
        </is>
      </c>
      <c r="B162" s="19" t="n">
        <v>8700</v>
      </c>
      <c r="C162" s="19" t="n">
        <v>5804</v>
      </c>
      <c r="D162" s="20" t="n"/>
      <c r="E162" s="21">
        <f>C162-Lambda*B162-OtherCost</f>
        <v/>
      </c>
      <c r="F162" s="22">
        <f>C162/B162</f>
        <v/>
      </c>
      <c r="G162" s="23">
        <f>B162/B161-1</f>
        <v/>
      </c>
      <c r="H162" s="23">
        <f>C162/C161-1</f>
        <v/>
      </c>
    </row>
    <row r="163" ht="17" customHeight="1">
      <c r="A163" s="13" t="inlineStr">
        <is>
          <t>2024-05-14</t>
        </is>
      </c>
      <c r="B163" s="14" t="n">
        <v>8700</v>
      </c>
      <c r="C163" s="14" t="n">
        <v>5818</v>
      </c>
      <c r="D163" s="15" t="n"/>
      <c r="E163" s="16">
        <f>C163-Lambda*B163-OtherCost</f>
        <v/>
      </c>
      <c r="F163" s="17">
        <f>C163/B163</f>
        <v/>
      </c>
      <c r="G163" s="24">
        <f>B163/B162-1</f>
        <v/>
      </c>
      <c r="H163" s="24">
        <f>C163/C162-1</f>
        <v/>
      </c>
    </row>
    <row r="164" ht="17" customHeight="1">
      <c r="A164" s="18" t="inlineStr">
        <is>
          <t>2024-05-15</t>
        </is>
      </c>
      <c r="B164" s="19" t="n">
        <v>8700</v>
      </c>
      <c r="C164" s="19" t="n">
        <v>5838.5</v>
      </c>
      <c r="D164" s="20" t="n"/>
      <c r="E164" s="21">
        <f>C164-Lambda*B164-OtherCost</f>
        <v/>
      </c>
      <c r="F164" s="22">
        <f>C164/B164</f>
        <v/>
      </c>
      <c r="G164" s="23">
        <f>B164/B163-1</f>
        <v/>
      </c>
      <c r="H164" s="23">
        <f>C164/C163-1</f>
        <v/>
      </c>
    </row>
    <row r="165" ht="17" customHeight="1">
      <c r="A165" s="13" t="inlineStr">
        <is>
          <t>2024-05-16</t>
        </is>
      </c>
      <c r="B165" s="14" t="n">
        <v>8700</v>
      </c>
      <c r="C165" s="14" t="n">
        <v>5858.5</v>
      </c>
      <c r="D165" s="15" t="n"/>
      <c r="E165" s="16">
        <f>C165-Lambda*B165-OtherCost</f>
        <v/>
      </c>
      <c r="F165" s="17">
        <f>C165/B165</f>
        <v/>
      </c>
      <c r="G165" s="24">
        <f>B165/B164-1</f>
        <v/>
      </c>
      <c r="H165" s="24">
        <f>C165/C164-1</f>
        <v/>
      </c>
    </row>
    <row r="166" ht="17" customHeight="1">
      <c r="A166" s="18" t="inlineStr">
        <is>
          <t>2024-05-19</t>
        </is>
      </c>
      <c r="B166" s="19" t="n">
        <v>8700</v>
      </c>
      <c r="C166" s="19" t="n">
        <v>5915</v>
      </c>
      <c r="D166" s="20" t="n"/>
      <c r="E166" s="21">
        <f>C166-Lambda*B166-OtherCost</f>
        <v/>
      </c>
      <c r="F166" s="22">
        <f>C166/B166</f>
        <v/>
      </c>
      <c r="G166" s="23">
        <f>B166/B165-1</f>
        <v/>
      </c>
      <c r="H166" s="23">
        <f>C166/C165-1</f>
        <v/>
      </c>
    </row>
    <row r="167" ht="17" customHeight="1">
      <c r="A167" s="13" t="inlineStr">
        <is>
          <t>2024-05-20</t>
        </is>
      </c>
      <c r="B167" s="14" t="n">
        <v>8700</v>
      </c>
      <c r="C167" s="14" t="n">
        <v>5923</v>
      </c>
      <c r="D167" s="15" t="n"/>
      <c r="E167" s="16">
        <f>C167-Lambda*B167-OtherCost</f>
        <v/>
      </c>
      <c r="F167" s="17">
        <f>C167/B167</f>
        <v/>
      </c>
      <c r="G167" s="24">
        <f>B167/B166-1</f>
        <v/>
      </c>
      <c r="H167" s="24">
        <f>C167/C166-1</f>
        <v/>
      </c>
    </row>
    <row r="168" ht="17" customHeight="1">
      <c r="A168" s="18" t="inlineStr">
        <is>
          <t>2024-05-21</t>
        </is>
      </c>
      <c r="B168" s="19" t="n">
        <v>8700</v>
      </c>
      <c r="C168" s="19" t="n">
        <v>5923</v>
      </c>
      <c r="D168" s="20" t="n"/>
      <c r="E168" s="21">
        <f>C168-Lambda*B168-OtherCost</f>
        <v/>
      </c>
      <c r="F168" s="22">
        <f>C168/B168</f>
        <v/>
      </c>
      <c r="G168" s="23">
        <f>B168/B167-1</f>
        <v/>
      </c>
      <c r="H168" s="23">
        <f>C168/C167-1</f>
        <v/>
      </c>
    </row>
    <row r="169" ht="17" customHeight="1">
      <c r="A169" s="13" t="inlineStr">
        <is>
          <t>2024-05-22</t>
        </is>
      </c>
      <c r="B169" s="14" t="n">
        <v>8700</v>
      </c>
      <c r="C169" s="14" t="n">
        <v>5918</v>
      </c>
      <c r="D169" s="15" t="n"/>
      <c r="E169" s="16">
        <f>C169-Lambda*B169-OtherCost</f>
        <v/>
      </c>
      <c r="F169" s="17">
        <f>C169/B169</f>
        <v/>
      </c>
      <c r="G169" s="24">
        <f>B169/B168-1</f>
        <v/>
      </c>
      <c r="H169" s="24">
        <f>C169/C168-1</f>
        <v/>
      </c>
    </row>
    <row r="170" ht="17" customHeight="1">
      <c r="A170" s="18" t="inlineStr">
        <is>
          <t>2024-05-23</t>
        </is>
      </c>
      <c r="B170" s="19" t="n">
        <v>8700</v>
      </c>
      <c r="C170" s="19" t="n">
        <v>5946</v>
      </c>
      <c r="D170" s="20" t="n"/>
      <c r="E170" s="21">
        <f>C170-Lambda*B170-OtherCost</f>
        <v/>
      </c>
      <c r="F170" s="22">
        <f>C170/B170</f>
        <v/>
      </c>
      <c r="G170" s="23">
        <f>B170/B169-1</f>
        <v/>
      </c>
      <c r="H170" s="23">
        <f>C170/C169-1</f>
        <v/>
      </c>
    </row>
    <row r="171" ht="17" customHeight="1">
      <c r="A171" s="13" t="inlineStr">
        <is>
          <t>2024-05-26</t>
        </is>
      </c>
      <c r="B171" s="14" t="n">
        <v>8700</v>
      </c>
      <c r="C171" s="14" t="n">
        <v>5976</v>
      </c>
      <c r="D171" s="15" t="n"/>
      <c r="E171" s="16">
        <f>C171-Lambda*B171-OtherCost</f>
        <v/>
      </c>
      <c r="F171" s="17">
        <f>C171/B171</f>
        <v/>
      </c>
      <c r="G171" s="24">
        <f>B171/B170-1</f>
        <v/>
      </c>
      <c r="H171" s="24">
        <f>C171/C170-1</f>
        <v/>
      </c>
    </row>
    <row r="172" ht="17" customHeight="1">
      <c r="A172" s="18" t="inlineStr">
        <is>
          <t>2024-05-27</t>
        </is>
      </c>
      <c r="B172" s="19" t="n">
        <v>8700</v>
      </c>
      <c r="C172" s="19" t="n">
        <v>5976</v>
      </c>
      <c r="D172" s="20" t="n"/>
      <c r="E172" s="21">
        <f>C172-Lambda*B172-OtherCost</f>
        <v/>
      </c>
      <c r="F172" s="22">
        <f>C172/B172</f>
        <v/>
      </c>
      <c r="G172" s="23">
        <f>B172/B171-1</f>
        <v/>
      </c>
      <c r="H172" s="23">
        <f>C172/C171-1</f>
        <v/>
      </c>
    </row>
    <row r="173" ht="17" customHeight="1">
      <c r="A173" s="13" t="inlineStr">
        <is>
          <t>2024-05-28</t>
        </is>
      </c>
      <c r="B173" s="14" t="n">
        <v>8700</v>
      </c>
      <c r="C173" s="14" t="n">
        <v>5972</v>
      </c>
      <c r="D173" s="15" t="n"/>
      <c r="E173" s="16">
        <f>C173-Lambda*B173-OtherCost</f>
        <v/>
      </c>
      <c r="F173" s="17">
        <f>C173/B173</f>
        <v/>
      </c>
      <c r="G173" s="24">
        <f>B173/B172-1</f>
        <v/>
      </c>
      <c r="H173" s="24">
        <f>C173/C172-1</f>
        <v/>
      </c>
    </row>
    <row r="174" ht="17" customHeight="1">
      <c r="A174" s="18" t="inlineStr">
        <is>
          <t>2024-05-29</t>
        </is>
      </c>
      <c r="B174" s="19" t="n">
        <v>8700</v>
      </c>
      <c r="C174" s="19" t="n">
        <v>6010</v>
      </c>
      <c r="D174" s="20" t="n"/>
      <c r="E174" s="21">
        <f>C174-Lambda*B174-OtherCost</f>
        <v/>
      </c>
      <c r="F174" s="22">
        <f>C174/B174</f>
        <v/>
      </c>
      <c r="G174" s="23">
        <f>B174/B173-1</f>
        <v/>
      </c>
      <c r="H174" s="23">
        <f>C174/C173-1</f>
        <v/>
      </c>
    </row>
    <row r="175" ht="17" customHeight="1">
      <c r="A175" s="13" t="inlineStr">
        <is>
          <t>2024-05-30</t>
        </is>
      </c>
      <c r="B175" s="14" t="n">
        <v>8700</v>
      </c>
      <c r="C175" s="14" t="n">
        <v>6010</v>
      </c>
      <c r="D175" s="15" t="n"/>
      <c r="E175" s="16">
        <f>C175-Lambda*B175-OtherCost</f>
        <v/>
      </c>
      <c r="F175" s="17">
        <f>C175/B175</f>
        <v/>
      </c>
      <c r="G175" s="24">
        <f>B175/B174-1</f>
        <v/>
      </c>
      <c r="H175" s="24">
        <f>C175/C174-1</f>
        <v/>
      </c>
    </row>
    <row r="176" ht="17" customHeight="1">
      <c r="A176" s="18" t="inlineStr">
        <is>
          <t>2024-06-02</t>
        </is>
      </c>
      <c r="B176" s="19" t="n">
        <v>8700</v>
      </c>
      <c r="C176" s="19" t="n">
        <v>5985.5</v>
      </c>
      <c r="D176" s="20" t="n"/>
      <c r="E176" s="21">
        <f>C176-Lambda*B176-OtherCost</f>
        <v/>
      </c>
      <c r="F176" s="22">
        <f>C176/B176</f>
        <v/>
      </c>
      <c r="G176" s="23">
        <f>B176/B175-1</f>
        <v/>
      </c>
      <c r="H176" s="23">
        <f>C176/C175-1</f>
        <v/>
      </c>
    </row>
    <row r="177" ht="17" customHeight="1">
      <c r="A177" s="13" t="inlineStr">
        <is>
          <t>2024-06-03</t>
        </is>
      </c>
      <c r="B177" s="14" t="n">
        <v>8700</v>
      </c>
      <c r="C177" s="14" t="n">
        <v>5911</v>
      </c>
      <c r="D177" s="15" t="n"/>
      <c r="E177" s="16">
        <f>C177-Lambda*B177-OtherCost</f>
        <v/>
      </c>
      <c r="F177" s="17">
        <f>C177/B177</f>
        <v/>
      </c>
      <c r="G177" s="24">
        <f>B177/B176-1</f>
        <v/>
      </c>
      <c r="H177" s="24">
        <f>C177/C176-1</f>
        <v/>
      </c>
    </row>
    <row r="178" ht="17" customHeight="1">
      <c r="A178" s="18" t="inlineStr">
        <is>
          <t>2024-06-04</t>
        </is>
      </c>
      <c r="B178" s="19" t="n">
        <v>8700</v>
      </c>
      <c r="C178" s="19" t="n">
        <v>5941</v>
      </c>
      <c r="D178" s="20" t="n"/>
      <c r="E178" s="21">
        <f>C178-Lambda*B178-OtherCost</f>
        <v/>
      </c>
      <c r="F178" s="22">
        <f>C178/B178</f>
        <v/>
      </c>
      <c r="G178" s="23">
        <f>B178/B177-1</f>
        <v/>
      </c>
      <c r="H178" s="23">
        <f>C178/C177-1</f>
        <v/>
      </c>
    </row>
    <row r="179" ht="17" customHeight="1">
      <c r="A179" s="13" t="inlineStr">
        <is>
          <t>2024-06-05</t>
        </is>
      </c>
      <c r="B179" s="14" t="n">
        <v>8700</v>
      </c>
      <c r="C179" s="14" t="n">
        <v>5941</v>
      </c>
      <c r="D179" s="15" t="n"/>
      <c r="E179" s="16">
        <f>C179-Lambda*B179-OtherCost</f>
        <v/>
      </c>
      <c r="F179" s="17">
        <f>C179/B179</f>
        <v/>
      </c>
      <c r="G179" s="24">
        <f>B179/B178-1</f>
        <v/>
      </c>
      <c r="H179" s="24">
        <f>C179/C178-1</f>
        <v/>
      </c>
    </row>
    <row r="180" ht="17" customHeight="1">
      <c r="A180" s="18" t="inlineStr">
        <is>
          <t>2024-06-06</t>
        </is>
      </c>
      <c r="B180" s="19" t="n">
        <v>8700</v>
      </c>
      <c r="C180" s="19" t="n">
        <v>5958</v>
      </c>
      <c r="D180" s="20" t="n"/>
      <c r="E180" s="21">
        <f>C180-Lambda*B180-OtherCost</f>
        <v/>
      </c>
      <c r="F180" s="22">
        <f>C180/B180</f>
        <v/>
      </c>
      <c r="G180" s="23">
        <f>B180/B179-1</f>
        <v/>
      </c>
      <c r="H180" s="23">
        <f>C180/C179-1</f>
        <v/>
      </c>
    </row>
    <row r="181" ht="17" customHeight="1">
      <c r="A181" s="13" t="inlineStr">
        <is>
          <t>2024-06-09</t>
        </is>
      </c>
      <c r="B181" s="14" t="n">
        <v>8700</v>
      </c>
      <c r="C181" s="14" t="n">
        <v>5957</v>
      </c>
      <c r="D181" s="15" t="n"/>
      <c r="E181" s="16">
        <f>C181-Lambda*B181-OtherCost</f>
        <v/>
      </c>
      <c r="F181" s="17">
        <f>C181/B181</f>
        <v/>
      </c>
      <c r="G181" s="24">
        <f>B181/B180-1</f>
        <v/>
      </c>
      <c r="H181" s="24">
        <f>C181/C180-1</f>
        <v/>
      </c>
    </row>
    <row r="182" ht="17" customHeight="1">
      <c r="A182" s="18" t="inlineStr">
        <is>
          <t>2024-06-10</t>
        </is>
      </c>
      <c r="B182" s="19" t="n">
        <v>8700</v>
      </c>
      <c r="C182" s="19" t="n">
        <v>5987</v>
      </c>
      <c r="D182" s="20" t="n"/>
      <c r="E182" s="21">
        <f>C182-Lambda*B182-OtherCost</f>
        <v/>
      </c>
      <c r="F182" s="22">
        <f>C182/B182</f>
        <v/>
      </c>
      <c r="G182" s="23">
        <f>B182/B181-1</f>
        <v/>
      </c>
      <c r="H182" s="23">
        <f>C182/C181-1</f>
        <v/>
      </c>
    </row>
    <row r="183" ht="17" customHeight="1">
      <c r="A183" s="13" t="inlineStr">
        <is>
          <t>2024-06-11</t>
        </is>
      </c>
      <c r="B183" s="14" t="n">
        <v>8700</v>
      </c>
      <c r="C183" s="14" t="n">
        <v>5987</v>
      </c>
      <c r="D183" s="15" t="n"/>
      <c r="E183" s="16">
        <f>C183-Lambda*B183-OtherCost</f>
        <v/>
      </c>
      <c r="F183" s="17">
        <f>C183/B183</f>
        <v/>
      </c>
      <c r="G183" s="24">
        <f>B183/B182-1</f>
        <v/>
      </c>
      <c r="H183" s="24">
        <f>C183/C182-1</f>
        <v/>
      </c>
    </row>
    <row r="184" ht="17" customHeight="1">
      <c r="A184" s="18" t="inlineStr">
        <is>
          <t>2024-06-12</t>
        </is>
      </c>
      <c r="B184" s="19" t="n">
        <v>8700</v>
      </c>
      <c r="C184" s="19" t="n">
        <v>5987</v>
      </c>
      <c r="D184" s="20" t="n"/>
      <c r="E184" s="21">
        <f>C184-Lambda*B184-OtherCost</f>
        <v/>
      </c>
      <c r="F184" s="22">
        <f>C184/B184</f>
        <v/>
      </c>
      <c r="G184" s="23">
        <f>B184/B183-1</f>
        <v/>
      </c>
      <c r="H184" s="23">
        <f>C184/C183-1</f>
        <v/>
      </c>
    </row>
    <row r="185" ht="17" customHeight="1">
      <c r="A185" s="13" t="inlineStr">
        <is>
          <t>2024-06-13</t>
        </is>
      </c>
      <c r="B185" s="14" t="n">
        <v>8700</v>
      </c>
      <c r="C185" s="14" t="n">
        <v>5979</v>
      </c>
      <c r="D185" s="15" t="n"/>
      <c r="E185" s="16">
        <f>C185-Lambda*B185-OtherCost</f>
        <v/>
      </c>
      <c r="F185" s="17">
        <f>C185/B185</f>
        <v/>
      </c>
      <c r="G185" s="24">
        <f>B185/B184-1</f>
        <v/>
      </c>
      <c r="H185" s="24">
        <f>C185/C184-1</f>
        <v/>
      </c>
    </row>
    <row r="186" ht="17" customHeight="1">
      <c r="A186" s="18" t="inlineStr">
        <is>
          <t>2024-06-16</t>
        </is>
      </c>
      <c r="B186" s="19" t="n">
        <v>8700</v>
      </c>
      <c r="C186" s="19" t="n">
        <v>5956</v>
      </c>
      <c r="D186" s="20" t="n"/>
      <c r="E186" s="21">
        <f>C186-Lambda*B186-OtherCost</f>
        <v/>
      </c>
      <c r="F186" s="22">
        <f>C186/B186</f>
        <v/>
      </c>
      <c r="G186" s="23">
        <f>B186/B185-1</f>
        <v/>
      </c>
      <c r="H186" s="23">
        <f>C186/C185-1</f>
        <v/>
      </c>
    </row>
    <row r="187" ht="17" customHeight="1">
      <c r="A187" s="13" t="inlineStr">
        <is>
          <t>2024-06-17</t>
        </is>
      </c>
      <c r="B187" s="14" t="n">
        <v>8700</v>
      </c>
      <c r="C187" s="14" t="n">
        <v>5923.5</v>
      </c>
      <c r="D187" s="15" t="n"/>
      <c r="E187" s="16">
        <f>C187-Lambda*B187-OtherCost</f>
        <v/>
      </c>
      <c r="F187" s="17">
        <f>C187/B187</f>
        <v/>
      </c>
      <c r="G187" s="24">
        <f>B187/B186-1</f>
        <v/>
      </c>
      <c r="H187" s="24">
        <f>C187/C186-1</f>
        <v/>
      </c>
    </row>
    <row r="188" ht="17" customHeight="1">
      <c r="A188" s="18" t="inlineStr">
        <is>
          <t>2024-06-18</t>
        </is>
      </c>
      <c r="B188" s="19" t="n">
        <v>8700</v>
      </c>
      <c r="C188" s="19" t="n">
        <v>5963</v>
      </c>
      <c r="D188" s="20" t="n"/>
      <c r="E188" s="21">
        <f>C188-Lambda*B188-OtherCost</f>
        <v/>
      </c>
      <c r="F188" s="22">
        <f>C188/B188</f>
        <v/>
      </c>
      <c r="G188" s="23">
        <f>B188/B187-1</f>
        <v/>
      </c>
      <c r="H188" s="23">
        <f>C188/C187-1</f>
        <v/>
      </c>
    </row>
    <row r="189" ht="17" customHeight="1">
      <c r="A189" s="13" t="inlineStr">
        <is>
          <t>2024-06-19</t>
        </is>
      </c>
      <c r="B189" s="14" t="n">
        <v>8700</v>
      </c>
      <c r="C189" s="14" t="n">
        <v>5985</v>
      </c>
      <c r="D189" s="15" t="n"/>
      <c r="E189" s="16">
        <f>C189-Lambda*B189-OtherCost</f>
        <v/>
      </c>
      <c r="F189" s="17">
        <f>C189/B189</f>
        <v/>
      </c>
      <c r="G189" s="24">
        <f>B189/B188-1</f>
        <v/>
      </c>
      <c r="H189" s="24">
        <f>C189/C188-1</f>
        <v/>
      </c>
    </row>
    <row r="190" ht="17" customHeight="1">
      <c r="A190" s="18" t="inlineStr">
        <is>
          <t>2024-06-20</t>
        </is>
      </c>
      <c r="B190" s="19" t="n">
        <v>8700</v>
      </c>
      <c r="C190" s="19" t="n">
        <v>5976</v>
      </c>
      <c r="D190" s="20" t="n"/>
      <c r="E190" s="21">
        <f>C190-Lambda*B190-OtherCost</f>
        <v/>
      </c>
      <c r="F190" s="22">
        <f>C190/B190</f>
        <v/>
      </c>
      <c r="G190" s="23">
        <f>B190/B189-1</f>
        <v/>
      </c>
      <c r="H190" s="23">
        <f>C190/C189-1</f>
        <v/>
      </c>
    </row>
    <row r="191" ht="17" customHeight="1">
      <c r="A191" s="13" t="inlineStr">
        <is>
          <t>2024-06-23</t>
        </is>
      </c>
      <c r="B191" s="14" t="n">
        <v>8700</v>
      </c>
      <c r="C191" s="14" t="n">
        <v>5973.7</v>
      </c>
      <c r="D191" s="15" t="n"/>
      <c r="E191" s="16">
        <f>C191-Lambda*B191-OtherCost</f>
        <v/>
      </c>
      <c r="F191" s="17">
        <f>C191/B191</f>
        <v/>
      </c>
      <c r="G191" s="24">
        <f>B191/B190-1</f>
        <v/>
      </c>
      <c r="H191" s="24">
        <f>C191/C190-1</f>
        <v/>
      </c>
    </row>
    <row r="192" ht="17" customHeight="1">
      <c r="A192" s="18" t="inlineStr">
        <is>
          <t>2024-06-24</t>
        </is>
      </c>
      <c r="B192" s="19" t="n">
        <v>8700</v>
      </c>
      <c r="C192" s="19" t="n">
        <v>6008</v>
      </c>
      <c r="D192" s="20" t="n"/>
      <c r="E192" s="21">
        <f>C192-Lambda*B192-OtherCost</f>
        <v/>
      </c>
      <c r="F192" s="22">
        <f>C192/B192</f>
        <v/>
      </c>
      <c r="G192" s="23">
        <f>B192/B191-1</f>
        <v/>
      </c>
      <c r="H192" s="23">
        <f>C192/C191-1</f>
        <v/>
      </c>
    </row>
    <row r="193" ht="17" customHeight="1">
      <c r="A193" s="13" t="inlineStr">
        <is>
          <t>2024-06-25</t>
        </is>
      </c>
      <c r="B193" s="14" t="n">
        <v>8700</v>
      </c>
      <c r="C193" s="14" t="n">
        <v>6008</v>
      </c>
      <c r="D193" s="15" t="n"/>
      <c r="E193" s="16">
        <f>C193-Lambda*B193-OtherCost</f>
        <v/>
      </c>
      <c r="F193" s="17">
        <f>C193/B193</f>
        <v/>
      </c>
      <c r="G193" s="24">
        <f>B193/B192-1</f>
        <v/>
      </c>
      <c r="H193" s="24">
        <f>C193/C192-1</f>
        <v/>
      </c>
    </row>
    <row r="194" ht="17" customHeight="1">
      <c r="A194" s="18" t="inlineStr">
        <is>
          <t>2024-06-26</t>
        </is>
      </c>
      <c r="B194" s="19" t="n">
        <v>8800</v>
      </c>
      <c r="C194" s="19" t="n">
        <v>6017</v>
      </c>
      <c r="D194" s="20" t="n"/>
      <c r="E194" s="21">
        <f>C194-Lambda*B194-OtherCost</f>
        <v/>
      </c>
      <c r="F194" s="22">
        <f>C194/B194</f>
        <v/>
      </c>
      <c r="G194" s="23">
        <f>B194/B193-1</f>
        <v/>
      </c>
      <c r="H194" s="23">
        <f>C194/C193-1</f>
        <v/>
      </c>
    </row>
    <row r="195" ht="17" customHeight="1">
      <c r="A195" s="13" t="inlineStr">
        <is>
          <t>2024-06-27</t>
        </is>
      </c>
      <c r="B195" s="14" t="n">
        <v>8800</v>
      </c>
      <c r="C195" s="14" t="n">
        <v>6025</v>
      </c>
      <c r="D195" s="15" t="n"/>
      <c r="E195" s="16">
        <f>C195-Lambda*B195-OtherCost</f>
        <v/>
      </c>
      <c r="F195" s="17">
        <f>C195/B195</f>
        <v/>
      </c>
      <c r="G195" s="24">
        <f>B195/B194-1</f>
        <v/>
      </c>
      <c r="H195" s="24">
        <f>C195/C194-1</f>
        <v/>
      </c>
    </row>
    <row r="196" ht="17" customHeight="1">
      <c r="A196" s="18" t="inlineStr">
        <is>
          <t>2024-06-30</t>
        </is>
      </c>
      <c r="B196" s="19" t="n">
        <v>8800</v>
      </c>
      <c r="C196" s="19" t="n">
        <v>6038</v>
      </c>
      <c r="D196" s="20" t="n"/>
      <c r="E196" s="21">
        <f>C196-Lambda*B196-OtherCost</f>
        <v/>
      </c>
      <c r="F196" s="22">
        <f>C196/B196</f>
        <v/>
      </c>
      <c r="G196" s="23">
        <f>B196/B195-1</f>
        <v/>
      </c>
      <c r="H196" s="23">
        <f>C196/C195-1</f>
        <v/>
      </c>
    </row>
    <row r="197" ht="17" customHeight="1">
      <c r="A197" s="13" t="inlineStr">
        <is>
          <t>2024-07-01</t>
        </is>
      </c>
      <c r="B197" s="14" t="n">
        <v>8800</v>
      </c>
      <c r="C197" s="14" t="n">
        <v>6051</v>
      </c>
      <c r="D197" s="15" t="n"/>
      <c r="E197" s="16">
        <f>C197-Lambda*B197-OtherCost</f>
        <v/>
      </c>
      <c r="F197" s="17">
        <f>C197/B197</f>
        <v/>
      </c>
      <c r="G197" s="24">
        <f>B197/B196-1</f>
        <v/>
      </c>
      <c r="H197" s="24">
        <f>C197/C196-1</f>
        <v/>
      </c>
    </row>
    <row r="198" ht="17" customHeight="1">
      <c r="A198" s="18" t="inlineStr">
        <is>
          <t>2024-07-02</t>
        </is>
      </c>
      <c r="B198" s="19" t="n">
        <v>8800</v>
      </c>
      <c r="C198" s="19" t="n">
        <v>6114</v>
      </c>
      <c r="D198" s="20" t="n"/>
      <c r="E198" s="21">
        <f>C198-Lambda*B198-OtherCost</f>
        <v/>
      </c>
      <c r="F198" s="22">
        <f>C198/B198</f>
        <v/>
      </c>
      <c r="G198" s="23">
        <f>B198/B197-1</f>
        <v/>
      </c>
      <c r="H198" s="23">
        <f>C198/C197-1</f>
        <v/>
      </c>
    </row>
    <row r="199" ht="17" customHeight="1">
      <c r="A199" s="13" t="inlineStr">
        <is>
          <t>2024-07-03</t>
        </is>
      </c>
      <c r="B199" s="14" t="n">
        <v>8800</v>
      </c>
      <c r="C199" s="14" t="n">
        <v>6104</v>
      </c>
      <c r="D199" s="15" t="n"/>
      <c r="E199" s="16">
        <f>C199-Lambda*B199-OtherCost</f>
        <v/>
      </c>
      <c r="F199" s="17">
        <f>C199/B199</f>
        <v/>
      </c>
      <c r="G199" s="24">
        <f>B199/B198-1</f>
        <v/>
      </c>
      <c r="H199" s="24">
        <f>C199/C198-1</f>
        <v/>
      </c>
    </row>
    <row r="200" ht="17" customHeight="1">
      <c r="A200" s="18" t="inlineStr">
        <is>
          <t>2024-07-04</t>
        </is>
      </c>
      <c r="B200" s="19" t="n">
        <v>8800</v>
      </c>
      <c r="C200" s="19" t="n">
        <v>6104</v>
      </c>
      <c r="D200" s="20" t="n"/>
      <c r="E200" s="21">
        <f>C200-Lambda*B200-OtherCost</f>
        <v/>
      </c>
      <c r="F200" s="22">
        <f>C200/B200</f>
        <v/>
      </c>
      <c r="G200" s="23">
        <f>B200/B199-1</f>
        <v/>
      </c>
      <c r="H200" s="23">
        <f>C200/C199-1</f>
        <v/>
      </c>
    </row>
    <row r="201" ht="17" customHeight="1">
      <c r="A201" s="13" t="inlineStr">
        <is>
          <t>2024-07-07</t>
        </is>
      </c>
      <c r="B201" s="14" t="n">
        <v>8800</v>
      </c>
      <c r="C201" s="14" t="n">
        <v>6048</v>
      </c>
      <c r="D201" s="15" t="n"/>
      <c r="E201" s="16">
        <f>C201-Lambda*B201-OtherCost</f>
        <v/>
      </c>
      <c r="F201" s="17">
        <f>C201/B201</f>
        <v/>
      </c>
      <c r="G201" s="24">
        <f>B201/B200-1</f>
        <v/>
      </c>
      <c r="H201" s="24">
        <f>C201/C200-1</f>
        <v/>
      </c>
    </row>
    <row r="202" ht="17" customHeight="1">
      <c r="A202" s="18" t="inlineStr">
        <is>
          <t>2024-07-08</t>
        </is>
      </c>
      <c r="B202" s="19" t="n">
        <v>8800</v>
      </c>
      <c r="C202" s="19" t="n">
        <v>5991</v>
      </c>
      <c r="D202" s="20" t="n"/>
      <c r="E202" s="21">
        <f>C202-Lambda*B202-OtherCost</f>
        <v/>
      </c>
      <c r="F202" s="22">
        <f>C202/B202</f>
        <v/>
      </c>
      <c r="G202" s="23">
        <f>B202/B201-1</f>
        <v/>
      </c>
      <c r="H202" s="23">
        <f>C202/C201-1</f>
        <v/>
      </c>
    </row>
    <row r="203" ht="17" customHeight="1">
      <c r="A203" s="13" t="inlineStr">
        <is>
          <t>2024-07-09</t>
        </is>
      </c>
      <c r="B203" s="14" t="n">
        <v>8800</v>
      </c>
      <c r="C203" s="14" t="n">
        <v>5969</v>
      </c>
      <c r="D203" s="15" t="n"/>
      <c r="E203" s="16">
        <f>C203-Lambda*B203-OtherCost</f>
        <v/>
      </c>
      <c r="F203" s="17">
        <f>C203/B203</f>
        <v/>
      </c>
      <c r="G203" s="24">
        <f>B203/B202-1</f>
        <v/>
      </c>
      <c r="H203" s="24">
        <f>C203/C202-1</f>
        <v/>
      </c>
    </row>
    <row r="204" ht="17" customHeight="1">
      <c r="A204" s="18" t="inlineStr">
        <is>
          <t>2024-07-10</t>
        </is>
      </c>
      <c r="B204" s="19" t="n">
        <v>8800</v>
      </c>
      <c r="C204" s="19" t="n">
        <v>5978</v>
      </c>
      <c r="D204" s="20" t="n"/>
      <c r="E204" s="21">
        <f>C204-Lambda*B204-OtherCost</f>
        <v/>
      </c>
      <c r="F204" s="22">
        <f>C204/B204</f>
        <v/>
      </c>
      <c r="G204" s="23">
        <f>B204/B203-1</f>
        <v/>
      </c>
      <c r="H204" s="23">
        <f>C204/C203-1</f>
        <v/>
      </c>
    </row>
    <row r="205" ht="17" customHeight="1">
      <c r="A205" s="13" t="inlineStr">
        <is>
          <t>2024-07-11</t>
        </is>
      </c>
      <c r="B205" s="14" t="n">
        <v>8800</v>
      </c>
      <c r="C205" s="14" t="n">
        <v>5982</v>
      </c>
      <c r="D205" s="15" t="n"/>
      <c r="E205" s="16">
        <f>C205-Lambda*B205-OtherCost</f>
        <v/>
      </c>
      <c r="F205" s="17">
        <f>C205/B205</f>
        <v/>
      </c>
      <c r="G205" s="24">
        <f>B205/B204-1</f>
        <v/>
      </c>
      <c r="H205" s="24">
        <f>C205/C204-1</f>
        <v/>
      </c>
    </row>
    <row r="206" ht="17" customHeight="1">
      <c r="A206" s="18" t="inlineStr">
        <is>
          <t>2024-07-14</t>
        </is>
      </c>
      <c r="B206" s="19" t="n">
        <v>8900</v>
      </c>
      <c r="C206" s="19" t="n">
        <v>5946</v>
      </c>
      <c r="D206" s="20" t="n"/>
      <c r="E206" s="21">
        <f>C206-Lambda*B206-OtherCost</f>
        <v/>
      </c>
      <c r="F206" s="22">
        <f>C206/B206</f>
        <v/>
      </c>
      <c r="G206" s="23">
        <f>B206/B205-1</f>
        <v/>
      </c>
      <c r="H206" s="23">
        <f>C206/C205-1</f>
        <v/>
      </c>
    </row>
    <row r="207" ht="17" customHeight="1">
      <c r="A207" s="13" t="inlineStr">
        <is>
          <t>2024-07-15</t>
        </is>
      </c>
      <c r="B207" s="14" t="n">
        <v>8900</v>
      </c>
      <c r="C207" s="14" t="n">
        <v>5946</v>
      </c>
      <c r="D207" s="15" t="n"/>
      <c r="E207" s="16">
        <f>C207-Lambda*B207-OtherCost</f>
        <v/>
      </c>
      <c r="F207" s="17">
        <f>C207/B207</f>
        <v/>
      </c>
      <c r="G207" s="24">
        <f>B207/B206-1</f>
        <v/>
      </c>
      <c r="H207" s="24">
        <f>C207/C206-1</f>
        <v/>
      </c>
    </row>
    <row r="208" ht="17" customHeight="1">
      <c r="A208" s="18" t="inlineStr">
        <is>
          <t>2024-07-16</t>
        </is>
      </c>
      <c r="B208" s="19" t="n">
        <v>8900</v>
      </c>
      <c r="C208" s="19" t="n">
        <v>5931</v>
      </c>
      <c r="D208" s="20" t="n"/>
      <c r="E208" s="21">
        <f>C208-Lambda*B208-OtherCost</f>
        <v/>
      </c>
      <c r="F208" s="22">
        <f>C208/B208</f>
        <v/>
      </c>
      <c r="G208" s="23">
        <f>B208/B207-1</f>
        <v/>
      </c>
      <c r="H208" s="23">
        <f>C208/C207-1</f>
        <v/>
      </c>
    </row>
    <row r="209" ht="17" customHeight="1">
      <c r="A209" s="13" t="inlineStr">
        <is>
          <t>2024-07-17</t>
        </is>
      </c>
      <c r="B209" s="14" t="n">
        <v>8900</v>
      </c>
      <c r="C209" s="14" t="n">
        <v>5939</v>
      </c>
      <c r="D209" s="15" t="n"/>
      <c r="E209" s="16">
        <f>C209-Lambda*B209-OtherCost</f>
        <v/>
      </c>
      <c r="F209" s="17">
        <f>C209/B209</f>
        <v/>
      </c>
      <c r="G209" s="24">
        <f>B209/B208-1</f>
        <v/>
      </c>
      <c r="H209" s="24">
        <f>C209/C208-1</f>
        <v/>
      </c>
    </row>
    <row r="210" ht="17" customHeight="1">
      <c r="A210" s="18" t="inlineStr">
        <is>
          <t>2024-07-18</t>
        </is>
      </c>
      <c r="B210" s="19" t="n">
        <v>8900</v>
      </c>
      <c r="C210" s="19" t="n">
        <v>5931</v>
      </c>
      <c r="D210" s="20" t="n"/>
      <c r="E210" s="21">
        <f>C210-Lambda*B210-OtherCost</f>
        <v/>
      </c>
      <c r="F210" s="22">
        <f>C210/B210</f>
        <v/>
      </c>
      <c r="G210" s="23">
        <f>B210/B209-1</f>
        <v/>
      </c>
      <c r="H210" s="23">
        <f>C210/C209-1</f>
        <v/>
      </c>
    </row>
    <row r="211" ht="17" customHeight="1">
      <c r="A211" s="13" t="inlineStr">
        <is>
          <t>2024-07-21</t>
        </is>
      </c>
      <c r="B211" s="14" t="n">
        <v>8900</v>
      </c>
      <c r="C211" s="14" t="n">
        <v>5901.67</v>
      </c>
      <c r="D211" s="15" t="n"/>
      <c r="E211" s="16">
        <f>C211-Lambda*B211-OtherCost</f>
        <v/>
      </c>
      <c r="F211" s="17">
        <f>C211/B211</f>
        <v/>
      </c>
      <c r="G211" s="24">
        <f>B211/B210-1</f>
        <v/>
      </c>
      <c r="H211" s="24">
        <f>C211/C210-1</f>
        <v/>
      </c>
    </row>
    <row r="212" ht="17" customHeight="1">
      <c r="A212" s="18" t="inlineStr">
        <is>
          <t>2024-07-22</t>
        </is>
      </c>
      <c r="B212" s="19" t="n">
        <v>8900</v>
      </c>
      <c r="C212" s="19" t="n">
        <v>5885.56</v>
      </c>
      <c r="D212" s="20" t="n"/>
      <c r="E212" s="21">
        <f>C212-Lambda*B212-OtherCost</f>
        <v/>
      </c>
      <c r="F212" s="22">
        <f>C212/B212</f>
        <v/>
      </c>
      <c r="G212" s="23">
        <f>B212/B211-1</f>
        <v/>
      </c>
      <c r="H212" s="23">
        <f>C212/C211-1</f>
        <v/>
      </c>
    </row>
    <row r="213" ht="17" customHeight="1">
      <c r="A213" s="13" t="inlineStr">
        <is>
          <t>2024-07-23</t>
        </is>
      </c>
      <c r="B213" s="14" t="n">
        <v>8900</v>
      </c>
      <c r="C213" s="14" t="n">
        <v>5885.56</v>
      </c>
      <c r="D213" s="15" t="n"/>
      <c r="E213" s="16">
        <f>C213-Lambda*B213-OtherCost</f>
        <v/>
      </c>
      <c r="F213" s="17">
        <f>C213/B213</f>
        <v/>
      </c>
      <c r="G213" s="24">
        <f>B213/B212-1</f>
        <v/>
      </c>
      <c r="H213" s="24">
        <f>C213/C212-1</f>
        <v/>
      </c>
    </row>
    <row r="214" ht="17" customHeight="1">
      <c r="A214" s="18" t="inlineStr">
        <is>
          <t>2024-07-24</t>
        </is>
      </c>
      <c r="B214" s="19" t="n">
        <v>8900</v>
      </c>
      <c r="C214" s="19" t="n">
        <v>5831.11</v>
      </c>
      <c r="D214" s="20" t="n"/>
      <c r="E214" s="21">
        <f>C214-Lambda*B214-OtherCost</f>
        <v/>
      </c>
      <c r="F214" s="22">
        <f>C214/B214</f>
        <v/>
      </c>
      <c r="G214" s="23">
        <f>B214/B213-1</f>
        <v/>
      </c>
      <c r="H214" s="23">
        <f>C214/C213-1</f>
        <v/>
      </c>
    </row>
    <row r="215" ht="17" customHeight="1">
      <c r="A215" s="13" t="inlineStr">
        <is>
          <t>2024-07-25</t>
        </is>
      </c>
      <c r="B215" s="14" t="n">
        <v>8900</v>
      </c>
      <c r="C215" s="14" t="n">
        <v>5844.44</v>
      </c>
      <c r="D215" s="15" t="n"/>
      <c r="E215" s="16">
        <f>C215-Lambda*B215-OtherCost</f>
        <v/>
      </c>
      <c r="F215" s="17">
        <f>C215/B215</f>
        <v/>
      </c>
      <c r="G215" s="24">
        <f>B215/B214-1</f>
        <v/>
      </c>
      <c r="H215" s="24">
        <f>C215/C214-1</f>
        <v/>
      </c>
    </row>
    <row r="216" ht="17" customHeight="1">
      <c r="A216" s="18" t="inlineStr">
        <is>
          <t>2024-07-28</t>
        </is>
      </c>
      <c r="B216" s="19" t="n">
        <v>8900</v>
      </c>
      <c r="C216" s="19" t="n">
        <v>5850</v>
      </c>
      <c r="D216" s="20" t="n"/>
      <c r="E216" s="21">
        <f>C216-Lambda*B216-OtherCost</f>
        <v/>
      </c>
      <c r="F216" s="22">
        <f>C216/B216</f>
        <v/>
      </c>
      <c r="G216" s="23">
        <f>B216/B215-1</f>
        <v/>
      </c>
      <c r="H216" s="23">
        <f>C216/C215-1</f>
        <v/>
      </c>
    </row>
    <row r="217" ht="17" customHeight="1">
      <c r="A217" s="13" t="inlineStr">
        <is>
          <t>2024-07-29</t>
        </is>
      </c>
      <c r="B217" s="14" t="n">
        <v>8900</v>
      </c>
      <c r="C217" s="14" t="n">
        <v>5850</v>
      </c>
      <c r="D217" s="15" t="n"/>
      <c r="E217" s="16">
        <f>C217-Lambda*B217-OtherCost</f>
        <v/>
      </c>
      <c r="F217" s="17">
        <f>C217/B217</f>
        <v/>
      </c>
      <c r="G217" s="24">
        <f>B217/B216-1</f>
        <v/>
      </c>
      <c r="H217" s="24">
        <f>C217/C216-1</f>
        <v/>
      </c>
    </row>
    <row r="218" ht="17" customHeight="1">
      <c r="A218" s="18" t="inlineStr">
        <is>
          <t>2024-07-30</t>
        </is>
      </c>
      <c r="B218" s="19" t="n">
        <v>8500</v>
      </c>
      <c r="C218" s="19" t="n">
        <v>5781.11</v>
      </c>
      <c r="D218" s="20" t="n"/>
      <c r="E218" s="21">
        <f>C218-Lambda*B218-OtherCost</f>
        <v/>
      </c>
      <c r="F218" s="22">
        <f>C218/B218</f>
        <v/>
      </c>
      <c r="G218" s="23">
        <f>B218/B217-1</f>
        <v/>
      </c>
      <c r="H218" s="23">
        <f>C218/C217-1</f>
        <v/>
      </c>
    </row>
    <row r="219" ht="17" customHeight="1">
      <c r="A219" s="13" t="inlineStr">
        <is>
          <t>2024-07-31</t>
        </is>
      </c>
      <c r="B219" s="14" t="n">
        <v>8500</v>
      </c>
      <c r="C219" s="14" t="n">
        <v>5830.56</v>
      </c>
      <c r="D219" s="15" t="n"/>
      <c r="E219" s="16">
        <f>C219-Lambda*B219-OtherCost</f>
        <v/>
      </c>
      <c r="F219" s="17">
        <f>C219/B219</f>
        <v/>
      </c>
      <c r="G219" s="24">
        <f>B219/B218-1</f>
        <v/>
      </c>
      <c r="H219" s="24">
        <f>C219/C218-1</f>
        <v/>
      </c>
    </row>
    <row r="220" ht="17" customHeight="1">
      <c r="A220" s="18" t="inlineStr">
        <is>
          <t>2024-08-01</t>
        </is>
      </c>
      <c r="B220" s="19" t="n">
        <v>8500</v>
      </c>
      <c r="C220" s="19" t="n">
        <v>5824.44</v>
      </c>
      <c r="D220" s="20" t="n"/>
      <c r="E220" s="21">
        <f>C220-Lambda*B220-OtherCost</f>
        <v/>
      </c>
      <c r="F220" s="22">
        <f>C220/B220</f>
        <v/>
      </c>
      <c r="G220" s="23">
        <f>B220/B219-1</f>
        <v/>
      </c>
      <c r="H220" s="23">
        <f>C220/C219-1</f>
        <v/>
      </c>
    </row>
    <row r="221" ht="17" customHeight="1">
      <c r="A221" s="13" t="inlineStr">
        <is>
          <t>2024-08-04</t>
        </is>
      </c>
      <c r="B221" s="14" t="n">
        <v>8500</v>
      </c>
      <c r="C221" s="14" t="n">
        <v>5715.56</v>
      </c>
      <c r="D221" s="15" t="n"/>
      <c r="E221" s="16">
        <f>C221-Lambda*B221-OtherCost</f>
        <v/>
      </c>
      <c r="F221" s="17">
        <f>C221/B221</f>
        <v/>
      </c>
      <c r="G221" s="24">
        <f>B221/B220-1</f>
        <v/>
      </c>
      <c r="H221" s="24">
        <f>C221/C220-1</f>
        <v/>
      </c>
    </row>
    <row r="222" ht="17" customHeight="1">
      <c r="A222" s="18" t="inlineStr">
        <is>
          <t>2024-08-05</t>
        </is>
      </c>
      <c r="B222" s="19" t="n">
        <v>8500</v>
      </c>
      <c r="C222" s="19" t="n">
        <v>5657.78</v>
      </c>
      <c r="D222" s="20" t="n"/>
      <c r="E222" s="21">
        <f>C222-Lambda*B222-OtherCost</f>
        <v/>
      </c>
      <c r="F222" s="22">
        <f>C222/B222</f>
        <v/>
      </c>
      <c r="G222" s="23">
        <f>B222/B221-1</f>
        <v/>
      </c>
      <c r="H222" s="23">
        <f>C222/C221-1</f>
        <v/>
      </c>
    </row>
    <row r="223" ht="17" customHeight="1">
      <c r="A223" s="13" t="inlineStr">
        <is>
          <t>2024-08-06</t>
        </is>
      </c>
      <c r="B223" s="14" t="n">
        <v>8500</v>
      </c>
      <c r="C223" s="14" t="n">
        <v>5630</v>
      </c>
      <c r="D223" s="15" t="n"/>
      <c r="E223" s="16">
        <f>C223-Lambda*B223-OtherCost</f>
        <v/>
      </c>
      <c r="F223" s="17">
        <f>C223/B223</f>
        <v/>
      </c>
      <c r="G223" s="24">
        <f>B223/B222-1</f>
        <v/>
      </c>
      <c r="H223" s="24">
        <f>C223/C222-1</f>
        <v/>
      </c>
    </row>
    <row r="224" ht="17" customHeight="1">
      <c r="A224" s="18" t="inlineStr">
        <is>
          <t>2024-08-07</t>
        </is>
      </c>
      <c r="B224" s="19" t="n">
        <v>8500</v>
      </c>
      <c r="C224" s="19" t="n">
        <v>5616.67</v>
      </c>
      <c r="D224" s="20" t="n"/>
      <c r="E224" s="21">
        <f>C224-Lambda*B224-OtherCost</f>
        <v/>
      </c>
      <c r="F224" s="22">
        <f>C224/B224</f>
        <v/>
      </c>
      <c r="G224" s="23">
        <f>B224/B223-1</f>
        <v/>
      </c>
      <c r="H224" s="23">
        <f>C224/C223-1</f>
        <v/>
      </c>
    </row>
    <row r="225" ht="17" customHeight="1">
      <c r="A225" s="13" t="inlineStr">
        <is>
          <t>2024-08-08</t>
        </is>
      </c>
      <c r="B225" s="14" t="n">
        <v>8500</v>
      </c>
      <c r="C225" s="14" t="n">
        <v>5616.67</v>
      </c>
      <c r="D225" s="15" t="n"/>
      <c r="E225" s="16">
        <f>C225-Lambda*B225-OtherCost</f>
        <v/>
      </c>
      <c r="F225" s="17">
        <f>C225/B225</f>
        <v/>
      </c>
      <c r="G225" s="24">
        <f>B225/B224-1</f>
        <v/>
      </c>
      <c r="H225" s="24">
        <f>C225/C224-1</f>
        <v/>
      </c>
    </row>
    <row r="226" ht="17" customHeight="1">
      <c r="A226" s="18" t="inlineStr">
        <is>
          <t>2024-08-11</t>
        </is>
      </c>
      <c r="B226" s="19" t="n">
        <v>8500</v>
      </c>
      <c r="C226" s="19" t="n">
        <v>5599.11</v>
      </c>
      <c r="D226" s="20" t="n"/>
      <c r="E226" s="21">
        <f>C226-Lambda*B226-OtherCost</f>
        <v/>
      </c>
      <c r="F226" s="22">
        <f>C226/B226</f>
        <v/>
      </c>
      <c r="G226" s="23">
        <f>B226/B225-1</f>
        <v/>
      </c>
      <c r="H226" s="23">
        <f>C226/C225-1</f>
        <v/>
      </c>
    </row>
    <row r="227" ht="17" customHeight="1">
      <c r="A227" s="13" t="inlineStr">
        <is>
          <t>2024-08-12</t>
        </is>
      </c>
      <c r="B227" s="14" t="n">
        <v>8500</v>
      </c>
      <c r="C227" s="14" t="n">
        <v>5610.22</v>
      </c>
      <c r="D227" s="15" t="n"/>
      <c r="E227" s="16">
        <f>C227-Lambda*B227-OtherCost</f>
        <v/>
      </c>
      <c r="F227" s="17">
        <f>C227/B227</f>
        <v/>
      </c>
      <c r="G227" s="24">
        <f>B227/B226-1</f>
        <v/>
      </c>
      <c r="H227" s="24">
        <f>C227/C226-1</f>
        <v/>
      </c>
    </row>
    <row r="228" ht="17" customHeight="1">
      <c r="A228" s="18" t="inlineStr">
        <is>
          <t>2024-08-13</t>
        </is>
      </c>
      <c r="B228" s="19" t="n">
        <v>8500</v>
      </c>
      <c r="C228" s="19" t="n">
        <v>5598.89</v>
      </c>
      <c r="D228" s="20" t="n"/>
      <c r="E228" s="21">
        <f>C228-Lambda*B228-OtherCost</f>
        <v/>
      </c>
      <c r="F228" s="22">
        <f>C228/B228</f>
        <v/>
      </c>
      <c r="G228" s="23">
        <f>B228/B227-1</f>
        <v/>
      </c>
      <c r="H228" s="23">
        <f>C228/C227-1</f>
        <v/>
      </c>
    </row>
    <row r="229" ht="17" customHeight="1">
      <c r="A229" s="13" t="inlineStr">
        <is>
          <t>2024-08-14</t>
        </is>
      </c>
      <c r="B229" s="14" t="n">
        <v>8500</v>
      </c>
      <c r="C229" s="14" t="n">
        <v>5540</v>
      </c>
      <c r="D229" s="15" t="n"/>
      <c r="E229" s="16">
        <f>C229-Lambda*B229-OtherCost</f>
        <v/>
      </c>
      <c r="F229" s="17">
        <f>C229/B229</f>
        <v/>
      </c>
      <c r="G229" s="24">
        <f>B229/B228-1</f>
        <v/>
      </c>
      <c r="H229" s="24">
        <f>C229/C228-1</f>
        <v/>
      </c>
    </row>
    <row r="230" ht="17" customHeight="1">
      <c r="A230" s="18" t="inlineStr">
        <is>
          <t>2024-08-15</t>
        </is>
      </c>
      <c r="B230" s="19" t="n">
        <v>8500</v>
      </c>
      <c r="C230" s="19" t="n">
        <v>5566.11</v>
      </c>
      <c r="D230" s="20" t="n"/>
      <c r="E230" s="21">
        <f>C230-Lambda*B230-OtherCost</f>
        <v/>
      </c>
      <c r="F230" s="22">
        <f>C230/B230</f>
        <v/>
      </c>
      <c r="G230" s="23">
        <f>B230/B229-1</f>
        <v/>
      </c>
      <c r="H230" s="23">
        <f>C230/C229-1</f>
        <v/>
      </c>
    </row>
    <row r="231" ht="17" customHeight="1">
      <c r="A231" s="13" t="inlineStr">
        <is>
          <t>2024-08-18</t>
        </is>
      </c>
      <c r="B231" s="14" t="n">
        <v>8300</v>
      </c>
      <c r="C231" s="14" t="n">
        <v>5446.67</v>
      </c>
      <c r="D231" s="15" t="n"/>
      <c r="E231" s="16">
        <f>C231-Lambda*B231-OtherCost</f>
        <v/>
      </c>
      <c r="F231" s="17">
        <f>C231/B231</f>
        <v/>
      </c>
      <c r="G231" s="24">
        <f>B231/B230-1</f>
        <v/>
      </c>
      <c r="H231" s="24">
        <f>C231/C230-1</f>
        <v/>
      </c>
    </row>
    <row r="232" ht="17" customHeight="1">
      <c r="A232" s="18" t="inlineStr">
        <is>
          <t>2024-08-19</t>
        </is>
      </c>
      <c r="B232" s="19" t="n">
        <v>8300</v>
      </c>
      <c r="C232" s="19" t="n">
        <v>5357.78</v>
      </c>
      <c r="D232" s="20" t="n"/>
      <c r="E232" s="21">
        <f>C232-Lambda*B232-OtherCost</f>
        <v/>
      </c>
      <c r="F232" s="22">
        <f>C232/B232</f>
        <v/>
      </c>
      <c r="G232" s="23">
        <f>B232/B231-1</f>
        <v/>
      </c>
      <c r="H232" s="23">
        <f>C232/C231-1</f>
        <v/>
      </c>
    </row>
    <row r="233" ht="17" customHeight="1">
      <c r="A233" s="13" t="inlineStr">
        <is>
          <t>2024-08-20</t>
        </is>
      </c>
      <c r="B233" s="14" t="n">
        <v>8300</v>
      </c>
      <c r="C233" s="14" t="n">
        <v>5396.67</v>
      </c>
      <c r="D233" s="15" t="n"/>
      <c r="E233" s="16">
        <f>C233-Lambda*B233-OtherCost</f>
        <v/>
      </c>
      <c r="F233" s="17">
        <f>C233/B233</f>
        <v/>
      </c>
      <c r="G233" s="24">
        <f>B233/B232-1</f>
        <v/>
      </c>
      <c r="H233" s="24">
        <f>C233/C232-1</f>
        <v/>
      </c>
    </row>
    <row r="234" ht="17" customHeight="1">
      <c r="A234" s="18" t="inlineStr">
        <is>
          <t>2024-08-21</t>
        </is>
      </c>
      <c r="B234" s="19" t="n">
        <v>8300</v>
      </c>
      <c r="C234" s="19" t="n">
        <v>5341.67</v>
      </c>
      <c r="D234" s="20" t="n"/>
      <c r="E234" s="21">
        <f>C234-Lambda*B234-OtherCost</f>
        <v/>
      </c>
      <c r="F234" s="22">
        <f>C234/B234</f>
        <v/>
      </c>
      <c r="G234" s="23">
        <f>B234/B233-1</f>
        <v/>
      </c>
      <c r="H234" s="23">
        <f>C234/C233-1</f>
        <v/>
      </c>
    </row>
    <row r="235" ht="17" customHeight="1">
      <c r="A235" s="13" t="inlineStr">
        <is>
          <t>2024-08-22</t>
        </is>
      </c>
      <c r="B235" s="14" t="n">
        <v>8300</v>
      </c>
      <c r="C235" s="14" t="n">
        <v>5335.56</v>
      </c>
      <c r="D235" s="15" t="n"/>
      <c r="E235" s="16">
        <f>C235-Lambda*B235-OtherCost</f>
        <v/>
      </c>
      <c r="F235" s="17">
        <f>C235/B235</f>
        <v/>
      </c>
      <c r="G235" s="24">
        <f>B235/B234-1</f>
        <v/>
      </c>
      <c r="H235" s="24">
        <f>C235/C234-1</f>
        <v/>
      </c>
    </row>
    <row r="236" ht="17" customHeight="1">
      <c r="A236" s="18" t="inlineStr">
        <is>
          <t>2024-08-25</t>
        </is>
      </c>
      <c r="B236" s="19" t="n">
        <v>8300</v>
      </c>
      <c r="C236" s="19" t="n">
        <v>5388</v>
      </c>
      <c r="D236" s="20" t="n"/>
      <c r="E236" s="21">
        <f>C236-Lambda*B236-OtherCost</f>
        <v/>
      </c>
      <c r="F236" s="22">
        <f>C236/B236</f>
        <v/>
      </c>
      <c r="G236" s="23">
        <f>B236/B235-1</f>
        <v/>
      </c>
      <c r="H236" s="23">
        <f>C236/C235-1</f>
        <v/>
      </c>
    </row>
    <row r="237" ht="17" customHeight="1">
      <c r="A237" s="13" t="inlineStr">
        <is>
          <t>2024-08-26</t>
        </is>
      </c>
      <c r="B237" s="14" t="n">
        <v>8300</v>
      </c>
      <c r="C237" s="14" t="n">
        <v>5414</v>
      </c>
      <c r="D237" s="15" t="n"/>
      <c r="E237" s="16">
        <f>C237-Lambda*B237-OtherCost</f>
        <v/>
      </c>
      <c r="F237" s="17">
        <f>C237/B237</f>
        <v/>
      </c>
      <c r="G237" s="24">
        <f>B237/B236-1</f>
        <v/>
      </c>
      <c r="H237" s="24">
        <f>C237/C236-1</f>
        <v/>
      </c>
    </row>
    <row r="238" ht="17" customHeight="1">
      <c r="A238" s="18" t="inlineStr">
        <is>
          <t>2024-08-27</t>
        </is>
      </c>
      <c r="B238" s="19" t="n">
        <v>8300</v>
      </c>
      <c r="C238" s="19" t="n">
        <v>5383</v>
      </c>
      <c r="D238" s="20" t="n"/>
      <c r="E238" s="21">
        <f>C238-Lambda*B238-OtherCost</f>
        <v/>
      </c>
      <c r="F238" s="22">
        <f>C238/B238</f>
        <v/>
      </c>
      <c r="G238" s="23">
        <f>B238/B237-1</f>
        <v/>
      </c>
      <c r="H238" s="23">
        <f>C238/C237-1</f>
        <v/>
      </c>
    </row>
    <row r="239" ht="17" customHeight="1">
      <c r="A239" s="13" t="inlineStr">
        <is>
          <t>2024-08-28</t>
        </is>
      </c>
      <c r="B239" s="14" t="n">
        <v>8300</v>
      </c>
      <c r="C239" s="14" t="n">
        <v>5383</v>
      </c>
      <c r="D239" s="15" t="n"/>
      <c r="E239" s="16">
        <f>C239-Lambda*B239-OtherCost</f>
        <v/>
      </c>
      <c r="F239" s="17">
        <f>C239/B239</f>
        <v/>
      </c>
      <c r="G239" s="24">
        <f>B239/B238-1</f>
        <v/>
      </c>
      <c r="H239" s="24">
        <f>C239/C238-1</f>
        <v/>
      </c>
    </row>
    <row r="240" ht="17" customHeight="1">
      <c r="A240" s="18" t="inlineStr">
        <is>
          <t>2024-08-29</t>
        </is>
      </c>
      <c r="B240" s="19" t="n">
        <v>8050</v>
      </c>
      <c r="C240" s="19" t="n">
        <v>5383</v>
      </c>
      <c r="D240" s="20" t="n"/>
      <c r="E240" s="21">
        <f>C240-Lambda*B240-OtherCost</f>
        <v/>
      </c>
      <c r="F240" s="22">
        <f>C240/B240</f>
        <v/>
      </c>
      <c r="G240" s="23">
        <f>B240/B239-1</f>
        <v/>
      </c>
      <c r="H240" s="23">
        <f>C240/C239-1</f>
        <v/>
      </c>
    </row>
    <row r="241" ht="17" customHeight="1">
      <c r="A241" s="13" t="inlineStr">
        <is>
          <t>2024-09-01</t>
        </is>
      </c>
      <c r="B241" s="14" t="n">
        <v>8050</v>
      </c>
      <c r="C241" s="14" t="n">
        <v>5223.5</v>
      </c>
      <c r="D241" s="15" t="n"/>
      <c r="E241" s="16">
        <f>C241-Lambda*B241-OtherCost</f>
        <v/>
      </c>
      <c r="F241" s="17">
        <f>C241/B241</f>
        <v/>
      </c>
      <c r="G241" s="24">
        <f>B241/B240-1</f>
        <v/>
      </c>
      <c r="H241" s="24">
        <f>C241/C240-1</f>
        <v/>
      </c>
    </row>
    <row r="242" ht="17" customHeight="1">
      <c r="A242" s="18" t="inlineStr">
        <is>
          <t>2024-09-02</t>
        </is>
      </c>
      <c r="B242" s="19" t="n">
        <v>8050</v>
      </c>
      <c r="C242" s="19" t="n">
        <v>5149</v>
      </c>
      <c r="D242" s="20" t="n"/>
      <c r="E242" s="21">
        <f>C242-Lambda*B242-OtherCost</f>
        <v/>
      </c>
      <c r="F242" s="22">
        <f>C242/B242</f>
        <v/>
      </c>
      <c r="G242" s="23">
        <f>B242/B241-1</f>
        <v/>
      </c>
      <c r="H242" s="23">
        <f>C242/C241-1</f>
        <v/>
      </c>
    </row>
    <row r="243" ht="17" customHeight="1">
      <c r="A243" s="13" t="inlineStr">
        <is>
          <t>2024-09-03</t>
        </is>
      </c>
      <c r="B243" s="14" t="n">
        <v>8050</v>
      </c>
      <c r="C243" s="14" t="n">
        <v>5087</v>
      </c>
      <c r="D243" s="15" t="n"/>
      <c r="E243" s="16">
        <f>C243-Lambda*B243-OtherCost</f>
        <v/>
      </c>
      <c r="F243" s="17">
        <f>C243/B243</f>
        <v/>
      </c>
      <c r="G243" s="24">
        <f>B243/B242-1</f>
        <v/>
      </c>
      <c r="H243" s="24">
        <f>C243/C242-1</f>
        <v/>
      </c>
    </row>
    <row r="244" ht="17" customHeight="1">
      <c r="A244" s="18" t="inlineStr">
        <is>
          <t>2024-09-04</t>
        </is>
      </c>
      <c r="B244" s="19" t="n">
        <v>8050</v>
      </c>
      <c r="C244" s="19" t="n">
        <v>5029</v>
      </c>
      <c r="D244" s="20" t="n"/>
      <c r="E244" s="21">
        <f>C244-Lambda*B244-OtherCost</f>
        <v/>
      </c>
      <c r="F244" s="22">
        <f>C244/B244</f>
        <v/>
      </c>
      <c r="G244" s="23">
        <f>B244/B243-1</f>
        <v/>
      </c>
      <c r="H244" s="23">
        <f>C244/C243-1</f>
        <v/>
      </c>
    </row>
    <row r="245" ht="17" customHeight="1">
      <c r="A245" s="13" t="inlineStr">
        <is>
          <t>2024-09-05</t>
        </is>
      </c>
      <c r="B245" s="14" t="n">
        <v>7800</v>
      </c>
      <c r="C245" s="14" t="n">
        <v>5012</v>
      </c>
      <c r="D245" s="15" t="n"/>
      <c r="E245" s="16">
        <f>C245-Lambda*B245-OtherCost</f>
        <v/>
      </c>
      <c r="F245" s="17">
        <f>C245/B245</f>
        <v/>
      </c>
      <c r="G245" s="24">
        <f>B245/B244-1</f>
        <v/>
      </c>
      <c r="H245" s="24">
        <f>C245/C244-1</f>
        <v/>
      </c>
    </row>
    <row r="246" ht="17" customHeight="1">
      <c r="A246" s="18" t="inlineStr">
        <is>
          <t>2024-09-08</t>
        </is>
      </c>
      <c r="B246" s="19" t="n">
        <v>7800</v>
      </c>
      <c r="C246" s="19" t="n">
        <v>4906</v>
      </c>
      <c r="D246" s="20" t="n"/>
      <c r="E246" s="21">
        <f>C246-Lambda*B246-OtherCost</f>
        <v/>
      </c>
      <c r="F246" s="22">
        <f>C246/B246</f>
        <v/>
      </c>
      <c r="G246" s="23">
        <f>B246/B245-1</f>
        <v/>
      </c>
      <c r="H246" s="23">
        <f>C246/C245-1</f>
        <v/>
      </c>
    </row>
    <row r="247" ht="17" customHeight="1">
      <c r="A247" s="13" t="inlineStr">
        <is>
          <t>2024-09-09</t>
        </is>
      </c>
      <c r="B247" s="14" t="n">
        <v>7800</v>
      </c>
      <c r="C247" s="14" t="n">
        <v>4757.5</v>
      </c>
      <c r="D247" s="15" t="n"/>
      <c r="E247" s="16">
        <f>C247-Lambda*B247-OtherCost</f>
        <v/>
      </c>
      <c r="F247" s="17">
        <f>C247/B247</f>
        <v/>
      </c>
      <c r="G247" s="24">
        <f>B247/B246-1</f>
        <v/>
      </c>
      <c r="H247" s="24">
        <f>C247/C246-1</f>
        <v/>
      </c>
    </row>
    <row r="248" ht="17" customHeight="1">
      <c r="A248" s="18" t="inlineStr">
        <is>
          <t>2024-09-10</t>
        </is>
      </c>
      <c r="B248" s="19" t="n">
        <v>7800</v>
      </c>
      <c r="C248" s="19" t="n">
        <v>4747.5</v>
      </c>
      <c r="D248" s="20" t="n"/>
      <c r="E248" s="21">
        <f>C248-Lambda*B248-OtherCost</f>
        <v/>
      </c>
      <c r="F248" s="22">
        <f>C248/B248</f>
        <v/>
      </c>
      <c r="G248" s="23">
        <f>B248/B247-1</f>
        <v/>
      </c>
      <c r="H248" s="23">
        <f>C248/C247-1</f>
        <v/>
      </c>
    </row>
    <row r="249" ht="17" customHeight="1">
      <c r="A249" s="13" t="inlineStr">
        <is>
          <t>2024-09-11</t>
        </is>
      </c>
      <c r="B249" s="14" t="n">
        <v>7800</v>
      </c>
      <c r="C249" s="14" t="n">
        <v>4778.5</v>
      </c>
      <c r="D249" s="15" t="n"/>
      <c r="E249" s="16">
        <f>C249-Lambda*B249-OtherCost</f>
        <v/>
      </c>
      <c r="F249" s="17">
        <f>C249/B249</f>
        <v/>
      </c>
      <c r="G249" s="24">
        <f>B249/B248-1</f>
        <v/>
      </c>
      <c r="H249" s="24">
        <f>C249/C248-1</f>
        <v/>
      </c>
    </row>
    <row r="250" ht="17" customHeight="1">
      <c r="A250" s="18" t="inlineStr">
        <is>
          <t>2024-09-12</t>
        </is>
      </c>
      <c r="B250" s="19" t="n">
        <v>7800</v>
      </c>
      <c r="C250" s="19" t="n">
        <v>4792.5</v>
      </c>
      <c r="D250" s="20" t="n"/>
      <c r="E250" s="21">
        <f>C250-Lambda*B250-OtherCost</f>
        <v/>
      </c>
      <c r="F250" s="22">
        <f>C250/B250</f>
        <v/>
      </c>
      <c r="G250" s="23">
        <f>B250/B249-1</f>
        <v/>
      </c>
      <c r="H250" s="23">
        <f>C250/C249-1</f>
        <v/>
      </c>
    </row>
    <row r="251" ht="17" customHeight="1">
      <c r="A251" s="13" t="inlineStr">
        <is>
          <t>2024-09-15</t>
        </is>
      </c>
      <c r="B251" s="14" t="n">
        <v>7800</v>
      </c>
      <c r="C251" s="14" t="n">
        <v>4792.5</v>
      </c>
      <c r="D251" s="15" t="n"/>
      <c r="E251" s="16">
        <f>C251-Lambda*B251-OtherCost</f>
        <v/>
      </c>
      <c r="F251" s="17">
        <f>C251/B251</f>
        <v/>
      </c>
      <c r="G251" s="24">
        <f>B251/B250-1</f>
        <v/>
      </c>
      <c r="H251" s="24">
        <f>C251/C250-1</f>
        <v/>
      </c>
    </row>
    <row r="252" ht="17" customHeight="1">
      <c r="A252" s="18" t="inlineStr">
        <is>
          <t>2024-09-16</t>
        </is>
      </c>
      <c r="B252" s="19" t="n">
        <v>7800</v>
      </c>
      <c r="C252" s="19" t="n">
        <v>4792.5</v>
      </c>
      <c r="D252" s="20" t="n"/>
      <c r="E252" s="21">
        <f>C252-Lambda*B252-OtherCost</f>
        <v/>
      </c>
      <c r="F252" s="22">
        <f>C252/B252</f>
        <v/>
      </c>
      <c r="G252" s="23">
        <f>B252/B251-1</f>
        <v/>
      </c>
      <c r="H252" s="23">
        <f>C252/C251-1</f>
        <v/>
      </c>
    </row>
    <row r="253" ht="17" customHeight="1">
      <c r="A253" s="13" t="inlineStr">
        <is>
          <t>2024-09-17</t>
        </is>
      </c>
      <c r="B253" s="14" t="n">
        <v>7800</v>
      </c>
      <c r="C253" s="14" t="n">
        <v>4792.5</v>
      </c>
      <c r="D253" s="15" t="n"/>
      <c r="E253" s="16">
        <f>C253-Lambda*B253-OtherCost</f>
        <v/>
      </c>
      <c r="F253" s="17">
        <f>C253/B253</f>
        <v/>
      </c>
      <c r="G253" s="24">
        <f>B253/B252-1</f>
        <v/>
      </c>
      <c r="H253" s="24">
        <f>C253/C252-1</f>
        <v/>
      </c>
    </row>
    <row r="254" ht="17" customHeight="1">
      <c r="A254" s="18" t="inlineStr">
        <is>
          <t>2024-09-18</t>
        </is>
      </c>
      <c r="B254" s="19" t="n">
        <v>7800</v>
      </c>
      <c r="C254" s="19" t="n">
        <v>4802</v>
      </c>
      <c r="D254" s="20" t="n"/>
      <c r="E254" s="21">
        <f>C254-Lambda*B254-OtherCost</f>
        <v/>
      </c>
      <c r="F254" s="22">
        <f>C254/B254</f>
        <v/>
      </c>
      <c r="G254" s="23">
        <f>B254/B253-1</f>
        <v/>
      </c>
      <c r="H254" s="23">
        <f>C254/C253-1</f>
        <v/>
      </c>
    </row>
    <row r="255" ht="17" customHeight="1">
      <c r="A255" s="13" t="inlineStr">
        <is>
          <t>2024-09-19</t>
        </is>
      </c>
      <c r="B255" s="14" t="n">
        <v>7800</v>
      </c>
      <c r="C255" s="14" t="n">
        <v>4802</v>
      </c>
      <c r="D255" s="15" t="n"/>
      <c r="E255" s="16">
        <f>C255-Lambda*B255-OtherCost</f>
        <v/>
      </c>
      <c r="F255" s="17">
        <f>C255/B255</f>
        <v/>
      </c>
      <c r="G255" s="24">
        <f>B255/B254-1</f>
        <v/>
      </c>
      <c r="H255" s="24">
        <f>C255/C254-1</f>
        <v/>
      </c>
    </row>
    <row r="256" ht="17" customHeight="1">
      <c r="A256" s="18" t="inlineStr">
        <is>
          <t>2024-09-22</t>
        </is>
      </c>
      <c r="B256" s="19" t="n">
        <v>7800</v>
      </c>
      <c r="C256" s="19" t="n">
        <v>4777</v>
      </c>
      <c r="D256" s="20" t="n"/>
      <c r="E256" s="21">
        <f>C256-Lambda*B256-OtherCost</f>
        <v/>
      </c>
      <c r="F256" s="22">
        <f>C256/B256</f>
        <v/>
      </c>
      <c r="G256" s="23">
        <f>B256/B255-1</f>
        <v/>
      </c>
      <c r="H256" s="23">
        <f>C256/C255-1</f>
        <v/>
      </c>
    </row>
    <row r="257" ht="17" customHeight="1">
      <c r="A257" s="13" t="inlineStr">
        <is>
          <t>2024-09-23</t>
        </is>
      </c>
      <c r="B257" s="14" t="n">
        <v>7350</v>
      </c>
      <c r="C257" s="14" t="n">
        <v>4777</v>
      </c>
      <c r="D257" s="15" t="n"/>
      <c r="E257" s="16">
        <f>C257-Lambda*B257-OtherCost</f>
        <v/>
      </c>
      <c r="F257" s="17">
        <f>C257/B257</f>
        <v/>
      </c>
      <c r="G257" s="24">
        <f>B257/B256-1</f>
        <v/>
      </c>
      <c r="H257" s="24">
        <f>C257/C256-1</f>
        <v/>
      </c>
    </row>
    <row r="258" ht="17" customHeight="1">
      <c r="A258" s="18" t="inlineStr">
        <is>
          <t>2024-09-24</t>
        </is>
      </c>
      <c r="B258" s="19" t="n">
        <v>7350</v>
      </c>
      <c r="C258" s="19" t="n">
        <v>4880</v>
      </c>
      <c r="D258" s="20" t="n"/>
      <c r="E258" s="21">
        <f>C258-Lambda*B258-OtherCost</f>
        <v/>
      </c>
      <c r="F258" s="22">
        <f>C258/B258</f>
        <v/>
      </c>
      <c r="G258" s="23">
        <f>B258/B257-1</f>
        <v/>
      </c>
      <c r="H258" s="23">
        <f>C258/C257-1</f>
        <v/>
      </c>
    </row>
    <row r="259" ht="17" customHeight="1">
      <c r="A259" s="13" t="inlineStr">
        <is>
          <t>2024-09-25</t>
        </is>
      </c>
      <c r="B259" s="14" t="n">
        <v>7350</v>
      </c>
      <c r="C259" s="14" t="n">
        <v>4878</v>
      </c>
      <c r="D259" s="15" t="n"/>
      <c r="E259" s="16">
        <f>C259-Lambda*B259-OtherCost</f>
        <v/>
      </c>
      <c r="F259" s="17">
        <f>C259/B259</f>
        <v/>
      </c>
      <c r="G259" s="24">
        <f>B259/B258-1</f>
        <v/>
      </c>
      <c r="H259" s="24">
        <f>C259/C258-1</f>
        <v/>
      </c>
    </row>
    <row r="260" ht="17" customHeight="1">
      <c r="A260" s="18" t="inlineStr">
        <is>
          <t>2024-09-26</t>
        </is>
      </c>
      <c r="B260" s="19" t="n">
        <v>7350</v>
      </c>
      <c r="C260" s="19" t="n">
        <v>4888</v>
      </c>
      <c r="D260" s="20" t="n"/>
      <c r="E260" s="21">
        <f>C260-Lambda*B260-OtherCost</f>
        <v/>
      </c>
      <c r="F260" s="22">
        <f>C260/B260</f>
        <v/>
      </c>
      <c r="G260" s="23">
        <f>B260/B259-1</f>
        <v/>
      </c>
      <c r="H260" s="23">
        <f>C260/C259-1</f>
        <v/>
      </c>
    </row>
    <row r="261" ht="17" customHeight="1">
      <c r="A261" s="13" t="inlineStr">
        <is>
          <t>2024-09-29</t>
        </is>
      </c>
      <c r="B261" s="14" t="n">
        <v>7350</v>
      </c>
      <c r="C261" s="14" t="n">
        <v>4928</v>
      </c>
      <c r="D261" s="15" t="n"/>
      <c r="E261" s="16">
        <f>C261-Lambda*B261-OtherCost</f>
        <v/>
      </c>
      <c r="F261" s="17">
        <f>C261/B261</f>
        <v/>
      </c>
      <c r="G261" s="24">
        <f>B261/B260-1</f>
        <v/>
      </c>
      <c r="H261" s="24">
        <f>C261/C260-1</f>
        <v/>
      </c>
    </row>
    <row r="262" ht="17" customHeight="1">
      <c r="A262" s="18" t="inlineStr">
        <is>
          <t>2024-09-30</t>
        </is>
      </c>
      <c r="B262" s="19" t="n">
        <v>7350</v>
      </c>
      <c r="C262" s="19" t="n">
        <v>4928</v>
      </c>
      <c r="D262" s="20" t="n"/>
      <c r="E262" s="21">
        <f>C262-Lambda*B262-OtherCost</f>
        <v/>
      </c>
      <c r="F262" s="22">
        <f>C262/B262</f>
        <v/>
      </c>
      <c r="G262" s="23">
        <f>B262/B261-1</f>
        <v/>
      </c>
      <c r="H262" s="23">
        <f>C262/C261-1</f>
        <v/>
      </c>
    </row>
    <row r="263" ht="17" customHeight="1">
      <c r="A263" s="13" t="inlineStr">
        <is>
          <t>2024-10-01</t>
        </is>
      </c>
      <c r="B263" s="14" t="n">
        <v>7350</v>
      </c>
      <c r="C263" s="14" t="n">
        <v>4928</v>
      </c>
      <c r="D263" s="15" t="n"/>
      <c r="E263" s="16">
        <f>C263-Lambda*B263-OtherCost</f>
        <v/>
      </c>
      <c r="F263" s="17">
        <f>C263/B263</f>
        <v/>
      </c>
      <c r="G263" s="24">
        <f>B263/B262-1</f>
        <v/>
      </c>
      <c r="H263" s="24">
        <f>C263/C262-1</f>
        <v/>
      </c>
    </row>
    <row r="264" ht="17" customHeight="1">
      <c r="A264" s="18" t="inlineStr">
        <is>
          <t>2024-10-02</t>
        </is>
      </c>
      <c r="B264" s="19" t="n">
        <v>7350</v>
      </c>
      <c r="C264" s="19" t="n">
        <v>4928</v>
      </c>
      <c r="D264" s="20" t="n"/>
      <c r="E264" s="21">
        <f>C264-Lambda*B264-OtherCost</f>
        <v/>
      </c>
      <c r="F264" s="22">
        <f>C264/B264</f>
        <v/>
      </c>
      <c r="G264" s="23">
        <f>B264/B263-1</f>
        <v/>
      </c>
      <c r="H264" s="23">
        <f>C264/C263-1</f>
        <v/>
      </c>
    </row>
    <row r="265" ht="17" customHeight="1">
      <c r="A265" s="13" t="inlineStr">
        <is>
          <t>2024-10-03</t>
        </is>
      </c>
      <c r="B265" s="14" t="n">
        <v>7350</v>
      </c>
      <c r="C265" s="14" t="n">
        <v>4928</v>
      </c>
      <c r="D265" s="15" t="n"/>
      <c r="E265" s="16">
        <f>C265-Lambda*B265-OtherCost</f>
        <v/>
      </c>
      <c r="F265" s="17">
        <f>C265/B265</f>
        <v/>
      </c>
      <c r="G265" s="24">
        <f>B265/B264-1</f>
        <v/>
      </c>
      <c r="H265" s="24">
        <f>C265/C264-1</f>
        <v/>
      </c>
    </row>
    <row r="266" ht="17" customHeight="1">
      <c r="A266" s="18" t="inlineStr">
        <is>
          <t>2024-10-06</t>
        </is>
      </c>
      <c r="B266" s="19" t="n">
        <v>7350</v>
      </c>
      <c r="C266" s="19" t="n">
        <v>4928</v>
      </c>
      <c r="D266" s="20" t="n"/>
      <c r="E266" s="21">
        <f>C266-Lambda*B266-OtherCost</f>
        <v/>
      </c>
      <c r="F266" s="22">
        <f>C266/B266</f>
        <v/>
      </c>
      <c r="G266" s="23">
        <f>B266/B265-1</f>
        <v/>
      </c>
      <c r="H266" s="23">
        <f>C266/C265-1</f>
        <v/>
      </c>
    </row>
    <row r="267" ht="17" customHeight="1">
      <c r="A267" s="13" t="inlineStr">
        <is>
          <t>2024-10-07</t>
        </is>
      </c>
      <c r="B267" s="14" t="n">
        <v>7325</v>
      </c>
      <c r="C267" s="14" t="n">
        <v>5271</v>
      </c>
      <c r="D267" s="15" t="n"/>
      <c r="E267" s="16">
        <f>C267-Lambda*B267-OtherCost</f>
        <v/>
      </c>
      <c r="F267" s="17">
        <f>C267/B267</f>
        <v/>
      </c>
      <c r="G267" s="24">
        <f>B267/B266-1</f>
        <v/>
      </c>
      <c r="H267" s="24">
        <f>C267/C266-1</f>
        <v/>
      </c>
    </row>
    <row r="268" ht="17" customHeight="1">
      <c r="A268" s="18" t="inlineStr">
        <is>
          <t>2024-10-08</t>
        </is>
      </c>
      <c r="B268" s="19" t="n">
        <v>7200</v>
      </c>
      <c r="C268" s="19" t="n">
        <v>5218.5</v>
      </c>
      <c r="D268" s="20" t="n"/>
      <c r="E268" s="21">
        <f>C268-Lambda*B268-OtherCost</f>
        <v/>
      </c>
      <c r="F268" s="22">
        <f>C268/B268</f>
        <v/>
      </c>
      <c r="G268" s="23">
        <f>B268/B267-1</f>
        <v/>
      </c>
      <c r="H268" s="23">
        <f>C268/C267-1</f>
        <v/>
      </c>
    </row>
    <row r="269" ht="17" customHeight="1">
      <c r="A269" s="13" t="inlineStr">
        <is>
          <t>2024-10-09</t>
        </is>
      </c>
      <c r="B269" s="14" t="n">
        <v>7200</v>
      </c>
      <c r="C269" s="14" t="n">
        <v>5206.5</v>
      </c>
      <c r="D269" s="15" t="n"/>
      <c r="E269" s="16">
        <f>C269-Lambda*B269-OtherCost</f>
        <v/>
      </c>
      <c r="F269" s="17">
        <f>C269/B269</f>
        <v/>
      </c>
      <c r="G269" s="24">
        <f>B269/B268-1</f>
        <v/>
      </c>
      <c r="H269" s="24">
        <f>C269/C268-1</f>
        <v/>
      </c>
    </row>
    <row r="270" ht="17" customHeight="1">
      <c r="A270" s="18" t="inlineStr">
        <is>
          <t>2024-10-10</t>
        </is>
      </c>
      <c r="B270" s="19" t="n">
        <v>7200</v>
      </c>
      <c r="C270" s="19" t="n">
        <v>5206.5</v>
      </c>
      <c r="D270" s="20" t="n"/>
      <c r="E270" s="21">
        <f>C270-Lambda*B270-OtherCost</f>
        <v/>
      </c>
      <c r="F270" s="22">
        <f>C270/B270</f>
        <v/>
      </c>
      <c r="G270" s="23">
        <f>B270/B269-1</f>
        <v/>
      </c>
      <c r="H270" s="23">
        <f>C270/C269-1</f>
        <v/>
      </c>
    </row>
    <row r="271" ht="17" customHeight="1">
      <c r="A271" s="13" t="inlineStr">
        <is>
          <t>2024-10-13</t>
        </is>
      </c>
      <c r="B271" s="14" t="n">
        <v>7200</v>
      </c>
      <c r="C271" s="14" t="n">
        <v>5208.5</v>
      </c>
      <c r="D271" s="15" t="n"/>
      <c r="E271" s="16">
        <f>C271-Lambda*B271-OtherCost</f>
        <v/>
      </c>
      <c r="F271" s="17">
        <f>C271/B271</f>
        <v/>
      </c>
      <c r="G271" s="24">
        <f>B271/B270-1</f>
        <v/>
      </c>
      <c r="H271" s="24">
        <f>C271/C270-1</f>
        <v/>
      </c>
    </row>
    <row r="272" ht="17" customHeight="1">
      <c r="A272" s="18" t="inlineStr">
        <is>
          <t>2024-10-14</t>
        </is>
      </c>
      <c r="B272" s="19" t="n">
        <v>7200</v>
      </c>
      <c r="C272" s="19" t="n">
        <v>5079</v>
      </c>
      <c r="D272" s="20" t="n"/>
      <c r="E272" s="21">
        <f>C272-Lambda*B272-OtherCost</f>
        <v/>
      </c>
      <c r="F272" s="22">
        <f>C272/B272</f>
        <v/>
      </c>
      <c r="G272" s="23">
        <f>B272/B271-1</f>
        <v/>
      </c>
      <c r="H272" s="23">
        <f>C272/C271-1</f>
        <v/>
      </c>
    </row>
    <row r="273" ht="17" customHeight="1">
      <c r="A273" s="13" t="inlineStr">
        <is>
          <t>2024-10-15</t>
        </is>
      </c>
      <c r="B273" s="14" t="n">
        <v>7200</v>
      </c>
      <c r="C273" s="14" t="n">
        <v>5009</v>
      </c>
      <c r="D273" s="15" t="n"/>
      <c r="E273" s="16">
        <f>C273-Lambda*B273-OtherCost</f>
        <v/>
      </c>
      <c r="F273" s="17">
        <f>C273/B273</f>
        <v/>
      </c>
      <c r="G273" s="24">
        <f>B273/B272-1</f>
        <v/>
      </c>
      <c r="H273" s="24">
        <f>C273/C272-1</f>
        <v/>
      </c>
    </row>
    <row r="274" ht="17" customHeight="1">
      <c r="A274" s="18" t="inlineStr">
        <is>
          <t>2024-10-16</t>
        </is>
      </c>
      <c r="B274" s="19" t="n">
        <v>7200</v>
      </c>
      <c r="C274" s="19" t="n">
        <v>4887</v>
      </c>
      <c r="D274" s="20" t="n"/>
      <c r="E274" s="21">
        <f>C274-Lambda*B274-OtherCost</f>
        <v/>
      </c>
      <c r="F274" s="22">
        <f>C274/B274</f>
        <v/>
      </c>
      <c r="G274" s="23">
        <f>B274/B273-1</f>
        <v/>
      </c>
      <c r="H274" s="23">
        <f>C274/C273-1</f>
        <v/>
      </c>
    </row>
    <row r="275" ht="17" customHeight="1">
      <c r="A275" s="13" t="inlineStr">
        <is>
          <t>2024-10-17</t>
        </is>
      </c>
      <c r="B275" s="14" t="n">
        <v>7600</v>
      </c>
      <c r="C275" s="14" t="n">
        <v>4912</v>
      </c>
      <c r="D275" s="15" t="n"/>
      <c r="E275" s="16">
        <f>C275-Lambda*B275-OtherCost</f>
        <v/>
      </c>
      <c r="F275" s="17">
        <f>C275/B275</f>
        <v/>
      </c>
      <c r="G275" s="24">
        <f>B275/B274-1</f>
        <v/>
      </c>
      <c r="H275" s="24">
        <f>C275/C274-1</f>
        <v/>
      </c>
    </row>
    <row r="276" ht="17" customHeight="1">
      <c r="A276" s="18" t="inlineStr">
        <is>
          <t>2024-10-20</t>
        </is>
      </c>
      <c r="B276" s="19" t="n">
        <v>7600</v>
      </c>
      <c r="C276" s="19" t="n">
        <v>4904</v>
      </c>
      <c r="D276" s="20" t="n"/>
      <c r="E276" s="21">
        <f>C276-Lambda*B276-OtherCost</f>
        <v/>
      </c>
      <c r="F276" s="22">
        <f>C276/B276</f>
        <v/>
      </c>
      <c r="G276" s="23">
        <f>B276/B275-1</f>
        <v/>
      </c>
      <c r="H276" s="23">
        <f>C276/C275-1</f>
        <v/>
      </c>
    </row>
    <row r="277" ht="17" customHeight="1">
      <c r="A277" s="13" t="inlineStr">
        <is>
          <t>2024-10-21</t>
        </is>
      </c>
      <c r="B277" s="14" t="n">
        <v>7600</v>
      </c>
      <c r="C277" s="14" t="n">
        <v>4904</v>
      </c>
      <c r="D277" s="15" t="n"/>
      <c r="E277" s="16">
        <f>C277-Lambda*B277-OtherCost</f>
        <v/>
      </c>
      <c r="F277" s="17">
        <f>C277/B277</f>
        <v/>
      </c>
      <c r="G277" s="24">
        <f>B277/B276-1</f>
        <v/>
      </c>
      <c r="H277" s="24">
        <f>C277/C276-1</f>
        <v/>
      </c>
    </row>
    <row r="278" ht="17" customHeight="1">
      <c r="A278" s="18" t="inlineStr">
        <is>
          <t>2024-10-22</t>
        </is>
      </c>
      <c r="B278" s="19" t="n">
        <v>7600</v>
      </c>
      <c r="C278" s="19" t="n">
        <v>4956</v>
      </c>
      <c r="D278" s="20" t="n"/>
      <c r="E278" s="21">
        <f>C278-Lambda*B278-OtherCost</f>
        <v/>
      </c>
      <c r="F278" s="22">
        <f>C278/B278</f>
        <v/>
      </c>
      <c r="G278" s="23">
        <f>B278/B277-1</f>
        <v/>
      </c>
      <c r="H278" s="23">
        <f>C278/C277-1</f>
        <v/>
      </c>
    </row>
    <row r="279" ht="17" customHeight="1">
      <c r="A279" s="13" t="inlineStr">
        <is>
          <t>2024-10-23</t>
        </is>
      </c>
      <c r="B279" s="14" t="n">
        <v>7600</v>
      </c>
      <c r="C279" s="14" t="n">
        <v>4955</v>
      </c>
      <c r="D279" s="15" t="n"/>
      <c r="E279" s="16">
        <f>C279-Lambda*B279-OtherCost</f>
        <v/>
      </c>
      <c r="F279" s="17">
        <f>C279/B279</f>
        <v/>
      </c>
      <c r="G279" s="24">
        <f>B279/B278-1</f>
        <v/>
      </c>
      <c r="H279" s="24">
        <f>C279/C278-1</f>
        <v/>
      </c>
    </row>
    <row r="280" ht="17" customHeight="1">
      <c r="A280" s="18" t="inlineStr">
        <is>
          <t>2024-10-24</t>
        </is>
      </c>
      <c r="B280" s="19" t="n">
        <v>7600</v>
      </c>
      <c r="C280" s="19" t="n">
        <v>4953</v>
      </c>
      <c r="D280" s="20" t="n"/>
      <c r="E280" s="21">
        <f>C280-Lambda*B280-OtherCost</f>
        <v/>
      </c>
      <c r="F280" s="22">
        <f>C280/B280</f>
        <v/>
      </c>
      <c r="G280" s="23">
        <f>B280/B279-1</f>
        <v/>
      </c>
      <c r="H280" s="23">
        <f>C280/C279-1</f>
        <v/>
      </c>
    </row>
    <row r="281" ht="17" customHeight="1">
      <c r="A281" s="13" t="inlineStr">
        <is>
          <t>2024-10-27</t>
        </is>
      </c>
      <c r="B281" s="14" t="n">
        <v>7600</v>
      </c>
      <c r="C281" s="14" t="n">
        <v>4927</v>
      </c>
      <c r="D281" s="15" t="n"/>
      <c r="E281" s="16">
        <f>C281-Lambda*B281-OtherCost</f>
        <v/>
      </c>
      <c r="F281" s="17">
        <f>C281/B281</f>
        <v/>
      </c>
      <c r="G281" s="24">
        <f>B281/B280-1</f>
        <v/>
      </c>
      <c r="H281" s="24">
        <f>C281/C280-1</f>
        <v/>
      </c>
    </row>
    <row r="282" ht="17" customHeight="1">
      <c r="A282" s="18" t="inlineStr">
        <is>
          <t>2024-10-28</t>
        </is>
      </c>
      <c r="B282" s="19" t="n">
        <v>7300</v>
      </c>
      <c r="C282" s="19" t="n">
        <v>4881</v>
      </c>
      <c r="D282" s="20" t="n"/>
      <c r="E282" s="21">
        <f>C282-Lambda*B282-OtherCost</f>
        <v/>
      </c>
      <c r="F282" s="22">
        <f>C282/B282</f>
        <v/>
      </c>
      <c r="G282" s="23">
        <f>B282/B281-1</f>
        <v/>
      </c>
      <c r="H282" s="23">
        <f>C282/C281-1</f>
        <v/>
      </c>
    </row>
    <row r="283" ht="17" customHeight="1">
      <c r="A283" s="13" t="inlineStr">
        <is>
          <t>2024-10-29</t>
        </is>
      </c>
      <c r="B283" s="14" t="n">
        <v>7300</v>
      </c>
      <c r="C283" s="14" t="n">
        <v>4881</v>
      </c>
      <c r="D283" s="15" t="n"/>
      <c r="E283" s="16">
        <f>C283-Lambda*B283-OtherCost</f>
        <v/>
      </c>
      <c r="F283" s="17">
        <f>C283/B283</f>
        <v/>
      </c>
      <c r="G283" s="24">
        <f>B283/B282-1</f>
        <v/>
      </c>
      <c r="H283" s="24">
        <f>C283/C282-1</f>
        <v/>
      </c>
    </row>
    <row r="284" ht="17" customHeight="1">
      <c r="A284" s="18" t="inlineStr">
        <is>
          <t>2024-10-30</t>
        </is>
      </c>
      <c r="B284" s="19" t="n">
        <v>7300</v>
      </c>
      <c r="C284" s="19" t="n">
        <v>4901</v>
      </c>
      <c r="D284" s="20" t="n"/>
      <c r="E284" s="21">
        <f>C284-Lambda*B284-OtherCost</f>
        <v/>
      </c>
      <c r="F284" s="22">
        <f>C284/B284</f>
        <v/>
      </c>
      <c r="G284" s="23">
        <f>B284/B283-1</f>
        <v/>
      </c>
      <c r="H284" s="23">
        <f>C284/C283-1</f>
        <v/>
      </c>
    </row>
    <row r="285" ht="17" customHeight="1">
      <c r="A285" s="13" t="inlineStr">
        <is>
          <t>2024-10-31</t>
        </is>
      </c>
      <c r="B285" s="14" t="n">
        <v>7300</v>
      </c>
      <c r="C285" s="14" t="n">
        <v>4900</v>
      </c>
      <c r="D285" s="15" t="n"/>
      <c r="E285" s="16">
        <f>C285-Lambda*B285-OtherCost</f>
        <v/>
      </c>
      <c r="F285" s="17">
        <f>C285/B285</f>
        <v/>
      </c>
      <c r="G285" s="24">
        <f>B285/B284-1</f>
        <v/>
      </c>
      <c r="H285" s="24">
        <f>C285/C284-1</f>
        <v/>
      </c>
    </row>
    <row r="286" ht="17" customHeight="1">
      <c r="A286" s="18" t="inlineStr">
        <is>
          <t>2024-11-03</t>
        </is>
      </c>
      <c r="B286" s="19" t="n">
        <v>7300</v>
      </c>
      <c r="C286" s="19" t="n">
        <v>4900</v>
      </c>
      <c r="D286" s="20" t="n"/>
      <c r="E286" s="21">
        <f>C286-Lambda*B286-OtherCost</f>
        <v/>
      </c>
      <c r="F286" s="22">
        <f>C286/B286</f>
        <v/>
      </c>
      <c r="G286" s="23">
        <f>B286/B285-1</f>
        <v/>
      </c>
      <c r="H286" s="23">
        <f>C286/C285-1</f>
        <v/>
      </c>
    </row>
    <row r="287" ht="17" customHeight="1">
      <c r="A287" s="13" t="inlineStr">
        <is>
          <t>2024-11-04</t>
        </is>
      </c>
      <c r="B287" s="14" t="n">
        <v>7300</v>
      </c>
      <c r="C287" s="14" t="n">
        <v>4900</v>
      </c>
      <c r="D287" s="15" t="n"/>
      <c r="E287" s="16">
        <f>C287-Lambda*B287-OtherCost</f>
        <v/>
      </c>
      <c r="F287" s="17">
        <f>C287/B287</f>
        <v/>
      </c>
      <c r="G287" s="24">
        <f>B287/B286-1</f>
        <v/>
      </c>
      <c r="H287" s="24">
        <f>C287/C286-1</f>
        <v/>
      </c>
    </row>
    <row r="288" ht="17" customHeight="1">
      <c r="A288" s="18" t="inlineStr">
        <is>
          <t>2024-11-05</t>
        </is>
      </c>
      <c r="B288" s="19" t="n">
        <v>7300</v>
      </c>
      <c r="C288" s="19" t="n">
        <v>4825</v>
      </c>
      <c r="D288" s="20" t="n"/>
      <c r="E288" s="21">
        <f>C288-Lambda*B288-OtherCost</f>
        <v/>
      </c>
      <c r="F288" s="22">
        <f>C288/B288</f>
        <v/>
      </c>
      <c r="G288" s="23">
        <f>B288/B287-1</f>
        <v/>
      </c>
      <c r="H288" s="23">
        <f>C288/C287-1</f>
        <v/>
      </c>
    </row>
    <row r="289" ht="17" customHeight="1">
      <c r="A289" s="13" t="inlineStr">
        <is>
          <t>2024-11-06</t>
        </is>
      </c>
      <c r="B289" s="14" t="n">
        <v>7300</v>
      </c>
      <c r="C289" s="14" t="n">
        <v>4877</v>
      </c>
      <c r="D289" s="15" t="n"/>
      <c r="E289" s="16">
        <f>C289-Lambda*B289-OtherCost</f>
        <v/>
      </c>
      <c r="F289" s="17">
        <f>C289/B289</f>
        <v/>
      </c>
      <c r="G289" s="24">
        <f>B289/B288-1</f>
        <v/>
      </c>
      <c r="H289" s="24">
        <f>C289/C288-1</f>
        <v/>
      </c>
    </row>
    <row r="290" ht="17" customHeight="1">
      <c r="A290" s="18" t="inlineStr">
        <is>
          <t>2024-11-07</t>
        </is>
      </c>
      <c r="B290" s="19" t="n">
        <v>7300</v>
      </c>
      <c r="C290" s="19" t="n">
        <v>4915</v>
      </c>
      <c r="D290" s="20" t="n"/>
      <c r="E290" s="21">
        <f>C290-Lambda*B290-OtherCost</f>
        <v/>
      </c>
      <c r="F290" s="22">
        <f>C290/B290</f>
        <v/>
      </c>
      <c r="G290" s="23">
        <f>B290/B289-1</f>
        <v/>
      </c>
      <c r="H290" s="23">
        <f>C290/C289-1</f>
        <v/>
      </c>
    </row>
    <row r="291" ht="17" customHeight="1">
      <c r="A291" s="13" t="inlineStr">
        <is>
          <t>2024-11-10</t>
        </is>
      </c>
      <c r="B291" s="14" t="n">
        <v>7300</v>
      </c>
      <c r="C291" s="14" t="n">
        <v>4915</v>
      </c>
      <c r="D291" s="15" t="n"/>
      <c r="E291" s="16">
        <f>C291-Lambda*B291-OtherCost</f>
        <v/>
      </c>
      <c r="F291" s="17">
        <f>C291/B291</f>
        <v/>
      </c>
      <c r="G291" s="24">
        <f>B291/B290-1</f>
        <v/>
      </c>
      <c r="H291" s="24">
        <f>C291/C290-1</f>
        <v/>
      </c>
    </row>
    <row r="292" ht="17" customHeight="1">
      <c r="A292" s="18" t="inlineStr">
        <is>
          <t>2024-11-11</t>
        </is>
      </c>
      <c r="B292" s="19" t="n">
        <v>7300</v>
      </c>
      <c r="C292" s="19" t="n">
        <v>4915</v>
      </c>
      <c r="D292" s="20" t="n"/>
      <c r="E292" s="21">
        <f>C292-Lambda*B292-OtherCost</f>
        <v/>
      </c>
      <c r="F292" s="22">
        <f>C292/B292</f>
        <v/>
      </c>
      <c r="G292" s="23">
        <f>B292/B291-1</f>
        <v/>
      </c>
      <c r="H292" s="23">
        <f>C292/C291-1</f>
        <v/>
      </c>
    </row>
    <row r="293" ht="17" customHeight="1">
      <c r="A293" s="13" t="inlineStr">
        <is>
          <t>2024-11-12</t>
        </is>
      </c>
      <c r="B293" s="14" t="n">
        <v>7300</v>
      </c>
      <c r="C293" s="14" t="n">
        <v>4841</v>
      </c>
      <c r="D293" s="15" t="n"/>
      <c r="E293" s="16">
        <f>C293-Lambda*B293-OtherCost</f>
        <v/>
      </c>
      <c r="F293" s="17">
        <f>C293/B293</f>
        <v/>
      </c>
      <c r="G293" s="24">
        <f>B293/B292-1</f>
        <v/>
      </c>
      <c r="H293" s="24">
        <f>C293/C292-1</f>
        <v/>
      </c>
    </row>
    <row r="294" ht="17" customHeight="1">
      <c r="A294" s="18" t="inlineStr">
        <is>
          <t>2024-11-13</t>
        </is>
      </c>
      <c r="B294" s="19" t="n">
        <v>7300</v>
      </c>
      <c r="C294" s="19" t="n">
        <v>4803</v>
      </c>
      <c r="D294" s="20" t="n"/>
      <c r="E294" s="21">
        <f>C294-Lambda*B294-OtherCost</f>
        <v/>
      </c>
      <c r="F294" s="22">
        <f>C294/B294</f>
        <v/>
      </c>
      <c r="G294" s="23">
        <f>B294/B293-1</f>
        <v/>
      </c>
      <c r="H294" s="23">
        <f>C294/C293-1</f>
        <v/>
      </c>
    </row>
    <row r="295" ht="17" customHeight="1">
      <c r="A295" s="13" t="inlineStr">
        <is>
          <t>2024-11-14</t>
        </is>
      </c>
      <c r="B295" s="14" t="n">
        <v>7300</v>
      </c>
      <c r="C295" s="14" t="n">
        <v>4803</v>
      </c>
      <c r="D295" s="15" t="n"/>
      <c r="E295" s="16">
        <f>C295-Lambda*B295-OtherCost</f>
        <v/>
      </c>
      <c r="F295" s="17">
        <f>C295/B295</f>
        <v/>
      </c>
      <c r="G295" s="24">
        <f>B295/B294-1</f>
        <v/>
      </c>
      <c r="H295" s="24">
        <f>C295/C294-1</f>
        <v/>
      </c>
    </row>
    <row r="296" ht="17" customHeight="1">
      <c r="A296" s="18" t="inlineStr">
        <is>
          <t>2024-11-17</t>
        </is>
      </c>
      <c r="B296" s="19" t="n">
        <v>7300</v>
      </c>
      <c r="C296" s="19" t="n">
        <v>4795.56</v>
      </c>
      <c r="D296" s="20" t="n"/>
      <c r="E296" s="21">
        <f>C296-Lambda*B296-OtherCost</f>
        <v/>
      </c>
      <c r="F296" s="22">
        <f>C296/B296</f>
        <v/>
      </c>
      <c r="G296" s="23">
        <f>B296/B295-1</f>
        <v/>
      </c>
      <c r="H296" s="23">
        <f>C296/C295-1</f>
        <v/>
      </c>
    </row>
    <row r="297" ht="17" customHeight="1">
      <c r="A297" s="13" t="inlineStr">
        <is>
          <t>2024-11-18</t>
        </is>
      </c>
      <c r="B297" s="14" t="n">
        <v>7300</v>
      </c>
      <c r="C297" s="14" t="n">
        <v>4792.22</v>
      </c>
      <c r="D297" s="15" t="n"/>
      <c r="E297" s="16">
        <f>C297-Lambda*B297-OtherCost</f>
        <v/>
      </c>
      <c r="F297" s="17">
        <f>C297/B297</f>
        <v/>
      </c>
      <c r="G297" s="24">
        <f>B297/B296-1</f>
        <v/>
      </c>
      <c r="H297" s="24">
        <f>C297/C296-1</f>
        <v/>
      </c>
    </row>
    <row r="298" ht="17" customHeight="1">
      <c r="A298" s="18" t="inlineStr">
        <is>
          <t>2024-11-19</t>
        </is>
      </c>
      <c r="B298" s="19" t="n">
        <v>7300</v>
      </c>
      <c r="C298" s="19" t="n">
        <v>4824.44</v>
      </c>
      <c r="D298" s="20" t="n"/>
      <c r="E298" s="21">
        <f>C298-Lambda*B298-OtherCost</f>
        <v/>
      </c>
      <c r="F298" s="22">
        <f>C298/B298</f>
        <v/>
      </c>
      <c r="G298" s="23">
        <f>B298/B297-1</f>
        <v/>
      </c>
      <c r="H298" s="23">
        <f>C298/C297-1</f>
        <v/>
      </c>
    </row>
    <row r="299" ht="17" customHeight="1">
      <c r="A299" s="13" t="inlineStr">
        <is>
          <t>2024-11-20</t>
        </is>
      </c>
      <c r="B299" s="14" t="n">
        <v>7300</v>
      </c>
      <c r="C299" s="14" t="n">
        <v>4832.22</v>
      </c>
      <c r="D299" s="15" t="n"/>
      <c r="E299" s="16">
        <f>C299-Lambda*B299-OtherCost</f>
        <v/>
      </c>
      <c r="F299" s="17">
        <f>C299/B299</f>
        <v/>
      </c>
      <c r="G299" s="24">
        <f>B299/B298-1</f>
        <v/>
      </c>
      <c r="H299" s="24">
        <f>C299/C298-1</f>
        <v/>
      </c>
    </row>
    <row r="300" ht="17" customHeight="1">
      <c r="A300" s="18" t="inlineStr">
        <is>
          <t>2024-11-21</t>
        </is>
      </c>
      <c r="B300" s="19" t="n">
        <v>7300</v>
      </c>
      <c r="C300" s="19" t="n">
        <v>4832.22</v>
      </c>
      <c r="D300" s="20" t="n"/>
      <c r="E300" s="21">
        <f>C300-Lambda*B300-OtherCost</f>
        <v/>
      </c>
      <c r="F300" s="22">
        <f>C300/B300</f>
        <v/>
      </c>
      <c r="G300" s="23">
        <f>B300/B299-1</f>
        <v/>
      </c>
      <c r="H300" s="23">
        <f>C300/C299-1</f>
        <v/>
      </c>
    </row>
    <row r="301" ht="17" customHeight="1">
      <c r="A301" s="13" t="inlineStr">
        <is>
          <t>2024-11-24</t>
        </is>
      </c>
      <c r="B301" s="14" t="n">
        <v>7300</v>
      </c>
      <c r="C301" s="14" t="n">
        <v>4832.22</v>
      </c>
      <c r="D301" s="15" t="n"/>
      <c r="E301" s="16">
        <f>C301-Lambda*B301-OtherCost</f>
        <v/>
      </c>
      <c r="F301" s="17">
        <f>C301/B301</f>
        <v/>
      </c>
      <c r="G301" s="24">
        <f>B301/B300-1</f>
        <v/>
      </c>
      <c r="H301" s="24">
        <f>C301/C300-1</f>
        <v/>
      </c>
    </row>
    <row r="302" ht="17" customHeight="1">
      <c r="A302" s="18" t="inlineStr">
        <is>
          <t>2024-11-25</t>
        </is>
      </c>
      <c r="B302" s="19" t="n">
        <v>7300</v>
      </c>
      <c r="C302" s="19" t="n">
        <v>4757</v>
      </c>
      <c r="D302" s="20" t="n"/>
      <c r="E302" s="21">
        <f>C302-Lambda*B302-OtherCost</f>
        <v/>
      </c>
      <c r="F302" s="22">
        <f>C302/B302</f>
        <v/>
      </c>
      <c r="G302" s="23">
        <f>B302/B301-1</f>
        <v/>
      </c>
      <c r="H302" s="23">
        <f>C302/C301-1</f>
        <v/>
      </c>
    </row>
    <row r="303" ht="17" customHeight="1">
      <c r="A303" s="13" t="inlineStr">
        <is>
          <t>2024-11-26</t>
        </is>
      </c>
      <c r="B303" s="14" t="n">
        <v>7300</v>
      </c>
      <c r="C303" s="14" t="n">
        <v>4783</v>
      </c>
      <c r="D303" s="15" t="n"/>
      <c r="E303" s="16">
        <f>C303-Lambda*B303-OtherCost</f>
        <v/>
      </c>
      <c r="F303" s="17">
        <f>C303/B303</f>
        <v/>
      </c>
      <c r="G303" s="24">
        <f>B303/B302-1</f>
        <v/>
      </c>
      <c r="H303" s="24">
        <f>C303/C302-1</f>
        <v/>
      </c>
    </row>
    <row r="304" ht="17" customHeight="1">
      <c r="A304" s="18" t="inlineStr">
        <is>
          <t>2024-11-27</t>
        </is>
      </c>
      <c r="B304" s="19" t="n">
        <v>7300</v>
      </c>
      <c r="C304" s="19" t="n">
        <v>4741</v>
      </c>
      <c r="D304" s="20" t="n"/>
      <c r="E304" s="21">
        <f>C304-Lambda*B304-OtherCost</f>
        <v/>
      </c>
      <c r="F304" s="22">
        <f>C304/B304</f>
        <v/>
      </c>
      <c r="G304" s="23">
        <f>B304/B303-1</f>
        <v/>
      </c>
      <c r="H304" s="23">
        <f>C304/C303-1</f>
        <v/>
      </c>
    </row>
    <row r="305" ht="17" customHeight="1">
      <c r="A305" s="13" t="inlineStr">
        <is>
          <t>2024-11-28</t>
        </is>
      </c>
      <c r="B305" s="14" t="n">
        <v>7300</v>
      </c>
      <c r="C305" s="14" t="n">
        <v>4741</v>
      </c>
      <c r="D305" s="15" t="n"/>
      <c r="E305" s="16">
        <f>C305-Lambda*B305-OtherCost</f>
        <v/>
      </c>
      <c r="F305" s="17">
        <f>C305/B305</f>
        <v/>
      </c>
      <c r="G305" s="24">
        <f>B305/B304-1</f>
        <v/>
      </c>
      <c r="H305" s="24">
        <f>C305/C304-1</f>
        <v/>
      </c>
    </row>
    <row r="306" ht="17" customHeight="1">
      <c r="A306" s="18" t="inlineStr">
        <is>
          <t>2024-12-01</t>
        </is>
      </c>
      <c r="B306" s="19" t="n">
        <v>7150</v>
      </c>
      <c r="C306" s="19" t="n">
        <v>4741</v>
      </c>
      <c r="D306" s="20" t="n"/>
      <c r="E306" s="21">
        <f>C306-Lambda*B306-OtherCost</f>
        <v/>
      </c>
      <c r="F306" s="22">
        <f>C306/B306</f>
        <v/>
      </c>
      <c r="G306" s="23">
        <f>B306/B305-1</f>
        <v/>
      </c>
      <c r="H306" s="23">
        <f>C306/C305-1</f>
        <v/>
      </c>
    </row>
    <row r="307" ht="17" customHeight="1">
      <c r="A307" s="13" t="inlineStr">
        <is>
          <t>2024-12-02</t>
        </is>
      </c>
      <c r="B307" s="14" t="n">
        <v>7150</v>
      </c>
      <c r="C307" s="14" t="n">
        <v>4759.7</v>
      </c>
      <c r="D307" s="15" t="n"/>
      <c r="E307" s="16">
        <f>C307-Lambda*B307-OtherCost</f>
        <v/>
      </c>
      <c r="F307" s="17">
        <f>C307/B307</f>
        <v/>
      </c>
      <c r="G307" s="24">
        <f>B307/B306-1</f>
        <v/>
      </c>
      <c r="H307" s="24">
        <f>C307/C306-1</f>
        <v/>
      </c>
    </row>
    <row r="308" ht="17" customHeight="1">
      <c r="A308" s="18" t="inlineStr">
        <is>
          <t>2024-12-03</t>
        </is>
      </c>
      <c r="B308" s="19" t="n">
        <v>7150</v>
      </c>
      <c r="C308" s="19" t="n">
        <v>4759.7</v>
      </c>
      <c r="D308" s="20" t="n"/>
      <c r="E308" s="21">
        <f>C308-Lambda*B308-OtherCost</f>
        <v/>
      </c>
      <c r="F308" s="22">
        <f>C308/B308</f>
        <v/>
      </c>
      <c r="G308" s="23">
        <f>B308/B307-1</f>
        <v/>
      </c>
      <c r="H308" s="23">
        <f>C308/C307-1</f>
        <v/>
      </c>
    </row>
    <row r="309" ht="17" customHeight="1">
      <c r="A309" s="13" t="inlineStr">
        <is>
          <t>2024-12-04</t>
        </is>
      </c>
      <c r="B309" s="14" t="n">
        <v>7150</v>
      </c>
      <c r="C309" s="14" t="n">
        <v>4759.7</v>
      </c>
      <c r="D309" s="15" t="n"/>
      <c r="E309" s="16">
        <f>C309-Lambda*B309-OtherCost</f>
        <v/>
      </c>
      <c r="F309" s="17">
        <f>C309/B309</f>
        <v/>
      </c>
      <c r="G309" s="24">
        <f>B309/B308-1</f>
        <v/>
      </c>
      <c r="H309" s="24">
        <f>C309/C308-1</f>
        <v/>
      </c>
    </row>
    <row r="310" ht="17" customHeight="1">
      <c r="A310" s="18" t="inlineStr">
        <is>
          <t>2024-12-05</t>
        </is>
      </c>
      <c r="B310" s="19" t="n">
        <v>7150</v>
      </c>
      <c r="C310" s="19" t="n">
        <v>4759.7</v>
      </c>
      <c r="D310" s="20" t="n"/>
      <c r="E310" s="21">
        <f>C310-Lambda*B310-OtherCost</f>
        <v/>
      </c>
      <c r="F310" s="22">
        <f>C310/B310</f>
        <v/>
      </c>
      <c r="G310" s="23">
        <f>B310/B309-1</f>
        <v/>
      </c>
      <c r="H310" s="23">
        <f>C310/C309-1</f>
        <v/>
      </c>
    </row>
    <row r="311" ht="17" customHeight="1">
      <c r="A311" s="13" t="inlineStr">
        <is>
          <t>2024-12-08</t>
        </is>
      </c>
      <c r="B311" s="14" t="n">
        <v>7150</v>
      </c>
      <c r="C311" s="14" t="n">
        <v>4680.5</v>
      </c>
      <c r="D311" s="15" t="n"/>
      <c r="E311" s="16">
        <f>C311-Lambda*B311-OtherCost</f>
        <v/>
      </c>
      <c r="F311" s="17">
        <f>C311/B311</f>
        <v/>
      </c>
      <c r="G311" s="24">
        <f>B311/B310-1</f>
        <v/>
      </c>
      <c r="H311" s="24">
        <f>C311/C310-1</f>
        <v/>
      </c>
    </row>
    <row r="312" ht="17" customHeight="1">
      <c r="A312" s="18" t="inlineStr">
        <is>
          <t>2024-12-09</t>
        </is>
      </c>
      <c r="B312" s="19" t="n">
        <v>7150</v>
      </c>
      <c r="C312" s="19" t="n">
        <v>4697</v>
      </c>
      <c r="D312" s="20" t="n"/>
      <c r="E312" s="21">
        <f>C312-Lambda*B312-OtherCost</f>
        <v/>
      </c>
      <c r="F312" s="22">
        <f>C312/B312</f>
        <v/>
      </c>
      <c r="G312" s="23">
        <f>B312/B311-1</f>
        <v/>
      </c>
      <c r="H312" s="23">
        <f>C312/C311-1</f>
        <v/>
      </c>
    </row>
    <row r="313" ht="17" customHeight="1">
      <c r="A313" s="13" t="inlineStr">
        <is>
          <t>2024-12-10</t>
        </is>
      </c>
      <c r="B313" s="14" t="n">
        <v>7150</v>
      </c>
      <c r="C313" s="14" t="n">
        <v>4697</v>
      </c>
      <c r="D313" s="15" t="n"/>
      <c r="E313" s="16">
        <f>C313-Lambda*B313-OtherCost</f>
        <v/>
      </c>
      <c r="F313" s="17">
        <f>C313/B313</f>
        <v/>
      </c>
      <c r="G313" s="24">
        <f>B313/B312-1</f>
        <v/>
      </c>
      <c r="H313" s="24">
        <f>C313/C312-1</f>
        <v/>
      </c>
    </row>
    <row r="314" ht="17" customHeight="1">
      <c r="A314" s="18" t="inlineStr">
        <is>
          <t>2024-12-11</t>
        </is>
      </c>
      <c r="B314" s="19" t="n">
        <v>7150</v>
      </c>
      <c r="C314" s="19" t="n">
        <v>4734</v>
      </c>
      <c r="D314" s="20" t="n"/>
      <c r="E314" s="21">
        <f>C314-Lambda*B314-OtherCost</f>
        <v/>
      </c>
      <c r="F314" s="22">
        <f>C314/B314</f>
        <v/>
      </c>
      <c r="G314" s="23">
        <f>B314/B313-1</f>
        <v/>
      </c>
      <c r="H314" s="23">
        <f>C314/C313-1</f>
        <v/>
      </c>
    </row>
    <row r="315" ht="17" customHeight="1">
      <c r="A315" s="13" t="inlineStr">
        <is>
          <t>2024-12-12</t>
        </is>
      </c>
      <c r="B315" s="14" t="n">
        <v>7150</v>
      </c>
      <c r="C315" s="14" t="n">
        <v>4734</v>
      </c>
      <c r="D315" s="15" t="n"/>
      <c r="E315" s="16">
        <f>C315-Lambda*B315-OtherCost</f>
        <v/>
      </c>
      <c r="F315" s="17">
        <f>C315/B315</f>
        <v/>
      </c>
      <c r="G315" s="24">
        <f>B315/B314-1</f>
        <v/>
      </c>
      <c r="H315" s="24">
        <f>C315/C314-1</f>
        <v/>
      </c>
    </row>
    <row r="316" ht="17" customHeight="1">
      <c r="A316" s="18" t="inlineStr">
        <is>
          <t>2024-12-15</t>
        </is>
      </c>
      <c r="B316" s="19" t="n">
        <v>7150</v>
      </c>
      <c r="C316" s="19" t="n">
        <v>4734</v>
      </c>
      <c r="D316" s="20" t="n"/>
      <c r="E316" s="21">
        <f>C316-Lambda*B316-OtherCost</f>
        <v/>
      </c>
      <c r="F316" s="22">
        <f>C316/B316</f>
        <v/>
      </c>
      <c r="G316" s="23">
        <f>B316/B315-1</f>
        <v/>
      </c>
      <c r="H316" s="23">
        <f>C316/C315-1</f>
        <v/>
      </c>
    </row>
    <row r="317" ht="17" customHeight="1">
      <c r="A317" s="13" t="inlineStr">
        <is>
          <t>2024-12-16</t>
        </is>
      </c>
      <c r="B317" s="14" t="n">
        <v>7150</v>
      </c>
      <c r="C317" s="14" t="n">
        <v>4734</v>
      </c>
      <c r="D317" s="15" t="n"/>
      <c r="E317" s="16">
        <f>C317-Lambda*B317-OtherCost</f>
        <v/>
      </c>
      <c r="F317" s="17">
        <f>C317/B317</f>
        <v/>
      </c>
      <c r="G317" s="24">
        <f>B317/B316-1</f>
        <v/>
      </c>
      <c r="H317" s="24">
        <f>C317/C316-1</f>
        <v/>
      </c>
    </row>
    <row r="318" ht="17" customHeight="1">
      <c r="A318" s="18" t="inlineStr">
        <is>
          <t>2024-12-17</t>
        </is>
      </c>
      <c r="B318" s="19" t="n">
        <v>7150</v>
      </c>
      <c r="C318" s="19" t="n">
        <v>4797</v>
      </c>
      <c r="D318" s="20" t="n"/>
      <c r="E318" s="21">
        <f>C318-Lambda*B318-OtherCost</f>
        <v/>
      </c>
      <c r="F318" s="22">
        <f>C318/B318</f>
        <v/>
      </c>
      <c r="G318" s="23">
        <f>B318/B317-1</f>
        <v/>
      </c>
      <c r="H318" s="23">
        <f>C318/C317-1</f>
        <v/>
      </c>
    </row>
    <row r="319" ht="17" customHeight="1">
      <c r="A319" s="13" t="inlineStr">
        <is>
          <t>2024-12-18</t>
        </is>
      </c>
      <c r="B319" s="14" t="n">
        <v>7150</v>
      </c>
      <c r="C319" s="14" t="n">
        <v>4809</v>
      </c>
      <c r="D319" s="15" t="n"/>
      <c r="E319" s="16">
        <f>C319-Lambda*B319-OtherCost</f>
        <v/>
      </c>
      <c r="F319" s="17">
        <f>C319/B319</f>
        <v/>
      </c>
      <c r="G319" s="24">
        <f>B319/B318-1</f>
        <v/>
      </c>
      <c r="H319" s="24">
        <f>C319/C318-1</f>
        <v/>
      </c>
    </row>
    <row r="320" ht="17" customHeight="1">
      <c r="A320" s="18" t="inlineStr">
        <is>
          <t>2024-12-19</t>
        </is>
      </c>
      <c r="B320" s="19" t="n">
        <v>7150</v>
      </c>
      <c r="C320" s="19" t="n">
        <v>4809</v>
      </c>
      <c r="D320" s="20" t="n"/>
      <c r="E320" s="21">
        <f>C320-Lambda*B320-OtherCost</f>
        <v/>
      </c>
      <c r="F320" s="22">
        <f>C320/B320</f>
        <v/>
      </c>
      <c r="G320" s="23">
        <f>B320/B319-1</f>
        <v/>
      </c>
      <c r="H320" s="23">
        <f>C320/C319-1</f>
        <v/>
      </c>
    </row>
    <row r="321" ht="17" customHeight="1">
      <c r="A321" s="13" t="inlineStr">
        <is>
          <t>2024-12-22</t>
        </is>
      </c>
      <c r="B321" s="14" t="n">
        <v>7150</v>
      </c>
      <c r="C321" s="14" t="n">
        <v>4832</v>
      </c>
      <c r="D321" s="15" t="n"/>
      <c r="E321" s="16">
        <f>C321-Lambda*B321-OtherCost</f>
        <v/>
      </c>
      <c r="F321" s="17">
        <f>C321/B321</f>
        <v/>
      </c>
      <c r="G321" s="24">
        <f>B321/B320-1</f>
        <v/>
      </c>
      <c r="H321" s="24">
        <f>C321/C320-1</f>
        <v/>
      </c>
    </row>
    <row r="322" ht="17" customHeight="1">
      <c r="A322" s="18" t="inlineStr">
        <is>
          <t>2024-12-23</t>
        </is>
      </c>
      <c r="B322" s="19" t="n">
        <v>7150</v>
      </c>
      <c r="C322" s="19" t="n">
        <v>4832</v>
      </c>
      <c r="D322" s="20" t="n"/>
      <c r="E322" s="21">
        <f>C322-Lambda*B322-OtherCost</f>
        <v/>
      </c>
      <c r="F322" s="22">
        <f>C322/B322</f>
        <v/>
      </c>
      <c r="G322" s="23">
        <f>B322/B321-1</f>
        <v/>
      </c>
      <c r="H322" s="23">
        <f>C322/C321-1</f>
        <v/>
      </c>
    </row>
    <row r="323" ht="17" customHeight="1">
      <c r="A323" s="13" t="inlineStr">
        <is>
          <t>2024-12-24</t>
        </is>
      </c>
      <c r="B323" s="14" t="n">
        <v>7150</v>
      </c>
      <c r="C323" s="14" t="n">
        <v>4833</v>
      </c>
      <c r="D323" s="15" t="n"/>
      <c r="E323" s="16">
        <f>C323-Lambda*B323-OtherCost</f>
        <v/>
      </c>
      <c r="F323" s="17">
        <f>C323/B323</f>
        <v/>
      </c>
      <c r="G323" s="24">
        <f>B323/B322-1</f>
        <v/>
      </c>
      <c r="H323" s="24">
        <f>C323/C322-1</f>
        <v/>
      </c>
    </row>
    <row r="324" ht="17" customHeight="1">
      <c r="A324" s="18" t="inlineStr">
        <is>
          <t>2024-12-25</t>
        </is>
      </c>
      <c r="B324" s="19" t="n">
        <v>7150</v>
      </c>
      <c r="C324" s="19" t="n">
        <v>4831</v>
      </c>
      <c r="D324" s="20" t="n"/>
      <c r="E324" s="21">
        <f>C324-Lambda*B324-OtherCost</f>
        <v/>
      </c>
      <c r="F324" s="22">
        <f>C324/B324</f>
        <v/>
      </c>
      <c r="G324" s="23">
        <f>B324/B323-1</f>
        <v/>
      </c>
      <c r="H324" s="23">
        <f>C324/C323-1</f>
        <v/>
      </c>
    </row>
    <row r="325" ht="17" customHeight="1">
      <c r="A325" s="13" t="inlineStr">
        <is>
          <t>2024-12-26</t>
        </is>
      </c>
      <c r="B325" s="14" t="n">
        <v>7150</v>
      </c>
      <c r="C325" s="14" t="n">
        <v>4767</v>
      </c>
      <c r="D325" s="15" t="n"/>
      <c r="E325" s="16">
        <f>C325-Lambda*B325-OtherCost</f>
        <v/>
      </c>
      <c r="F325" s="17">
        <f>C325/B325</f>
        <v/>
      </c>
      <c r="G325" s="24">
        <f>B325/B324-1</f>
        <v/>
      </c>
      <c r="H325" s="24">
        <f>C325/C324-1</f>
        <v/>
      </c>
    </row>
    <row r="326" ht="17" customHeight="1">
      <c r="A326" s="18" t="inlineStr">
        <is>
          <t>2024-12-29</t>
        </is>
      </c>
      <c r="B326" s="19" t="n">
        <v>7108.33</v>
      </c>
      <c r="C326" s="19" t="n">
        <v>4767</v>
      </c>
      <c r="D326" s="20" t="n"/>
      <c r="E326" s="21">
        <f>C326-Lambda*B326-OtherCost</f>
        <v/>
      </c>
      <c r="F326" s="22">
        <f>C326/B326</f>
        <v/>
      </c>
      <c r="G326" s="23">
        <f>B326/B325-1</f>
        <v/>
      </c>
      <c r="H326" s="23">
        <f>C326/C325-1</f>
        <v/>
      </c>
    </row>
    <row r="327" ht="17" customHeight="1">
      <c r="A327" s="13" t="inlineStr">
        <is>
          <t>2024-12-30</t>
        </is>
      </c>
      <c r="B327" s="14" t="n">
        <v>7108.33</v>
      </c>
      <c r="C327" s="14" t="n">
        <v>4790</v>
      </c>
      <c r="D327" s="15" t="n"/>
      <c r="E327" s="16">
        <f>C327-Lambda*B327-OtherCost</f>
        <v/>
      </c>
      <c r="F327" s="17">
        <f>C327/B327</f>
        <v/>
      </c>
      <c r="G327" s="24">
        <f>B327/B326-1</f>
        <v/>
      </c>
      <c r="H327" s="24">
        <f>C327/C326-1</f>
        <v/>
      </c>
    </row>
    <row r="328" ht="17" customHeight="1">
      <c r="A328" s="18" t="inlineStr">
        <is>
          <t>2024-12-31</t>
        </is>
      </c>
      <c r="B328" s="19" t="n">
        <v>7108.33</v>
      </c>
      <c r="C328" s="19" t="n">
        <v>4790</v>
      </c>
      <c r="D328" s="20" t="n"/>
      <c r="E328" s="21">
        <f>C328-Lambda*B328-OtherCost</f>
        <v/>
      </c>
      <c r="F328" s="22">
        <f>C328/B328</f>
        <v/>
      </c>
      <c r="G328" s="23">
        <f>B328/B327-1</f>
        <v/>
      </c>
      <c r="H328" s="23">
        <f>C328/C327-1</f>
        <v/>
      </c>
    </row>
    <row r="329" ht="17" customHeight="1">
      <c r="A329" s="13" t="inlineStr">
        <is>
          <t>2025-01-01</t>
        </is>
      </c>
      <c r="B329" s="14" t="n">
        <v>7108.33</v>
      </c>
      <c r="C329" s="14" t="n">
        <v>4790</v>
      </c>
      <c r="D329" s="15" t="n"/>
      <c r="E329" s="16">
        <f>C329-Lambda*B329-OtherCost</f>
        <v/>
      </c>
      <c r="F329" s="17">
        <f>C329/B329</f>
        <v/>
      </c>
      <c r="G329" s="24">
        <f>B329/B328-1</f>
        <v/>
      </c>
      <c r="H329" s="24">
        <f>C329/C328-1</f>
        <v/>
      </c>
    </row>
    <row r="330" ht="17" customHeight="1">
      <c r="A330" s="18" t="inlineStr">
        <is>
          <t>2025-01-02</t>
        </is>
      </c>
      <c r="B330" s="19" t="n">
        <v>7100</v>
      </c>
      <c r="C330" s="19" t="n">
        <v>4790</v>
      </c>
      <c r="D330" s="20" t="n"/>
      <c r="E330" s="21">
        <f>C330-Lambda*B330-OtherCost</f>
        <v/>
      </c>
      <c r="F330" s="22">
        <f>C330/B330</f>
        <v/>
      </c>
      <c r="G330" s="23">
        <f>B330/B329-1</f>
        <v/>
      </c>
      <c r="H330" s="23">
        <f>C330/C329-1</f>
        <v/>
      </c>
    </row>
    <row r="331" ht="17" customHeight="1">
      <c r="A331" s="13" t="inlineStr">
        <is>
          <t>2025-01-05</t>
        </is>
      </c>
      <c r="B331" s="14" t="n">
        <v>7100</v>
      </c>
      <c r="C331" s="14" t="n">
        <v>4795.56</v>
      </c>
      <c r="D331" s="15" t="n"/>
      <c r="E331" s="16">
        <f>C331-Lambda*B331-OtherCost</f>
        <v/>
      </c>
      <c r="F331" s="17">
        <f>C331/B331</f>
        <v/>
      </c>
      <c r="G331" s="24">
        <f>B331/B330-1</f>
        <v/>
      </c>
      <c r="H331" s="24">
        <f>C331/C330-1</f>
        <v/>
      </c>
    </row>
    <row r="332" ht="17" customHeight="1">
      <c r="A332" s="18" t="inlineStr">
        <is>
          <t>2025-01-06</t>
        </is>
      </c>
      <c r="B332" s="19" t="n">
        <v>7100</v>
      </c>
      <c r="C332" s="19" t="n">
        <v>4795.56</v>
      </c>
      <c r="D332" s="20" t="n"/>
      <c r="E332" s="21">
        <f>C332-Lambda*B332-OtherCost</f>
        <v/>
      </c>
      <c r="F332" s="22">
        <f>C332/B332</f>
        <v/>
      </c>
      <c r="G332" s="23">
        <f>B332/B331-1</f>
        <v/>
      </c>
      <c r="H332" s="23">
        <f>C332/C331-1</f>
        <v/>
      </c>
    </row>
    <row r="333" ht="17" customHeight="1">
      <c r="A333" s="13" t="inlineStr">
        <is>
          <t>2025-01-07</t>
        </is>
      </c>
      <c r="B333" s="14" t="n">
        <v>7100</v>
      </c>
      <c r="C333" s="14" t="n">
        <v>4803.89</v>
      </c>
      <c r="D333" s="15" t="n"/>
      <c r="E333" s="16">
        <f>C333-Lambda*B333-OtherCost</f>
        <v/>
      </c>
      <c r="F333" s="17">
        <f>C333/B333</f>
        <v/>
      </c>
      <c r="G333" s="24">
        <f>B333/B332-1</f>
        <v/>
      </c>
      <c r="H333" s="24">
        <f>C333/C332-1</f>
        <v/>
      </c>
    </row>
    <row r="334" ht="17" customHeight="1">
      <c r="A334" s="18" t="inlineStr">
        <is>
          <t>2025-01-08</t>
        </is>
      </c>
      <c r="B334" s="19" t="n">
        <v>7100</v>
      </c>
      <c r="C334" s="19" t="n">
        <v>4871.67</v>
      </c>
      <c r="D334" s="20" t="n"/>
      <c r="E334" s="21">
        <f>C334-Lambda*B334-OtherCost</f>
        <v/>
      </c>
      <c r="F334" s="22">
        <f>C334/B334</f>
        <v/>
      </c>
      <c r="G334" s="23">
        <f>B334/B333-1</f>
        <v/>
      </c>
      <c r="H334" s="23">
        <f>C334/C333-1</f>
        <v/>
      </c>
    </row>
    <row r="335" ht="17" customHeight="1">
      <c r="A335" s="13" t="inlineStr">
        <is>
          <t>2025-01-09</t>
        </is>
      </c>
      <c r="B335" s="14" t="n">
        <v>7100</v>
      </c>
      <c r="C335" s="14" t="n">
        <v>4893.89</v>
      </c>
      <c r="D335" s="15" t="n"/>
      <c r="E335" s="16">
        <f>C335-Lambda*B335-OtherCost</f>
        <v/>
      </c>
      <c r="F335" s="17">
        <f>C335/B335</f>
        <v/>
      </c>
      <c r="G335" s="24">
        <f>B335/B334-1</f>
        <v/>
      </c>
      <c r="H335" s="24">
        <f>C335/C334-1</f>
        <v/>
      </c>
    </row>
    <row r="336" ht="17" customHeight="1">
      <c r="A336" s="18" t="inlineStr">
        <is>
          <t>2025-01-12</t>
        </is>
      </c>
      <c r="B336" s="19" t="n">
        <v>7100</v>
      </c>
      <c r="C336" s="19" t="n">
        <v>4963.89</v>
      </c>
      <c r="D336" s="20" t="n"/>
      <c r="E336" s="21">
        <f>C336-Lambda*B336-OtherCost</f>
        <v/>
      </c>
      <c r="F336" s="22">
        <f>C336/B336</f>
        <v/>
      </c>
      <c r="G336" s="23">
        <f>B336/B335-1</f>
        <v/>
      </c>
      <c r="H336" s="23">
        <f>C336/C335-1</f>
        <v/>
      </c>
    </row>
    <row r="337" ht="17" customHeight="1">
      <c r="A337" s="13" t="inlineStr">
        <is>
          <t>2025-01-13</t>
        </is>
      </c>
      <c r="B337" s="14" t="n">
        <v>7100</v>
      </c>
      <c r="C337" s="14" t="n">
        <v>4996.11</v>
      </c>
      <c r="D337" s="15" t="n"/>
      <c r="E337" s="16">
        <f>C337-Lambda*B337-OtherCost</f>
        <v/>
      </c>
      <c r="F337" s="17">
        <f>C337/B337</f>
        <v/>
      </c>
      <c r="G337" s="24">
        <f>B337/B336-1</f>
        <v/>
      </c>
      <c r="H337" s="24">
        <f>C337/C336-1</f>
        <v/>
      </c>
    </row>
    <row r="338" ht="17" customHeight="1">
      <c r="A338" s="18" t="inlineStr">
        <is>
          <t>2025-01-14</t>
        </is>
      </c>
      <c r="B338" s="19" t="n">
        <v>7300</v>
      </c>
      <c r="C338" s="19" t="n">
        <v>5084.44</v>
      </c>
      <c r="D338" s="20" t="n"/>
      <c r="E338" s="21">
        <f>C338-Lambda*B338-OtherCost</f>
        <v/>
      </c>
      <c r="F338" s="22">
        <f>C338/B338</f>
        <v/>
      </c>
      <c r="G338" s="23">
        <f>B338/B337-1</f>
        <v/>
      </c>
      <c r="H338" s="23">
        <f>C338/C337-1</f>
        <v/>
      </c>
    </row>
    <row r="339" ht="17" customHeight="1">
      <c r="A339" s="13" t="inlineStr">
        <is>
          <t>2025-01-15</t>
        </is>
      </c>
      <c r="B339" s="14" t="n">
        <v>7300</v>
      </c>
      <c r="C339" s="14" t="n">
        <v>5084.44</v>
      </c>
      <c r="D339" s="15" t="n"/>
      <c r="E339" s="16">
        <f>C339-Lambda*B339-OtherCost</f>
        <v/>
      </c>
      <c r="F339" s="17">
        <f>C339/B339</f>
        <v/>
      </c>
      <c r="G339" s="24">
        <f>B339/B338-1</f>
        <v/>
      </c>
      <c r="H339" s="24">
        <f>C339/C338-1</f>
        <v/>
      </c>
    </row>
    <row r="340" ht="17" customHeight="1">
      <c r="A340" s="18" t="inlineStr">
        <is>
          <t>2025-01-16</t>
        </is>
      </c>
      <c r="B340" s="19" t="n">
        <v>7300</v>
      </c>
      <c r="C340" s="19" t="n">
        <v>5084.44</v>
      </c>
      <c r="D340" s="20" t="n"/>
      <c r="E340" s="21">
        <f>C340-Lambda*B340-OtherCost</f>
        <v/>
      </c>
      <c r="F340" s="22">
        <f>C340/B340</f>
        <v/>
      </c>
      <c r="G340" s="23">
        <f>B340/B339-1</f>
        <v/>
      </c>
      <c r="H340" s="23">
        <f>C340/C339-1</f>
        <v/>
      </c>
    </row>
    <row r="341" ht="17" customHeight="1">
      <c r="A341" s="13" t="inlineStr">
        <is>
          <t>2025-01-19</t>
        </is>
      </c>
      <c r="B341" s="14" t="n">
        <v>7300</v>
      </c>
      <c r="C341" s="14" t="n">
        <v>5081.11</v>
      </c>
      <c r="D341" s="15" t="n"/>
      <c r="E341" s="16">
        <f>C341-Lambda*B341-OtherCost</f>
        <v/>
      </c>
      <c r="F341" s="17">
        <f>C341/B341</f>
        <v/>
      </c>
      <c r="G341" s="24">
        <f>B341/B340-1</f>
        <v/>
      </c>
      <c r="H341" s="24">
        <f>C341/C340-1</f>
        <v/>
      </c>
    </row>
    <row r="342" ht="17" customHeight="1">
      <c r="A342" s="18" t="inlineStr">
        <is>
          <t>2025-01-20</t>
        </is>
      </c>
      <c r="B342" s="19" t="n">
        <v>7300</v>
      </c>
      <c r="C342" s="19" t="n">
        <v>5081.11</v>
      </c>
      <c r="D342" s="20" t="n"/>
      <c r="E342" s="21">
        <f>C342-Lambda*B342-OtherCost</f>
        <v/>
      </c>
      <c r="F342" s="22">
        <f>C342/B342</f>
        <v/>
      </c>
      <c r="G342" s="23">
        <f>B342/B341-1</f>
        <v/>
      </c>
      <c r="H342" s="23">
        <f>C342/C341-1</f>
        <v/>
      </c>
    </row>
    <row r="343" ht="17" customHeight="1">
      <c r="A343" s="13" t="inlineStr">
        <is>
          <t>2025-01-21</t>
        </is>
      </c>
      <c r="B343" s="14" t="n">
        <v>7300</v>
      </c>
      <c r="C343" s="14" t="n">
        <v>5065.56</v>
      </c>
      <c r="D343" s="15" t="n"/>
      <c r="E343" s="16">
        <f>C343-Lambda*B343-OtherCost</f>
        <v/>
      </c>
      <c r="F343" s="17">
        <f>C343/B343</f>
        <v/>
      </c>
      <c r="G343" s="24">
        <f>B343/B342-1</f>
        <v/>
      </c>
      <c r="H343" s="24">
        <f>C343/C342-1</f>
        <v/>
      </c>
    </row>
    <row r="344" ht="17" customHeight="1">
      <c r="A344" s="18" t="inlineStr">
        <is>
          <t>2025-01-22</t>
        </is>
      </c>
      <c r="B344" s="19" t="n">
        <v>7300</v>
      </c>
      <c r="C344" s="19" t="n">
        <v>5048.89</v>
      </c>
      <c r="D344" s="20" t="n"/>
      <c r="E344" s="21">
        <f>C344-Lambda*B344-OtherCost</f>
        <v/>
      </c>
      <c r="F344" s="22">
        <f>C344/B344</f>
        <v/>
      </c>
      <c r="G344" s="23">
        <f>B344/B343-1</f>
        <v/>
      </c>
      <c r="H344" s="23">
        <f>C344/C343-1</f>
        <v/>
      </c>
    </row>
    <row r="345" ht="17" customHeight="1">
      <c r="A345" s="13" t="inlineStr">
        <is>
          <t>2025-01-23</t>
        </is>
      </c>
      <c r="B345" s="14" t="n">
        <v>7300</v>
      </c>
      <c r="C345" s="14" t="n">
        <v>4992.22</v>
      </c>
      <c r="D345" s="15" t="n"/>
      <c r="E345" s="16">
        <f>C345-Lambda*B345-OtherCost</f>
        <v/>
      </c>
      <c r="F345" s="17">
        <f>C345/B345</f>
        <v/>
      </c>
      <c r="G345" s="24">
        <f>B345/B344-1</f>
        <v/>
      </c>
      <c r="H345" s="24">
        <f>C345/C344-1</f>
        <v/>
      </c>
    </row>
    <row r="346" ht="17" customHeight="1">
      <c r="A346" s="18" t="inlineStr">
        <is>
          <t>2025-01-26</t>
        </is>
      </c>
      <c r="B346" s="19" t="n">
        <v>7300</v>
      </c>
      <c r="C346" s="19" t="n">
        <v>4992.22</v>
      </c>
      <c r="D346" s="20" t="n"/>
      <c r="E346" s="21">
        <f>C346-Lambda*B346-OtherCost</f>
        <v/>
      </c>
      <c r="F346" s="22">
        <f>C346/B346</f>
        <v/>
      </c>
      <c r="G346" s="23">
        <f>B346/B345-1</f>
        <v/>
      </c>
      <c r="H346" s="23">
        <f>C346/C345-1</f>
        <v/>
      </c>
    </row>
    <row r="347" ht="17" customHeight="1">
      <c r="A347" s="13" t="inlineStr">
        <is>
          <t>2025-01-27</t>
        </is>
      </c>
      <c r="B347" s="14" t="n">
        <v>7300</v>
      </c>
      <c r="C347" s="14" t="n">
        <v>4992.22</v>
      </c>
      <c r="D347" s="15" t="n"/>
      <c r="E347" s="16">
        <f>C347-Lambda*B347-OtherCost</f>
        <v/>
      </c>
      <c r="F347" s="17">
        <f>C347/B347</f>
        <v/>
      </c>
      <c r="G347" s="24">
        <f>B347/B346-1</f>
        <v/>
      </c>
      <c r="H347" s="24">
        <f>C347/C346-1</f>
        <v/>
      </c>
    </row>
    <row r="348" ht="17" customHeight="1">
      <c r="A348" s="18" t="inlineStr">
        <is>
          <t>2025-01-28</t>
        </is>
      </c>
      <c r="B348" s="19" t="n">
        <v>7300</v>
      </c>
      <c r="C348" s="19" t="n">
        <v>4992.22</v>
      </c>
      <c r="D348" s="20" t="n"/>
      <c r="E348" s="21">
        <f>C348-Lambda*B348-OtherCost</f>
        <v/>
      </c>
      <c r="F348" s="22">
        <f>C348/B348</f>
        <v/>
      </c>
      <c r="G348" s="23">
        <f>B348/B347-1</f>
        <v/>
      </c>
      <c r="H348" s="23">
        <f>C348/C347-1</f>
        <v/>
      </c>
    </row>
    <row r="349" ht="17" customHeight="1">
      <c r="A349" s="13" t="inlineStr">
        <is>
          <t>2025-01-29</t>
        </is>
      </c>
      <c r="B349" s="14" t="n">
        <v>7300</v>
      </c>
      <c r="C349" s="14" t="n">
        <v>4992.22</v>
      </c>
      <c r="D349" s="15" t="n"/>
      <c r="E349" s="16">
        <f>C349-Lambda*B349-OtherCost</f>
        <v/>
      </c>
      <c r="F349" s="17">
        <f>C349/B349</f>
        <v/>
      </c>
      <c r="G349" s="24">
        <f>B349/B348-1</f>
        <v/>
      </c>
      <c r="H349" s="24">
        <f>C349/C348-1</f>
        <v/>
      </c>
    </row>
    <row r="350" ht="17" customHeight="1">
      <c r="A350" s="18" t="inlineStr">
        <is>
          <t>2025-01-30</t>
        </is>
      </c>
      <c r="B350" s="19" t="n">
        <v>7300</v>
      </c>
      <c r="C350" s="19" t="n">
        <v>4992.22</v>
      </c>
      <c r="D350" s="20" t="n"/>
      <c r="E350" s="21">
        <f>C350-Lambda*B350-OtherCost</f>
        <v/>
      </c>
      <c r="F350" s="22">
        <f>C350/B350</f>
        <v/>
      </c>
      <c r="G350" s="23">
        <f>B350/B349-1</f>
        <v/>
      </c>
      <c r="H350" s="23">
        <f>C350/C349-1</f>
        <v/>
      </c>
    </row>
    <row r="351" ht="17" customHeight="1">
      <c r="A351" s="13" t="inlineStr">
        <is>
          <t>2025-02-02</t>
        </is>
      </c>
      <c r="B351" s="14" t="n">
        <v>7300</v>
      </c>
      <c r="C351" s="14" t="n">
        <v>4992.22</v>
      </c>
      <c r="D351" s="15" t="n"/>
      <c r="E351" s="16">
        <f>C351-Lambda*B351-OtherCost</f>
        <v/>
      </c>
      <c r="F351" s="17">
        <f>C351/B351</f>
        <v/>
      </c>
      <c r="G351" s="24">
        <f>B351/B350-1</f>
        <v/>
      </c>
      <c r="H351" s="24">
        <f>C351/C350-1</f>
        <v/>
      </c>
    </row>
    <row r="352" ht="17" customHeight="1">
      <c r="A352" s="18" t="inlineStr">
        <is>
          <t>2025-02-03</t>
        </is>
      </c>
      <c r="B352" s="19" t="n">
        <v>7300</v>
      </c>
      <c r="C352" s="19" t="n">
        <v>4992.22</v>
      </c>
      <c r="D352" s="20" t="n"/>
      <c r="E352" s="21">
        <f>C352-Lambda*B352-OtherCost</f>
        <v/>
      </c>
      <c r="F352" s="22">
        <f>C352/B352</f>
        <v/>
      </c>
      <c r="G352" s="23">
        <f>B352/B351-1</f>
        <v/>
      </c>
      <c r="H352" s="23">
        <f>C352/C351-1</f>
        <v/>
      </c>
    </row>
    <row r="353" ht="17" customHeight="1">
      <c r="A353" s="13" t="inlineStr">
        <is>
          <t>2025-02-04</t>
        </is>
      </c>
      <c r="B353" s="14" t="n">
        <v>7500</v>
      </c>
      <c r="C353" s="14" t="n">
        <v>4954</v>
      </c>
      <c r="D353" s="15" t="n"/>
      <c r="E353" s="16">
        <f>C353-Lambda*B353-OtherCost</f>
        <v/>
      </c>
      <c r="F353" s="17">
        <f>C353/B353</f>
        <v/>
      </c>
      <c r="G353" s="24">
        <f>B353/B352-1</f>
        <v/>
      </c>
      <c r="H353" s="24">
        <f>C353/C352-1</f>
        <v/>
      </c>
    </row>
    <row r="354" ht="17" customHeight="1">
      <c r="A354" s="18" t="inlineStr">
        <is>
          <t>2025-02-05</t>
        </is>
      </c>
      <c r="B354" s="19" t="n">
        <v>7500</v>
      </c>
      <c r="C354" s="19" t="n">
        <v>4956.82</v>
      </c>
      <c r="D354" s="20" t="n"/>
      <c r="E354" s="21">
        <f>C354-Lambda*B354-OtherCost</f>
        <v/>
      </c>
      <c r="F354" s="22">
        <f>C354/B354</f>
        <v/>
      </c>
      <c r="G354" s="23">
        <f>B354/B353-1</f>
        <v/>
      </c>
      <c r="H354" s="23">
        <f>C354/C353-1</f>
        <v/>
      </c>
    </row>
    <row r="355" ht="17" customHeight="1">
      <c r="A355" s="13" t="inlineStr">
        <is>
          <t>2025-02-06</t>
        </is>
      </c>
      <c r="B355" s="14" t="n">
        <v>7500</v>
      </c>
      <c r="C355" s="14" t="n">
        <v>5023.27</v>
      </c>
      <c r="D355" s="15" t="n"/>
      <c r="E355" s="16">
        <f>C355-Lambda*B355-OtherCost</f>
        <v/>
      </c>
      <c r="F355" s="17">
        <f>C355/B355</f>
        <v/>
      </c>
      <c r="G355" s="24">
        <f>B355/B354-1</f>
        <v/>
      </c>
      <c r="H355" s="24">
        <f>C355/C354-1</f>
        <v/>
      </c>
    </row>
    <row r="356" ht="17" customHeight="1">
      <c r="A356" s="18" t="inlineStr">
        <is>
          <t>2025-02-09</t>
        </is>
      </c>
      <c r="B356" s="19" t="n">
        <v>7500</v>
      </c>
      <c r="C356" s="19" t="n">
        <v>5118.18</v>
      </c>
      <c r="D356" s="20" t="n"/>
      <c r="E356" s="21">
        <f>C356-Lambda*B356-OtherCost</f>
        <v/>
      </c>
      <c r="F356" s="22">
        <f>C356/B356</f>
        <v/>
      </c>
      <c r="G356" s="23">
        <f>B356/B355-1</f>
        <v/>
      </c>
      <c r="H356" s="23">
        <f>C356/C355-1</f>
        <v/>
      </c>
    </row>
    <row r="357" ht="17" customHeight="1">
      <c r="A357" s="13" t="inlineStr">
        <is>
          <t>2025-02-10</t>
        </is>
      </c>
      <c r="B357" s="14" t="n">
        <v>7500</v>
      </c>
      <c r="C357" s="14" t="n">
        <v>5115.91</v>
      </c>
      <c r="D357" s="15" t="n"/>
      <c r="E357" s="16">
        <f>C357-Lambda*B357-OtherCost</f>
        <v/>
      </c>
      <c r="F357" s="17">
        <f>C357/B357</f>
        <v/>
      </c>
      <c r="G357" s="24">
        <f>B357/B356-1</f>
        <v/>
      </c>
      <c r="H357" s="24">
        <f>C357/C356-1</f>
        <v/>
      </c>
    </row>
    <row r="358" ht="17" customHeight="1">
      <c r="A358" s="18" t="inlineStr">
        <is>
          <t>2025-02-11</t>
        </is>
      </c>
      <c r="B358" s="19" t="n">
        <v>7500</v>
      </c>
      <c r="C358" s="19" t="n">
        <v>5115.91</v>
      </c>
      <c r="D358" s="20" t="n"/>
      <c r="E358" s="21">
        <f>C358-Lambda*B358-OtherCost</f>
        <v/>
      </c>
      <c r="F358" s="22">
        <f>C358/B358</f>
        <v/>
      </c>
      <c r="G358" s="23">
        <f>B358/B357-1</f>
        <v/>
      </c>
      <c r="H358" s="23">
        <f>C358/C357-1</f>
        <v/>
      </c>
    </row>
    <row r="359" ht="17" customHeight="1">
      <c r="A359" s="13" t="inlineStr">
        <is>
          <t>2025-02-12</t>
        </is>
      </c>
      <c r="B359" s="14" t="n">
        <v>7500</v>
      </c>
      <c r="C359" s="14" t="n">
        <v>5077.73</v>
      </c>
      <c r="D359" s="15" t="n"/>
      <c r="E359" s="16">
        <f>C359-Lambda*B359-OtherCost</f>
        <v/>
      </c>
      <c r="F359" s="17">
        <f>C359/B359</f>
        <v/>
      </c>
      <c r="G359" s="24">
        <f>B359/B358-1</f>
        <v/>
      </c>
      <c r="H359" s="24">
        <f>C359/C358-1</f>
        <v/>
      </c>
    </row>
    <row r="360" ht="17" customHeight="1">
      <c r="A360" s="18" t="inlineStr">
        <is>
          <t>2025-02-13</t>
        </is>
      </c>
      <c r="B360" s="19" t="n">
        <v>7500</v>
      </c>
      <c r="C360" s="19" t="n">
        <v>5084.09</v>
      </c>
      <c r="D360" s="20" t="n"/>
      <c r="E360" s="21">
        <f>C360-Lambda*B360-OtherCost</f>
        <v/>
      </c>
      <c r="F360" s="22">
        <f>C360/B360</f>
        <v/>
      </c>
      <c r="G360" s="23">
        <f>B360/B359-1</f>
        <v/>
      </c>
      <c r="H360" s="23">
        <f>C360/C359-1</f>
        <v/>
      </c>
    </row>
    <row r="361" ht="17" customHeight="1">
      <c r="A361" s="13" t="inlineStr">
        <is>
          <t>2025-02-16</t>
        </is>
      </c>
      <c r="B361" s="14" t="n">
        <v>7500</v>
      </c>
      <c r="C361" s="14" t="n">
        <v>5104.09</v>
      </c>
      <c r="D361" s="15" t="n"/>
      <c r="E361" s="16">
        <f>C361-Lambda*B361-OtherCost</f>
        <v/>
      </c>
      <c r="F361" s="17">
        <f>C361/B361</f>
        <v/>
      </c>
      <c r="G361" s="24">
        <f>B361/B360-1</f>
        <v/>
      </c>
      <c r="H361" s="24">
        <f>C361/C360-1</f>
        <v/>
      </c>
    </row>
    <row r="362" ht="17" customHeight="1">
      <c r="A362" s="18" t="inlineStr">
        <is>
          <t>2025-02-17</t>
        </is>
      </c>
      <c r="B362" s="19" t="n">
        <v>7500</v>
      </c>
      <c r="C362" s="19" t="n">
        <v>5123.18</v>
      </c>
      <c r="D362" s="20" t="n"/>
      <c r="E362" s="21">
        <f>C362-Lambda*B362-OtherCost</f>
        <v/>
      </c>
      <c r="F362" s="22">
        <f>C362/B362</f>
        <v/>
      </c>
      <c r="G362" s="23">
        <f>B362/B361-1</f>
        <v/>
      </c>
      <c r="H362" s="23">
        <f>C362/C361-1</f>
        <v/>
      </c>
    </row>
    <row r="363" ht="17" customHeight="1">
      <c r="A363" s="13" t="inlineStr">
        <is>
          <t>2025-02-18</t>
        </is>
      </c>
      <c r="B363" s="14" t="n">
        <v>7500</v>
      </c>
      <c r="C363" s="14" t="n">
        <v>5121.82</v>
      </c>
      <c r="D363" s="15" t="n"/>
      <c r="E363" s="16">
        <f>C363-Lambda*B363-OtherCost</f>
        <v/>
      </c>
      <c r="F363" s="17">
        <f>C363/B363</f>
        <v/>
      </c>
      <c r="G363" s="24">
        <f>B363/B362-1</f>
        <v/>
      </c>
      <c r="H363" s="24">
        <f>C363/C362-1</f>
        <v/>
      </c>
    </row>
    <row r="364" ht="17" customHeight="1">
      <c r="A364" s="18" t="inlineStr">
        <is>
          <t>2025-02-19</t>
        </is>
      </c>
      <c r="B364" s="19" t="n">
        <v>7500</v>
      </c>
      <c r="C364" s="19" t="n">
        <v>5122.73</v>
      </c>
      <c r="D364" s="20" t="n"/>
      <c r="E364" s="21">
        <f>C364-Lambda*B364-OtherCost</f>
        <v/>
      </c>
      <c r="F364" s="22">
        <f>C364/B364</f>
        <v/>
      </c>
      <c r="G364" s="23">
        <f>B364/B363-1</f>
        <v/>
      </c>
      <c r="H364" s="23">
        <f>C364/C363-1</f>
        <v/>
      </c>
    </row>
    <row r="365" ht="17" customHeight="1">
      <c r="A365" s="13" t="inlineStr">
        <is>
          <t>2025-02-20</t>
        </is>
      </c>
      <c r="B365" s="14" t="n">
        <v>7500</v>
      </c>
      <c r="C365" s="14" t="n">
        <v>5091.82</v>
      </c>
      <c r="D365" s="15" t="n"/>
      <c r="E365" s="16">
        <f>C365-Lambda*B365-OtherCost</f>
        <v/>
      </c>
      <c r="F365" s="17">
        <f>C365/B365</f>
        <v/>
      </c>
      <c r="G365" s="24">
        <f>B365/B364-1</f>
        <v/>
      </c>
      <c r="H365" s="24">
        <f>C365/C364-1</f>
        <v/>
      </c>
    </row>
    <row r="366" ht="17" customHeight="1">
      <c r="A366" s="18" t="inlineStr">
        <is>
          <t>2025-02-23</t>
        </is>
      </c>
      <c r="B366" s="19" t="n">
        <v>7500</v>
      </c>
      <c r="C366" s="19" t="n">
        <v>5036.36</v>
      </c>
      <c r="D366" s="20" t="n"/>
      <c r="E366" s="21">
        <f>C366-Lambda*B366-OtherCost</f>
        <v/>
      </c>
      <c r="F366" s="22">
        <f>C366/B366</f>
        <v/>
      </c>
      <c r="G366" s="23">
        <f>B366/B365-1</f>
        <v/>
      </c>
      <c r="H366" s="23">
        <f>C366/C365-1</f>
        <v/>
      </c>
    </row>
    <row r="367" ht="17" customHeight="1">
      <c r="A367" s="13" t="inlineStr">
        <is>
          <t>2025-02-24</t>
        </is>
      </c>
      <c r="B367" s="14" t="n">
        <v>7500</v>
      </c>
      <c r="C367" s="14" t="n">
        <v>5032.73</v>
      </c>
      <c r="D367" s="15" t="n"/>
      <c r="E367" s="16">
        <f>C367-Lambda*B367-OtherCost</f>
        <v/>
      </c>
      <c r="F367" s="17">
        <f>C367/B367</f>
        <v/>
      </c>
      <c r="G367" s="24">
        <f>B367/B366-1</f>
        <v/>
      </c>
      <c r="H367" s="24">
        <f>C367/C366-1</f>
        <v/>
      </c>
    </row>
    <row r="368" ht="17" customHeight="1">
      <c r="A368" s="18" t="inlineStr">
        <is>
          <t>2025-02-25</t>
        </is>
      </c>
      <c r="B368" s="19" t="n">
        <v>7500</v>
      </c>
      <c r="C368" s="19" t="n">
        <v>5032.73</v>
      </c>
      <c r="D368" s="20" t="n"/>
      <c r="E368" s="21">
        <f>C368-Lambda*B368-OtherCost</f>
        <v/>
      </c>
      <c r="F368" s="22">
        <f>C368/B368</f>
        <v/>
      </c>
      <c r="G368" s="23">
        <f>B368/B367-1</f>
        <v/>
      </c>
      <c r="H368" s="23">
        <f>C368/C367-1</f>
        <v/>
      </c>
    </row>
    <row r="369" ht="17" customHeight="1">
      <c r="A369" s="13" t="inlineStr">
        <is>
          <t>2025-02-26</t>
        </is>
      </c>
      <c r="B369" s="14" t="n">
        <v>7500</v>
      </c>
      <c r="C369" s="14" t="n">
        <v>4967.27</v>
      </c>
      <c r="D369" s="15" t="n"/>
      <c r="E369" s="16">
        <f>C369-Lambda*B369-OtherCost</f>
        <v/>
      </c>
      <c r="F369" s="17">
        <f>C369/B369</f>
        <v/>
      </c>
      <c r="G369" s="24">
        <f>B369/B368-1</f>
        <v/>
      </c>
      <c r="H369" s="24">
        <f>C369/C368-1</f>
        <v/>
      </c>
    </row>
    <row r="370" ht="17" customHeight="1">
      <c r="A370" s="18" t="inlineStr">
        <is>
          <t>2025-02-27</t>
        </is>
      </c>
      <c r="B370" s="19" t="n">
        <v>7500</v>
      </c>
      <c r="C370" s="19" t="n">
        <v>4967.27</v>
      </c>
      <c r="D370" s="20" t="n"/>
      <c r="E370" s="21">
        <f>C370-Lambda*B370-OtherCost</f>
        <v/>
      </c>
      <c r="F370" s="22">
        <f>C370/B370</f>
        <v/>
      </c>
      <c r="G370" s="23">
        <f>B370/B369-1</f>
        <v/>
      </c>
      <c r="H370" s="23">
        <f>C370/C369-1</f>
        <v/>
      </c>
    </row>
    <row r="371" ht="17" customHeight="1">
      <c r="A371" s="13" t="inlineStr">
        <is>
          <t>2025-03-02</t>
        </is>
      </c>
      <c r="B371" s="14" t="n">
        <v>7600</v>
      </c>
      <c r="C371" s="14" t="n">
        <v>4993.64</v>
      </c>
      <c r="D371" s="15" t="n"/>
      <c r="E371" s="16">
        <f>C371-Lambda*B371-OtherCost</f>
        <v/>
      </c>
      <c r="F371" s="17">
        <f>C371/B371</f>
        <v/>
      </c>
      <c r="G371" s="24">
        <f>B371/B370-1</f>
        <v/>
      </c>
      <c r="H371" s="24">
        <f>C371/C370-1</f>
        <v/>
      </c>
    </row>
    <row r="372" ht="17" customHeight="1">
      <c r="A372" s="18" t="inlineStr">
        <is>
          <t>2025-03-03</t>
        </is>
      </c>
      <c r="B372" s="19" t="n">
        <v>7600</v>
      </c>
      <c r="C372" s="19" t="n">
        <v>4998.18</v>
      </c>
      <c r="D372" s="20" t="n"/>
      <c r="E372" s="21">
        <f>C372-Lambda*B372-OtherCost</f>
        <v/>
      </c>
      <c r="F372" s="22">
        <f>C372/B372</f>
        <v/>
      </c>
      <c r="G372" s="23">
        <f>B372/B371-1</f>
        <v/>
      </c>
      <c r="H372" s="23">
        <f>C372/C371-1</f>
        <v/>
      </c>
    </row>
    <row r="373" ht="17" customHeight="1">
      <c r="A373" s="13" t="inlineStr">
        <is>
          <t>2025-03-04</t>
        </is>
      </c>
      <c r="B373" s="14" t="n">
        <v>7600</v>
      </c>
      <c r="C373" s="14" t="n">
        <v>4881.82</v>
      </c>
      <c r="D373" s="15" t="n"/>
      <c r="E373" s="16">
        <f>C373-Lambda*B373-OtherCost</f>
        <v/>
      </c>
      <c r="F373" s="17">
        <f>C373/B373</f>
        <v/>
      </c>
      <c r="G373" s="24">
        <f>B373/B372-1</f>
        <v/>
      </c>
      <c r="H373" s="24">
        <f>C373/C372-1</f>
        <v/>
      </c>
    </row>
    <row r="374" ht="17" customHeight="1">
      <c r="A374" s="18" t="inlineStr">
        <is>
          <t>2025-03-05</t>
        </is>
      </c>
      <c r="B374" s="19" t="n">
        <v>7600</v>
      </c>
      <c r="C374" s="19" t="n">
        <v>4881.82</v>
      </c>
      <c r="D374" s="20" t="n"/>
      <c r="E374" s="21">
        <f>C374-Lambda*B374-OtherCost</f>
        <v/>
      </c>
      <c r="F374" s="22">
        <f>C374/B374</f>
        <v/>
      </c>
      <c r="G374" s="23">
        <f>B374/B373-1</f>
        <v/>
      </c>
      <c r="H374" s="23">
        <f>C374/C373-1</f>
        <v/>
      </c>
    </row>
    <row r="375" ht="17" customHeight="1">
      <c r="A375" s="13" t="inlineStr">
        <is>
          <t>2025-03-06</t>
        </is>
      </c>
      <c r="B375" s="14" t="n">
        <v>7600</v>
      </c>
      <c r="C375" s="14" t="n">
        <v>4876.55</v>
      </c>
      <c r="D375" s="15" t="n"/>
      <c r="E375" s="16">
        <f>C375-Lambda*B375-OtherCost</f>
        <v/>
      </c>
      <c r="F375" s="17">
        <f>C375/B375</f>
        <v/>
      </c>
      <c r="G375" s="24">
        <f>B375/B374-1</f>
        <v/>
      </c>
      <c r="H375" s="24">
        <f>C375/C374-1</f>
        <v/>
      </c>
    </row>
    <row r="376" ht="17" customHeight="1">
      <c r="A376" s="18" t="inlineStr">
        <is>
          <t>2025-03-09</t>
        </is>
      </c>
      <c r="B376" s="19" t="n">
        <v>7600</v>
      </c>
      <c r="C376" s="19" t="n">
        <v>4850.91</v>
      </c>
      <c r="D376" s="20" t="n"/>
      <c r="E376" s="21">
        <f>C376-Lambda*B376-OtherCost</f>
        <v/>
      </c>
      <c r="F376" s="22">
        <f>C376/B376</f>
        <v/>
      </c>
      <c r="G376" s="23">
        <f>B376/B375-1</f>
        <v/>
      </c>
      <c r="H376" s="23">
        <f>C376/C375-1</f>
        <v/>
      </c>
    </row>
    <row r="377" ht="17" customHeight="1">
      <c r="A377" s="13" t="inlineStr">
        <is>
          <t>2025-03-10</t>
        </is>
      </c>
      <c r="B377" s="14" t="n">
        <v>7600</v>
      </c>
      <c r="C377" s="14" t="n">
        <v>4796.36</v>
      </c>
      <c r="D377" s="15" t="n"/>
      <c r="E377" s="16">
        <f>C377-Lambda*B377-OtherCost</f>
        <v/>
      </c>
      <c r="F377" s="17">
        <f>C377/B377</f>
        <v/>
      </c>
      <c r="G377" s="24">
        <f>B377/B376-1</f>
        <v/>
      </c>
      <c r="H377" s="24">
        <f>C377/C376-1</f>
        <v/>
      </c>
    </row>
    <row r="378" ht="17" customHeight="1">
      <c r="A378" s="18" t="inlineStr">
        <is>
          <t>2025-03-11</t>
        </is>
      </c>
      <c r="B378" s="19" t="n">
        <v>7600</v>
      </c>
      <c r="C378" s="19" t="n">
        <v>4748.18</v>
      </c>
      <c r="D378" s="20" t="n"/>
      <c r="E378" s="21">
        <f>C378-Lambda*B378-OtherCost</f>
        <v/>
      </c>
      <c r="F378" s="22">
        <f>C378/B378</f>
        <v/>
      </c>
      <c r="G378" s="23">
        <f>B378/B377-1</f>
        <v/>
      </c>
      <c r="H378" s="23">
        <f>C378/C377-1</f>
        <v/>
      </c>
    </row>
    <row r="379" ht="17" customHeight="1">
      <c r="A379" s="13" t="inlineStr">
        <is>
          <t>2025-03-12</t>
        </is>
      </c>
      <c r="B379" s="14" t="n">
        <v>7600</v>
      </c>
      <c r="C379" s="14" t="n">
        <v>4748.18</v>
      </c>
      <c r="D379" s="15" t="n"/>
      <c r="E379" s="16">
        <f>C379-Lambda*B379-OtherCost</f>
        <v/>
      </c>
      <c r="F379" s="17">
        <f>C379/B379</f>
        <v/>
      </c>
      <c r="G379" s="24">
        <f>B379/B378-1</f>
        <v/>
      </c>
      <c r="H379" s="24">
        <f>C379/C378-1</f>
        <v/>
      </c>
    </row>
    <row r="380" ht="17" customHeight="1">
      <c r="A380" s="18" t="inlineStr">
        <is>
          <t>2025-03-13</t>
        </is>
      </c>
      <c r="B380" s="19" t="n">
        <v>7600</v>
      </c>
      <c r="C380" s="19" t="n">
        <v>4797.45</v>
      </c>
      <c r="D380" s="20" t="n"/>
      <c r="E380" s="21">
        <f>C380-Lambda*B380-OtherCost</f>
        <v/>
      </c>
      <c r="F380" s="22">
        <f>C380/B380</f>
        <v/>
      </c>
      <c r="G380" s="23">
        <f>B380/B379-1</f>
        <v/>
      </c>
      <c r="H380" s="23">
        <f>C380/C379-1</f>
        <v/>
      </c>
    </row>
    <row r="381" ht="17" customHeight="1">
      <c r="A381" s="13" t="inlineStr">
        <is>
          <t>2025-03-16</t>
        </is>
      </c>
      <c r="B381" s="14" t="n">
        <v>7600</v>
      </c>
      <c r="C381" s="14" t="n">
        <v>4816.91</v>
      </c>
      <c r="D381" s="15" t="n"/>
      <c r="E381" s="16">
        <f>C381-Lambda*B381-OtherCost</f>
        <v/>
      </c>
      <c r="F381" s="17">
        <f>C381/B381</f>
        <v/>
      </c>
      <c r="G381" s="24">
        <f>B381/B380-1</f>
        <v/>
      </c>
      <c r="H381" s="24">
        <f>C381/C380-1</f>
        <v/>
      </c>
    </row>
    <row r="382" ht="17" customHeight="1">
      <c r="A382" s="18" t="inlineStr">
        <is>
          <t>2025-03-17</t>
        </is>
      </c>
      <c r="B382" s="19" t="n">
        <v>7600</v>
      </c>
      <c r="C382" s="19" t="n">
        <v>4855.64</v>
      </c>
      <c r="D382" s="20" t="n"/>
      <c r="E382" s="21">
        <f>C382-Lambda*B382-OtherCost</f>
        <v/>
      </c>
      <c r="F382" s="22">
        <f>C382/B382</f>
        <v/>
      </c>
      <c r="G382" s="23">
        <f>B382/B381-1</f>
        <v/>
      </c>
      <c r="H382" s="23">
        <f>C382/C381-1</f>
        <v/>
      </c>
    </row>
    <row r="383" ht="17" customHeight="1">
      <c r="A383" s="13" t="inlineStr">
        <is>
          <t>2025-03-18</t>
        </is>
      </c>
      <c r="B383" s="14" t="n">
        <v>7200</v>
      </c>
      <c r="C383" s="14" t="n">
        <v>4846.36</v>
      </c>
      <c r="D383" s="15" t="n"/>
      <c r="E383" s="16">
        <f>C383-Lambda*B383-OtherCost</f>
        <v/>
      </c>
      <c r="F383" s="17">
        <f>C383/B383</f>
        <v/>
      </c>
      <c r="G383" s="24">
        <f>B383/B382-1</f>
        <v/>
      </c>
      <c r="H383" s="24">
        <f>C383/C382-1</f>
        <v/>
      </c>
    </row>
    <row r="384" ht="17" customHeight="1">
      <c r="A384" s="18" t="inlineStr">
        <is>
          <t>2025-03-19</t>
        </is>
      </c>
      <c r="B384" s="19" t="n">
        <v>7200</v>
      </c>
      <c r="C384" s="19" t="n">
        <v>4848.82</v>
      </c>
      <c r="D384" s="20" t="n"/>
      <c r="E384" s="21">
        <f>C384-Lambda*B384-OtherCost</f>
        <v/>
      </c>
      <c r="F384" s="22">
        <f>C384/B384</f>
        <v/>
      </c>
      <c r="G384" s="23">
        <f>B384/B383-1</f>
        <v/>
      </c>
      <c r="H384" s="23">
        <f>C384/C383-1</f>
        <v/>
      </c>
    </row>
    <row r="385" ht="17" customHeight="1">
      <c r="A385" s="13" t="inlineStr">
        <is>
          <t>2025-03-20</t>
        </is>
      </c>
      <c r="B385" s="14" t="n">
        <v>7200</v>
      </c>
      <c r="C385" s="14" t="n">
        <v>4877.27</v>
      </c>
      <c r="D385" s="15" t="n"/>
      <c r="E385" s="16">
        <f>C385-Lambda*B385-OtherCost</f>
        <v/>
      </c>
      <c r="F385" s="17">
        <f>C385/B385</f>
        <v/>
      </c>
      <c r="G385" s="24">
        <f>B385/B384-1</f>
        <v/>
      </c>
      <c r="H385" s="24">
        <f>C385/C384-1</f>
        <v/>
      </c>
    </row>
    <row r="386" ht="17" customHeight="1">
      <c r="A386" s="18" t="inlineStr">
        <is>
          <t>2025-03-23</t>
        </is>
      </c>
      <c r="B386" s="19" t="n">
        <v>7200</v>
      </c>
      <c r="C386" s="19" t="n">
        <v>4877.27</v>
      </c>
      <c r="D386" s="20" t="n"/>
      <c r="E386" s="21">
        <f>C386-Lambda*B386-OtherCost</f>
        <v/>
      </c>
      <c r="F386" s="22">
        <f>C386/B386</f>
        <v/>
      </c>
      <c r="G386" s="23">
        <f>B386/B385-1</f>
        <v/>
      </c>
      <c r="H386" s="23">
        <f>C386/C385-1</f>
        <v/>
      </c>
    </row>
    <row r="387" ht="17" customHeight="1">
      <c r="A387" s="13" t="inlineStr">
        <is>
          <t>2025-03-24</t>
        </is>
      </c>
      <c r="B387" s="14" t="n">
        <v>7200</v>
      </c>
      <c r="C387" s="14" t="n">
        <v>4889.8</v>
      </c>
      <c r="D387" s="15" t="n"/>
      <c r="E387" s="16">
        <f>C387-Lambda*B387-OtherCost</f>
        <v/>
      </c>
      <c r="F387" s="17">
        <f>C387/B387</f>
        <v/>
      </c>
      <c r="G387" s="24">
        <f>B387/B386-1</f>
        <v/>
      </c>
      <c r="H387" s="24">
        <f>C387/C386-1</f>
        <v/>
      </c>
    </row>
    <row r="388" ht="17" customHeight="1">
      <c r="A388" s="18" t="inlineStr">
        <is>
          <t>2025-03-25</t>
        </is>
      </c>
      <c r="B388" s="19" t="n">
        <v>7200</v>
      </c>
      <c r="C388" s="19" t="n">
        <v>4911.4</v>
      </c>
      <c r="D388" s="20" t="n"/>
      <c r="E388" s="21">
        <f>C388-Lambda*B388-OtherCost</f>
        <v/>
      </c>
      <c r="F388" s="22">
        <f>C388/B388</f>
        <v/>
      </c>
      <c r="G388" s="23">
        <f>B388/B387-1</f>
        <v/>
      </c>
      <c r="H388" s="23">
        <f>C388/C387-1</f>
        <v/>
      </c>
    </row>
    <row r="389" ht="17" customHeight="1">
      <c r="A389" s="13" t="inlineStr">
        <is>
          <t>2025-03-26</t>
        </is>
      </c>
      <c r="B389" s="14" t="n">
        <v>7200</v>
      </c>
      <c r="C389" s="14" t="n">
        <v>4912.9</v>
      </c>
      <c r="D389" s="15" t="n"/>
      <c r="E389" s="16">
        <f>C389-Lambda*B389-OtherCost</f>
        <v/>
      </c>
      <c r="F389" s="17">
        <f>C389/B389</f>
        <v/>
      </c>
      <c r="G389" s="24">
        <f>B389/B388-1</f>
        <v/>
      </c>
      <c r="H389" s="24">
        <f>C389/C388-1</f>
        <v/>
      </c>
    </row>
    <row r="390" ht="17" customHeight="1">
      <c r="A390" s="18" t="inlineStr">
        <is>
          <t>2025-03-27</t>
        </is>
      </c>
      <c r="B390" s="19" t="n">
        <v>7200</v>
      </c>
      <c r="C390" s="19" t="n">
        <v>4906.6</v>
      </c>
      <c r="D390" s="20" t="n"/>
      <c r="E390" s="21">
        <f>C390-Lambda*B390-OtherCost</f>
        <v/>
      </c>
      <c r="F390" s="22">
        <f>C390/B390</f>
        <v/>
      </c>
      <c r="G390" s="23">
        <f>B390/B389-1</f>
        <v/>
      </c>
      <c r="H390" s="23">
        <f>C390/C389-1</f>
        <v/>
      </c>
    </row>
    <row r="391" ht="17" customHeight="1">
      <c r="A391" s="13" t="inlineStr">
        <is>
          <t>2025-03-30</t>
        </is>
      </c>
      <c r="B391" s="14" t="n">
        <v>7200</v>
      </c>
      <c r="C391" s="14" t="n">
        <v>4861.6</v>
      </c>
      <c r="D391" s="15" t="n"/>
      <c r="E391" s="16">
        <f>C391-Lambda*B391-OtherCost</f>
        <v/>
      </c>
      <c r="F391" s="17">
        <f>C391/B391</f>
        <v/>
      </c>
      <c r="G391" s="24">
        <f>B391/B390-1</f>
        <v/>
      </c>
      <c r="H391" s="24">
        <f>C391/C390-1</f>
        <v/>
      </c>
    </row>
    <row r="392" ht="17" customHeight="1">
      <c r="A392" s="18" t="inlineStr">
        <is>
          <t>2025-03-31</t>
        </is>
      </c>
      <c r="B392" s="19" t="n">
        <v>7200</v>
      </c>
      <c r="C392" s="19" t="n">
        <v>4910</v>
      </c>
      <c r="D392" s="20" t="n"/>
      <c r="E392" s="21">
        <f>C392-Lambda*B392-OtherCost</f>
        <v/>
      </c>
      <c r="F392" s="22">
        <f>C392/B392</f>
        <v/>
      </c>
      <c r="G392" s="23">
        <f>B392/B391-1</f>
        <v/>
      </c>
      <c r="H392" s="23">
        <f>C392/C391-1</f>
        <v/>
      </c>
    </row>
    <row r="393" ht="17" customHeight="1">
      <c r="A393" s="13" t="inlineStr">
        <is>
          <t>2025-04-01</t>
        </is>
      </c>
      <c r="B393" s="14" t="n">
        <v>7200</v>
      </c>
      <c r="C393" s="14" t="n">
        <v>4919</v>
      </c>
      <c r="D393" s="15" t="n"/>
      <c r="E393" s="16">
        <f>C393-Lambda*B393-OtherCost</f>
        <v/>
      </c>
      <c r="F393" s="17">
        <f>C393/B393</f>
        <v/>
      </c>
      <c r="G393" s="24">
        <f>B393/B392-1</f>
        <v/>
      </c>
      <c r="H393" s="24">
        <f>C393/C392-1</f>
        <v/>
      </c>
    </row>
    <row r="394" ht="17" customHeight="1">
      <c r="A394" s="18" t="inlineStr">
        <is>
          <t>2025-04-02</t>
        </is>
      </c>
      <c r="B394" s="19" t="n">
        <v>7200</v>
      </c>
      <c r="C394" s="19" t="n">
        <v>4868</v>
      </c>
      <c r="D394" s="20" t="n"/>
      <c r="E394" s="21">
        <f>C394-Lambda*B394-OtherCost</f>
        <v/>
      </c>
      <c r="F394" s="22">
        <f>C394/B394</f>
        <v/>
      </c>
      <c r="G394" s="23">
        <f>B394/B393-1</f>
        <v/>
      </c>
      <c r="H394" s="23">
        <f>C394/C393-1</f>
        <v/>
      </c>
    </row>
    <row r="395" ht="17" customHeight="1">
      <c r="A395" s="13" t="inlineStr">
        <is>
          <t>2025-04-03</t>
        </is>
      </c>
      <c r="B395" s="14" t="n">
        <v>7200</v>
      </c>
      <c r="C395" s="14" t="n">
        <v>4868</v>
      </c>
      <c r="D395" s="15" t="n"/>
      <c r="E395" s="16">
        <f>C395-Lambda*B395-OtherCost</f>
        <v/>
      </c>
      <c r="F395" s="17">
        <f>C395/B395</f>
        <v/>
      </c>
      <c r="G395" s="24">
        <f>B395/B394-1</f>
        <v/>
      </c>
      <c r="H395" s="24">
        <f>C395/C394-1</f>
        <v/>
      </c>
    </row>
    <row r="396" ht="17" customHeight="1">
      <c r="A396" s="18" t="inlineStr">
        <is>
          <t>2025-04-06</t>
        </is>
      </c>
      <c r="B396" s="19" t="n">
        <v>7200</v>
      </c>
      <c r="C396" s="19" t="n">
        <v>4722.5</v>
      </c>
      <c r="D396" s="20" t="n"/>
      <c r="E396" s="21">
        <f>C396-Lambda*B396-OtherCost</f>
        <v/>
      </c>
      <c r="F396" s="22">
        <f>C396/B396</f>
        <v/>
      </c>
      <c r="G396" s="23">
        <f>B396/B395-1</f>
        <v/>
      </c>
      <c r="H396" s="23">
        <f>C396/C395-1</f>
        <v/>
      </c>
    </row>
    <row r="397" ht="17" customHeight="1">
      <c r="A397" s="13" t="inlineStr">
        <is>
          <t>2025-04-07</t>
        </is>
      </c>
      <c r="B397" s="14" t="n">
        <v>7200</v>
      </c>
      <c r="C397" s="14" t="n">
        <v>4672.5</v>
      </c>
      <c r="D397" s="15" t="n"/>
      <c r="E397" s="16">
        <f>C397-Lambda*B397-OtherCost</f>
        <v/>
      </c>
      <c r="F397" s="17">
        <f>C397/B397</f>
        <v/>
      </c>
      <c r="G397" s="24">
        <f>B397/B396-1</f>
        <v/>
      </c>
      <c r="H397" s="24">
        <f>C397/C396-1</f>
        <v/>
      </c>
    </row>
    <row r="398" ht="17" customHeight="1">
      <c r="A398" s="18" t="inlineStr">
        <is>
          <t>2025-04-08</t>
        </is>
      </c>
      <c r="B398" s="19" t="n">
        <v>7200</v>
      </c>
      <c r="C398" s="19" t="n">
        <v>4518.5</v>
      </c>
      <c r="D398" s="20" t="n"/>
      <c r="E398" s="21">
        <f>C398-Lambda*B398-OtherCost</f>
        <v/>
      </c>
      <c r="F398" s="22">
        <f>C398/B398</f>
        <v/>
      </c>
      <c r="G398" s="23">
        <f>B398/B397-1</f>
        <v/>
      </c>
      <c r="H398" s="23">
        <f>C398/C397-1</f>
        <v/>
      </c>
    </row>
    <row r="399" ht="17" customHeight="1">
      <c r="A399" s="13" t="inlineStr">
        <is>
          <t>2025-04-09</t>
        </is>
      </c>
      <c r="B399" s="14" t="n">
        <v>6800</v>
      </c>
      <c r="C399" s="14" t="n">
        <v>4489</v>
      </c>
      <c r="D399" s="15" t="n"/>
      <c r="E399" s="16">
        <f>C399-Lambda*B399-OtherCost</f>
        <v/>
      </c>
      <c r="F399" s="17">
        <f>C399/B399</f>
        <v/>
      </c>
      <c r="G399" s="24">
        <f>B399/B398-1</f>
        <v/>
      </c>
      <c r="H399" s="24">
        <f>C399/C398-1</f>
        <v/>
      </c>
    </row>
    <row r="400" ht="17" customHeight="1">
      <c r="A400" s="18" t="inlineStr">
        <is>
          <t>2025-04-10</t>
        </is>
      </c>
      <c r="B400" s="19" t="n">
        <v>6800</v>
      </c>
      <c r="C400" s="19" t="n">
        <v>4338.12</v>
      </c>
      <c r="D400" s="20" t="n"/>
      <c r="E400" s="21">
        <f>C400-Lambda*B400-OtherCost</f>
        <v/>
      </c>
      <c r="F400" s="22">
        <f>C400/B400</f>
        <v/>
      </c>
      <c r="G400" s="23">
        <f>B400/B399-1</f>
        <v/>
      </c>
      <c r="H400" s="23">
        <f>C400/C399-1</f>
        <v/>
      </c>
    </row>
    <row r="401" ht="17" customHeight="1">
      <c r="A401" s="13" t="inlineStr">
        <is>
          <t>2025-04-13</t>
        </is>
      </c>
      <c r="B401" s="14" t="n">
        <v>6800</v>
      </c>
      <c r="C401" s="14" t="n">
        <v>4368.75</v>
      </c>
      <c r="D401" s="15" t="n"/>
      <c r="E401" s="16">
        <f>C401-Lambda*B401-OtherCost</f>
        <v/>
      </c>
      <c r="F401" s="17">
        <f>C401/B401</f>
        <v/>
      </c>
      <c r="G401" s="24">
        <f>B401/B400-1</f>
        <v/>
      </c>
      <c r="H401" s="24">
        <f>C401/C400-1</f>
        <v/>
      </c>
    </row>
    <row r="402" ht="17" customHeight="1">
      <c r="A402" s="18" t="inlineStr">
        <is>
          <t>2025-04-14</t>
        </is>
      </c>
      <c r="B402" s="19" t="n">
        <v>6800</v>
      </c>
      <c r="C402" s="19" t="n">
        <v>4328.75</v>
      </c>
      <c r="D402" s="20" t="n"/>
      <c r="E402" s="21">
        <f>C402-Lambda*B402-OtherCost</f>
        <v/>
      </c>
      <c r="F402" s="22">
        <f>C402/B402</f>
        <v/>
      </c>
      <c r="G402" s="23">
        <f>B402/B401-1</f>
        <v/>
      </c>
      <c r="H402" s="23">
        <f>C402/C401-1</f>
        <v/>
      </c>
    </row>
    <row r="403" ht="17" customHeight="1">
      <c r="A403" s="13" t="inlineStr">
        <is>
          <t>2025-04-15</t>
        </is>
      </c>
      <c r="B403" s="14" t="n">
        <v>6800</v>
      </c>
      <c r="C403" s="14" t="n">
        <v>4253.75</v>
      </c>
      <c r="D403" s="15" t="n"/>
      <c r="E403" s="16">
        <f>C403-Lambda*B403-OtherCost</f>
        <v/>
      </c>
      <c r="F403" s="17">
        <f>C403/B403</f>
        <v/>
      </c>
      <c r="G403" s="24">
        <f>B403/B402-1</f>
        <v/>
      </c>
      <c r="H403" s="24">
        <f>C403/C402-1</f>
        <v/>
      </c>
    </row>
    <row r="404" ht="17" customHeight="1">
      <c r="A404" s="18" t="inlineStr">
        <is>
          <t>2025-04-16</t>
        </is>
      </c>
      <c r="B404" s="19" t="n">
        <v>6800</v>
      </c>
      <c r="C404" s="19" t="n">
        <v>4318.75</v>
      </c>
      <c r="D404" s="20" t="n"/>
      <c r="E404" s="21">
        <f>C404-Lambda*B404-OtherCost</f>
        <v/>
      </c>
      <c r="F404" s="22">
        <f>C404/B404</f>
        <v/>
      </c>
      <c r="G404" s="23">
        <f>B404/B403-1</f>
        <v/>
      </c>
      <c r="H404" s="23">
        <f>C404/C403-1</f>
        <v/>
      </c>
    </row>
    <row r="405" ht="17" customHeight="1">
      <c r="A405" s="13" t="inlineStr">
        <is>
          <t>2025-04-17</t>
        </is>
      </c>
      <c r="B405" s="14" t="n">
        <v>6800</v>
      </c>
      <c r="C405" s="14" t="n">
        <v>4320.62</v>
      </c>
      <c r="D405" s="15" t="n"/>
      <c r="E405" s="16">
        <f>C405-Lambda*B405-OtherCost</f>
        <v/>
      </c>
      <c r="F405" s="17">
        <f>C405/B405</f>
        <v/>
      </c>
      <c r="G405" s="24">
        <f>B405/B404-1</f>
        <v/>
      </c>
      <c r="H405" s="24">
        <f>C405/C404-1</f>
        <v/>
      </c>
    </row>
    <row r="406" ht="17" customHeight="1">
      <c r="A406" s="18" t="inlineStr">
        <is>
          <t>2025-04-20</t>
        </is>
      </c>
      <c r="B406" s="19" t="n">
        <v>6800</v>
      </c>
      <c r="C406" s="19" t="n">
        <v>4330</v>
      </c>
      <c r="D406" s="20" t="n"/>
      <c r="E406" s="21">
        <f>C406-Lambda*B406-OtherCost</f>
        <v/>
      </c>
      <c r="F406" s="22">
        <f>C406/B406</f>
        <v/>
      </c>
      <c r="G406" s="23">
        <f>B406/B405-1</f>
        <v/>
      </c>
      <c r="H406" s="23">
        <f>C406/C405-1</f>
        <v/>
      </c>
    </row>
    <row r="407" ht="17" customHeight="1">
      <c r="A407" s="13" t="inlineStr">
        <is>
          <t>2025-04-21</t>
        </is>
      </c>
      <c r="B407" s="14" t="n">
        <v>6800</v>
      </c>
      <c r="C407" s="14" t="n">
        <v>4316.25</v>
      </c>
      <c r="D407" s="15" t="n"/>
      <c r="E407" s="16">
        <f>C407-Lambda*B407-OtherCost</f>
        <v/>
      </c>
      <c r="F407" s="17">
        <f>C407/B407</f>
        <v/>
      </c>
      <c r="G407" s="24">
        <f>B407/B406-1</f>
        <v/>
      </c>
      <c r="H407" s="24">
        <f>C407/C406-1</f>
        <v/>
      </c>
    </row>
    <row r="408" ht="17" customHeight="1">
      <c r="A408" s="18" t="inlineStr">
        <is>
          <t>2025-04-22</t>
        </is>
      </c>
      <c r="B408" s="19" t="n">
        <v>6800</v>
      </c>
      <c r="C408" s="19" t="n">
        <v>4366.88</v>
      </c>
      <c r="D408" s="20" t="n"/>
      <c r="E408" s="21">
        <f>C408-Lambda*B408-OtherCost</f>
        <v/>
      </c>
      <c r="F408" s="22">
        <f>C408/B408</f>
        <v/>
      </c>
      <c r="G408" s="23">
        <f>B408/B407-1</f>
        <v/>
      </c>
      <c r="H408" s="23">
        <f>C408/C407-1</f>
        <v/>
      </c>
    </row>
    <row r="409" ht="17" customHeight="1">
      <c r="A409" s="13" t="inlineStr">
        <is>
          <t>2025-04-23</t>
        </is>
      </c>
      <c r="B409" s="14" t="n">
        <v>6800</v>
      </c>
      <c r="C409" s="14" t="n">
        <v>4360</v>
      </c>
      <c r="D409" s="15" t="n"/>
      <c r="E409" s="16">
        <f>C409-Lambda*B409-OtherCost</f>
        <v/>
      </c>
      <c r="F409" s="17">
        <f>C409/B409</f>
        <v/>
      </c>
      <c r="G409" s="24">
        <f>B409/B408-1</f>
        <v/>
      </c>
      <c r="H409" s="24">
        <f>C409/C408-1</f>
        <v/>
      </c>
    </row>
    <row r="410" ht="17" customHeight="1">
      <c r="A410" s="18" t="inlineStr">
        <is>
          <t>2025-04-24</t>
        </is>
      </c>
      <c r="B410" s="19" t="n">
        <v>6800</v>
      </c>
      <c r="C410" s="19" t="n">
        <v>4493.75</v>
      </c>
      <c r="D410" s="20" t="n"/>
      <c r="E410" s="21">
        <f>C410-Lambda*B410-OtherCost</f>
        <v/>
      </c>
      <c r="F410" s="22">
        <f>C410/B410</f>
        <v/>
      </c>
      <c r="G410" s="23">
        <f>B410/B409-1</f>
        <v/>
      </c>
      <c r="H410" s="23">
        <f>C410/C409-1</f>
        <v/>
      </c>
    </row>
    <row r="411" ht="17" customHeight="1">
      <c r="A411" s="13" t="inlineStr">
        <is>
          <t>2025-04-27</t>
        </is>
      </c>
      <c r="B411" s="14" t="n">
        <v>6800</v>
      </c>
      <c r="C411" s="14" t="n">
        <v>4567.5</v>
      </c>
      <c r="D411" s="15" t="n"/>
      <c r="E411" s="16">
        <f>C411-Lambda*B411-OtherCost</f>
        <v/>
      </c>
      <c r="F411" s="17">
        <f>C411/B411</f>
        <v/>
      </c>
      <c r="G411" s="24">
        <f>B411/B410-1</f>
        <v/>
      </c>
      <c r="H411" s="24">
        <f>C411/C410-1</f>
        <v/>
      </c>
    </row>
    <row r="412" ht="17" customHeight="1">
      <c r="A412" s="18" t="inlineStr">
        <is>
          <t>2025-04-28</t>
        </is>
      </c>
      <c r="B412" s="19" t="n">
        <v>6800</v>
      </c>
      <c r="C412" s="19" t="n">
        <v>4565</v>
      </c>
      <c r="D412" s="20" t="n"/>
      <c r="E412" s="21">
        <f>C412-Lambda*B412-OtherCost</f>
        <v/>
      </c>
      <c r="F412" s="22">
        <f>C412/B412</f>
        <v/>
      </c>
      <c r="G412" s="23">
        <f>B412/B411-1</f>
        <v/>
      </c>
      <c r="H412" s="23">
        <f>C412/C411-1</f>
        <v/>
      </c>
    </row>
    <row r="413" ht="17" customHeight="1">
      <c r="A413" s="13" t="inlineStr">
        <is>
          <t>2025-04-29</t>
        </is>
      </c>
      <c r="B413" s="14" t="n">
        <v>6800</v>
      </c>
      <c r="C413" s="14" t="n">
        <v>4584.38</v>
      </c>
      <c r="D413" s="15" t="n"/>
      <c r="E413" s="16">
        <f>C413-Lambda*B413-OtherCost</f>
        <v/>
      </c>
      <c r="F413" s="17">
        <f>C413/B413</f>
        <v/>
      </c>
      <c r="G413" s="24">
        <f>B413/B412-1</f>
        <v/>
      </c>
      <c r="H413" s="24">
        <f>C413/C412-1</f>
        <v/>
      </c>
    </row>
    <row r="414" ht="17" customHeight="1">
      <c r="A414" s="18" t="inlineStr">
        <is>
          <t>2025-04-30</t>
        </is>
      </c>
      <c r="B414" s="19" t="n">
        <v>6800</v>
      </c>
      <c r="C414" s="19" t="n">
        <v>4584.38</v>
      </c>
      <c r="D414" s="20" t="n"/>
      <c r="E414" s="21">
        <f>C414-Lambda*B414-OtherCost</f>
        <v/>
      </c>
      <c r="F414" s="22">
        <f>C414/B414</f>
        <v/>
      </c>
      <c r="G414" s="23">
        <f>B414/B413-1</f>
        <v/>
      </c>
      <c r="H414" s="23">
        <f>C414/C413-1</f>
        <v/>
      </c>
    </row>
    <row r="415" ht="17" customHeight="1">
      <c r="A415" s="13" t="inlineStr">
        <is>
          <t>2025-05-01</t>
        </is>
      </c>
      <c r="B415" s="14" t="n">
        <v>6800</v>
      </c>
      <c r="C415" s="14" t="n">
        <v>4584.38</v>
      </c>
      <c r="D415" s="15" t="n"/>
      <c r="E415" s="16">
        <f>C415-Lambda*B415-OtherCost</f>
        <v/>
      </c>
      <c r="F415" s="17">
        <f>C415/B415</f>
        <v/>
      </c>
      <c r="G415" s="24">
        <f>B415/B414-1</f>
        <v/>
      </c>
      <c r="H415" s="24">
        <f>C415/C414-1</f>
        <v/>
      </c>
    </row>
    <row r="416" ht="17" customHeight="1">
      <c r="A416" s="18" t="inlineStr">
        <is>
          <t>2025-05-04</t>
        </is>
      </c>
      <c r="B416" s="19" t="n">
        <v>6800</v>
      </c>
      <c r="C416" s="19" t="n">
        <v>4582.5</v>
      </c>
      <c r="D416" s="20" t="n"/>
      <c r="E416" s="21">
        <f>C416-Lambda*B416-OtherCost</f>
        <v/>
      </c>
      <c r="F416" s="22">
        <f>C416/B416</f>
        <v/>
      </c>
      <c r="G416" s="23">
        <f>B416/B415-1</f>
        <v/>
      </c>
      <c r="H416" s="23">
        <f>C416/C415-1</f>
        <v/>
      </c>
    </row>
    <row r="417" ht="17" customHeight="1">
      <c r="A417" s="13" t="inlineStr">
        <is>
          <t>2025-05-05</t>
        </is>
      </c>
      <c r="B417" s="14" t="n">
        <v>6600</v>
      </c>
      <c r="C417" s="14" t="n">
        <v>4529.17</v>
      </c>
      <c r="D417" s="15" t="n"/>
      <c r="E417" s="16">
        <f>C417-Lambda*B417-OtherCost</f>
        <v/>
      </c>
      <c r="F417" s="17">
        <f>C417/B417</f>
        <v/>
      </c>
      <c r="G417" s="24">
        <f>B417/B416-1</f>
        <v/>
      </c>
      <c r="H417" s="24">
        <f>C417/C416-1</f>
        <v/>
      </c>
    </row>
    <row r="418" ht="17" customHeight="1">
      <c r="A418" s="18" t="inlineStr">
        <is>
          <t>2025-05-06</t>
        </is>
      </c>
      <c r="B418" s="19" t="n">
        <v>6600</v>
      </c>
      <c r="C418" s="19" t="n">
        <v>4555.84</v>
      </c>
      <c r="D418" s="20" t="n"/>
      <c r="E418" s="21">
        <f>C418-Lambda*B418-OtherCost</f>
        <v/>
      </c>
      <c r="F418" s="22">
        <f>C418/B418</f>
        <v/>
      </c>
      <c r="G418" s="23">
        <f>B418/B417-1</f>
        <v/>
      </c>
      <c r="H418" s="23">
        <f>C418/C417-1</f>
        <v/>
      </c>
    </row>
    <row r="419" ht="17" customHeight="1">
      <c r="A419" s="13" t="inlineStr">
        <is>
          <t>2025-05-07</t>
        </is>
      </c>
      <c r="B419" s="14" t="n">
        <v>6600</v>
      </c>
      <c r="C419" s="14" t="n">
        <v>4688.34</v>
      </c>
      <c r="D419" s="15" t="n"/>
      <c r="E419" s="16">
        <f>C419-Lambda*B419-OtherCost</f>
        <v/>
      </c>
      <c r="F419" s="17">
        <f>C419/B419</f>
        <v/>
      </c>
      <c r="G419" s="24">
        <f>B419/B418-1</f>
        <v/>
      </c>
      <c r="H419" s="24">
        <f>C419/C418-1</f>
        <v/>
      </c>
    </row>
    <row r="420" ht="17" customHeight="1">
      <c r="A420" s="18" t="inlineStr">
        <is>
          <t>2025-05-08</t>
        </is>
      </c>
      <c r="B420" s="19" t="n">
        <v>6600</v>
      </c>
      <c r="C420" s="19" t="n">
        <v>4750.84</v>
      </c>
      <c r="D420" s="20" t="n"/>
      <c r="E420" s="21">
        <f>C420-Lambda*B420-OtherCost</f>
        <v/>
      </c>
      <c r="F420" s="22">
        <f>C420/B420</f>
        <v/>
      </c>
      <c r="G420" s="23">
        <f>B420/B419-1</f>
        <v/>
      </c>
      <c r="H420" s="23">
        <f>C420/C419-1</f>
        <v/>
      </c>
    </row>
    <row r="421" ht="17" customHeight="1">
      <c r="A421" s="13" t="inlineStr">
        <is>
          <t>2025-05-11</t>
        </is>
      </c>
      <c r="B421" s="14" t="n">
        <v>6600</v>
      </c>
      <c r="C421" s="14" t="n">
        <v>4888.33</v>
      </c>
      <c r="D421" s="15" t="n"/>
      <c r="E421" s="16">
        <f>C421-Lambda*B421-OtherCost</f>
        <v/>
      </c>
      <c r="F421" s="17">
        <f>C421/B421</f>
        <v/>
      </c>
      <c r="G421" s="24">
        <f>B421/B420-1</f>
        <v/>
      </c>
      <c r="H421" s="24">
        <f>C421/C420-1</f>
        <v/>
      </c>
    </row>
    <row r="422" ht="17" customHeight="1">
      <c r="A422" s="18" t="inlineStr">
        <is>
          <t>2025-05-12</t>
        </is>
      </c>
      <c r="B422" s="19" t="n">
        <v>6700</v>
      </c>
      <c r="C422" s="19" t="n">
        <v>4913.34</v>
      </c>
      <c r="D422" s="20" t="n"/>
      <c r="E422" s="21">
        <f>C422-Lambda*B422-OtherCost</f>
        <v/>
      </c>
      <c r="F422" s="22">
        <f>C422/B422</f>
        <v/>
      </c>
      <c r="G422" s="23">
        <f>B422/B421-1</f>
        <v/>
      </c>
      <c r="H422" s="23">
        <f>C422/C421-1</f>
        <v/>
      </c>
    </row>
    <row r="423" ht="17" customHeight="1">
      <c r="A423" s="13" t="inlineStr">
        <is>
          <t>2025-05-13</t>
        </is>
      </c>
      <c r="B423" s="14" t="n">
        <v>6700</v>
      </c>
      <c r="C423" s="14" t="n">
        <v>4913.34</v>
      </c>
      <c r="D423" s="15" t="n"/>
      <c r="E423" s="16">
        <f>C423-Lambda*B423-OtherCost</f>
        <v/>
      </c>
      <c r="F423" s="17">
        <f>C423/B423</f>
        <v/>
      </c>
      <c r="G423" s="24">
        <f>B423/B422-1</f>
        <v/>
      </c>
      <c r="H423" s="24">
        <f>C423/C422-1</f>
        <v/>
      </c>
    </row>
    <row r="424" ht="17" customHeight="1">
      <c r="A424" s="18" t="inlineStr">
        <is>
          <t>2025-05-14</t>
        </is>
      </c>
      <c r="B424" s="19" t="n">
        <v>6700</v>
      </c>
      <c r="C424" s="19" t="n">
        <v>4991.66</v>
      </c>
      <c r="D424" s="20" t="n"/>
      <c r="E424" s="21">
        <f>C424-Lambda*B424-OtherCost</f>
        <v/>
      </c>
      <c r="F424" s="22">
        <f>C424/B424</f>
        <v/>
      </c>
      <c r="G424" s="23">
        <f>B424/B423-1</f>
        <v/>
      </c>
      <c r="H424" s="23">
        <f>C424/C423-1</f>
        <v/>
      </c>
    </row>
    <row r="425" ht="17" customHeight="1">
      <c r="A425" s="13" t="inlineStr">
        <is>
          <t>2025-05-15</t>
        </is>
      </c>
      <c r="B425" s="14" t="n">
        <v>6850</v>
      </c>
      <c r="C425" s="14" t="n">
        <v>5007.5</v>
      </c>
      <c r="D425" s="15" t="n"/>
      <c r="E425" s="16">
        <f>C425-Lambda*B425-OtherCost</f>
        <v/>
      </c>
      <c r="F425" s="17">
        <f>C425/B425</f>
        <v/>
      </c>
      <c r="G425" s="24">
        <f>B425/B424-1</f>
        <v/>
      </c>
      <c r="H425" s="24">
        <f>C425/C424-1</f>
        <v/>
      </c>
    </row>
    <row r="426" ht="17" customHeight="1">
      <c r="A426" s="18" t="inlineStr">
        <is>
          <t>2025-05-18</t>
        </is>
      </c>
      <c r="B426" s="19" t="n">
        <v>6850</v>
      </c>
      <c r="C426" s="19" t="n">
        <v>4993.75</v>
      </c>
      <c r="D426" s="20" t="n"/>
      <c r="E426" s="21">
        <f>C426-Lambda*B426-OtherCost</f>
        <v/>
      </c>
      <c r="F426" s="22">
        <f>C426/B426</f>
        <v/>
      </c>
      <c r="G426" s="23">
        <f>B426/B425-1</f>
        <v/>
      </c>
      <c r="H426" s="23">
        <f>C426/C425-1</f>
        <v/>
      </c>
    </row>
    <row r="427" ht="17" customHeight="1">
      <c r="A427" s="13" t="inlineStr">
        <is>
          <t>2025-05-19</t>
        </is>
      </c>
      <c r="B427" s="14" t="n">
        <v>6850</v>
      </c>
      <c r="C427" s="14" t="n">
        <v>5001.25</v>
      </c>
      <c r="D427" s="15" t="n"/>
      <c r="E427" s="16">
        <f>C427-Lambda*B427-OtherCost</f>
        <v/>
      </c>
      <c r="F427" s="17">
        <f>C427/B427</f>
        <v/>
      </c>
      <c r="G427" s="24">
        <f>B427/B426-1</f>
        <v/>
      </c>
      <c r="H427" s="24">
        <f>C427/C426-1</f>
        <v/>
      </c>
    </row>
    <row r="428" ht="17" customHeight="1">
      <c r="A428" s="18" t="inlineStr">
        <is>
          <t>2025-05-20</t>
        </is>
      </c>
      <c r="B428" s="19" t="n">
        <v>6850</v>
      </c>
      <c r="C428" s="19" t="n">
        <v>4986.25</v>
      </c>
      <c r="D428" s="20" t="n"/>
      <c r="E428" s="21">
        <f>C428-Lambda*B428-OtherCost</f>
        <v/>
      </c>
      <c r="F428" s="22">
        <f>C428/B428</f>
        <v/>
      </c>
      <c r="G428" s="23">
        <f>B428/B427-1</f>
        <v/>
      </c>
      <c r="H428" s="23">
        <f>C428/C427-1</f>
        <v/>
      </c>
    </row>
    <row r="429" ht="17" customHeight="1">
      <c r="A429" s="13" t="inlineStr">
        <is>
          <t>2025-05-21</t>
        </is>
      </c>
      <c r="B429" s="14" t="n">
        <v>6850</v>
      </c>
      <c r="C429" s="14" t="n">
        <v>4913.34</v>
      </c>
      <c r="D429" s="15" t="n"/>
      <c r="E429" s="16">
        <f>C429-Lambda*B429-OtherCost</f>
        <v/>
      </c>
      <c r="F429" s="17">
        <f>C429/B429</f>
        <v/>
      </c>
      <c r="G429" s="24">
        <f>B429/B428-1</f>
        <v/>
      </c>
      <c r="H429" s="24">
        <f>C429/C428-1</f>
        <v/>
      </c>
    </row>
    <row r="430" ht="17" customHeight="1">
      <c r="A430" s="18" t="inlineStr">
        <is>
          <t>2025-05-22</t>
        </is>
      </c>
      <c r="B430" s="19" t="n">
        <v>6850</v>
      </c>
      <c r="C430" s="19" t="n">
        <v>4915</v>
      </c>
      <c r="D430" s="20" t="n"/>
      <c r="E430" s="21">
        <f>C430-Lambda*B430-OtherCost</f>
        <v/>
      </c>
      <c r="F430" s="22">
        <f>C430/B430</f>
        <v/>
      </c>
      <c r="G430" s="23">
        <f>B430/B429-1</f>
        <v/>
      </c>
      <c r="H430" s="23">
        <f>C430/C429-1</f>
        <v/>
      </c>
    </row>
    <row r="431" ht="17" customHeight="1">
      <c r="A431" s="13" t="inlineStr">
        <is>
          <t>2025-05-23</t>
        </is>
      </c>
      <c r="B431" s="14" t="n">
        <v>6850</v>
      </c>
      <c r="C431" s="14" t="n">
        <v>4913.34</v>
      </c>
      <c r="D431" s="15" t="n"/>
      <c r="E431" s="16">
        <f>C431-Lambda*B431-OtherCost</f>
        <v/>
      </c>
      <c r="F431" s="17">
        <f>C431/B431</f>
        <v/>
      </c>
      <c r="G431" s="24">
        <f>B431/B430-1</f>
        <v/>
      </c>
      <c r="H431" s="24">
        <f>C431/C430-1</f>
        <v/>
      </c>
    </row>
    <row r="432" ht="17" customHeight="1">
      <c r="A432" s="18" t="inlineStr">
        <is>
          <t>2025-05-25</t>
        </is>
      </c>
      <c r="B432" s="19" t="n">
        <v>6850</v>
      </c>
      <c r="C432" s="19" t="n">
        <v>4917.5</v>
      </c>
      <c r="D432" s="20" t="n"/>
      <c r="E432" s="21">
        <f>C432-Lambda*B432-OtherCost</f>
        <v/>
      </c>
      <c r="F432" s="22">
        <f>C432/B432</f>
        <v/>
      </c>
      <c r="G432" s="23">
        <f>B432/B431-1</f>
        <v/>
      </c>
      <c r="H432" s="23">
        <f>C432/C431-1</f>
        <v/>
      </c>
    </row>
    <row r="433" ht="17" customHeight="1">
      <c r="A433" s="13" t="inlineStr">
        <is>
          <t>2025-05-26</t>
        </is>
      </c>
      <c r="B433" s="14" t="n">
        <v>6850</v>
      </c>
      <c r="C433" s="14" t="n">
        <v>4938.75</v>
      </c>
      <c r="D433" s="15" t="n"/>
      <c r="E433" s="16">
        <f>C433-Lambda*B433-OtherCost</f>
        <v/>
      </c>
      <c r="F433" s="17">
        <f>C433/B433</f>
        <v/>
      </c>
      <c r="G433" s="24">
        <f>B433/B432-1</f>
        <v/>
      </c>
      <c r="H433" s="24">
        <f>C433/C432-1</f>
        <v/>
      </c>
    </row>
    <row r="434" ht="17" customHeight="1">
      <c r="A434" s="18" t="inlineStr">
        <is>
          <t>2025-05-27</t>
        </is>
      </c>
      <c r="B434" s="19" t="n">
        <v>6850</v>
      </c>
      <c r="C434" s="19" t="n">
        <v>4893.75</v>
      </c>
      <c r="D434" s="20" t="n"/>
      <c r="E434" s="21">
        <f>C434-Lambda*B434-OtherCost</f>
        <v/>
      </c>
      <c r="F434" s="22">
        <f>C434/B434</f>
        <v/>
      </c>
      <c r="G434" s="23">
        <f>B434/B433-1</f>
        <v/>
      </c>
      <c r="H434" s="23">
        <f>C434/C433-1</f>
        <v/>
      </c>
    </row>
    <row r="435" ht="17" customHeight="1">
      <c r="A435" s="13" t="inlineStr">
        <is>
          <t>2025-05-28</t>
        </is>
      </c>
      <c r="B435" s="14" t="n">
        <v>6850</v>
      </c>
      <c r="C435" s="14" t="n">
        <v>4972.5</v>
      </c>
      <c r="D435" s="15" t="n"/>
      <c r="E435" s="16">
        <f>C435-Lambda*B435-OtherCost</f>
        <v/>
      </c>
      <c r="F435" s="17">
        <f>C435/B435</f>
        <v/>
      </c>
      <c r="G435" s="24">
        <f>B435/B434-1</f>
        <v/>
      </c>
      <c r="H435" s="24">
        <f>C435/C434-1</f>
        <v/>
      </c>
    </row>
    <row r="436" ht="17" customHeight="1">
      <c r="A436" s="18" t="inlineStr">
        <is>
          <t>2025-05-29</t>
        </is>
      </c>
      <c r="B436" s="19" t="n">
        <v>6850</v>
      </c>
      <c r="C436" s="19" t="n">
        <v>4965.62</v>
      </c>
      <c r="D436" s="20" t="n"/>
      <c r="E436" s="21">
        <f>C436-Lambda*B436-OtherCost</f>
        <v/>
      </c>
      <c r="F436" s="22">
        <f>C436/B436</f>
        <v/>
      </c>
      <c r="G436" s="23">
        <f>B436/B435-1</f>
        <v/>
      </c>
      <c r="H436" s="23">
        <f>C436/C435-1</f>
        <v/>
      </c>
    </row>
    <row r="437" ht="17" customHeight="1">
      <c r="A437" s="13" t="inlineStr">
        <is>
          <t>2025-05-30</t>
        </is>
      </c>
      <c r="B437" s="14" t="n">
        <v>6850</v>
      </c>
      <c r="C437" s="14" t="n">
        <v>4972.5</v>
      </c>
      <c r="D437" s="15" t="n"/>
      <c r="E437" s="16">
        <f>C437-Lambda*B437-OtherCost</f>
        <v/>
      </c>
      <c r="F437" s="17">
        <f>C437/B437</f>
        <v/>
      </c>
      <c r="G437" s="24">
        <f>B437/B436-1</f>
        <v/>
      </c>
      <c r="H437" s="24">
        <f>C437/C436-1</f>
        <v/>
      </c>
    </row>
    <row r="438" ht="17" customHeight="1">
      <c r="A438" s="18" t="inlineStr">
        <is>
          <t>2025-06-01</t>
        </is>
      </c>
      <c r="B438" s="19" t="n">
        <v>6850</v>
      </c>
      <c r="C438" s="19" t="n">
        <v>4965.62</v>
      </c>
      <c r="D438" s="20" t="n"/>
      <c r="E438" s="21">
        <f>C438-Lambda*B438-OtherCost</f>
        <v/>
      </c>
      <c r="F438" s="22">
        <f>C438/B438</f>
        <v/>
      </c>
      <c r="G438" s="23">
        <f>B438/B437-1</f>
        <v/>
      </c>
      <c r="H438" s="23">
        <f>C438/C437-1</f>
        <v/>
      </c>
    </row>
    <row r="439" ht="17" customHeight="1">
      <c r="A439" s="13" t="inlineStr">
        <is>
          <t>2025-06-02</t>
        </is>
      </c>
      <c r="B439" s="14" t="n">
        <v>7000</v>
      </c>
      <c r="C439" s="14" t="n">
        <v>4948.75</v>
      </c>
      <c r="D439" s="15" t="n"/>
      <c r="E439" s="16">
        <f>C439-Lambda*B439-OtherCost</f>
        <v/>
      </c>
      <c r="F439" s="17">
        <f>C439/B439</f>
        <v/>
      </c>
      <c r="G439" s="24">
        <f>B439/B438-1</f>
        <v/>
      </c>
      <c r="H439" s="24">
        <f>C439/C438-1</f>
        <v/>
      </c>
    </row>
    <row r="440" ht="17" customHeight="1">
      <c r="A440" s="18" t="inlineStr">
        <is>
          <t>2025-06-03</t>
        </is>
      </c>
      <c r="B440" s="19" t="n">
        <v>7000</v>
      </c>
      <c r="C440" s="19" t="n">
        <v>4896.5</v>
      </c>
      <c r="D440" s="20" t="n"/>
      <c r="E440" s="21">
        <f>C440-Lambda*B440-OtherCost</f>
        <v/>
      </c>
      <c r="F440" s="22">
        <f>C440/B440</f>
        <v/>
      </c>
      <c r="G440" s="23">
        <f>B440/B439-1</f>
        <v/>
      </c>
      <c r="H440" s="23">
        <f>C440/C439-1</f>
        <v/>
      </c>
    </row>
    <row r="441" ht="17" customHeight="1">
      <c r="A441" s="13" t="inlineStr">
        <is>
          <t>2025-06-04</t>
        </is>
      </c>
      <c r="B441" s="14" t="n">
        <v>7000</v>
      </c>
      <c r="C441" s="14" t="n">
        <v>4880.66</v>
      </c>
      <c r="D441" s="15" t="n"/>
      <c r="E441" s="16">
        <f>C441-Lambda*B441-OtherCost</f>
        <v/>
      </c>
      <c r="F441" s="17">
        <f>C441/B441</f>
        <v/>
      </c>
      <c r="G441" s="24">
        <f>B441/B440-1</f>
        <v/>
      </c>
      <c r="H441" s="24">
        <f>C441/C440-1</f>
        <v/>
      </c>
    </row>
    <row r="442" ht="17" customHeight="1">
      <c r="A442" s="18" t="inlineStr">
        <is>
          <t>2025-06-05</t>
        </is>
      </c>
      <c r="B442" s="19" t="n">
        <v>7000</v>
      </c>
      <c r="C442" s="19" t="n">
        <v>4903.25</v>
      </c>
      <c r="D442" s="20" t="n"/>
      <c r="E442" s="21">
        <f>C442-Lambda*B442-OtherCost</f>
        <v/>
      </c>
      <c r="F442" s="22">
        <f>C442/B442</f>
        <v/>
      </c>
      <c r="G442" s="23">
        <f>B442/B441-1</f>
        <v/>
      </c>
      <c r="H442" s="23">
        <f>C442/C441-1</f>
        <v/>
      </c>
    </row>
    <row r="443" ht="17" customHeight="1">
      <c r="A443" s="13" t="inlineStr">
        <is>
          <t>2025-06-06</t>
        </is>
      </c>
      <c r="B443" s="14" t="n">
        <v>7000</v>
      </c>
      <c r="C443" s="14" t="n">
        <v>4880.66</v>
      </c>
      <c r="D443" s="15" t="n"/>
      <c r="E443" s="16">
        <f>C443-Lambda*B443-OtherCost</f>
        <v/>
      </c>
      <c r="F443" s="17">
        <f>C443/B443</f>
        <v/>
      </c>
      <c r="G443" s="24">
        <f>B443/B442-1</f>
        <v/>
      </c>
      <c r="H443" s="24">
        <f>C443/C442-1</f>
        <v/>
      </c>
    </row>
    <row r="444" ht="17" customHeight="1">
      <c r="A444" s="18" t="inlineStr">
        <is>
          <t>2025-06-08</t>
        </is>
      </c>
      <c r="B444" s="19" t="n">
        <v>7000</v>
      </c>
      <c r="C444" s="19" t="n">
        <v>4884.5</v>
      </c>
      <c r="D444" s="20" t="n"/>
      <c r="E444" s="21">
        <f>C444-Lambda*B444-OtherCost</f>
        <v/>
      </c>
      <c r="F444" s="22">
        <f>C444/B444</f>
        <v/>
      </c>
      <c r="G444" s="23">
        <f>B444/B443-1</f>
        <v/>
      </c>
      <c r="H444" s="23">
        <f>C444/C443-1</f>
        <v/>
      </c>
    </row>
    <row r="445" ht="17" customHeight="1">
      <c r="A445" s="13" t="inlineStr">
        <is>
          <t>2025-06-09</t>
        </is>
      </c>
      <c r="B445" s="14" t="n">
        <v>7000</v>
      </c>
      <c r="C445" s="14" t="n">
        <v>4880.5</v>
      </c>
      <c r="D445" s="15" t="n"/>
      <c r="E445" s="16">
        <f>C445-Lambda*B445-OtherCost</f>
        <v/>
      </c>
      <c r="F445" s="17">
        <f>C445/B445</f>
        <v/>
      </c>
      <c r="G445" s="24">
        <f>B445/B444-1</f>
        <v/>
      </c>
      <c r="H445" s="24">
        <f>C445/C444-1</f>
        <v/>
      </c>
    </row>
    <row r="446" ht="17" customHeight="1">
      <c r="A446" s="18" t="inlineStr">
        <is>
          <t>2025-06-10</t>
        </is>
      </c>
      <c r="B446" s="19" t="n">
        <v>7000</v>
      </c>
      <c r="C446" s="19" t="n">
        <v>4871.75</v>
      </c>
      <c r="D446" s="20" t="n"/>
      <c r="E446" s="21">
        <f>C446-Lambda*B446-OtherCost</f>
        <v/>
      </c>
      <c r="F446" s="22">
        <f>C446/B446</f>
        <v/>
      </c>
      <c r="G446" s="23">
        <f>B446/B445-1</f>
        <v/>
      </c>
      <c r="H446" s="23">
        <f>C446/C445-1</f>
        <v/>
      </c>
    </row>
    <row r="447" ht="17" customHeight="1">
      <c r="A447" s="13" t="inlineStr">
        <is>
          <t>2025-06-11</t>
        </is>
      </c>
      <c r="B447" s="14" t="n">
        <v>7000</v>
      </c>
      <c r="C447" s="14" t="n">
        <v>4880.75</v>
      </c>
      <c r="D447" s="15" t="n"/>
      <c r="E447" s="16">
        <f>C447-Lambda*B447-OtherCost</f>
        <v/>
      </c>
      <c r="F447" s="17">
        <f>C447/B447</f>
        <v/>
      </c>
      <c r="G447" s="24">
        <f>B447/B446-1</f>
        <v/>
      </c>
      <c r="H447" s="24">
        <f>C447/C446-1</f>
        <v/>
      </c>
    </row>
    <row r="448" ht="17" customHeight="1">
      <c r="A448" s="18" t="inlineStr">
        <is>
          <t>2025-06-12</t>
        </is>
      </c>
      <c r="B448" s="19" t="n">
        <v>7000</v>
      </c>
      <c r="C448" s="19" t="n">
        <v>4932.75</v>
      </c>
      <c r="D448" s="20" t="n"/>
      <c r="E448" s="21">
        <f>C448-Lambda*B448-OtherCost</f>
        <v/>
      </c>
      <c r="F448" s="22">
        <f>C448/B448</f>
        <v/>
      </c>
      <c r="G448" s="23">
        <f>B448/B447-1</f>
        <v/>
      </c>
      <c r="H448" s="23">
        <f>C448/C447-1</f>
        <v/>
      </c>
    </row>
    <row r="449" ht="17" customHeight="1">
      <c r="A449" s="13" t="inlineStr">
        <is>
          <t>2025-06-13</t>
        </is>
      </c>
      <c r="B449" s="14" t="n">
        <v>7000</v>
      </c>
      <c r="C449" s="14" t="n">
        <v>4880.75</v>
      </c>
      <c r="D449" s="15" t="n"/>
      <c r="E449" s="16">
        <f>C449-Lambda*B449-OtherCost</f>
        <v/>
      </c>
      <c r="F449" s="17">
        <f>C449/B449</f>
        <v/>
      </c>
      <c r="G449" s="24">
        <f>B449/B448-1</f>
        <v/>
      </c>
      <c r="H449" s="24">
        <f>C449/C448-1</f>
        <v/>
      </c>
    </row>
    <row r="450" ht="17" customHeight="1">
      <c r="A450" s="18" t="inlineStr">
        <is>
          <t>2025-06-15</t>
        </is>
      </c>
      <c r="B450" s="19" t="n">
        <v>7000</v>
      </c>
      <c r="C450" s="19" t="n">
        <v>5008.25</v>
      </c>
      <c r="D450" s="20" t="n"/>
      <c r="E450" s="21">
        <f>C450-Lambda*B450-OtherCost</f>
        <v/>
      </c>
      <c r="F450" s="22">
        <f>C450/B450</f>
        <v/>
      </c>
      <c r="G450" s="23">
        <f>B450/B449-1</f>
        <v/>
      </c>
      <c r="H450" s="23">
        <f>C450/C449-1</f>
        <v/>
      </c>
    </row>
    <row r="451" ht="17" customHeight="1">
      <c r="A451" s="13" t="inlineStr">
        <is>
          <t>2025-06-16</t>
        </is>
      </c>
      <c r="B451" s="14" t="n">
        <v>7000</v>
      </c>
      <c r="C451" s="14" t="n">
        <v>5045</v>
      </c>
      <c r="D451" s="15" t="n"/>
      <c r="E451" s="16">
        <f>C451-Lambda*B451-OtherCost</f>
        <v/>
      </c>
      <c r="F451" s="17">
        <f>C451/B451</f>
        <v/>
      </c>
      <c r="G451" s="24">
        <f>B451/B450-1</f>
        <v/>
      </c>
      <c r="H451" s="24">
        <f>C451/C450-1</f>
        <v/>
      </c>
    </row>
    <row r="452" ht="17" customHeight="1">
      <c r="A452" s="18" t="inlineStr">
        <is>
          <t>2025-06-17</t>
        </is>
      </c>
      <c r="B452" s="19" t="n">
        <v>7000</v>
      </c>
      <c r="C452" s="19" t="n">
        <v>5165.5</v>
      </c>
      <c r="D452" s="20" t="n"/>
      <c r="E452" s="21">
        <f>C452-Lambda*B452-OtherCost</f>
        <v/>
      </c>
      <c r="F452" s="22">
        <f>C452/B452</f>
        <v/>
      </c>
      <c r="G452" s="23">
        <f>B452/B451-1</f>
        <v/>
      </c>
      <c r="H452" s="23">
        <f>C452/C451-1</f>
        <v/>
      </c>
    </row>
    <row r="453" ht="17" customHeight="1">
      <c r="A453" s="13" t="inlineStr">
        <is>
          <t>2025-06-18</t>
        </is>
      </c>
      <c r="B453" s="14" t="n">
        <v>7000</v>
      </c>
      <c r="C453" s="14" t="n">
        <v>5246.5</v>
      </c>
      <c r="D453" s="15" t="n"/>
      <c r="E453" s="16">
        <f>C453-Lambda*B453-OtherCost</f>
        <v/>
      </c>
      <c r="F453" s="17">
        <f>C453/B453</f>
        <v/>
      </c>
      <c r="G453" s="24">
        <f>B453/B452-1</f>
        <v/>
      </c>
      <c r="H453" s="24">
        <f>C453/C452-1</f>
        <v/>
      </c>
    </row>
    <row r="454" ht="17" customHeight="1">
      <c r="A454" s="18" t="inlineStr">
        <is>
          <t>2025-06-19</t>
        </is>
      </c>
      <c r="B454" s="19" t="n">
        <v>7000</v>
      </c>
      <c r="C454" s="19" t="n">
        <v>5271.5</v>
      </c>
      <c r="D454" s="20" t="n"/>
      <c r="E454" s="21">
        <f>C454-Lambda*B454-OtherCost</f>
        <v/>
      </c>
      <c r="F454" s="22">
        <f>C454/B454</f>
        <v/>
      </c>
      <c r="G454" s="23">
        <f>B454/B453-1</f>
        <v/>
      </c>
      <c r="H454" s="23">
        <f>C454/C453-1</f>
        <v/>
      </c>
    </row>
    <row r="455" ht="17" customHeight="1">
      <c r="A455" s="13" t="inlineStr">
        <is>
          <t>2025-06-20</t>
        </is>
      </c>
      <c r="B455" s="14" t="n">
        <v>7000</v>
      </c>
      <c r="C455" s="14" t="n">
        <v>5246.5</v>
      </c>
      <c r="D455" s="15" t="n"/>
      <c r="E455" s="16">
        <f>C455-Lambda*B455-OtherCost</f>
        <v/>
      </c>
      <c r="F455" s="17">
        <f>C455/B455</f>
        <v/>
      </c>
      <c r="G455" s="24">
        <f>B455/B454-1</f>
        <v/>
      </c>
      <c r="H455" s="24">
        <f>C455/C454-1</f>
        <v/>
      </c>
    </row>
    <row r="456" ht="17" customHeight="1">
      <c r="A456" s="18" t="inlineStr">
        <is>
          <t>2025-06-22</t>
        </is>
      </c>
      <c r="B456" s="19" t="n">
        <v>7300</v>
      </c>
      <c r="C456" s="19" t="n">
        <v>5282</v>
      </c>
      <c r="D456" s="20" t="n"/>
      <c r="E456" s="21">
        <f>C456-Lambda*B456-OtherCost</f>
        <v/>
      </c>
      <c r="F456" s="22">
        <f>C456/B456</f>
        <v/>
      </c>
      <c r="G456" s="23">
        <f>B456/B455-1</f>
        <v/>
      </c>
      <c r="H456" s="23">
        <f>C456/C455-1</f>
        <v/>
      </c>
    </row>
    <row r="457" ht="17" customHeight="1">
      <c r="A457" s="13" t="inlineStr">
        <is>
          <t>2025-06-23</t>
        </is>
      </c>
      <c r="B457" s="14" t="n">
        <v>7300</v>
      </c>
      <c r="C457" s="14" t="n">
        <v>5114</v>
      </c>
      <c r="D457" s="15" t="n"/>
      <c r="E457" s="16">
        <f>C457-Lambda*B457-OtherCost</f>
        <v/>
      </c>
      <c r="F457" s="17">
        <f>C457/B457</f>
        <v/>
      </c>
      <c r="G457" s="24">
        <f>B457/B456-1</f>
        <v/>
      </c>
      <c r="H457" s="24">
        <f>C457/C456-1</f>
        <v/>
      </c>
    </row>
    <row r="458" ht="17" customHeight="1">
      <c r="A458" s="18" t="inlineStr">
        <is>
          <t>2025-06-24</t>
        </is>
      </c>
      <c r="B458" s="19" t="n">
        <v>7300</v>
      </c>
      <c r="C458" s="19" t="n">
        <v>5114</v>
      </c>
      <c r="D458" s="20" t="n"/>
      <c r="E458" s="21">
        <f>C458-Lambda*B458-OtherCost</f>
        <v/>
      </c>
      <c r="F458" s="22">
        <f>C458/B458</f>
        <v/>
      </c>
      <c r="G458" s="23">
        <f>B458/B457-1</f>
        <v/>
      </c>
      <c r="H458" s="23">
        <f>C458/C457-1</f>
        <v/>
      </c>
    </row>
    <row r="459" ht="17" customHeight="1">
      <c r="A459" s="13" t="inlineStr">
        <is>
          <t>2025-06-25</t>
        </is>
      </c>
      <c r="B459" s="14" t="n">
        <v>7300</v>
      </c>
      <c r="C459" s="14" t="n">
        <v>5083.25</v>
      </c>
      <c r="D459" s="15" t="n"/>
      <c r="E459" s="16">
        <f>C459-Lambda*B459-OtherCost</f>
        <v/>
      </c>
      <c r="F459" s="17">
        <f>C459/B459</f>
        <v/>
      </c>
      <c r="G459" s="24">
        <f>B459/B458-1</f>
        <v/>
      </c>
      <c r="H459" s="24">
        <f>C459/C458-1</f>
        <v/>
      </c>
    </row>
    <row r="460" ht="17" customHeight="1">
      <c r="A460" s="18" t="inlineStr">
        <is>
          <t>2025-06-26</t>
        </is>
      </c>
      <c r="B460" s="19" t="n">
        <v>7300</v>
      </c>
      <c r="C460" s="19" t="n">
        <v>5084.75</v>
      </c>
      <c r="D460" s="20" t="n"/>
      <c r="E460" s="21">
        <f>C460-Lambda*B460-OtherCost</f>
        <v/>
      </c>
      <c r="F460" s="22">
        <f>C460/B460</f>
        <v/>
      </c>
      <c r="G460" s="23">
        <f>B460/B459-1</f>
        <v/>
      </c>
      <c r="H460" s="23">
        <f>C460/C459-1</f>
        <v/>
      </c>
    </row>
    <row r="461" ht="17" customHeight="1">
      <c r="A461" s="13" t="inlineStr">
        <is>
          <t>2025-06-27</t>
        </is>
      </c>
      <c r="B461" s="14" t="n">
        <v>7300</v>
      </c>
      <c r="C461" s="14" t="n">
        <v>5083.25</v>
      </c>
      <c r="D461" s="15" t="n"/>
      <c r="E461" s="16">
        <f>C461-Lambda*B461-OtherCost</f>
        <v/>
      </c>
      <c r="F461" s="17">
        <f>C461/B461</f>
        <v/>
      </c>
      <c r="G461" s="24">
        <f>B461/B460-1</f>
        <v/>
      </c>
      <c r="H461" s="24">
        <f>C461/C460-1</f>
        <v/>
      </c>
    </row>
    <row r="462" ht="17" customHeight="1">
      <c r="A462" s="18" t="inlineStr">
        <is>
          <t>2025-06-29</t>
        </is>
      </c>
      <c r="B462" s="19" t="n">
        <v>7300</v>
      </c>
      <c r="C462" s="19" t="n">
        <v>5104.75</v>
      </c>
      <c r="D462" s="20" t="n"/>
      <c r="E462" s="21">
        <f>C462-Lambda*B462-OtherCost</f>
        <v/>
      </c>
      <c r="F462" s="22">
        <f>C462/B462</f>
        <v/>
      </c>
      <c r="G462" s="23">
        <f>B462/B461-1</f>
        <v/>
      </c>
      <c r="H462" s="23">
        <f>C462/C461-1</f>
        <v/>
      </c>
    </row>
    <row r="463" ht="17" customHeight="1">
      <c r="A463" s="13" t="inlineStr">
        <is>
          <t>2025-06-30</t>
        </is>
      </c>
      <c r="B463" s="14" t="n">
        <v>7250</v>
      </c>
      <c r="C463" s="14" t="n">
        <v>5081.66</v>
      </c>
      <c r="D463" s="15" t="n"/>
      <c r="E463" s="16">
        <f>C463-Lambda*B463-OtherCost</f>
        <v/>
      </c>
      <c r="F463" s="17">
        <f>C463/B463</f>
        <v/>
      </c>
      <c r="G463" s="24">
        <f>B463/B462-1</f>
        <v/>
      </c>
      <c r="H463" s="24">
        <f>C463/C462-1</f>
        <v/>
      </c>
    </row>
    <row r="464" ht="17" customHeight="1">
      <c r="A464" s="18" t="inlineStr">
        <is>
          <t>2025-07-01</t>
        </is>
      </c>
      <c r="B464" s="19" t="n">
        <v>7250</v>
      </c>
      <c r="C464" s="19" t="n">
        <v>5031.25</v>
      </c>
      <c r="D464" s="20" t="n"/>
      <c r="E464" s="21">
        <f>C464-Lambda*B464-OtherCost</f>
        <v/>
      </c>
      <c r="F464" s="22">
        <f>C464/B464</f>
        <v/>
      </c>
      <c r="G464" s="23">
        <f>B464/B463-1</f>
        <v/>
      </c>
      <c r="H464" s="23">
        <f>C464/C463-1</f>
        <v/>
      </c>
    </row>
    <row r="465" ht="17" customHeight="1">
      <c r="A465" s="13" t="inlineStr">
        <is>
          <t>2025-07-02</t>
        </is>
      </c>
      <c r="B465" s="14" t="n">
        <v>7250</v>
      </c>
      <c r="C465" s="14" t="n">
        <v>5031.25</v>
      </c>
      <c r="D465" s="15" t="n"/>
      <c r="E465" s="16">
        <f>C465-Lambda*B465-OtherCost</f>
        <v/>
      </c>
      <c r="F465" s="17">
        <f>C465/B465</f>
        <v/>
      </c>
      <c r="G465" s="24">
        <f>B465/B464-1</f>
        <v/>
      </c>
      <c r="H465" s="24">
        <f>C465/C464-1</f>
        <v/>
      </c>
    </row>
    <row r="466" ht="17" customHeight="1">
      <c r="A466" s="18" t="inlineStr">
        <is>
          <t>2025-07-03</t>
        </is>
      </c>
      <c r="B466" s="19" t="n">
        <v>7250</v>
      </c>
      <c r="C466" s="19" t="n">
        <v>5031.25</v>
      </c>
      <c r="D466" s="20" t="n"/>
      <c r="E466" s="21">
        <f>C466-Lambda*B466-OtherCost</f>
        <v/>
      </c>
      <c r="F466" s="22">
        <f>C466/B466</f>
        <v/>
      </c>
      <c r="G466" s="23">
        <f>B466/B465-1</f>
        <v/>
      </c>
      <c r="H466" s="23">
        <f>C466/C465-1</f>
        <v/>
      </c>
    </row>
    <row r="467" ht="17" customHeight="1">
      <c r="A467" s="13" t="inlineStr">
        <is>
          <t>2025-07-04</t>
        </is>
      </c>
      <c r="B467" s="14" t="n">
        <v>7250</v>
      </c>
      <c r="C467" s="14" t="n">
        <v>5031.25</v>
      </c>
      <c r="D467" s="15" t="n"/>
      <c r="E467" s="16">
        <f>C467-Lambda*B467-OtherCost</f>
        <v/>
      </c>
      <c r="F467" s="17">
        <f>C467/B467</f>
        <v/>
      </c>
      <c r="G467" s="24">
        <f>B467/B466-1</f>
        <v/>
      </c>
      <c r="H467" s="24">
        <f>C467/C466-1</f>
        <v/>
      </c>
    </row>
    <row r="468" ht="17" customHeight="1">
      <c r="A468" s="18" t="inlineStr">
        <is>
          <t>2025-07-06</t>
        </is>
      </c>
      <c r="B468" s="19" t="n">
        <v>7250</v>
      </c>
      <c r="C468" s="19" t="n">
        <v>4977.5</v>
      </c>
      <c r="D468" s="20" t="n"/>
      <c r="E468" s="21">
        <f>C468-Lambda*B468-OtherCost</f>
        <v/>
      </c>
      <c r="F468" s="22">
        <f>C468/B468</f>
        <v/>
      </c>
      <c r="G468" s="23">
        <f>B468/B467-1</f>
        <v/>
      </c>
      <c r="H468" s="23">
        <f>C468/C467-1</f>
        <v/>
      </c>
    </row>
    <row r="469" ht="17" customHeight="1">
      <c r="A469" s="13" t="inlineStr">
        <is>
          <t>2025-07-07</t>
        </is>
      </c>
      <c r="B469" s="14" t="n">
        <v>7250</v>
      </c>
      <c r="C469" s="14" t="n">
        <v>4930.84</v>
      </c>
      <c r="D469" s="15" t="n"/>
      <c r="E469" s="16">
        <f>C469-Lambda*B469-OtherCost</f>
        <v/>
      </c>
      <c r="F469" s="17">
        <f>C469/B469</f>
        <v/>
      </c>
      <c r="G469" s="24">
        <f>B469/B468-1</f>
        <v/>
      </c>
      <c r="H469" s="24">
        <f>C469/C468-1</f>
        <v/>
      </c>
    </row>
    <row r="470" ht="17" customHeight="1">
      <c r="A470" s="18" t="inlineStr">
        <is>
          <t>2025-07-08</t>
        </is>
      </c>
      <c r="B470" s="19" t="n">
        <v>7250</v>
      </c>
      <c r="C470" s="19" t="n">
        <v>4852.5</v>
      </c>
      <c r="D470" s="20" t="n"/>
      <c r="E470" s="21">
        <f>C470-Lambda*B470-OtherCost</f>
        <v/>
      </c>
      <c r="F470" s="22">
        <f>C470/B470</f>
        <v/>
      </c>
      <c r="G470" s="23">
        <f>B470/B469-1</f>
        <v/>
      </c>
      <c r="H470" s="23">
        <f>C470/C469-1</f>
        <v/>
      </c>
    </row>
    <row r="471" ht="17" customHeight="1">
      <c r="A471" s="13" t="inlineStr">
        <is>
          <t>2025-07-09</t>
        </is>
      </c>
      <c r="B471" s="14" t="n">
        <v>7250</v>
      </c>
      <c r="C471" s="14" t="n">
        <v>4852.5</v>
      </c>
      <c r="D471" s="15" t="n"/>
      <c r="E471" s="16">
        <f>C471-Lambda*B471-OtherCost</f>
        <v/>
      </c>
      <c r="F471" s="17">
        <f>C471/B471</f>
        <v/>
      </c>
      <c r="G471" s="24">
        <f>B471/B470-1</f>
        <v/>
      </c>
      <c r="H471" s="24">
        <f>C471/C470-1</f>
        <v/>
      </c>
    </row>
    <row r="472" ht="17" customHeight="1">
      <c r="A472" s="18" t="inlineStr">
        <is>
          <t>2025-07-10</t>
        </is>
      </c>
      <c r="B472" s="19" t="n">
        <v>7250</v>
      </c>
      <c r="C472" s="19" t="n">
        <v>4852.5</v>
      </c>
      <c r="D472" s="20" t="n"/>
      <c r="E472" s="21">
        <f>C472-Lambda*B472-OtherCost</f>
        <v/>
      </c>
      <c r="F472" s="22">
        <f>C472/B472</f>
        <v/>
      </c>
      <c r="G472" s="23">
        <f>B472/B471-1</f>
        <v/>
      </c>
      <c r="H472" s="23">
        <f>C472/C471-1</f>
        <v/>
      </c>
    </row>
    <row r="473" ht="17" customHeight="1">
      <c r="A473" s="13" t="inlineStr">
        <is>
          <t>2025-07-11</t>
        </is>
      </c>
      <c r="B473" s="14" t="n">
        <v>7250</v>
      </c>
      <c r="C473" s="14" t="n">
        <v>4852.5</v>
      </c>
      <c r="D473" s="15" t="n"/>
      <c r="E473" s="16">
        <f>C473-Lambda*B473-OtherCost</f>
        <v/>
      </c>
      <c r="F473" s="17">
        <f>C473/B473</f>
        <v/>
      </c>
      <c r="G473" s="24">
        <f>B473/B472-1</f>
        <v/>
      </c>
      <c r="H473" s="24">
        <f>C473/C472-1</f>
        <v/>
      </c>
    </row>
    <row r="474" ht="17" customHeight="1">
      <c r="A474" s="18" t="inlineStr">
        <is>
          <t>2025-07-13</t>
        </is>
      </c>
      <c r="B474" s="19" t="n">
        <v>7250</v>
      </c>
      <c r="C474" s="19" t="n">
        <v>4789.84</v>
      </c>
      <c r="D474" s="20" t="n"/>
      <c r="E474" s="21">
        <f>C474-Lambda*B474-OtherCost</f>
        <v/>
      </c>
      <c r="F474" s="22">
        <f>C474/B474</f>
        <v/>
      </c>
      <c r="G474" s="23">
        <f>B474/B473-1</f>
        <v/>
      </c>
      <c r="H474" s="23">
        <f>C474/C473-1</f>
        <v/>
      </c>
    </row>
    <row r="475" ht="17" customHeight="1">
      <c r="A475" s="13" t="inlineStr">
        <is>
          <t>2025-07-14</t>
        </is>
      </c>
      <c r="B475" s="14" t="n">
        <v>7250</v>
      </c>
      <c r="C475" s="14" t="n">
        <v>4735.66</v>
      </c>
      <c r="D475" s="15" t="n"/>
      <c r="E475" s="16">
        <f>C475-Lambda*B475-OtherCost</f>
        <v/>
      </c>
      <c r="F475" s="17">
        <f>C475/B475</f>
        <v/>
      </c>
      <c r="G475" s="24">
        <f>B475/B474-1</f>
        <v/>
      </c>
      <c r="H475" s="24">
        <f>C475/C474-1</f>
        <v/>
      </c>
    </row>
    <row r="476" ht="17" customHeight="1">
      <c r="A476" s="18" t="inlineStr">
        <is>
          <t>2025-07-15</t>
        </is>
      </c>
      <c r="B476" s="19" t="n">
        <v>7250</v>
      </c>
      <c r="C476" s="19" t="n">
        <v>4735.66</v>
      </c>
      <c r="D476" s="20" t="n"/>
      <c r="E476" s="21">
        <f>C476-Lambda*B476-OtherCost</f>
        <v/>
      </c>
      <c r="F476" s="22">
        <f>C476/B476</f>
        <v/>
      </c>
      <c r="G476" s="23">
        <f>B476/B475-1</f>
        <v/>
      </c>
      <c r="H476" s="23">
        <f>C476/C475-1</f>
        <v/>
      </c>
    </row>
    <row r="477" ht="17" customHeight="1">
      <c r="A477" s="13" t="inlineStr">
        <is>
          <t>2025-07-16</t>
        </is>
      </c>
      <c r="B477" s="14" t="n">
        <v>7250</v>
      </c>
      <c r="C477" s="14" t="n">
        <v>4762.66</v>
      </c>
      <c r="D477" s="15" t="n"/>
      <c r="E477" s="16">
        <f>C477-Lambda*B477-OtherCost</f>
        <v/>
      </c>
      <c r="F477" s="17">
        <f>C477/B477</f>
        <v/>
      </c>
      <c r="G477" s="24">
        <f>B477/B476-1</f>
        <v/>
      </c>
      <c r="H477" s="24">
        <f>C477/C476-1</f>
        <v/>
      </c>
    </row>
    <row r="478" ht="17" customHeight="1">
      <c r="A478" s="18" t="inlineStr">
        <is>
          <t>2025-07-17</t>
        </is>
      </c>
      <c r="B478" s="19" t="n">
        <v>7250</v>
      </c>
      <c r="C478" s="19" t="n">
        <v>4776.66</v>
      </c>
      <c r="D478" s="20" t="n"/>
      <c r="E478" s="21">
        <f>C478-Lambda*B478-OtherCost</f>
        <v/>
      </c>
      <c r="F478" s="22">
        <f>C478/B478</f>
        <v/>
      </c>
      <c r="G478" s="23">
        <f>B478/B477-1</f>
        <v/>
      </c>
      <c r="H478" s="23">
        <f>C478/C477-1</f>
        <v/>
      </c>
    </row>
    <row r="479" ht="17" customHeight="1">
      <c r="A479" s="13" t="inlineStr">
        <is>
          <t>2025-07-18</t>
        </is>
      </c>
      <c r="B479" s="14" t="n">
        <v>7250</v>
      </c>
      <c r="C479" s="14" t="n">
        <v>4762.66</v>
      </c>
      <c r="D479" s="15" t="n"/>
      <c r="E479" s="16">
        <f>C479-Lambda*B479-OtherCost</f>
        <v/>
      </c>
      <c r="F479" s="17">
        <f>C479/B479</f>
        <v/>
      </c>
      <c r="G479" s="24">
        <f>B479/B478-1</f>
        <v/>
      </c>
      <c r="H479" s="24">
        <f>C479/C478-1</f>
        <v/>
      </c>
    </row>
    <row r="480" ht="17" customHeight="1">
      <c r="A480" s="18" t="inlineStr">
        <is>
          <t>2025-07-20</t>
        </is>
      </c>
      <c r="B480" s="19" t="n">
        <v>7250</v>
      </c>
      <c r="C480" s="19" t="n">
        <v>4825</v>
      </c>
      <c r="D480" s="20" t="n"/>
      <c r="E480" s="21">
        <f>C480-Lambda*B480-OtherCost</f>
        <v/>
      </c>
      <c r="F480" s="22">
        <f>C480/B480</f>
        <v/>
      </c>
      <c r="G480" s="23">
        <f>B480/B479-1</f>
        <v/>
      </c>
      <c r="H480" s="23">
        <f>C480/C479-1</f>
        <v/>
      </c>
    </row>
    <row r="481" ht="17" customHeight="1">
      <c r="A481" s="13" t="inlineStr">
        <is>
          <t>2025-07-21</t>
        </is>
      </c>
      <c r="B481" s="14" t="n">
        <v>7250</v>
      </c>
      <c r="C481" s="14" t="n">
        <v>4817</v>
      </c>
      <c r="D481" s="15" t="n"/>
      <c r="E481" s="16">
        <f>C481-Lambda*B481-OtherCost</f>
        <v/>
      </c>
      <c r="F481" s="17">
        <f>C481/B481</f>
        <v/>
      </c>
      <c r="G481" s="24">
        <f>B481/B480-1</f>
        <v/>
      </c>
      <c r="H481" s="24">
        <f>C481/C480-1</f>
        <v/>
      </c>
    </row>
    <row r="482" ht="17" customHeight="1">
      <c r="A482" s="18" t="inlineStr">
        <is>
          <t>2025-07-22</t>
        </is>
      </c>
      <c r="B482" s="19" t="n">
        <v>7250</v>
      </c>
      <c r="C482" s="19" t="n">
        <v>4831.34</v>
      </c>
      <c r="D482" s="20" t="n"/>
      <c r="E482" s="21">
        <f>C482-Lambda*B482-OtherCost</f>
        <v/>
      </c>
      <c r="F482" s="22">
        <f>C482/B482</f>
        <v/>
      </c>
      <c r="G482" s="23">
        <f>B482/B481-1</f>
        <v/>
      </c>
      <c r="H482" s="23">
        <f>C482/C481-1</f>
        <v/>
      </c>
    </row>
    <row r="483" ht="17" customHeight="1">
      <c r="A483" s="13" t="inlineStr">
        <is>
          <t>2025-07-23</t>
        </is>
      </c>
      <c r="B483" s="14" t="n">
        <v>7250</v>
      </c>
      <c r="C483" s="14" t="n">
        <v>4831.34</v>
      </c>
      <c r="D483" s="15" t="n"/>
      <c r="E483" s="16">
        <f>C483-Lambda*B483-OtherCost</f>
        <v/>
      </c>
      <c r="F483" s="17">
        <f>C483/B483</f>
        <v/>
      </c>
      <c r="G483" s="24">
        <f>B483/B482-1</f>
        <v/>
      </c>
      <c r="H483" s="24">
        <f>C483/C482-1</f>
        <v/>
      </c>
    </row>
    <row r="484" ht="17" customHeight="1">
      <c r="A484" s="18" t="inlineStr">
        <is>
          <t>2025-07-24</t>
        </is>
      </c>
      <c r="B484" s="19" t="n">
        <v>7250</v>
      </c>
      <c r="C484" s="19" t="n">
        <v>4874.84</v>
      </c>
      <c r="D484" s="20" t="n"/>
      <c r="E484" s="21">
        <f>C484-Lambda*B484-OtherCost</f>
        <v/>
      </c>
      <c r="F484" s="22">
        <f>C484/B484</f>
        <v/>
      </c>
      <c r="G484" s="23">
        <f>B484/B483-1</f>
        <v/>
      </c>
      <c r="H484" s="23">
        <f>C484/C483-1</f>
        <v/>
      </c>
    </row>
    <row r="485" ht="17" customHeight="1">
      <c r="A485" s="13" t="inlineStr">
        <is>
          <t>2025-07-25</t>
        </is>
      </c>
      <c r="B485" s="14" t="n">
        <v>7250</v>
      </c>
      <c r="C485" s="14" t="n">
        <v>4831.34</v>
      </c>
      <c r="D485" s="15" t="n"/>
      <c r="E485" s="16">
        <f>C485-Lambda*B485-OtherCost</f>
        <v/>
      </c>
      <c r="F485" s="17">
        <f>C485/B485</f>
        <v/>
      </c>
      <c r="G485" s="24">
        <f>B485/B484-1</f>
        <v/>
      </c>
      <c r="H485" s="24">
        <f>C485/C484-1</f>
        <v/>
      </c>
    </row>
    <row r="486" ht="17" customHeight="1">
      <c r="A486" s="18" t="inlineStr">
        <is>
          <t>2025-07-27</t>
        </is>
      </c>
      <c r="B486" s="19" t="n">
        <v>7250</v>
      </c>
      <c r="C486" s="19" t="n">
        <v>4862.5</v>
      </c>
      <c r="D486" s="20" t="n"/>
      <c r="E486" s="21">
        <f>C486-Lambda*B486-OtherCost</f>
        <v/>
      </c>
      <c r="F486" s="22">
        <f>C486/B486</f>
        <v/>
      </c>
      <c r="G486" s="23">
        <f>B486/B485-1</f>
        <v/>
      </c>
      <c r="H486" s="23">
        <f>C486/C485-1</f>
        <v/>
      </c>
    </row>
    <row r="487" ht="17" customHeight="1">
      <c r="A487" s="13" t="inlineStr">
        <is>
          <t>2025-07-28</t>
        </is>
      </c>
      <c r="B487" s="14" t="n">
        <v>7250</v>
      </c>
      <c r="C487" s="14" t="n">
        <v>4863.34</v>
      </c>
      <c r="D487" s="15" t="n"/>
      <c r="E487" s="16">
        <f>C487-Lambda*B487-OtherCost</f>
        <v/>
      </c>
      <c r="F487" s="17">
        <f>C487/B487</f>
        <v/>
      </c>
      <c r="G487" s="24">
        <f>B487/B486-1</f>
        <v/>
      </c>
      <c r="H487" s="24">
        <f>C487/C486-1</f>
        <v/>
      </c>
    </row>
    <row r="488" ht="17" customHeight="1">
      <c r="A488" s="18" t="inlineStr">
        <is>
          <t>2025-07-29</t>
        </is>
      </c>
      <c r="B488" s="19" t="n">
        <v>7250</v>
      </c>
      <c r="C488" s="19" t="n">
        <v>4889.16</v>
      </c>
      <c r="D488" s="20" t="n"/>
      <c r="E488" s="21">
        <f>C488-Lambda*B488-OtherCost</f>
        <v/>
      </c>
      <c r="F488" s="22">
        <f>C488/B488</f>
        <v/>
      </c>
      <c r="G488" s="23">
        <f>B488/B487-1</f>
        <v/>
      </c>
      <c r="H488" s="23">
        <f>C488/C487-1</f>
        <v/>
      </c>
    </row>
    <row r="489" ht="17" customHeight="1">
      <c r="A489" s="13" t="inlineStr">
        <is>
          <t>2025-07-30</t>
        </is>
      </c>
      <c r="B489" s="14" t="n">
        <v>7250</v>
      </c>
      <c r="C489" s="14" t="n">
        <v>4859.59</v>
      </c>
      <c r="D489" s="15" t="n"/>
      <c r="E489" s="16">
        <f>C489-Lambda*B489-OtherCost</f>
        <v/>
      </c>
      <c r="F489" s="17">
        <f>C489/B489</f>
        <v/>
      </c>
      <c r="G489" s="24">
        <f>B489/B488-1</f>
        <v/>
      </c>
      <c r="H489" s="24">
        <f>C489/C488-1</f>
        <v/>
      </c>
    </row>
    <row r="490" ht="17" customHeight="1">
      <c r="A490" s="18" t="inlineStr">
        <is>
          <t>2025-07-31</t>
        </is>
      </c>
      <c r="B490" s="19" t="n">
        <v>7000</v>
      </c>
      <c r="C490" s="19" t="n">
        <v>4821.25</v>
      </c>
      <c r="D490" s="20" t="n"/>
      <c r="E490" s="21">
        <f>C490-Lambda*B490-OtherCost</f>
        <v/>
      </c>
      <c r="F490" s="22">
        <f>C490/B490</f>
        <v/>
      </c>
      <c r="G490" s="23">
        <f>B490/B489-1</f>
        <v/>
      </c>
      <c r="H490" s="23">
        <f>C490/C489-1</f>
        <v/>
      </c>
    </row>
    <row r="491" ht="17" customHeight="1">
      <c r="A491" s="13" t="inlineStr">
        <is>
          <t>2025-08-01</t>
        </is>
      </c>
      <c r="B491" s="14" t="n">
        <v>7250</v>
      </c>
      <c r="C491" s="14" t="n">
        <v>4859.59</v>
      </c>
      <c r="D491" s="15" t="n"/>
      <c r="E491" s="16">
        <f>C491-Lambda*B491-OtherCost</f>
        <v/>
      </c>
      <c r="F491" s="17">
        <f>C491/B491</f>
        <v/>
      </c>
      <c r="G491" s="24">
        <f>B491/B490-1</f>
        <v/>
      </c>
      <c r="H491" s="24">
        <f>C491/C490-1</f>
        <v/>
      </c>
    </row>
    <row r="492" ht="17" customHeight="1">
      <c r="A492" s="18" t="inlineStr">
        <is>
          <t>2025-08-03</t>
        </is>
      </c>
      <c r="B492" s="19" t="n">
        <v>7000</v>
      </c>
      <c r="C492" s="19" t="n">
        <v>4808.75</v>
      </c>
      <c r="D492" s="20" t="n"/>
      <c r="E492" s="21">
        <f>C492-Lambda*B492-OtherCost</f>
        <v/>
      </c>
      <c r="F492" s="22">
        <f>C492/B492</f>
        <v/>
      </c>
      <c r="G492" s="23">
        <f>B492/B491-1</f>
        <v/>
      </c>
      <c r="H492" s="23">
        <f>C492/C491-1</f>
        <v/>
      </c>
    </row>
    <row r="493" ht="17" customHeight="1">
      <c r="A493" s="13" t="inlineStr">
        <is>
          <t>2025-08-04</t>
        </is>
      </c>
      <c r="B493" s="14" t="n">
        <v>7000</v>
      </c>
      <c r="C493" s="14" t="n">
        <v>4765</v>
      </c>
      <c r="D493" s="15" t="n"/>
      <c r="E493" s="16">
        <f>C493-Lambda*B493-OtherCost</f>
        <v/>
      </c>
      <c r="F493" s="17">
        <f>C493/B493</f>
        <v/>
      </c>
      <c r="G493" s="24">
        <f>B493/B492-1</f>
        <v/>
      </c>
      <c r="H493" s="24">
        <f>C493/C492-1</f>
        <v/>
      </c>
    </row>
    <row r="494" ht="17" customHeight="1">
      <c r="A494" s="18" t="inlineStr">
        <is>
          <t>2025-08-05</t>
        </is>
      </c>
      <c r="B494" s="19" t="n">
        <v>7000</v>
      </c>
      <c r="C494" s="19" t="n">
        <v>4771.25</v>
      </c>
      <c r="D494" s="20" t="n"/>
      <c r="E494" s="21">
        <f>C494-Lambda*B494-OtherCost</f>
        <v/>
      </c>
      <c r="F494" s="22">
        <f>C494/B494</f>
        <v/>
      </c>
      <c r="G494" s="23">
        <f>B494/B493-1</f>
        <v/>
      </c>
      <c r="H494" s="23">
        <f>C494/C493-1</f>
        <v/>
      </c>
    </row>
    <row r="495" ht="17" customHeight="1">
      <c r="A495" s="13" t="inlineStr">
        <is>
          <t>2025-08-06</t>
        </is>
      </c>
      <c r="B495" s="14" t="n">
        <v>7000</v>
      </c>
      <c r="C495" s="14" t="n">
        <v>4771.25</v>
      </c>
      <c r="D495" s="15" t="n"/>
      <c r="E495" s="16">
        <f>C495-Lambda*B495-OtherCost</f>
        <v/>
      </c>
      <c r="F495" s="17">
        <f>C495/B495</f>
        <v/>
      </c>
      <c r="G495" s="24">
        <f>B495/B494-1</f>
        <v/>
      </c>
      <c r="H495" s="24">
        <f>C495/C494-1</f>
        <v/>
      </c>
    </row>
    <row r="496" ht="17" customHeight="1">
      <c r="A496" s="18" t="inlineStr">
        <is>
          <t>2025-08-07</t>
        </is>
      </c>
      <c r="B496" s="19" t="n">
        <v>7000</v>
      </c>
      <c r="C496" s="19" t="n">
        <v>4742.5</v>
      </c>
      <c r="D496" s="20" t="n"/>
      <c r="E496" s="21">
        <f>C496-Lambda*B496-OtherCost</f>
        <v/>
      </c>
      <c r="F496" s="22">
        <f>C496/B496</f>
        <v/>
      </c>
      <c r="G496" s="23">
        <f>B496/B495-1</f>
        <v/>
      </c>
      <c r="H496" s="23">
        <f>C496/C495-1</f>
        <v/>
      </c>
    </row>
    <row r="497" ht="17" customHeight="1">
      <c r="A497" s="13" t="inlineStr">
        <is>
          <t>2025-08-08</t>
        </is>
      </c>
      <c r="B497" s="14" t="n">
        <v>7000</v>
      </c>
      <c r="C497" s="14" t="n">
        <v>4771.25</v>
      </c>
      <c r="D497" s="15" t="n"/>
      <c r="E497" s="16">
        <f>C497-Lambda*B497-OtherCost</f>
        <v/>
      </c>
      <c r="F497" s="17">
        <f>C497/B497</f>
        <v/>
      </c>
      <c r="G497" s="24">
        <f>B497/B496-1</f>
        <v/>
      </c>
      <c r="H497" s="24">
        <f>C497/C496-1</f>
        <v/>
      </c>
    </row>
    <row r="498" ht="17" customHeight="1">
      <c r="A498" s="18" t="inlineStr">
        <is>
          <t>2025-08-10</t>
        </is>
      </c>
      <c r="B498" s="19" t="n">
        <v>7000</v>
      </c>
      <c r="C498" s="19" t="n">
        <v>4750</v>
      </c>
      <c r="D498" s="20" t="n"/>
      <c r="E498" s="21">
        <f>C498-Lambda*B498-OtherCost</f>
        <v/>
      </c>
      <c r="F498" s="22">
        <f>C498/B498</f>
        <v/>
      </c>
      <c r="G498" s="23">
        <f>B498/B497-1</f>
        <v/>
      </c>
      <c r="H498" s="23">
        <f>C498/C497-1</f>
        <v/>
      </c>
    </row>
    <row r="499" ht="17" customHeight="1">
      <c r="A499" s="13" t="inlineStr">
        <is>
          <t>2025-08-11</t>
        </is>
      </c>
      <c r="B499" s="14" t="n">
        <v>7000</v>
      </c>
      <c r="C499" s="14" t="n">
        <v>4731.88</v>
      </c>
      <c r="D499" s="15" t="n"/>
      <c r="E499" s="16">
        <f>C499-Lambda*B499-OtherCost</f>
        <v/>
      </c>
      <c r="F499" s="17">
        <f>C499/B499</f>
        <v/>
      </c>
      <c r="G499" s="24">
        <f>B499/B498-1</f>
        <v/>
      </c>
      <c r="H499" s="24">
        <f>C499/C498-1</f>
        <v/>
      </c>
    </row>
    <row r="500" ht="17" customHeight="1">
      <c r="A500" s="18" t="inlineStr">
        <is>
          <t>2025-08-12</t>
        </is>
      </c>
      <c r="B500" s="19" t="n">
        <v>7000</v>
      </c>
      <c r="C500" s="19" t="n">
        <v>4731.88</v>
      </c>
      <c r="D500" s="20" t="n"/>
      <c r="E500" s="21">
        <f>C500-Lambda*B500-OtherCost</f>
        <v/>
      </c>
      <c r="F500" s="22">
        <f>C500/B500</f>
        <v/>
      </c>
      <c r="G500" s="23">
        <f>B500/B499-1</f>
        <v/>
      </c>
      <c r="H500" s="23">
        <f>C500/C499-1</f>
        <v/>
      </c>
    </row>
    <row r="501" ht="17" customHeight="1">
      <c r="A501" s="13" t="inlineStr">
        <is>
          <t>2025-08-13</t>
        </is>
      </c>
      <c r="B501" s="14" t="n">
        <v>7000</v>
      </c>
      <c r="C501" s="14" t="n">
        <v>4717.5</v>
      </c>
      <c r="D501" s="15" t="n"/>
      <c r="E501" s="16">
        <f>C501-Lambda*B501-OtherCost</f>
        <v/>
      </c>
      <c r="F501" s="17">
        <f>C501/B501</f>
        <v/>
      </c>
      <c r="G501" s="24">
        <f>B501/B500-1</f>
        <v/>
      </c>
      <c r="H501" s="24">
        <f>C501/C500-1</f>
        <v/>
      </c>
    </row>
    <row r="502" ht="17" customHeight="1">
      <c r="A502" s="18" t="inlineStr">
        <is>
          <t>2025-08-14</t>
        </is>
      </c>
      <c r="B502" s="19" t="n">
        <v>7000</v>
      </c>
      <c r="C502" s="19" t="n">
        <v>4726.88</v>
      </c>
      <c r="D502" s="20" t="n"/>
      <c r="E502" s="21">
        <f>C502-Lambda*B502-OtherCost</f>
        <v/>
      </c>
      <c r="F502" s="22">
        <f>C502/B502</f>
        <v/>
      </c>
      <c r="G502" s="23">
        <f>B502/B501-1</f>
        <v/>
      </c>
      <c r="H502" s="23">
        <f>C502/C501-1</f>
        <v/>
      </c>
    </row>
    <row r="503" ht="17" customHeight="1">
      <c r="A503" s="13" t="inlineStr">
        <is>
          <t>2025-08-15</t>
        </is>
      </c>
      <c r="B503" s="14" t="n">
        <v>7000</v>
      </c>
      <c r="C503" s="14" t="n">
        <v>4717.5</v>
      </c>
      <c r="D503" s="15" t="n"/>
      <c r="E503" s="16">
        <f>C503-Lambda*B503-OtherCost</f>
        <v/>
      </c>
      <c r="F503" s="17">
        <f>C503/B503</f>
        <v/>
      </c>
      <c r="G503" s="24">
        <f>B503/B502-1</f>
        <v/>
      </c>
      <c r="H503" s="24">
        <f>C503/C502-1</f>
        <v/>
      </c>
    </row>
    <row r="504" ht="17" customHeight="1">
      <c r="A504" s="18" t="inlineStr">
        <is>
          <t>2025-08-17</t>
        </is>
      </c>
      <c r="B504" s="19" t="n">
        <v>7000</v>
      </c>
      <c r="C504" s="19" t="n">
        <v>4720.25</v>
      </c>
      <c r="D504" s="20" t="n"/>
      <c r="E504" s="21">
        <f>C504-Lambda*B504-OtherCost</f>
        <v/>
      </c>
      <c r="F504" s="22">
        <f>C504/B504</f>
        <v/>
      </c>
      <c r="G504" s="23">
        <f>B504/B503-1</f>
        <v/>
      </c>
      <c r="H504" s="23">
        <f>C504/C503-1</f>
        <v/>
      </c>
    </row>
    <row r="505" ht="17" customHeight="1">
      <c r="A505" s="13" t="inlineStr">
        <is>
          <t>2025-08-18</t>
        </is>
      </c>
      <c r="B505" s="14" t="n">
        <v>7000</v>
      </c>
      <c r="C505" s="14" t="n">
        <v>4726</v>
      </c>
      <c r="D505" s="15" t="n"/>
      <c r="E505" s="16">
        <f>C505-Lambda*B505-OtherCost</f>
        <v/>
      </c>
      <c r="F505" s="17">
        <f>C505/B505</f>
        <v/>
      </c>
      <c r="G505" s="24">
        <f>B505/B504-1</f>
        <v/>
      </c>
      <c r="H505" s="24">
        <f>C505/C504-1</f>
        <v/>
      </c>
    </row>
    <row r="506" ht="17" customHeight="1">
      <c r="A506" s="18" t="inlineStr">
        <is>
          <t>2025-08-19</t>
        </is>
      </c>
      <c r="B506" s="19" t="n">
        <v>7000</v>
      </c>
      <c r="C506" s="19" t="n">
        <v>4727</v>
      </c>
      <c r="D506" s="20" t="n"/>
      <c r="E506" s="21">
        <f>C506-Lambda*B506-OtherCost</f>
        <v/>
      </c>
      <c r="F506" s="22">
        <f>C506/B506</f>
        <v/>
      </c>
      <c r="G506" s="23">
        <f>B506/B505-1</f>
        <v/>
      </c>
      <c r="H506" s="23">
        <f>C506/C505-1</f>
        <v/>
      </c>
    </row>
    <row r="507" ht="17" customHeight="1">
      <c r="A507" s="13" t="inlineStr">
        <is>
          <t>2025-08-20</t>
        </is>
      </c>
      <c r="B507" s="14" t="n">
        <v>7000</v>
      </c>
      <c r="C507" s="14" t="n">
        <v>4771</v>
      </c>
      <c r="D507" s="15" t="n"/>
      <c r="E507" s="16">
        <f>C507-Lambda*B507-OtherCost</f>
        <v/>
      </c>
      <c r="F507" s="17">
        <f>C507/B507</f>
        <v/>
      </c>
      <c r="G507" s="24">
        <f>B507/B506-1</f>
        <v/>
      </c>
      <c r="H507" s="24">
        <f>C507/C506-1</f>
        <v/>
      </c>
    </row>
    <row r="508" ht="17" customHeight="1">
      <c r="A508" s="18" t="inlineStr">
        <is>
          <t>2025-08-21</t>
        </is>
      </c>
      <c r="B508" s="19" t="n">
        <v>7000</v>
      </c>
      <c r="C508" s="19" t="n">
        <v>4771</v>
      </c>
      <c r="D508" s="20" t="n"/>
      <c r="E508" s="21">
        <f>C508-Lambda*B508-OtherCost</f>
        <v/>
      </c>
      <c r="F508" s="22">
        <f>C508/B508</f>
        <v/>
      </c>
      <c r="G508" s="23">
        <f>B508/B507-1</f>
        <v/>
      </c>
      <c r="H508" s="23">
        <f>C508/C507-1</f>
        <v/>
      </c>
    </row>
    <row r="509" ht="17" customHeight="1">
      <c r="A509" s="13" t="inlineStr">
        <is>
          <t>2025-08-22</t>
        </is>
      </c>
      <c r="B509" s="14" t="n">
        <v>7000</v>
      </c>
      <c r="C509" s="14" t="n">
        <v>4771</v>
      </c>
      <c r="D509" s="15" t="n"/>
      <c r="E509" s="16">
        <f>C509-Lambda*B509-OtherCost</f>
        <v/>
      </c>
      <c r="F509" s="17">
        <f>C509/B509</f>
        <v/>
      </c>
      <c r="G509" s="24">
        <f>B509/B508-1</f>
        <v/>
      </c>
      <c r="H509" s="24">
        <f>C509/C508-1</f>
        <v/>
      </c>
    </row>
    <row r="510" ht="17" customHeight="1">
      <c r="A510" s="18" t="inlineStr">
        <is>
          <t>2025-08-24</t>
        </is>
      </c>
      <c r="B510" s="19" t="n">
        <v>7000</v>
      </c>
      <c r="C510" s="19" t="n">
        <v>4855</v>
      </c>
      <c r="D510" s="20" t="n"/>
      <c r="E510" s="21">
        <f>C510-Lambda*B510-OtherCost</f>
        <v/>
      </c>
      <c r="F510" s="22">
        <f>C510/B510</f>
        <v/>
      </c>
      <c r="G510" s="23">
        <f>B510/B509-1</f>
        <v/>
      </c>
      <c r="H510" s="23">
        <f>C510/C509-1</f>
        <v/>
      </c>
    </row>
    <row r="511" ht="17" customHeight="1">
      <c r="A511" s="13" t="inlineStr">
        <is>
          <t>2025-08-25</t>
        </is>
      </c>
      <c r="B511" s="14" t="n">
        <v>7000</v>
      </c>
      <c r="C511" s="14" t="n">
        <v>4922.5</v>
      </c>
      <c r="D511" s="15" t="n"/>
      <c r="E511" s="16">
        <f>C511-Lambda*B511-OtherCost</f>
        <v/>
      </c>
      <c r="F511" s="17">
        <f>C511/B511</f>
        <v/>
      </c>
      <c r="G511" s="24">
        <f>B511/B510-1</f>
        <v/>
      </c>
      <c r="H511" s="24">
        <f>C511/C510-1</f>
        <v/>
      </c>
    </row>
    <row r="512" ht="17" customHeight="1">
      <c r="A512" s="18" t="inlineStr">
        <is>
          <t>2025-08-26</t>
        </is>
      </c>
      <c r="B512" s="19" t="n">
        <v>7000</v>
      </c>
      <c r="C512" s="19" t="n">
        <v>4913.75</v>
      </c>
      <c r="D512" s="20" t="n"/>
      <c r="E512" s="21">
        <f>C512-Lambda*B512-OtherCost</f>
        <v/>
      </c>
      <c r="F512" s="22">
        <f>C512/B512</f>
        <v/>
      </c>
      <c r="G512" s="23">
        <f>B512/B511-1</f>
        <v/>
      </c>
      <c r="H512" s="23">
        <f>C512/C511-1</f>
        <v/>
      </c>
    </row>
    <row r="513" ht="17" customHeight="1">
      <c r="A513" s="13" t="inlineStr">
        <is>
          <t>2025-08-27</t>
        </is>
      </c>
      <c r="B513" s="14" t="n">
        <v>7000</v>
      </c>
      <c r="C513" s="14" t="n">
        <v>4910</v>
      </c>
      <c r="D513" s="15" t="n"/>
      <c r="E513" s="16">
        <f>C513-Lambda*B513-OtherCost</f>
        <v/>
      </c>
      <c r="F513" s="17">
        <f>C513/B513</f>
        <v/>
      </c>
      <c r="G513" s="24">
        <f>B513/B512-1</f>
        <v/>
      </c>
      <c r="H513" s="24">
        <f>C513/C512-1</f>
        <v/>
      </c>
    </row>
    <row r="514" ht="17" customHeight="1">
      <c r="A514" s="18" t="inlineStr">
        <is>
          <t>2025-08-28</t>
        </is>
      </c>
      <c r="B514" s="19" t="n">
        <v>7200</v>
      </c>
      <c r="C514" s="19" t="n">
        <v>4891.25</v>
      </c>
      <c r="D514" s="20" t="n"/>
      <c r="E514" s="21">
        <f>C514-Lambda*B514-OtherCost</f>
        <v/>
      </c>
      <c r="F514" s="22">
        <f>C514/B514</f>
        <v/>
      </c>
      <c r="G514" s="23">
        <f>B514/B513-1</f>
        <v/>
      </c>
      <c r="H514" s="23">
        <f>C514/C513-1</f>
        <v/>
      </c>
    </row>
    <row r="515" ht="17" customHeight="1">
      <c r="A515" s="13" t="inlineStr">
        <is>
          <t>2025-08-29</t>
        </is>
      </c>
      <c r="B515" s="14" t="n">
        <v>7000</v>
      </c>
      <c r="C515" s="14" t="n">
        <v>4910</v>
      </c>
      <c r="D515" s="15" t="n"/>
      <c r="E515" s="16">
        <f>C515-Lambda*B515-OtherCost</f>
        <v/>
      </c>
      <c r="F515" s="17">
        <f>C515/B515</f>
        <v/>
      </c>
      <c r="G515" s="24">
        <f>B515/B514-1</f>
        <v/>
      </c>
      <c r="H515" s="24">
        <f>C515/C514-1</f>
        <v/>
      </c>
    </row>
    <row r="516" ht="17" customHeight="1">
      <c r="A516" s="18" t="inlineStr">
        <is>
          <t>2025-08-31</t>
        </is>
      </c>
      <c r="B516" s="19" t="n">
        <v>7200</v>
      </c>
      <c r="C516" s="19" t="n">
        <v>4755.5</v>
      </c>
      <c r="D516" s="20" t="n"/>
      <c r="E516" s="21">
        <f>C516-Lambda*B516-OtherCost</f>
        <v/>
      </c>
      <c r="F516" s="22">
        <f>C516/B516</f>
        <v/>
      </c>
      <c r="G516" s="23">
        <f>B516/B515-1</f>
        <v/>
      </c>
      <c r="H516" s="23">
        <f>C516/C515-1</f>
        <v/>
      </c>
    </row>
    <row r="517" ht="17" customHeight="1">
      <c r="A517" s="13" t="inlineStr">
        <is>
          <t>2025-09-01</t>
        </is>
      </c>
      <c r="B517" s="14" t="n">
        <v>7200</v>
      </c>
      <c r="C517" s="14" t="n">
        <v>4759.5</v>
      </c>
      <c r="D517" s="15" t="n"/>
      <c r="E517" s="16">
        <f>C517-Lambda*B517-OtherCost</f>
        <v/>
      </c>
      <c r="F517" s="17">
        <f>C517/B517</f>
        <v/>
      </c>
      <c r="G517" s="24">
        <f>B517/B516-1</f>
        <v/>
      </c>
      <c r="H517" s="24">
        <f>C517/C516-1</f>
        <v/>
      </c>
    </row>
    <row r="518" ht="17" customHeight="1">
      <c r="A518" s="18" t="inlineStr">
        <is>
          <t>2025-09-02</t>
        </is>
      </c>
      <c r="B518" s="19" t="n">
        <v>7200</v>
      </c>
      <c r="C518" s="19" t="n">
        <v>4749.5</v>
      </c>
      <c r="D518" s="20" t="n"/>
      <c r="E518" s="21">
        <f>C518-Lambda*B518-OtherCost</f>
        <v/>
      </c>
      <c r="F518" s="22">
        <f>C518/B518</f>
        <v/>
      </c>
      <c r="G518" s="23">
        <f>B518/B517-1</f>
        <v/>
      </c>
      <c r="H518" s="23">
        <f>C518/C517-1</f>
        <v/>
      </c>
    </row>
    <row r="519" ht="17" customHeight="1">
      <c r="A519" s="13" t="inlineStr">
        <is>
          <t>2025-09-03</t>
        </is>
      </c>
      <c r="B519" s="14" t="n">
        <v>7200</v>
      </c>
      <c r="C519" s="14" t="n">
        <v>4740.5</v>
      </c>
      <c r="D519" s="15" t="n"/>
      <c r="E519" s="16">
        <f>C519-Lambda*B519-OtherCost</f>
        <v/>
      </c>
      <c r="F519" s="17">
        <f>C519/B519</f>
        <v/>
      </c>
      <c r="G519" s="24">
        <f>B519/B518-1</f>
        <v/>
      </c>
      <c r="H519" s="24">
        <f>C519/C518-1</f>
        <v/>
      </c>
    </row>
    <row r="520" ht="17" customHeight="1">
      <c r="A520" s="18" t="inlineStr">
        <is>
          <t>2025-09-04</t>
        </is>
      </c>
      <c r="B520" s="19" t="n">
        <v>7200</v>
      </c>
      <c r="C520" s="19" t="n">
        <v>4739.5</v>
      </c>
      <c r="D520" s="20" t="n"/>
      <c r="E520" s="21">
        <f>C520-Lambda*B520-OtherCost</f>
        <v/>
      </c>
      <c r="F520" s="22">
        <f>C520/B520</f>
        <v/>
      </c>
      <c r="G520" s="23">
        <f>B520/B519-1</f>
        <v/>
      </c>
      <c r="H520" s="23">
        <f>C520/C519-1</f>
        <v/>
      </c>
    </row>
    <row r="521" ht="17" customHeight="1">
      <c r="A521" s="13" t="inlineStr">
        <is>
          <t>2025-09-05</t>
        </is>
      </c>
      <c r="B521" s="14" t="n">
        <v>7200</v>
      </c>
      <c r="C521" s="14" t="n">
        <v>4740.5</v>
      </c>
      <c r="D521" s="15" t="n"/>
      <c r="E521" s="16">
        <f>C521-Lambda*B521-OtherCost</f>
        <v/>
      </c>
      <c r="F521" s="17">
        <f>C521/B521</f>
        <v/>
      </c>
      <c r="G521" s="24">
        <f>B521/B520-1</f>
        <v/>
      </c>
      <c r="H521" s="24">
        <f>C521/C520-1</f>
        <v/>
      </c>
    </row>
    <row r="522" ht="17" customHeight="1">
      <c r="A522" s="18" t="inlineStr">
        <is>
          <t>2025-09-07</t>
        </is>
      </c>
      <c r="B522" s="19" t="n">
        <v>7200</v>
      </c>
      <c r="C522" s="19" t="n">
        <v>4720</v>
      </c>
      <c r="D522" s="20" t="n"/>
      <c r="E522" s="21">
        <f>C522-Lambda*B522-OtherCost</f>
        <v/>
      </c>
      <c r="F522" s="22">
        <f>C522/B522</f>
        <v/>
      </c>
      <c r="G522" s="23">
        <f>B522/B521-1</f>
        <v/>
      </c>
      <c r="H522" s="23">
        <f>C522/C521-1</f>
        <v/>
      </c>
    </row>
    <row r="523" ht="17" customHeight="1">
      <c r="A523" s="13" t="inlineStr">
        <is>
          <t>2025-09-08</t>
        </is>
      </c>
      <c r="B523" s="14" t="n">
        <v>7200</v>
      </c>
      <c r="C523" s="14" t="n">
        <v>4643.5</v>
      </c>
      <c r="D523" s="15" t="n"/>
      <c r="E523" s="16">
        <f>C523-Lambda*B523-OtherCost</f>
        <v/>
      </c>
      <c r="F523" s="17">
        <f>C523/B523</f>
        <v/>
      </c>
      <c r="G523" s="24">
        <f>B523/B522-1</f>
        <v/>
      </c>
      <c r="H523" s="24">
        <f>C523/C522-1</f>
        <v/>
      </c>
    </row>
    <row r="524" ht="17" customHeight="1">
      <c r="A524" s="18" t="inlineStr">
        <is>
          <t>2025-09-09</t>
        </is>
      </c>
      <c r="B524" s="19" t="n">
        <v>7200</v>
      </c>
      <c r="C524" s="19" t="n">
        <v>4649.16</v>
      </c>
      <c r="D524" s="20" t="n"/>
      <c r="E524" s="21">
        <f>C524-Lambda*B524-OtherCost</f>
        <v/>
      </c>
      <c r="F524" s="22">
        <f>C524/B524</f>
        <v/>
      </c>
      <c r="G524" s="23">
        <f>B524/B523-1</f>
        <v/>
      </c>
      <c r="H524" s="23">
        <f>C524/C523-1</f>
        <v/>
      </c>
    </row>
    <row r="525" ht="17" customHeight="1">
      <c r="A525" s="13" t="inlineStr">
        <is>
          <t>2025-09-10</t>
        </is>
      </c>
      <c r="B525" s="14" t="n">
        <v>7200</v>
      </c>
      <c r="C525" s="14" t="n">
        <v>4649.16</v>
      </c>
      <c r="D525" s="15" t="n"/>
      <c r="E525" s="16">
        <f>C525-Lambda*B525-OtherCost</f>
        <v/>
      </c>
      <c r="F525" s="17">
        <f>C525/B525</f>
        <v/>
      </c>
      <c r="G525" s="24">
        <f>B525/B524-1</f>
        <v/>
      </c>
      <c r="H525" s="24">
        <f>C525/C524-1</f>
        <v/>
      </c>
    </row>
    <row r="526" ht="17" customHeight="1">
      <c r="A526" s="18" t="inlineStr">
        <is>
          <t>2025-09-11</t>
        </is>
      </c>
      <c r="B526" s="19" t="n">
        <v>7200</v>
      </c>
      <c r="C526" s="19" t="n">
        <v>4636.66</v>
      </c>
      <c r="D526" s="20" t="n"/>
      <c r="E526" s="21">
        <f>C526-Lambda*B526-OtherCost</f>
        <v/>
      </c>
      <c r="F526" s="22">
        <f>C526/B526</f>
        <v/>
      </c>
      <c r="G526" s="23">
        <f>B526/B525-1</f>
        <v/>
      </c>
      <c r="H526" s="23">
        <f>C526/C525-1</f>
        <v/>
      </c>
    </row>
    <row r="527" ht="17" customHeight="1">
      <c r="A527" s="13" t="inlineStr">
        <is>
          <t>2025-09-12</t>
        </is>
      </c>
      <c r="B527" s="14" t="n">
        <v>7200</v>
      </c>
      <c r="C527" s="14" t="n">
        <v>4649.16</v>
      </c>
      <c r="D527" s="15" t="n"/>
      <c r="E527" s="16">
        <f>C527-Lambda*B527-OtherCost</f>
        <v/>
      </c>
      <c r="F527" s="17">
        <f>C527/B527</f>
        <v/>
      </c>
      <c r="G527" s="24">
        <f>B527/B526-1</f>
        <v/>
      </c>
      <c r="H527" s="24">
        <f>C527/C526-1</f>
        <v/>
      </c>
    </row>
    <row r="528" ht="17" customHeight="1">
      <c r="A528" s="18" t="inlineStr">
        <is>
          <t>2025-09-14</t>
        </is>
      </c>
      <c r="B528" s="19" t="n">
        <v>7200</v>
      </c>
      <c r="C528" s="19" t="n">
        <v>4631.66</v>
      </c>
      <c r="D528" s="20" t="n"/>
      <c r="E528" s="21">
        <f>C528-Lambda*B528-OtherCost</f>
        <v/>
      </c>
      <c r="F528" s="22">
        <f>C528/B528</f>
        <v/>
      </c>
      <c r="G528" s="23">
        <f>B528/B527-1</f>
        <v/>
      </c>
      <c r="H528" s="23">
        <f>C528/C527-1</f>
        <v/>
      </c>
    </row>
    <row r="529" ht="17" customHeight="1">
      <c r="A529" s="13" t="inlineStr">
        <is>
          <t>2025-09-15</t>
        </is>
      </c>
      <c r="B529" s="14" t="n">
        <v>7200</v>
      </c>
      <c r="C529" s="14" t="n">
        <v>4633.75</v>
      </c>
      <c r="D529" s="15" t="n"/>
      <c r="E529" s="16">
        <f>C529-Lambda*B529-OtherCost</f>
        <v/>
      </c>
      <c r="F529" s="17">
        <f>C529/B529</f>
        <v/>
      </c>
      <c r="G529" s="24">
        <f>B529/B528-1</f>
        <v/>
      </c>
      <c r="H529" s="24">
        <f>C529/C528-1</f>
        <v/>
      </c>
    </row>
    <row r="530" ht="17" customHeight="1">
      <c r="A530" s="18" t="inlineStr">
        <is>
          <t>2025-09-16</t>
        </is>
      </c>
      <c r="B530" s="19" t="n">
        <v>7200</v>
      </c>
      <c r="C530" s="19" t="n">
        <v>4649</v>
      </c>
      <c r="D530" s="20" t="n"/>
      <c r="E530" s="21">
        <f>C530-Lambda*B530-OtherCost</f>
        <v/>
      </c>
      <c r="F530" s="22">
        <f>C530/B530</f>
        <v/>
      </c>
      <c r="G530" s="23">
        <f>B530/B529-1</f>
        <v/>
      </c>
      <c r="H530" s="23">
        <f>C530/C529-1</f>
        <v/>
      </c>
    </row>
    <row r="531" ht="17" customHeight="1">
      <c r="A531" s="13" t="inlineStr">
        <is>
          <t>2025-09-17</t>
        </is>
      </c>
      <c r="B531" s="14" t="n">
        <v>7200</v>
      </c>
      <c r="C531" s="14" t="n">
        <v>4644</v>
      </c>
      <c r="D531" s="15" t="n"/>
      <c r="E531" s="16">
        <f>C531-Lambda*B531-OtherCost</f>
        <v/>
      </c>
      <c r="F531" s="17">
        <f>C531/B531</f>
        <v/>
      </c>
      <c r="G531" s="24">
        <f>B531/B530-1</f>
        <v/>
      </c>
      <c r="H531" s="24">
        <f>C531/C530-1</f>
        <v/>
      </c>
    </row>
    <row r="532" ht="17" customHeight="1">
      <c r="A532" s="18" t="inlineStr">
        <is>
          <t>2025-09-18</t>
        </is>
      </c>
      <c r="B532" s="19" t="n">
        <v>7200</v>
      </c>
      <c r="C532" s="19" t="n">
        <v>4631.25</v>
      </c>
      <c r="D532" s="20" t="n"/>
      <c r="E532" s="21">
        <f>C532-Lambda*B532-OtherCost</f>
        <v/>
      </c>
      <c r="F532" s="22">
        <f>C532/B532</f>
        <v/>
      </c>
      <c r="G532" s="23">
        <f>B532/B531-1</f>
        <v/>
      </c>
      <c r="H532" s="23">
        <f>C532/C531-1</f>
        <v/>
      </c>
    </row>
    <row r="533" ht="17" customHeight="1">
      <c r="A533" s="13" t="inlineStr">
        <is>
          <t>2025-09-19</t>
        </is>
      </c>
      <c r="B533" s="14" t="n">
        <v>7200</v>
      </c>
      <c r="C533" s="14" t="n">
        <v>4644</v>
      </c>
      <c r="D533" s="15" t="n"/>
      <c r="E533" s="16">
        <f>C533-Lambda*B533-OtherCost</f>
        <v/>
      </c>
      <c r="F533" s="17">
        <f>C533/B533</f>
        <v/>
      </c>
      <c r="G533" s="24">
        <f>B533/B532-1</f>
        <v/>
      </c>
      <c r="H533" s="24">
        <f>C533/C532-1</f>
        <v/>
      </c>
    </row>
    <row r="534" ht="17" customHeight="1">
      <c r="A534" s="18" t="inlineStr">
        <is>
          <t>2025-09-21</t>
        </is>
      </c>
      <c r="B534" s="19" t="n">
        <v>7200</v>
      </c>
      <c r="C534" s="19" t="n">
        <v>4626.25</v>
      </c>
      <c r="D534" s="20" t="n"/>
      <c r="E534" s="21">
        <f>C534-Lambda*B534-OtherCost</f>
        <v/>
      </c>
      <c r="F534" s="22">
        <f>C534/B534</f>
        <v/>
      </c>
      <c r="G534" s="23">
        <f>B534/B533-1</f>
        <v/>
      </c>
      <c r="H534" s="23">
        <f>C534/C533-1</f>
        <v/>
      </c>
    </row>
    <row r="535" ht="17" customHeight="1">
      <c r="A535" s="13" t="inlineStr">
        <is>
          <t>2025-09-22</t>
        </is>
      </c>
      <c r="B535" s="14" t="n">
        <v>7200</v>
      </c>
      <c r="C535" s="14" t="n">
        <v>4618.75</v>
      </c>
      <c r="D535" s="15" t="n"/>
      <c r="E535" s="16">
        <f>C535-Lambda*B535-OtherCost</f>
        <v/>
      </c>
      <c r="F535" s="17">
        <f>C535/B535</f>
        <v/>
      </c>
      <c r="G535" s="24">
        <f>B535/B534-1</f>
        <v/>
      </c>
      <c r="H535" s="24">
        <f>C535/C534-1</f>
        <v/>
      </c>
    </row>
    <row r="536" ht="17" customHeight="1">
      <c r="A536" s="18" t="inlineStr">
        <is>
          <t>2025-09-23</t>
        </is>
      </c>
      <c r="B536" s="19" t="n">
        <v>7200</v>
      </c>
      <c r="C536" s="19" t="n">
        <v>4572.91</v>
      </c>
      <c r="D536" s="20" t="n"/>
      <c r="E536" s="21">
        <f>C536-Lambda*B536-OtherCost</f>
        <v/>
      </c>
      <c r="F536" s="22">
        <f>C536/B536</f>
        <v/>
      </c>
      <c r="G536" s="23">
        <f>B536/B535-1</f>
        <v/>
      </c>
      <c r="H536" s="23">
        <f>C536/C535-1</f>
        <v/>
      </c>
    </row>
    <row r="537" ht="17" customHeight="1">
      <c r="A537" s="13" t="inlineStr">
        <is>
          <t>2025-09-24</t>
        </is>
      </c>
      <c r="B537" s="14" t="n">
        <v>7200</v>
      </c>
      <c r="C537" s="14" t="n">
        <v>4635</v>
      </c>
      <c r="D537" s="15" t="n"/>
      <c r="E537" s="16">
        <f>C537-Lambda*B537-OtherCost</f>
        <v/>
      </c>
      <c r="F537" s="17">
        <f>C537/B537</f>
        <v/>
      </c>
      <c r="G537" s="24">
        <f>B537/B536-1</f>
        <v/>
      </c>
      <c r="H537" s="24">
        <f>C537/C536-1</f>
        <v/>
      </c>
    </row>
    <row r="538" ht="17" customHeight="1">
      <c r="A538" s="18" t="inlineStr">
        <is>
          <t>2025-09-25</t>
        </is>
      </c>
      <c r="B538" s="19" t="n">
        <v>7200</v>
      </c>
      <c r="C538" s="19" t="n">
        <v>4639.41</v>
      </c>
      <c r="D538" s="20" t="n"/>
      <c r="E538" s="21">
        <f>C538-Lambda*B538-OtherCost</f>
        <v/>
      </c>
      <c r="F538" s="22">
        <f>C538/B538</f>
        <v/>
      </c>
      <c r="G538" s="23">
        <f>B538/B537-1</f>
        <v/>
      </c>
      <c r="H538" s="23">
        <f>C538/C537-1</f>
        <v/>
      </c>
    </row>
    <row r="539" ht="17" customHeight="1">
      <c r="A539" s="13" t="inlineStr">
        <is>
          <t>2025-09-26</t>
        </is>
      </c>
      <c r="B539" s="14" t="n">
        <v>7200</v>
      </c>
      <c r="C539" s="14" t="n">
        <v>4635</v>
      </c>
      <c r="D539" s="15" t="n"/>
      <c r="E539" s="16">
        <f>C539-Lambda*B539-OtherCost</f>
        <v/>
      </c>
      <c r="F539" s="17">
        <f>C539/B539</f>
        <v/>
      </c>
      <c r="G539" s="24">
        <f>B539/B538-1</f>
        <v/>
      </c>
      <c r="H539" s="24">
        <f>C539/C538-1</f>
        <v/>
      </c>
    </row>
    <row r="540" ht="17" customHeight="1">
      <c r="A540" s="18" t="inlineStr">
        <is>
          <t>2025-09-28</t>
        </is>
      </c>
      <c r="B540" s="19" t="n">
        <v>6800</v>
      </c>
      <c r="C540" s="19" t="n">
        <v>4612.5</v>
      </c>
      <c r="D540" s="20" t="n"/>
      <c r="E540" s="21">
        <f>C540-Lambda*B540-OtherCost</f>
        <v/>
      </c>
      <c r="F540" s="22">
        <f>C540/B540</f>
        <v/>
      </c>
      <c r="G540" s="23">
        <f>B540/B539-1</f>
        <v/>
      </c>
      <c r="H540" s="23">
        <f>C540/C539-1</f>
        <v/>
      </c>
    </row>
    <row r="541" ht="17" customHeight="1">
      <c r="A541" s="13" t="inlineStr">
        <is>
          <t>2025-09-29</t>
        </is>
      </c>
      <c r="B541" s="14" t="n">
        <v>6800</v>
      </c>
      <c r="C541" s="14" t="n">
        <v>4595</v>
      </c>
      <c r="D541" s="15" t="n"/>
      <c r="E541" s="16">
        <f>C541-Lambda*B541-OtherCost</f>
        <v/>
      </c>
      <c r="F541" s="17">
        <f>C541/B541</f>
        <v/>
      </c>
      <c r="G541" s="24">
        <f>B541/B540-1</f>
        <v/>
      </c>
      <c r="H541" s="24">
        <f>C541/C540-1</f>
        <v/>
      </c>
    </row>
    <row r="542" ht="17" customHeight="1">
      <c r="A542" s="18" t="inlineStr">
        <is>
          <t>2025-09-30</t>
        </is>
      </c>
      <c r="B542" s="19" t="n">
        <v>6800</v>
      </c>
      <c r="C542" s="19" t="n">
        <v>4595</v>
      </c>
      <c r="D542" s="20" t="n"/>
      <c r="E542" s="21">
        <f>C542-Lambda*B542-OtherCost</f>
        <v/>
      </c>
      <c r="F542" s="22">
        <f>C542/B542</f>
        <v/>
      </c>
      <c r="G542" s="23">
        <f>B542/B541-1</f>
        <v/>
      </c>
      <c r="H542" s="23">
        <f>C542/C541-1</f>
        <v/>
      </c>
    </row>
    <row r="543" ht="17" customHeight="1">
      <c r="A543" s="13" t="inlineStr">
        <is>
          <t>2025-10-01</t>
        </is>
      </c>
      <c r="B543" s="14" t="n">
        <v>6800</v>
      </c>
      <c r="C543" s="14" t="n">
        <v>4595</v>
      </c>
      <c r="D543" s="15" t="n"/>
      <c r="E543" s="16">
        <f>C543-Lambda*B543-OtherCost</f>
        <v/>
      </c>
      <c r="F543" s="17">
        <f>C543/B543</f>
        <v/>
      </c>
      <c r="G543" s="24">
        <f>B543/B542-1</f>
        <v/>
      </c>
      <c r="H543" s="24">
        <f>C543/C542-1</f>
        <v/>
      </c>
    </row>
    <row r="544" ht="17" customHeight="1">
      <c r="A544" s="18" t="inlineStr">
        <is>
          <t>2025-10-02</t>
        </is>
      </c>
      <c r="B544" s="19" t="n">
        <v>6800</v>
      </c>
      <c r="C544" s="19" t="n">
        <v>4595</v>
      </c>
      <c r="D544" s="20" t="n"/>
      <c r="E544" s="21">
        <f>C544-Lambda*B544-OtherCost</f>
        <v/>
      </c>
      <c r="F544" s="22">
        <f>C544/B544</f>
        <v/>
      </c>
      <c r="G544" s="23">
        <f>B544/B543-1</f>
        <v/>
      </c>
      <c r="H544" s="23">
        <f>C544/C543-1</f>
        <v/>
      </c>
    </row>
    <row r="545" ht="17" customHeight="1">
      <c r="A545" s="13" t="inlineStr">
        <is>
          <t>2025-10-03</t>
        </is>
      </c>
      <c r="B545" s="14" t="n">
        <v>6800</v>
      </c>
      <c r="C545" s="14" t="n">
        <v>4595</v>
      </c>
      <c r="D545" s="15" t="n"/>
      <c r="E545" s="16">
        <f>C545-Lambda*B545-OtherCost</f>
        <v/>
      </c>
      <c r="F545" s="17">
        <f>C545/B545</f>
        <v/>
      </c>
      <c r="G545" s="24">
        <f>B545/B544-1</f>
        <v/>
      </c>
      <c r="H545" s="24">
        <f>C545/C544-1</f>
        <v/>
      </c>
    </row>
    <row r="546" ht="17" customHeight="1">
      <c r="A546" s="18" t="inlineStr">
        <is>
          <t>2025-10-05</t>
        </is>
      </c>
      <c r="B546" s="19" t="n">
        <v>6800</v>
      </c>
      <c r="C546" s="19" t="n">
        <v>4595</v>
      </c>
      <c r="D546" s="20" t="n"/>
      <c r="E546" s="21">
        <f>C546-Lambda*B546-OtherCost</f>
        <v/>
      </c>
      <c r="F546" s="22">
        <f>C546/B546</f>
        <v/>
      </c>
      <c r="G546" s="23">
        <f>B546/B545-1</f>
        <v/>
      </c>
      <c r="H546" s="23">
        <f>C546/C545-1</f>
        <v/>
      </c>
    </row>
    <row r="547" ht="17" customHeight="1">
      <c r="A547" s="13" t="inlineStr">
        <is>
          <t>2025-10-06</t>
        </is>
      </c>
      <c r="B547" s="14" t="n">
        <v>6800</v>
      </c>
      <c r="C547" s="14" t="n">
        <v>4595</v>
      </c>
      <c r="D547" s="15" t="n"/>
      <c r="E547" s="16">
        <f>C547-Lambda*B547-OtherCost</f>
        <v/>
      </c>
      <c r="F547" s="17">
        <f>C547/B547</f>
        <v/>
      </c>
      <c r="G547" s="24">
        <f>B547/B546-1</f>
        <v/>
      </c>
      <c r="H547" s="24">
        <f>C547/C546-1</f>
        <v/>
      </c>
    </row>
    <row r="548" ht="17" customHeight="1">
      <c r="A548" s="18" t="inlineStr">
        <is>
          <t>2025-10-07</t>
        </is>
      </c>
      <c r="B548" s="19" t="n">
        <v>6800</v>
      </c>
      <c r="C548" s="19" t="n">
        <v>4595</v>
      </c>
      <c r="D548" s="20" t="n"/>
      <c r="E548" s="21">
        <f>C548-Lambda*B548-OtherCost</f>
        <v/>
      </c>
      <c r="F548" s="22">
        <f>C548/B548</f>
        <v/>
      </c>
      <c r="G548" s="23">
        <f>B548/B547-1</f>
        <v/>
      </c>
      <c r="H548" s="23">
        <f>C548/C547-1</f>
        <v/>
      </c>
    </row>
    <row r="549" ht="17" customHeight="1">
      <c r="A549" s="13" t="inlineStr">
        <is>
          <t>2025-10-08</t>
        </is>
      </c>
      <c r="B549" s="14" t="n">
        <v>6800</v>
      </c>
      <c r="C549" s="14" t="n">
        <v>4564.5</v>
      </c>
      <c r="D549" s="15" t="n"/>
      <c r="E549" s="16">
        <f>C549-Lambda*B549-OtherCost</f>
        <v/>
      </c>
      <c r="F549" s="17">
        <f>C549/B549</f>
        <v/>
      </c>
      <c r="G549" s="24">
        <f>B549/B548-1</f>
        <v/>
      </c>
      <c r="H549" s="24">
        <f>C549/C548-1</f>
        <v/>
      </c>
    </row>
    <row r="550" ht="17" customHeight="1">
      <c r="A550" s="18" t="inlineStr">
        <is>
          <t>2025-10-09</t>
        </is>
      </c>
      <c r="B550" s="19" t="n">
        <v>6800</v>
      </c>
      <c r="C550" s="19" t="n">
        <v>4521.08</v>
      </c>
      <c r="D550" s="20" t="n"/>
      <c r="E550" s="21">
        <f>C550-Lambda*B550-OtherCost</f>
        <v/>
      </c>
      <c r="F550" s="22">
        <f>C550/B550</f>
        <v/>
      </c>
      <c r="G550" s="23">
        <f>B550/B549-1</f>
        <v/>
      </c>
      <c r="H550" s="23">
        <f>C550/C549-1</f>
        <v/>
      </c>
    </row>
    <row r="551" ht="17" customHeight="1">
      <c r="A551" s="13" t="inlineStr">
        <is>
          <t>2025-10-10</t>
        </is>
      </c>
      <c r="B551" s="14" t="n">
        <v>6800</v>
      </c>
      <c r="C551" s="14" t="n">
        <v>4564.5</v>
      </c>
      <c r="D551" s="15" t="n"/>
      <c r="E551" s="16">
        <f>C551-Lambda*B551-OtherCost</f>
        <v/>
      </c>
      <c r="F551" s="17">
        <f>C551/B551</f>
        <v/>
      </c>
      <c r="G551" s="24">
        <f>B551/B550-1</f>
        <v/>
      </c>
      <c r="H551" s="24">
        <f>C551/C550-1</f>
        <v/>
      </c>
    </row>
    <row r="552" ht="17" customHeight="1">
      <c r="A552" s="18" t="inlineStr">
        <is>
          <t>2025-10-11</t>
        </is>
      </c>
      <c r="B552" s="19" t="n">
        <v>6800</v>
      </c>
      <c r="C552" s="19" t="n">
        <v>4521.08</v>
      </c>
      <c r="D552" s="20" t="n"/>
      <c r="E552" s="21">
        <f>C552-Lambda*B552-OtherCost</f>
        <v/>
      </c>
      <c r="F552" s="22">
        <f>C552/B552</f>
        <v/>
      </c>
      <c r="G552" s="23">
        <f>B552/B551-1</f>
        <v/>
      </c>
      <c r="H552" s="23">
        <f>C552/C551-1</f>
        <v/>
      </c>
    </row>
    <row r="553" ht="17" customHeight="1">
      <c r="A553" s="13" t="inlineStr">
        <is>
          <t>2025-10-12</t>
        </is>
      </c>
      <c r="B553" s="14" t="n">
        <v>6800</v>
      </c>
      <c r="C553" s="14" t="n">
        <v>4492.17</v>
      </c>
      <c r="D553" s="15" t="n"/>
      <c r="E553" s="16">
        <f>C553-Lambda*B553-OtherCost</f>
        <v/>
      </c>
      <c r="F553" s="17">
        <f>C553/B553</f>
        <v/>
      </c>
      <c r="G553" s="24">
        <f>B553/B552-1</f>
        <v/>
      </c>
      <c r="H553" s="24">
        <f>C553/C552-1</f>
        <v/>
      </c>
    </row>
    <row r="554" ht="17" customHeight="1">
      <c r="A554" s="18" t="inlineStr">
        <is>
          <t>2025-10-13</t>
        </is>
      </c>
      <c r="B554" s="19" t="n">
        <v>6800</v>
      </c>
      <c r="C554" s="19" t="n">
        <v>4460.09</v>
      </c>
      <c r="D554" s="20" t="n"/>
      <c r="E554" s="21">
        <f>C554-Lambda*B554-OtherCost</f>
        <v/>
      </c>
      <c r="F554" s="22">
        <f>C554/B554</f>
        <v/>
      </c>
      <c r="G554" s="23">
        <f>B554/B553-1</f>
        <v/>
      </c>
      <c r="H554" s="23">
        <f>C554/C553-1</f>
        <v/>
      </c>
    </row>
    <row r="555" ht="17" customHeight="1">
      <c r="A555" s="13" t="inlineStr">
        <is>
          <t>2025-10-14</t>
        </is>
      </c>
      <c r="B555" s="14" t="n">
        <v>6800</v>
      </c>
      <c r="C555" s="14" t="n">
        <v>4397.16</v>
      </c>
      <c r="D555" s="15" t="n"/>
      <c r="E555" s="16">
        <f>C555-Lambda*B555-OtherCost</f>
        <v/>
      </c>
      <c r="F555" s="17">
        <f>C555/B555</f>
        <v/>
      </c>
      <c r="G555" s="24">
        <f>B555/B554-1</f>
        <v/>
      </c>
      <c r="H555" s="24">
        <f>C555/C554-1</f>
        <v/>
      </c>
    </row>
    <row r="556" ht="17" customHeight="1">
      <c r="A556" s="18" t="inlineStr">
        <is>
          <t>2025-10-15</t>
        </is>
      </c>
      <c r="B556" s="19" t="n">
        <v>6800</v>
      </c>
      <c r="C556" s="19" t="n">
        <v>4404.16</v>
      </c>
      <c r="D556" s="20" t="n"/>
      <c r="E556" s="21">
        <f>C556-Lambda*B556-OtherCost</f>
        <v/>
      </c>
      <c r="F556" s="22">
        <f>C556/B556</f>
        <v/>
      </c>
      <c r="G556" s="23">
        <f>B556/B555-1</f>
        <v/>
      </c>
      <c r="H556" s="23">
        <f>C556/C555-1</f>
        <v/>
      </c>
    </row>
    <row r="557" ht="17" customHeight="1">
      <c r="A557" s="13" t="inlineStr">
        <is>
          <t>2025-10-16</t>
        </is>
      </c>
      <c r="B557" s="14" t="n">
        <v>6800</v>
      </c>
      <c r="C557" s="14" t="n">
        <v>4381.5</v>
      </c>
      <c r="D557" s="15" t="n"/>
      <c r="E557" s="16">
        <f>C557-Lambda*B557-OtherCost</f>
        <v/>
      </c>
      <c r="F557" s="17">
        <f>C557/B557</f>
        <v/>
      </c>
      <c r="G557" s="24">
        <f>B557/B556-1</f>
        <v/>
      </c>
      <c r="H557" s="24">
        <f>C557/C556-1</f>
        <v/>
      </c>
    </row>
    <row r="558" ht="17" customHeight="1">
      <c r="A558" s="18" t="inlineStr">
        <is>
          <t>2025-10-17</t>
        </is>
      </c>
      <c r="B558" s="19" t="n">
        <v>6800</v>
      </c>
      <c r="C558" s="19" t="n">
        <v>4404.16</v>
      </c>
      <c r="D558" s="20" t="n"/>
      <c r="E558" s="21">
        <f>C558-Lambda*B558-OtherCost</f>
        <v/>
      </c>
      <c r="F558" s="22">
        <f>C558/B558</f>
        <v/>
      </c>
      <c r="G558" s="23">
        <f>B558/B557-1</f>
        <v/>
      </c>
      <c r="H558" s="23">
        <f>C558/C557-1</f>
        <v/>
      </c>
    </row>
    <row r="559" ht="17" customHeight="1">
      <c r="A559" s="13" t="inlineStr">
        <is>
          <t>2025-10-19</t>
        </is>
      </c>
      <c r="B559" s="14" t="n">
        <v>6650</v>
      </c>
      <c r="C559" s="14" t="n">
        <v>4363.25</v>
      </c>
      <c r="D559" s="15" t="n"/>
      <c r="E559" s="16">
        <f>C559-Lambda*B559-OtherCost</f>
        <v/>
      </c>
      <c r="F559" s="17">
        <f>C559/B559</f>
        <v/>
      </c>
      <c r="G559" s="24">
        <f>B559/B558-1</f>
        <v/>
      </c>
      <c r="H559" s="24">
        <f>C559/C558-1</f>
        <v/>
      </c>
    </row>
    <row r="560" ht="17" customHeight="1">
      <c r="A560" s="18" t="inlineStr">
        <is>
          <t>2025-10-20</t>
        </is>
      </c>
      <c r="B560" s="19" t="n">
        <v>6650</v>
      </c>
      <c r="C560" s="19" t="n">
        <v>4369.84</v>
      </c>
      <c r="D560" s="20" t="n"/>
      <c r="E560" s="21">
        <f>C560-Lambda*B560-OtherCost</f>
        <v/>
      </c>
      <c r="F560" s="22">
        <f>C560/B560</f>
        <v/>
      </c>
      <c r="G560" s="23">
        <f>B560/B559-1</f>
        <v/>
      </c>
      <c r="H560" s="23">
        <f>C560/C559-1</f>
        <v/>
      </c>
    </row>
    <row r="561" ht="17" customHeight="1">
      <c r="A561" s="13" t="inlineStr">
        <is>
          <t>2025-10-21</t>
        </is>
      </c>
      <c r="B561" s="14" t="n">
        <v>6650</v>
      </c>
      <c r="C561" s="14" t="n">
        <v>4415.83</v>
      </c>
      <c r="D561" s="15" t="n"/>
      <c r="E561" s="16">
        <f>C561-Lambda*B561-OtherCost</f>
        <v/>
      </c>
      <c r="F561" s="17">
        <f>C561/B561</f>
        <v/>
      </c>
      <c r="G561" s="24">
        <f>B561/B560-1</f>
        <v/>
      </c>
      <c r="H561" s="24">
        <f>C561/C560-1</f>
        <v/>
      </c>
    </row>
    <row r="562" ht="17" customHeight="1">
      <c r="A562" s="18" t="inlineStr">
        <is>
          <t>2025-10-22</t>
        </is>
      </c>
      <c r="B562" s="19" t="n">
        <v>6650</v>
      </c>
      <c r="C562" s="19" t="n">
        <v>4467.08</v>
      </c>
      <c r="D562" s="20" t="n"/>
      <c r="E562" s="21">
        <f>C562-Lambda*B562-OtherCost</f>
        <v/>
      </c>
      <c r="F562" s="22">
        <f>C562/B562</f>
        <v/>
      </c>
      <c r="G562" s="23">
        <f>B562/B561-1</f>
        <v/>
      </c>
      <c r="H562" s="23">
        <f>C562/C561-1</f>
        <v/>
      </c>
    </row>
    <row r="563" ht="17" customHeight="1">
      <c r="A563" s="13" t="inlineStr">
        <is>
          <t>2025-10-23</t>
        </is>
      </c>
      <c r="B563" s="14" t="n">
        <v>6650</v>
      </c>
      <c r="C563" s="14" t="n">
        <v>4468.34</v>
      </c>
      <c r="D563" s="15" t="n"/>
      <c r="E563" s="16">
        <f>C563-Lambda*B563-OtherCost</f>
        <v/>
      </c>
      <c r="F563" s="17">
        <f>C563/B563</f>
        <v/>
      </c>
      <c r="G563" s="24">
        <f>B563/B562-1</f>
        <v/>
      </c>
      <c r="H563" s="24">
        <f>C563/C562-1</f>
        <v/>
      </c>
    </row>
    <row r="564" ht="17" customHeight="1">
      <c r="A564" s="18" t="inlineStr">
        <is>
          <t>2025-10-24</t>
        </is>
      </c>
      <c r="B564" s="19" t="n">
        <v>6650</v>
      </c>
      <c r="C564" s="19" t="n">
        <v>4467.08</v>
      </c>
      <c r="D564" s="20" t="n"/>
      <c r="E564" s="21">
        <f>C564-Lambda*B564-OtherCost</f>
        <v/>
      </c>
      <c r="F564" s="22">
        <f>C564/B564</f>
        <v/>
      </c>
      <c r="G564" s="23">
        <f>B564/B563-1</f>
        <v/>
      </c>
      <c r="H564" s="23">
        <f>C564/C563-1</f>
        <v/>
      </c>
    </row>
    <row r="565" ht="17" customHeight="1">
      <c r="A565" s="13" t="inlineStr">
        <is>
          <t>2025-10-26</t>
        </is>
      </c>
      <c r="B565" s="14" t="n">
        <v>6650</v>
      </c>
      <c r="C565" s="14" t="n">
        <v>4535.67</v>
      </c>
      <c r="D565" s="15" t="n"/>
      <c r="E565" s="16">
        <f>C565-Lambda*B565-OtherCost</f>
        <v/>
      </c>
      <c r="F565" s="17">
        <f>C565/B565</f>
        <v/>
      </c>
      <c r="G565" s="24">
        <f>B565/B564-1</f>
        <v/>
      </c>
      <c r="H565" s="24">
        <f>C565/C564-1</f>
        <v/>
      </c>
    </row>
    <row r="566" ht="17" customHeight="1">
      <c r="A566" s="18" t="inlineStr">
        <is>
          <t>2025-10-27</t>
        </is>
      </c>
      <c r="B566" s="19" t="n">
        <v>6650</v>
      </c>
      <c r="C566" s="19" t="n">
        <v>4558.09</v>
      </c>
      <c r="D566" s="20" t="n"/>
      <c r="E566" s="21">
        <f>C566-Lambda*B566-OtherCost</f>
        <v/>
      </c>
      <c r="F566" s="22">
        <f>C566/B566</f>
        <v/>
      </c>
      <c r="G566" s="23">
        <f>B566/B565-1</f>
        <v/>
      </c>
      <c r="H566" s="23">
        <f>C566/C565-1</f>
        <v/>
      </c>
    </row>
    <row r="567" ht="17" customHeight="1">
      <c r="A567" s="13" t="inlineStr">
        <is>
          <t>2025-10-28</t>
        </is>
      </c>
      <c r="B567" s="14" t="n">
        <v>6650</v>
      </c>
      <c r="C567" s="14" t="n">
        <v>4554.75</v>
      </c>
      <c r="D567" s="15" t="n"/>
      <c r="E567" s="16">
        <f>C567-Lambda*B567-OtherCost</f>
        <v/>
      </c>
      <c r="F567" s="17">
        <f>C567/B567</f>
        <v/>
      </c>
      <c r="G567" s="24">
        <f>B567/B566-1</f>
        <v/>
      </c>
      <c r="H567" s="24">
        <f>C567/C566-1</f>
        <v/>
      </c>
    </row>
    <row r="568" ht="17" customHeight="1">
      <c r="A568" s="18" t="inlineStr">
        <is>
          <t>2025-10-29</t>
        </is>
      </c>
      <c r="B568" s="19" t="n">
        <v>6650</v>
      </c>
      <c r="C568" s="19" t="n">
        <v>4552.34</v>
      </c>
      <c r="D568" s="20" t="n"/>
      <c r="E568" s="21">
        <f>C568-Lambda*B568-OtherCost</f>
        <v/>
      </c>
      <c r="F568" s="22">
        <f>C568/B568</f>
        <v/>
      </c>
      <c r="G568" s="23">
        <f>B568/B567-1</f>
        <v/>
      </c>
      <c r="H568" s="23">
        <f>C568/C567-1</f>
        <v/>
      </c>
    </row>
    <row r="569" ht="17" customHeight="1">
      <c r="A569" s="13" t="inlineStr">
        <is>
          <t>2025-10-30</t>
        </is>
      </c>
      <c r="B569" s="14" t="n">
        <v>6700</v>
      </c>
      <c r="C569" s="14" t="n">
        <v>4543.91</v>
      </c>
      <c r="D569" s="15" t="n"/>
      <c r="E569" s="16">
        <f>C569-Lambda*B569-OtherCost</f>
        <v/>
      </c>
      <c r="F569" s="17">
        <f>C569/B569</f>
        <v/>
      </c>
      <c r="G569" s="24">
        <f>B569/B568-1</f>
        <v/>
      </c>
      <c r="H569" s="24">
        <f>C569/C568-1</f>
        <v/>
      </c>
    </row>
    <row r="570" ht="17" customHeight="1">
      <c r="A570" s="18" t="inlineStr">
        <is>
          <t>2025-10-31</t>
        </is>
      </c>
      <c r="B570" s="19" t="n">
        <v>6650</v>
      </c>
      <c r="C570" s="19" t="n">
        <v>4552.34</v>
      </c>
      <c r="D570" s="20" t="n"/>
      <c r="E570" s="21">
        <f>C570-Lambda*B570-OtherCost</f>
        <v/>
      </c>
      <c r="F570" s="22">
        <f>C570/B570</f>
        <v/>
      </c>
      <c r="G570" s="23">
        <f>B570/B569-1</f>
        <v/>
      </c>
      <c r="H570" s="23">
        <f>C570/C569-1</f>
        <v/>
      </c>
    </row>
    <row r="571" ht="17" customHeight="1">
      <c r="A571" s="13" t="inlineStr">
        <is>
          <t>2025-11-02</t>
        </is>
      </c>
      <c r="B571" s="14" t="n">
        <v>6700</v>
      </c>
      <c r="C571" s="14" t="n">
        <v>4558.75</v>
      </c>
      <c r="D571" s="15" t="n"/>
      <c r="E571" s="16">
        <f>C571-Lambda*B571-OtherCost</f>
        <v/>
      </c>
      <c r="F571" s="17">
        <f>C571/B571</f>
        <v/>
      </c>
      <c r="G571" s="24">
        <f>B571/B570-1</f>
        <v/>
      </c>
      <c r="H571" s="24">
        <f>C571/C570-1</f>
        <v/>
      </c>
    </row>
    <row r="572" ht="17" customHeight="1">
      <c r="A572" s="18" t="inlineStr">
        <is>
          <t>2025-11-03</t>
        </is>
      </c>
      <c r="B572" s="19" t="n">
        <v>6700</v>
      </c>
      <c r="C572" s="19" t="n">
        <v>4569.75</v>
      </c>
      <c r="D572" s="20" t="n"/>
      <c r="E572" s="21">
        <f>C572-Lambda*B572-OtherCost</f>
        <v/>
      </c>
      <c r="F572" s="22">
        <f>C572/B572</f>
        <v/>
      </c>
      <c r="G572" s="23">
        <f>B572/B571-1</f>
        <v/>
      </c>
      <c r="H572" s="23">
        <f>C572/C571-1</f>
        <v/>
      </c>
    </row>
    <row r="573" ht="17" customHeight="1">
      <c r="A573" s="13" t="inlineStr">
        <is>
          <t>2025-11-04</t>
        </is>
      </c>
      <c r="B573" s="14" t="n">
        <v>6700</v>
      </c>
      <c r="C573" s="14" t="n">
        <v>4555.41</v>
      </c>
      <c r="D573" s="15" t="n"/>
      <c r="E573" s="16">
        <f>C573-Lambda*B573-OtherCost</f>
        <v/>
      </c>
      <c r="F573" s="17">
        <f>C573/B573</f>
        <v/>
      </c>
      <c r="G573" s="24">
        <f>B573/B572-1</f>
        <v/>
      </c>
      <c r="H573" s="24">
        <f>C573/C572-1</f>
        <v/>
      </c>
    </row>
    <row r="574" ht="17" customHeight="1">
      <c r="A574" s="18" t="inlineStr">
        <is>
          <t>2025-11-05</t>
        </is>
      </c>
      <c r="B574" s="19" t="n">
        <v>6700</v>
      </c>
      <c r="C574" s="19" t="n">
        <v>4561.09</v>
      </c>
      <c r="D574" s="20" t="n"/>
      <c r="E574" s="21">
        <f>C574-Lambda*B574-OtherCost</f>
        <v/>
      </c>
      <c r="F574" s="22">
        <f>C574/B574</f>
        <v/>
      </c>
      <c r="G574" s="23">
        <f>B574/B573-1</f>
        <v/>
      </c>
      <c r="H574" s="23">
        <f>C574/C573-1</f>
        <v/>
      </c>
    </row>
    <row r="575" ht="17" customHeight="1">
      <c r="A575" s="13" t="inlineStr">
        <is>
          <t>2025-11-06</t>
        </is>
      </c>
      <c r="B575" s="14" t="n">
        <v>6700</v>
      </c>
      <c r="C575" s="14" t="n">
        <v>4598.84</v>
      </c>
      <c r="D575" s="15" t="n"/>
      <c r="E575" s="16">
        <f>C575-Lambda*B575-OtherCost</f>
        <v/>
      </c>
      <c r="F575" s="17">
        <f>C575/B575</f>
        <v/>
      </c>
      <c r="G575" s="24">
        <f>B575/B574-1</f>
        <v/>
      </c>
      <c r="H575" s="24">
        <f>C575/C574-1</f>
        <v/>
      </c>
    </row>
    <row r="576" ht="17" customHeight="1">
      <c r="A576" s="18" t="inlineStr">
        <is>
          <t>2025-11-07</t>
        </is>
      </c>
      <c r="B576" s="19" t="n">
        <v>6700</v>
      </c>
      <c r="C576" s="19" t="n">
        <v>4561.09</v>
      </c>
      <c r="D576" s="20" t="n"/>
      <c r="E576" s="21">
        <f>C576-Lambda*B576-OtherCost</f>
        <v/>
      </c>
      <c r="F576" s="22">
        <f>C576/B576</f>
        <v/>
      </c>
      <c r="G576" s="23">
        <f>B576/B575-1</f>
        <v/>
      </c>
      <c r="H576" s="23">
        <f>C576/C575-1</f>
        <v/>
      </c>
    </row>
    <row r="577" ht="17" customHeight="1">
      <c r="A577" s="13" t="inlineStr">
        <is>
          <t>2025-11-09</t>
        </is>
      </c>
      <c r="B577" s="14" t="n">
        <v>6700</v>
      </c>
      <c r="C577" s="14" t="n">
        <v>4645.66</v>
      </c>
      <c r="D577" s="15" t="n"/>
      <c r="E577" s="16">
        <f>C577-Lambda*B577-OtherCost</f>
        <v/>
      </c>
      <c r="F577" s="17">
        <f>C577/B577</f>
        <v/>
      </c>
      <c r="G577" s="24">
        <f>B577/B576-1</f>
        <v/>
      </c>
      <c r="H577" s="24">
        <f>C577/C576-1</f>
        <v/>
      </c>
    </row>
    <row r="578" ht="17" customHeight="1">
      <c r="A578" s="18" t="inlineStr">
        <is>
          <t>2025-11-10</t>
        </is>
      </c>
      <c r="B578" s="19" t="n">
        <v>6800</v>
      </c>
      <c r="C578" s="19" t="n">
        <v>4637.17</v>
      </c>
      <c r="D578" s="20" t="n"/>
      <c r="E578" s="21">
        <f>C578-Lambda*B578-OtherCost</f>
        <v/>
      </c>
      <c r="F578" s="22">
        <f>C578/B578</f>
        <v/>
      </c>
      <c r="G578" s="23">
        <f>B578/B577-1</f>
        <v/>
      </c>
      <c r="H578" s="23">
        <f>C578/C577-1</f>
        <v/>
      </c>
    </row>
    <row r="579" ht="17" customHeight="1">
      <c r="A579" s="13" t="inlineStr">
        <is>
          <t>2025-11-11</t>
        </is>
      </c>
      <c r="B579" s="14" t="n">
        <v>6800</v>
      </c>
      <c r="C579" s="14" t="n">
        <v>4635.5</v>
      </c>
      <c r="D579" s="15" t="n"/>
      <c r="E579" s="16">
        <f>C579-Lambda*B579-OtherCost</f>
        <v/>
      </c>
      <c r="F579" s="17">
        <f>C579/B579</f>
        <v/>
      </c>
      <c r="G579" s="24">
        <f>B579/B578-1</f>
        <v/>
      </c>
      <c r="H579" s="24">
        <f>C579/C578-1</f>
        <v/>
      </c>
    </row>
    <row r="580" ht="17" customHeight="1">
      <c r="A580" s="18" t="inlineStr">
        <is>
          <t>2025-11-12</t>
        </is>
      </c>
      <c r="B580" s="19" t="n">
        <v>6800</v>
      </c>
      <c r="C580" s="19" t="n">
        <v>4591.58</v>
      </c>
      <c r="D580" s="20" t="n"/>
      <c r="E580" s="21">
        <f>C580-Lambda*B580-OtherCost</f>
        <v/>
      </c>
      <c r="F580" s="22">
        <f>C580/B580</f>
        <v/>
      </c>
      <c r="G580" s="23">
        <f>B580/B579-1</f>
        <v/>
      </c>
      <c r="H580" s="23">
        <f>C580/C579-1</f>
        <v/>
      </c>
    </row>
    <row r="581" ht="17" customHeight="1">
      <c r="A581" s="13" t="inlineStr">
        <is>
          <t>2025-11-13</t>
        </is>
      </c>
      <c r="B581" s="14" t="n">
        <v>6800</v>
      </c>
      <c r="C581" s="14" t="n">
        <v>4671.09</v>
      </c>
      <c r="D581" s="15" t="n"/>
      <c r="E581" s="16">
        <f>C581-Lambda*B581-OtherCost</f>
        <v/>
      </c>
      <c r="F581" s="17">
        <f>C581/B581</f>
        <v/>
      </c>
      <c r="G581" s="24">
        <f>B581/B580-1</f>
        <v/>
      </c>
      <c r="H581" s="24">
        <f>C581/C580-1</f>
        <v/>
      </c>
    </row>
    <row r="582" ht="17" customHeight="1">
      <c r="A582" s="18" t="inlineStr">
        <is>
          <t>2025-11-14</t>
        </is>
      </c>
      <c r="B582" s="19" t="n">
        <v>6800</v>
      </c>
      <c r="C582" s="19" t="n">
        <v>4591.58</v>
      </c>
      <c r="D582" s="20" t="n"/>
      <c r="E582" s="21">
        <f>C582-Lambda*B582-OtherCost</f>
        <v/>
      </c>
      <c r="F582" s="22">
        <f>C582/B582</f>
        <v/>
      </c>
      <c r="G582" s="23">
        <f>B582/B581-1</f>
        <v/>
      </c>
      <c r="H582" s="23">
        <f>C582/C581-1</f>
        <v/>
      </c>
    </row>
    <row r="583" ht="17" customHeight="1">
      <c r="A583" s="13" t="inlineStr">
        <is>
          <t>2025-11-16</t>
        </is>
      </c>
      <c r="B583" s="14" t="n">
        <v>6800</v>
      </c>
      <c r="C583" s="14" t="n">
        <v>4647</v>
      </c>
      <c r="D583" s="15" t="n"/>
      <c r="E583" s="16">
        <f>C583-Lambda*B583-OtherCost</f>
        <v/>
      </c>
      <c r="F583" s="17">
        <f>C583/B583</f>
        <v/>
      </c>
      <c r="G583" s="24">
        <f>B583/B582-1</f>
        <v/>
      </c>
      <c r="H583" s="24">
        <f>C583/C582-1</f>
        <v/>
      </c>
    </row>
    <row r="584" ht="17" customHeight="1">
      <c r="A584" s="18" t="inlineStr">
        <is>
          <t>2025-11-17</t>
        </is>
      </c>
      <c r="B584" s="19" t="n">
        <v>6800</v>
      </c>
      <c r="C584" s="19" t="n">
        <v>4628.75</v>
      </c>
      <c r="D584" s="20" t="n"/>
      <c r="E584" s="21">
        <f>C584-Lambda*B584-OtherCost</f>
        <v/>
      </c>
      <c r="F584" s="22">
        <f>C584/B584</f>
        <v/>
      </c>
      <c r="G584" s="23">
        <f>B584/B583-1</f>
        <v/>
      </c>
      <c r="H584" s="23">
        <f>C584/C583-1</f>
        <v/>
      </c>
    </row>
    <row r="585" ht="17" customHeight="1">
      <c r="A585" s="13" t="inlineStr">
        <is>
          <t>2025-11-18</t>
        </is>
      </c>
      <c r="B585" s="14" t="n">
        <v>6800</v>
      </c>
      <c r="C585" s="14" t="n">
        <v>4648.91</v>
      </c>
      <c r="D585" s="15" t="n"/>
      <c r="E585" s="16">
        <f>C585-Lambda*B585-OtherCost</f>
        <v/>
      </c>
      <c r="F585" s="17">
        <f>C585/B585</f>
        <v/>
      </c>
      <c r="G585" s="24">
        <f>B585/B584-1</f>
        <v/>
      </c>
      <c r="H585" s="24">
        <f>C585/C584-1</f>
        <v/>
      </c>
    </row>
    <row r="586" ht="17" customHeight="1">
      <c r="A586" s="18" t="inlineStr">
        <is>
          <t>2025-11-19</t>
        </is>
      </c>
      <c r="B586" s="19" t="n">
        <v>6800</v>
      </c>
      <c r="C586" s="19" t="n">
        <v>4656.66</v>
      </c>
      <c r="D586" s="20" t="n"/>
      <c r="E586" s="21">
        <f>C586-Lambda*B586-OtherCost</f>
        <v/>
      </c>
      <c r="F586" s="22">
        <f>C586/B586</f>
        <v/>
      </c>
      <c r="G586" s="23">
        <f>B586/B585-1</f>
        <v/>
      </c>
      <c r="H586" s="23">
        <f>C586/C585-1</f>
        <v/>
      </c>
    </row>
    <row r="587" ht="17" customHeight="1">
      <c r="A587" s="13" t="inlineStr">
        <is>
          <t>2025-11-20</t>
        </is>
      </c>
      <c r="B587" s="14" t="n">
        <v>6800</v>
      </c>
      <c r="C587" s="14" t="n">
        <v>4622.25</v>
      </c>
      <c r="D587" s="15" t="n"/>
      <c r="E587" s="16">
        <f>C587-Lambda*B587-OtherCost</f>
        <v/>
      </c>
      <c r="F587" s="17">
        <f>C587/B587</f>
        <v/>
      </c>
      <c r="G587" s="24">
        <f>B587/B586-1</f>
        <v/>
      </c>
      <c r="H587" s="24">
        <f>C587/C586-1</f>
        <v/>
      </c>
    </row>
    <row r="588" ht="17" customHeight="1">
      <c r="A588" s="18" t="inlineStr">
        <is>
          <t>2025-11-21</t>
        </is>
      </c>
      <c r="B588" s="19" t="n">
        <v>6800</v>
      </c>
      <c r="C588" s="19" t="n">
        <v>4656.66</v>
      </c>
      <c r="D588" s="20" t="n"/>
      <c r="E588" s="21">
        <f>C588-Lambda*B588-OtherCost</f>
        <v/>
      </c>
      <c r="F588" s="22">
        <f>C588/B588</f>
        <v/>
      </c>
      <c r="G588" s="23">
        <f>B588/B587-1</f>
        <v/>
      </c>
      <c r="H588" s="23">
        <f>C588/C587-1</f>
        <v/>
      </c>
    </row>
    <row r="589" ht="17" customHeight="1">
      <c r="A589" s="13" t="inlineStr">
        <is>
          <t>2025-11-23</t>
        </is>
      </c>
      <c r="B589" s="14" t="n">
        <v>6800</v>
      </c>
      <c r="C589" s="14" t="n">
        <v>4648.08</v>
      </c>
      <c r="D589" s="15" t="n"/>
      <c r="E589" s="16">
        <f>C589-Lambda*B589-OtherCost</f>
        <v/>
      </c>
      <c r="F589" s="17">
        <f>C589/B589</f>
        <v/>
      </c>
      <c r="G589" s="24">
        <f>B589/B588-1</f>
        <v/>
      </c>
      <c r="H589" s="24">
        <f>C589/C588-1</f>
        <v/>
      </c>
    </row>
    <row r="590" ht="17" customHeight="1">
      <c r="A590" s="18" t="inlineStr">
        <is>
          <t>2025-11-24</t>
        </is>
      </c>
      <c r="B590" s="19" t="n">
        <v>6800</v>
      </c>
      <c r="C590" s="19" t="n">
        <v>4651.66</v>
      </c>
      <c r="D590" s="20" t="n"/>
      <c r="E590" s="21">
        <f>C590-Lambda*B590-OtherCost</f>
        <v/>
      </c>
      <c r="F590" s="22">
        <f>C590/B590</f>
        <v/>
      </c>
      <c r="G590" s="23">
        <f>B590/B589-1</f>
        <v/>
      </c>
      <c r="H590" s="23">
        <f>C590/C589-1</f>
        <v/>
      </c>
    </row>
    <row r="591" ht="17" customHeight="1">
      <c r="A591" s="13" t="inlineStr">
        <is>
          <t>2025-11-25</t>
        </is>
      </c>
      <c r="B591" s="14" t="n">
        <v>6800</v>
      </c>
      <c r="C591" s="14" t="n">
        <v>4654.83</v>
      </c>
      <c r="D591" s="15" t="n"/>
      <c r="E591" s="16">
        <f>C591-Lambda*B591-OtherCost</f>
        <v/>
      </c>
      <c r="F591" s="17">
        <f>C591/B591</f>
        <v/>
      </c>
      <c r="G591" s="24">
        <f>B591/B590-1</f>
        <v/>
      </c>
      <c r="H591" s="24">
        <f>C591/C590-1</f>
        <v/>
      </c>
    </row>
    <row r="592" ht="17" customHeight="1">
      <c r="A592" s="18" t="inlineStr">
        <is>
          <t>2025-11-26</t>
        </is>
      </c>
      <c r="B592" s="19" t="n">
        <v>6800</v>
      </c>
      <c r="C592" s="19" t="n">
        <v>4628.33</v>
      </c>
      <c r="D592" s="20" t="n"/>
      <c r="E592" s="21">
        <f>C592-Lambda*B592-OtherCost</f>
        <v/>
      </c>
      <c r="F592" s="22">
        <f>C592/B592</f>
        <v/>
      </c>
      <c r="G592" s="23">
        <f>B592/B591-1</f>
        <v/>
      </c>
      <c r="H592" s="23">
        <f>C592/C591-1</f>
        <v/>
      </c>
    </row>
    <row r="593" ht="17" customHeight="1">
      <c r="A593" s="13" t="inlineStr">
        <is>
          <t>2025-11-27</t>
        </is>
      </c>
      <c r="B593" s="14" t="n">
        <v>6850</v>
      </c>
      <c r="C593" s="14" t="n">
        <v>4658.5</v>
      </c>
      <c r="D593" s="15" t="n"/>
      <c r="E593" s="16">
        <f>C593-Lambda*B593-OtherCost</f>
        <v/>
      </c>
      <c r="F593" s="17">
        <f>C593/B593</f>
        <v/>
      </c>
      <c r="G593" s="24">
        <f>B593/B592-1</f>
        <v/>
      </c>
      <c r="H593" s="24">
        <f>C593/C592-1</f>
        <v/>
      </c>
    </row>
    <row r="594" ht="17" customHeight="1">
      <c r="A594" s="18" t="inlineStr">
        <is>
          <t>2025-11-28</t>
        </is>
      </c>
      <c r="B594" s="19" t="n">
        <v>6800</v>
      </c>
      <c r="C594" s="19" t="n">
        <v>4628.33</v>
      </c>
      <c r="D594" s="20" t="n"/>
      <c r="E594" s="21">
        <f>C594-Lambda*B594-OtherCost</f>
        <v/>
      </c>
      <c r="F594" s="22">
        <f>C594/B594</f>
        <v/>
      </c>
      <c r="G594" s="23">
        <f>B594/B593-1</f>
        <v/>
      </c>
      <c r="H594" s="23">
        <f>C594/C593-1</f>
        <v/>
      </c>
    </row>
    <row r="595" ht="17" customHeight="1">
      <c r="A595" s="13" t="inlineStr">
        <is>
          <t>2025-11-30</t>
        </is>
      </c>
      <c r="B595" s="14" t="n">
        <v>6850</v>
      </c>
      <c r="C595" s="14" t="n">
        <v>4703</v>
      </c>
      <c r="D595" s="15" t="n"/>
      <c r="E595" s="16">
        <f>C595-Lambda*B595-OtherCost</f>
        <v/>
      </c>
      <c r="F595" s="17">
        <f>C595/B595</f>
        <v/>
      </c>
      <c r="G595" s="24">
        <f>B595/B594-1</f>
        <v/>
      </c>
      <c r="H595" s="24">
        <f>C595/C594-1</f>
        <v/>
      </c>
    </row>
    <row r="596" ht="17" customHeight="1">
      <c r="A596" s="18" t="inlineStr">
        <is>
          <t>2025-12-01</t>
        </is>
      </c>
      <c r="B596" s="19" t="n">
        <v>6850</v>
      </c>
      <c r="C596" s="19" t="n">
        <v>4708.66</v>
      </c>
      <c r="D596" s="20" t="n"/>
      <c r="E596" s="21">
        <f>C596-Lambda*B596-OtherCost</f>
        <v/>
      </c>
      <c r="F596" s="22">
        <f>C596/B596</f>
        <v/>
      </c>
      <c r="G596" s="23">
        <f>B596/B595-1</f>
        <v/>
      </c>
      <c r="H596" s="23">
        <f>C596/C595-1</f>
        <v/>
      </c>
    </row>
    <row r="597" ht="17" customHeight="1">
      <c r="A597" s="13" t="inlineStr">
        <is>
          <t>2025-12-02</t>
        </is>
      </c>
      <c r="B597" s="14" t="n">
        <v>6850</v>
      </c>
      <c r="C597" s="14" t="n">
        <v>4705.09</v>
      </c>
      <c r="D597" s="15" t="n"/>
      <c r="E597" s="16">
        <f>C597-Lambda*B597-OtherCost</f>
        <v/>
      </c>
      <c r="F597" s="17">
        <f>C597/B597</f>
        <v/>
      </c>
      <c r="G597" s="24">
        <f>B597/B596-1</f>
        <v/>
      </c>
      <c r="H597" s="24">
        <f>C597/C596-1</f>
        <v/>
      </c>
    </row>
    <row r="598" ht="17" customHeight="1">
      <c r="A598" s="18" t="inlineStr">
        <is>
          <t>2025-12-03</t>
        </is>
      </c>
      <c r="B598" s="19" t="n">
        <v>7000</v>
      </c>
      <c r="C598" s="19" t="n">
        <v>4702.25</v>
      </c>
      <c r="D598" s="20" t="n"/>
      <c r="E598" s="21">
        <f>C598-Lambda*B598-OtherCost</f>
        <v/>
      </c>
      <c r="F598" s="22">
        <f>C598/B598</f>
        <v/>
      </c>
      <c r="G598" s="23">
        <f>B598/B597-1</f>
        <v/>
      </c>
      <c r="H598" s="23">
        <f>C598/C597-1</f>
        <v/>
      </c>
    </row>
    <row r="599" ht="17" customHeight="1">
      <c r="A599" s="13" t="inlineStr">
        <is>
          <t>2025-12-04</t>
        </is>
      </c>
      <c r="B599" s="14" t="n">
        <v>7000</v>
      </c>
      <c r="C599" s="14" t="n">
        <v>4694.41</v>
      </c>
      <c r="D599" s="15" t="n"/>
      <c r="E599" s="16">
        <f>C599-Lambda*B599-OtherCost</f>
        <v/>
      </c>
      <c r="F599" s="17">
        <f>C599/B599</f>
        <v/>
      </c>
      <c r="G599" s="24">
        <f>B599/B598-1</f>
        <v/>
      </c>
      <c r="H599" s="24">
        <f>C599/C598-1</f>
        <v/>
      </c>
    </row>
    <row r="600" ht="17" customHeight="1">
      <c r="A600" s="18" t="inlineStr">
        <is>
          <t>2025-12-05</t>
        </is>
      </c>
      <c r="B600" s="19" t="n">
        <v>7000</v>
      </c>
      <c r="C600" s="19" t="n">
        <v>4702.25</v>
      </c>
      <c r="D600" s="20" t="n"/>
      <c r="E600" s="21">
        <f>C600-Lambda*B600-OtherCost</f>
        <v/>
      </c>
      <c r="F600" s="22">
        <f>C600/B600</f>
        <v/>
      </c>
      <c r="G600" s="23">
        <f>B600/B599-1</f>
        <v/>
      </c>
      <c r="H600" s="23">
        <f>C600/C599-1</f>
        <v/>
      </c>
    </row>
    <row r="601" ht="17" customHeight="1">
      <c r="A601" s="13" t="inlineStr">
        <is>
          <t>2025-12-07</t>
        </is>
      </c>
      <c r="B601" s="14" t="n">
        <v>7000</v>
      </c>
      <c r="C601" s="14" t="n">
        <v>4687.75</v>
      </c>
      <c r="D601" s="15" t="n"/>
      <c r="E601" s="16">
        <f>C601-Lambda*B601-OtherCost</f>
        <v/>
      </c>
      <c r="F601" s="17">
        <f>C601/B601</f>
        <v/>
      </c>
      <c r="G601" s="24">
        <f>B601/B600-1</f>
        <v/>
      </c>
      <c r="H601" s="24">
        <f>C601/C600-1</f>
        <v/>
      </c>
    </row>
    <row r="602" ht="17" customHeight="1">
      <c r="A602" s="18" t="inlineStr">
        <is>
          <t>2025-12-08</t>
        </is>
      </c>
      <c r="B602" s="19" t="n">
        <v>7000</v>
      </c>
      <c r="C602" s="19" t="n">
        <v>4682.92</v>
      </c>
      <c r="D602" s="20" t="n"/>
      <c r="E602" s="21">
        <f>C602-Lambda*B602-OtherCost</f>
        <v/>
      </c>
      <c r="F602" s="22">
        <f>C602/B602</f>
        <v/>
      </c>
      <c r="G602" s="23">
        <f>B602/B601-1</f>
        <v/>
      </c>
      <c r="H602" s="23">
        <f>C602/C601-1</f>
        <v/>
      </c>
    </row>
    <row r="603" ht="17" customHeight="1">
      <c r="A603" s="13" t="inlineStr">
        <is>
          <t>2025-12-09</t>
        </is>
      </c>
      <c r="B603" s="14" t="n">
        <v>7000</v>
      </c>
      <c r="C603" s="14" t="n">
        <v>4637</v>
      </c>
      <c r="D603" s="15" t="n"/>
      <c r="E603" s="16">
        <f>C603-Lambda*B603-OtherCost</f>
        <v/>
      </c>
      <c r="F603" s="17">
        <f>C603/B603</f>
        <v/>
      </c>
      <c r="G603" s="24">
        <f>B603/B602-1</f>
        <v/>
      </c>
      <c r="H603" s="24">
        <f>C603/C602-1</f>
        <v/>
      </c>
    </row>
    <row r="604" ht="17" customHeight="1">
      <c r="A604" s="18" t="inlineStr">
        <is>
          <t>2025-12-10</t>
        </is>
      </c>
      <c r="B604" s="19" t="n">
        <v>7000</v>
      </c>
      <c r="C604" s="19" t="n">
        <v>4651.66</v>
      </c>
      <c r="D604" s="20" t="n"/>
      <c r="E604" s="21">
        <f>C604-Lambda*B604-OtherCost</f>
        <v/>
      </c>
      <c r="F604" s="22">
        <f>C604/B604</f>
        <v/>
      </c>
      <c r="G604" s="23">
        <f>B604/B603-1</f>
        <v/>
      </c>
      <c r="H604" s="23">
        <f>C604/C603-1</f>
        <v/>
      </c>
    </row>
    <row r="605" ht="17" customHeight="1">
      <c r="A605" s="13" t="inlineStr">
        <is>
          <t>2025-12-11</t>
        </is>
      </c>
      <c r="B605" s="14" t="n">
        <v>7000</v>
      </c>
      <c r="C605" s="14" t="n">
        <v>4639.4</v>
      </c>
      <c r="D605" s="15" t="n"/>
      <c r="E605" s="16">
        <f>C605-Lambda*B605-OtherCost</f>
        <v/>
      </c>
      <c r="F605" s="17">
        <f>C605/B605</f>
        <v/>
      </c>
      <c r="G605" s="24">
        <f>B605/B604-1</f>
        <v/>
      </c>
      <c r="H605" s="24">
        <f>C605/C604-1</f>
        <v/>
      </c>
    </row>
    <row r="606" ht="17" customHeight="1">
      <c r="A606" s="18" t="inlineStr">
        <is>
          <t>2025-12-12</t>
        </is>
      </c>
      <c r="B606" s="19" t="n">
        <v>7000</v>
      </c>
      <c r="C606" s="19" t="n">
        <v>4651.66</v>
      </c>
      <c r="D606" s="20" t="n"/>
      <c r="E606" s="21">
        <f>C606-Lambda*B606-OtherCost</f>
        <v/>
      </c>
      <c r="F606" s="22">
        <f>C606/B606</f>
        <v/>
      </c>
      <c r="G606" s="23">
        <f>B606/B605-1</f>
        <v/>
      </c>
      <c r="H606" s="23">
        <f>C606/C605-1</f>
        <v/>
      </c>
    </row>
    <row r="607" ht="17" customHeight="1">
      <c r="A607" s="13" t="inlineStr">
        <is>
          <t>2025-12-14</t>
        </is>
      </c>
      <c r="B607" s="14" t="n">
        <v>7000</v>
      </c>
      <c r="C607" s="14" t="n">
        <v>4649.66</v>
      </c>
      <c r="D607" s="15" t="n"/>
      <c r="E607" s="16">
        <f>C607-Lambda*B607-OtherCost</f>
        <v/>
      </c>
      <c r="F607" s="17">
        <f>C607/B607</f>
        <v/>
      </c>
      <c r="G607" s="24">
        <f>B607/B606-1</f>
        <v/>
      </c>
      <c r="H607" s="24">
        <f>C607/C606-1</f>
        <v/>
      </c>
    </row>
    <row r="608" ht="17" customHeight="1">
      <c r="A608" s="18" t="inlineStr">
        <is>
          <t>2025-12-15</t>
        </is>
      </c>
      <c r="B608" s="19" t="n">
        <v>7000</v>
      </c>
      <c r="C608" s="19" t="n">
        <v>4622.58</v>
      </c>
      <c r="D608" s="20" t="n"/>
      <c r="E608" s="21">
        <f>C608-Lambda*B608-OtherCost</f>
        <v/>
      </c>
      <c r="F608" s="22">
        <f>C608/B608</f>
        <v/>
      </c>
      <c r="G608" s="23">
        <f>B608/B607-1</f>
        <v/>
      </c>
      <c r="H608" s="23">
        <f>C608/C607-1</f>
        <v/>
      </c>
    </row>
    <row r="609" ht="17" customHeight="1">
      <c r="A609" s="13" t="inlineStr">
        <is>
          <t>2025-12-16</t>
        </is>
      </c>
      <c r="B609" s="14" t="n">
        <v>7000</v>
      </c>
      <c r="C609" s="14" t="n">
        <v>4626.34</v>
      </c>
      <c r="D609" s="15" t="n"/>
      <c r="E609" s="16">
        <f>C609-Lambda*B609-OtherCost</f>
        <v/>
      </c>
      <c r="F609" s="17">
        <f>C609/B609</f>
        <v/>
      </c>
      <c r="G609" s="24">
        <f>B609/B608-1</f>
        <v/>
      </c>
      <c r="H609" s="24">
        <f>C609/C608-1</f>
        <v/>
      </c>
    </row>
    <row r="610" ht="17" customHeight="1">
      <c r="A610" s="18" t="inlineStr">
        <is>
          <t>2025-12-17</t>
        </is>
      </c>
      <c r="B610" s="19" t="n">
        <v>7000</v>
      </c>
      <c r="C610" s="19" t="n">
        <v>4683.84</v>
      </c>
      <c r="D610" s="20" t="n"/>
      <c r="E610" s="21">
        <f>C610-Lambda*B610-OtherCost</f>
        <v/>
      </c>
      <c r="F610" s="22">
        <f>C610/B610</f>
        <v/>
      </c>
      <c r="G610" s="23">
        <f>B610/B609-1</f>
        <v/>
      </c>
      <c r="H610" s="23">
        <f>C610/C609-1</f>
        <v/>
      </c>
    </row>
    <row r="611" ht="17" customHeight="1">
      <c r="A611" s="13" t="inlineStr">
        <is>
          <t>2025-12-18</t>
        </is>
      </c>
      <c r="B611" s="14" t="n">
        <v>7000</v>
      </c>
      <c r="C611" s="14" t="n">
        <v>4735.25</v>
      </c>
      <c r="D611" s="15" t="n"/>
      <c r="E611" s="16">
        <f>C611-Lambda*B611-OtherCost</f>
        <v/>
      </c>
      <c r="F611" s="17">
        <f>C611/B611</f>
        <v/>
      </c>
      <c r="G611" s="24">
        <f>B611/B610-1</f>
        <v/>
      </c>
      <c r="H611" s="24">
        <f>C611/C610-1</f>
        <v/>
      </c>
    </row>
    <row r="612" ht="17" customHeight="1">
      <c r="A612" s="18" t="inlineStr">
        <is>
          <t>2025-12-19</t>
        </is>
      </c>
      <c r="B612" s="19" t="n">
        <v>7000</v>
      </c>
      <c r="C612" s="19" t="n">
        <v>4683.84</v>
      </c>
      <c r="D612" s="20" t="n"/>
      <c r="E612" s="21">
        <f>C612-Lambda*B612-OtherCost</f>
        <v/>
      </c>
      <c r="F612" s="22">
        <f>C612/B612</f>
        <v/>
      </c>
      <c r="G612" s="23">
        <f>B612/B611-1</f>
        <v/>
      </c>
      <c r="H612" s="23">
        <f>C612/C611-1</f>
        <v/>
      </c>
    </row>
    <row r="613" ht="17" customHeight="1">
      <c r="A613" s="13" t="inlineStr">
        <is>
          <t>2025-12-21</t>
        </is>
      </c>
      <c r="B613" s="14" t="n">
        <v>7000</v>
      </c>
      <c r="C613" s="14" t="n">
        <v>4879.34</v>
      </c>
      <c r="D613" s="15" t="n"/>
      <c r="E613" s="16">
        <f>C613-Lambda*B613-OtherCost</f>
        <v/>
      </c>
      <c r="F613" s="17">
        <f>C613/B613</f>
        <v/>
      </c>
      <c r="G613" s="24">
        <f>B613/B612-1</f>
        <v/>
      </c>
      <c r="H613" s="24">
        <f>C613/C612-1</f>
        <v/>
      </c>
    </row>
    <row r="614" ht="17" customHeight="1">
      <c r="A614" s="18" t="inlineStr">
        <is>
          <t>2025-12-22</t>
        </is>
      </c>
      <c r="B614" s="19" t="n">
        <v>7000</v>
      </c>
      <c r="C614" s="19" t="n">
        <v>4923.16</v>
      </c>
      <c r="D614" s="20" t="n"/>
      <c r="E614" s="21">
        <f>C614-Lambda*B614-OtherCost</f>
        <v/>
      </c>
      <c r="F614" s="22">
        <f>C614/B614</f>
        <v/>
      </c>
      <c r="G614" s="23">
        <f>B614/B613-1</f>
        <v/>
      </c>
      <c r="H614" s="23">
        <f>C614/C613-1</f>
        <v/>
      </c>
    </row>
    <row r="615" ht="17" customHeight="1">
      <c r="A615" s="13" t="inlineStr">
        <is>
          <t>2025-12-23</t>
        </is>
      </c>
      <c r="B615" s="14" t="n">
        <v>7000</v>
      </c>
      <c r="C615" s="14" t="n">
        <v>4970.5</v>
      </c>
      <c r="D615" s="15" t="n"/>
      <c r="E615" s="16">
        <f>C615-Lambda*B615-OtherCost</f>
        <v/>
      </c>
      <c r="F615" s="17">
        <f>C615/B615</f>
        <v/>
      </c>
      <c r="G615" s="24">
        <f>B615/B614-1</f>
        <v/>
      </c>
      <c r="H615" s="24">
        <f>C615/C614-1</f>
        <v/>
      </c>
    </row>
    <row r="616" ht="17" customHeight="1">
      <c r="A616" s="18" t="inlineStr">
        <is>
          <t>2025-12-24</t>
        </is>
      </c>
      <c r="B616" s="19" t="n">
        <v>7000</v>
      </c>
      <c r="C616" s="19" t="n">
        <v>5056.34</v>
      </c>
      <c r="D616" s="20" t="n"/>
      <c r="E616" s="21">
        <f>C616-Lambda*B616-OtherCost</f>
        <v/>
      </c>
      <c r="F616" s="22">
        <f>C616/B616</f>
        <v/>
      </c>
      <c r="G616" s="23">
        <f>B616/B615-1</f>
        <v/>
      </c>
      <c r="H616" s="23">
        <f>C616/C615-1</f>
        <v/>
      </c>
    </row>
    <row r="617" ht="17" customHeight="1">
      <c r="A617" s="13" t="inlineStr">
        <is>
          <t>2025-12-25</t>
        </is>
      </c>
      <c r="B617" s="14" t="n">
        <v>7000</v>
      </c>
      <c r="C617" s="14" t="n">
        <v>5144.84</v>
      </c>
      <c r="D617" s="15" t="n"/>
      <c r="E617" s="16">
        <f>C617-Lambda*B617-OtherCost</f>
        <v/>
      </c>
      <c r="F617" s="17">
        <f>C617/B617</f>
        <v/>
      </c>
      <c r="G617" s="24">
        <f>B617/B616-1</f>
        <v/>
      </c>
      <c r="H617" s="24">
        <f>C617/C616-1</f>
        <v/>
      </c>
    </row>
    <row r="618" ht="17" customHeight="1">
      <c r="A618" s="18" t="inlineStr">
        <is>
          <t>2025-12-26</t>
        </is>
      </c>
      <c r="B618" s="19" t="n">
        <v>7000</v>
      </c>
      <c r="C618" s="19" t="n">
        <v>5056.34</v>
      </c>
      <c r="D618" s="20" t="n"/>
      <c r="E618" s="21">
        <f>C618-Lambda*B618-OtherCost</f>
        <v/>
      </c>
      <c r="F618" s="22">
        <f>C618/B618</f>
        <v/>
      </c>
      <c r="G618" s="23">
        <f>B618/B617-1</f>
        <v/>
      </c>
      <c r="H618" s="23">
        <f>C618/C617-1</f>
        <v/>
      </c>
    </row>
    <row r="619" ht="17" customHeight="1">
      <c r="A619" s="13" t="inlineStr">
        <is>
          <t>2025-12-28</t>
        </is>
      </c>
      <c r="B619" s="14" t="n">
        <v>7000</v>
      </c>
      <c r="C619" s="14" t="n">
        <v>5045.84</v>
      </c>
      <c r="D619" s="15" t="n"/>
      <c r="E619" s="16">
        <f>C619-Lambda*B619-OtherCost</f>
        <v/>
      </c>
      <c r="F619" s="17">
        <f>C619/B619</f>
        <v/>
      </c>
      <c r="G619" s="24">
        <f>B619/B618-1</f>
        <v/>
      </c>
      <c r="H619" s="24">
        <f>C619/C618-1</f>
        <v/>
      </c>
    </row>
    <row r="620" ht="17" customHeight="1">
      <c r="A620" s="18" t="inlineStr">
        <is>
          <t>2025-12-29</t>
        </is>
      </c>
      <c r="B620" s="19" t="n">
        <v>7000</v>
      </c>
      <c r="C620" s="19" t="n">
        <v>5082.66</v>
      </c>
      <c r="D620" s="20" t="n"/>
      <c r="E620" s="21">
        <f>C620-Lambda*B620-OtherCost</f>
        <v/>
      </c>
      <c r="F620" s="22">
        <f>C620/B620</f>
        <v/>
      </c>
      <c r="G620" s="23">
        <f>B620/B619-1</f>
        <v/>
      </c>
      <c r="H620" s="23">
        <f>C620/C619-1</f>
        <v/>
      </c>
    </row>
    <row r="621" ht="17" customHeight="1">
      <c r="A621" s="13" t="inlineStr">
        <is>
          <t>2025-12-30</t>
        </is>
      </c>
      <c r="B621" s="14" t="n">
        <v>7500</v>
      </c>
      <c r="C621" s="14" t="n">
        <v>5079.09</v>
      </c>
      <c r="D621" s="15" t="n"/>
      <c r="E621" s="16">
        <f>C621-Lambda*B621-OtherCost</f>
        <v/>
      </c>
      <c r="F621" s="17">
        <f>C621/B621</f>
        <v/>
      </c>
      <c r="G621" s="24">
        <f>B621/B620-1</f>
        <v/>
      </c>
      <c r="H621" s="24">
        <f>C621/C620-1</f>
        <v/>
      </c>
    </row>
    <row r="622" ht="17" customHeight="1">
      <c r="A622" s="18" t="inlineStr">
        <is>
          <t>2025-12-31</t>
        </is>
      </c>
      <c r="B622" s="19" t="n">
        <v>7500</v>
      </c>
      <c r="C622" s="19" t="n">
        <v>5079.09</v>
      </c>
      <c r="D622" s="20" t="n"/>
      <c r="E622" s="21">
        <f>C622-Lambda*B622-OtherCost</f>
        <v/>
      </c>
      <c r="F622" s="22">
        <f>C622/B622</f>
        <v/>
      </c>
      <c r="G622" s="23">
        <f>B622/B621-1</f>
        <v/>
      </c>
      <c r="H622" s="23">
        <f>C622/C621-1</f>
        <v/>
      </c>
    </row>
    <row r="623" ht="17" customHeight="1">
      <c r="A623" s="13" t="inlineStr">
        <is>
          <t>2026-01-01</t>
        </is>
      </c>
      <c r="B623" s="14" t="n">
        <v>7500</v>
      </c>
      <c r="C623" s="14" t="n">
        <v>5079.09</v>
      </c>
      <c r="D623" s="15" t="n"/>
      <c r="E623" s="16">
        <f>C623-Lambda*B623-OtherCost</f>
        <v/>
      </c>
      <c r="F623" s="17">
        <f>C623/B623</f>
        <v/>
      </c>
      <c r="G623" s="24">
        <f>B623/B622-1</f>
        <v/>
      </c>
      <c r="H623" s="24">
        <f>C623/C622-1</f>
        <v/>
      </c>
    </row>
    <row r="624" ht="17" customHeight="1">
      <c r="A624" s="18" t="inlineStr">
        <is>
          <t>2026-01-02</t>
        </is>
      </c>
      <c r="B624" s="19" t="n">
        <v>7500</v>
      </c>
      <c r="C624" s="19" t="n">
        <v>5079.09</v>
      </c>
      <c r="D624" s="20" t="n"/>
      <c r="E624" s="21">
        <f>C624-Lambda*B624-OtherCost</f>
        <v/>
      </c>
      <c r="F624" s="22">
        <f>C624/B624</f>
        <v/>
      </c>
      <c r="G624" s="23">
        <f>B624/B623-1</f>
        <v/>
      </c>
      <c r="H624" s="23">
        <f>C624/C623-1</f>
        <v/>
      </c>
    </row>
    <row r="625" ht="17" customHeight="1">
      <c r="A625" s="13" t="inlineStr">
        <is>
          <t>2026-01-04</t>
        </is>
      </c>
      <c r="B625" s="14" t="n">
        <v>7500</v>
      </c>
      <c r="C625" s="14" t="n">
        <v>5014.91</v>
      </c>
      <c r="D625" s="15" t="n"/>
      <c r="E625" s="16">
        <f>C625-Lambda*B625-OtherCost</f>
        <v/>
      </c>
      <c r="F625" s="17">
        <f>C625/B625</f>
        <v/>
      </c>
      <c r="G625" s="24">
        <f>B625/B624-1</f>
        <v/>
      </c>
      <c r="H625" s="24">
        <f>C625/C624-1</f>
        <v/>
      </c>
    </row>
    <row r="626" ht="17" customHeight="1">
      <c r="A626" s="18" t="inlineStr">
        <is>
          <t>2026-01-05</t>
        </is>
      </c>
      <c r="B626" s="19" t="n">
        <v>7500</v>
      </c>
      <c r="C626" s="19" t="n">
        <v>5126.75</v>
      </c>
      <c r="D626" s="20" t="n"/>
      <c r="E626" s="21">
        <f>C626-Lambda*B626-OtherCost</f>
        <v/>
      </c>
      <c r="F626" s="22">
        <f>C626/B626</f>
        <v/>
      </c>
      <c r="G626" s="23">
        <f>B626/B625-1</f>
        <v/>
      </c>
      <c r="H626" s="23">
        <f>C626/C625-1</f>
        <v/>
      </c>
    </row>
    <row r="627" ht="17" customHeight="1">
      <c r="A627" s="13" t="inlineStr">
        <is>
          <t>2026-01-06</t>
        </is>
      </c>
      <c r="B627" s="14" t="n">
        <v>7500</v>
      </c>
      <c r="C627" s="14" t="n">
        <v>5089.34</v>
      </c>
      <c r="D627" s="15" t="n"/>
      <c r="E627" s="16">
        <f>C627-Lambda*B627-OtherCost</f>
        <v/>
      </c>
      <c r="F627" s="17">
        <f>C627/B627</f>
        <v/>
      </c>
      <c r="G627" s="24">
        <f>B627/B626-1</f>
        <v/>
      </c>
      <c r="H627" s="24">
        <f>C627/C626-1</f>
        <v/>
      </c>
    </row>
    <row r="628" ht="17" customHeight="1">
      <c r="A628" s="18" t="inlineStr">
        <is>
          <t>2026-01-07</t>
        </is>
      </c>
      <c r="B628" s="19" t="n">
        <v>7500</v>
      </c>
      <c r="C628" s="19" t="n">
        <v>5078.66</v>
      </c>
      <c r="D628" s="20" t="n"/>
      <c r="E628" s="21">
        <f>C628-Lambda*B628-OtherCost</f>
        <v/>
      </c>
      <c r="F628" s="22">
        <f>C628/B628</f>
        <v/>
      </c>
      <c r="G628" s="23">
        <f>B628/B627-1</f>
        <v/>
      </c>
      <c r="H628" s="23">
        <f>C628/C627-1</f>
        <v/>
      </c>
    </row>
    <row r="629" ht="17" customHeight="1">
      <c r="A629" s="13" t="inlineStr">
        <is>
          <t>2026-01-08</t>
        </is>
      </c>
      <c r="B629" s="14" t="n">
        <v>7500</v>
      </c>
      <c r="C629" s="14" t="n">
        <v>5094.66</v>
      </c>
      <c r="D629" s="15" t="n"/>
      <c r="E629" s="16">
        <f>C629-Lambda*B629-OtherCost</f>
        <v/>
      </c>
      <c r="F629" s="17">
        <f>C629/B629</f>
        <v/>
      </c>
      <c r="G629" s="24">
        <f>B629/B628-1</f>
        <v/>
      </c>
      <c r="H629" s="24">
        <f>C629/C628-1</f>
        <v/>
      </c>
    </row>
    <row r="630" ht="17" customHeight="1">
      <c r="A630" s="18" t="inlineStr">
        <is>
          <t>2026-01-09</t>
        </is>
      </c>
      <c r="B630" s="19" t="n">
        <v>7500</v>
      </c>
      <c r="C630" s="19" t="n">
        <v>5078.66</v>
      </c>
      <c r="D630" s="20" t="n"/>
      <c r="E630" s="21">
        <f>C630-Lambda*B630-OtherCost</f>
        <v/>
      </c>
      <c r="F630" s="22">
        <f>C630/B630</f>
        <v/>
      </c>
      <c r="G630" s="23">
        <f>B630/B629-1</f>
        <v/>
      </c>
      <c r="H630" s="23">
        <f>C630/C629-1</f>
        <v/>
      </c>
    </row>
    <row r="631" ht="17" customHeight="1">
      <c r="A631" s="13" t="inlineStr">
        <is>
          <t>2026-01-11</t>
        </is>
      </c>
      <c r="B631" s="14" t="n">
        <v>7500</v>
      </c>
      <c r="C631" s="14" t="n">
        <v>5123.09</v>
      </c>
      <c r="D631" s="15" t="n"/>
      <c r="E631" s="16">
        <f>C631-Lambda*B631-OtherCost</f>
        <v/>
      </c>
      <c r="F631" s="17">
        <f>C631/B631</f>
        <v/>
      </c>
      <c r="G631" s="24">
        <f>B631/B630-1</f>
        <v/>
      </c>
      <c r="H631" s="24">
        <f>C631/C630-1</f>
        <v/>
      </c>
    </row>
    <row r="632" ht="17" customHeight="1">
      <c r="A632" s="18" t="inlineStr">
        <is>
          <t>2026-01-12</t>
        </is>
      </c>
      <c r="B632" s="19" t="n">
        <v>7500</v>
      </c>
      <c r="C632" s="19" t="n">
        <v>5108.58</v>
      </c>
      <c r="D632" s="20" t="n"/>
      <c r="E632" s="21">
        <f>C632-Lambda*B632-OtherCost</f>
        <v/>
      </c>
      <c r="F632" s="22">
        <f>C632/B632</f>
        <v/>
      </c>
      <c r="G632" s="23">
        <f>B632/B631-1</f>
        <v/>
      </c>
      <c r="H632" s="23">
        <f>C632/C631-1</f>
        <v/>
      </c>
    </row>
    <row r="633" ht="17" customHeight="1">
      <c r="A633" s="13" t="inlineStr">
        <is>
          <t>2026-01-13</t>
        </is>
      </c>
      <c r="B633" s="14" t="n">
        <v>7500</v>
      </c>
      <c r="C633" s="14" t="n">
        <v>5093.58</v>
      </c>
      <c r="D633" s="15" t="n"/>
      <c r="E633" s="16">
        <f>C633-Lambda*B633-OtherCost</f>
        <v/>
      </c>
      <c r="F633" s="17">
        <f>C633/B633</f>
        <v/>
      </c>
      <c r="G633" s="24">
        <f>B633/B632-1</f>
        <v/>
      </c>
      <c r="H633" s="24">
        <f>C633/C632-1</f>
        <v/>
      </c>
    </row>
    <row r="634" ht="17" customHeight="1">
      <c r="A634" s="18" t="inlineStr">
        <is>
          <t>2026-01-14</t>
        </is>
      </c>
      <c r="B634" s="19" t="n">
        <v>7500</v>
      </c>
      <c r="C634" s="19" t="n">
        <v>5064.09</v>
      </c>
      <c r="D634" s="20" t="n"/>
      <c r="E634" s="21">
        <f>C634-Lambda*B634-OtherCost</f>
        <v/>
      </c>
      <c r="F634" s="22">
        <f>C634/B634</f>
        <v/>
      </c>
      <c r="G634" s="23">
        <f>B634/B633-1</f>
        <v/>
      </c>
      <c r="H634" s="23">
        <f>C634/C633-1</f>
        <v/>
      </c>
    </row>
    <row r="635" ht="17" customHeight="1">
      <c r="A635" s="13" t="inlineStr">
        <is>
          <t>2026-01-15</t>
        </is>
      </c>
      <c r="B635" s="14" t="n">
        <v>7500</v>
      </c>
      <c r="C635" s="14" t="n">
        <v>5019.83</v>
      </c>
      <c r="D635" s="15" t="n"/>
      <c r="E635" s="16">
        <f>C635-Lambda*B635-OtherCost</f>
        <v/>
      </c>
      <c r="F635" s="17">
        <f>C635/B635</f>
        <v/>
      </c>
      <c r="G635" s="24">
        <f>B635/B634-1</f>
        <v/>
      </c>
      <c r="H635" s="24">
        <f>C635/C634-1</f>
        <v/>
      </c>
    </row>
    <row r="636" ht="17" customHeight="1">
      <c r="A636" s="18" t="inlineStr">
        <is>
          <t>2026-01-16</t>
        </is>
      </c>
      <c r="B636" s="19" t="n">
        <v>7500</v>
      </c>
      <c r="C636" s="19" t="n">
        <v>5064.09</v>
      </c>
      <c r="D636" s="20" t="n"/>
      <c r="E636" s="21">
        <f>C636-Lambda*B636-OtherCost</f>
        <v/>
      </c>
      <c r="F636" s="22">
        <f>C636/B636</f>
        <v/>
      </c>
      <c r="G636" s="23">
        <f>B636/B635-1</f>
        <v/>
      </c>
      <c r="H636" s="23">
        <f>C636/C635-1</f>
        <v/>
      </c>
    </row>
    <row r="637" ht="17" customHeight="1">
      <c r="A637" s="13" t="inlineStr">
        <is>
          <t>2026-01-18</t>
        </is>
      </c>
      <c r="B637" s="14" t="n">
        <v>7500</v>
      </c>
      <c r="C637" s="14" t="n">
        <v>5009.34</v>
      </c>
      <c r="D637" s="15" t="n"/>
      <c r="E637" s="16">
        <f>C637-Lambda*B637-OtherCost</f>
        <v/>
      </c>
      <c r="F637" s="17">
        <f>C637/B637</f>
        <v/>
      </c>
      <c r="G637" s="24">
        <f>B637/B636-1</f>
        <v/>
      </c>
      <c r="H637" s="24">
        <f>C637/C636-1</f>
        <v/>
      </c>
    </row>
    <row r="638" ht="17" customHeight="1">
      <c r="A638" s="18" t="inlineStr">
        <is>
          <t>2026-01-19</t>
        </is>
      </c>
      <c r="B638" s="19" t="n">
        <v>7500</v>
      </c>
      <c r="C638" s="19" t="n">
        <v>5044.92</v>
      </c>
      <c r="D638" s="20" t="n"/>
      <c r="E638" s="21">
        <f>C638-Lambda*B638-OtherCost</f>
        <v/>
      </c>
      <c r="F638" s="22">
        <f>C638/B638</f>
        <v/>
      </c>
      <c r="G638" s="23">
        <f>B638/B637-1</f>
        <v/>
      </c>
      <c r="H638" s="23">
        <f>C638/C637-1</f>
        <v/>
      </c>
    </row>
    <row r="639" ht="17" customHeight="1">
      <c r="A639" s="13" t="inlineStr">
        <is>
          <t>2026-01-20</t>
        </is>
      </c>
      <c r="B639" s="14" t="n">
        <v>7500</v>
      </c>
      <c r="C639" s="14" t="n">
        <v>5059.41</v>
      </c>
      <c r="D639" s="15" t="n"/>
      <c r="E639" s="16">
        <f>C639-Lambda*B639-OtherCost</f>
        <v/>
      </c>
      <c r="F639" s="17">
        <f>C639/B639</f>
        <v/>
      </c>
      <c r="G639" s="24">
        <f>B639/B638-1</f>
        <v/>
      </c>
      <c r="H639" s="24">
        <f>C639/C638-1</f>
        <v/>
      </c>
    </row>
    <row r="640" ht="17" customHeight="1">
      <c r="A640" s="18" t="inlineStr">
        <is>
          <t>2026-01-21</t>
        </is>
      </c>
      <c r="B640" s="19" t="n">
        <v>7500</v>
      </c>
      <c r="C640" s="19" t="n">
        <v>5098.75</v>
      </c>
      <c r="D640" s="20" t="n"/>
      <c r="E640" s="21">
        <f>C640-Lambda*B640-OtherCost</f>
        <v/>
      </c>
      <c r="F640" s="22">
        <f>C640/B640</f>
        <v/>
      </c>
      <c r="G640" s="23">
        <f>B640/B639-1</f>
        <v/>
      </c>
      <c r="H640" s="23">
        <f>C640/C639-1</f>
        <v/>
      </c>
    </row>
    <row r="641" ht="17" customHeight="1">
      <c r="A641" s="13" t="inlineStr">
        <is>
          <t>2026-01-22</t>
        </is>
      </c>
      <c r="B641" s="14" t="n">
        <v>7500</v>
      </c>
      <c r="C641" s="14" t="n">
        <v>5247.5</v>
      </c>
      <c r="D641" s="15" t="n"/>
      <c r="E641" s="16">
        <f>C641-Lambda*B641-OtherCost</f>
        <v/>
      </c>
      <c r="F641" s="17">
        <f>C641/B641</f>
        <v/>
      </c>
      <c r="G641" s="24">
        <f>B641/B640-1</f>
        <v/>
      </c>
      <c r="H641" s="24">
        <f>C641/C640-1</f>
        <v/>
      </c>
    </row>
    <row r="642" ht="17" customHeight="1">
      <c r="A642" s="18" t="inlineStr">
        <is>
          <t>2026-01-23</t>
        </is>
      </c>
      <c r="B642" s="19" t="n">
        <v>7500</v>
      </c>
      <c r="C642" s="19" t="n">
        <v>5098.75</v>
      </c>
      <c r="D642" s="20" t="n"/>
      <c r="E642" s="21">
        <f>C642-Lambda*B642-OtherCost</f>
        <v/>
      </c>
      <c r="F642" s="22">
        <f>C642/B642</f>
        <v/>
      </c>
      <c r="G642" s="23">
        <f>B642/B641-1</f>
        <v/>
      </c>
      <c r="H642" s="23">
        <f>C642/C641-1</f>
        <v/>
      </c>
    </row>
    <row r="643" ht="17" customHeight="1">
      <c r="A643" s="13" t="inlineStr">
        <is>
          <t>2026-01-25</t>
        </is>
      </c>
      <c r="B643" s="14" t="n">
        <v>7300</v>
      </c>
      <c r="C643" s="14" t="n">
        <v>5341.25</v>
      </c>
      <c r="D643" s="15" t="n"/>
      <c r="E643" s="16">
        <f>C643-Lambda*B643-OtherCost</f>
        <v/>
      </c>
      <c r="F643" s="17">
        <f>C643/B643</f>
        <v/>
      </c>
      <c r="G643" s="24">
        <f>B643/B642-1</f>
        <v/>
      </c>
      <c r="H643" s="24">
        <f>C643/C642-1</f>
        <v/>
      </c>
    </row>
    <row r="644" ht="17" customHeight="1">
      <c r="A644" s="18" t="inlineStr">
        <is>
          <t>2026-01-26</t>
        </is>
      </c>
      <c r="B644" s="19" t="n">
        <v>7300</v>
      </c>
      <c r="C644" s="19" t="n">
        <v>5267.09</v>
      </c>
      <c r="D644" s="20" t="n"/>
      <c r="E644" s="21">
        <f>C644-Lambda*B644-OtherCost</f>
        <v/>
      </c>
      <c r="F644" s="22">
        <f>C644/B644</f>
        <v/>
      </c>
      <c r="G644" s="23">
        <f>B644/B643-1</f>
        <v/>
      </c>
      <c r="H644" s="23">
        <f>C644/C643-1</f>
        <v/>
      </c>
    </row>
    <row r="645" ht="17" customHeight="1">
      <c r="A645" s="13" t="inlineStr">
        <is>
          <t>2026-01-27</t>
        </is>
      </c>
      <c r="B645" s="14" t="n">
        <v>7300</v>
      </c>
      <c r="C645" s="14" t="n">
        <v>5314.75</v>
      </c>
      <c r="D645" s="15" t="n"/>
      <c r="E645" s="16">
        <f>C645-Lambda*B645-OtherCost</f>
        <v/>
      </c>
      <c r="F645" s="17">
        <f>C645/B645</f>
        <v/>
      </c>
      <c r="G645" s="24">
        <f>B645/B644-1</f>
        <v/>
      </c>
      <c r="H645" s="24">
        <f>C645/C644-1</f>
        <v/>
      </c>
    </row>
    <row r="646" ht="17" customHeight="1">
      <c r="A646" s="18" t="inlineStr">
        <is>
          <t>2026-01-28</t>
        </is>
      </c>
      <c r="B646" s="19" t="n">
        <v>7300</v>
      </c>
      <c r="C646" s="19" t="n">
        <v>5297.25</v>
      </c>
      <c r="D646" s="20" t="n"/>
      <c r="E646" s="21">
        <f>C646-Lambda*B646-OtherCost</f>
        <v/>
      </c>
      <c r="F646" s="22">
        <f>C646/B646</f>
        <v/>
      </c>
      <c r="G646" s="23">
        <f>B646/B645-1</f>
        <v/>
      </c>
      <c r="H646" s="23">
        <f>C646/C645-1</f>
        <v/>
      </c>
    </row>
    <row r="647" ht="17" customHeight="1">
      <c r="A647" s="13" t="inlineStr">
        <is>
          <t>2026-01-29</t>
        </is>
      </c>
      <c r="B647" s="14" t="n">
        <v>7300</v>
      </c>
      <c r="C647" s="14" t="n">
        <v>5298.83</v>
      </c>
      <c r="D647" s="15" t="n"/>
      <c r="E647" s="16">
        <f>C647-Lambda*B647-OtherCost</f>
        <v/>
      </c>
      <c r="F647" s="17">
        <f>C647/B647</f>
        <v/>
      </c>
      <c r="G647" s="24">
        <f>B647/B646-1</f>
        <v/>
      </c>
      <c r="H647" s="24">
        <f>C647/C646-1</f>
        <v/>
      </c>
    </row>
    <row r="648" ht="17" customHeight="1">
      <c r="A648" s="18" t="inlineStr">
        <is>
          <t>2026-01-30</t>
        </is>
      </c>
      <c r="B648" s="19" t="n">
        <v>7300</v>
      </c>
      <c r="C648" s="19" t="n">
        <v>5297.25</v>
      </c>
      <c r="D648" s="20" t="n"/>
      <c r="E648" s="21">
        <f>C648-Lambda*B648-OtherCost</f>
        <v/>
      </c>
      <c r="F648" s="22">
        <f>C648/B648</f>
        <v/>
      </c>
      <c r="G648" s="23">
        <f>B648/B647-1</f>
        <v/>
      </c>
      <c r="H648" s="23">
        <f>C648/C647-1</f>
        <v/>
      </c>
    </row>
    <row r="649" ht="17" customHeight="1">
      <c r="A649" s="13" t="inlineStr">
        <is>
          <t>2026-02-01</t>
        </is>
      </c>
      <c r="B649" s="14" t="n">
        <v>7650</v>
      </c>
      <c r="C649" s="14" t="n">
        <v>5173.91</v>
      </c>
      <c r="D649" s="15" t="n"/>
      <c r="E649" s="16">
        <f>C649-Lambda*B649-OtherCost</f>
        <v/>
      </c>
      <c r="F649" s="17">
        <f>C649/B649</f>
        <v/>
      </c>
      <c r="G649" s="24">
        <f>B649/B648-1</f>
        <v/>
      </c>
      <c r="H649" s="24">
        <f>C649/C648-1</f>
        <v/>
      </c>
    </row>
    <row r="650" ht="17" customHeight="1">
      <c r="A650" s="18" t="inlineStr">
        <is>
          <t>2026-02-02</t>
        </is>
      </c>
      <c r="B650" s="19" t="n">
        <v>7650</v>
      </c>
      <c r="C650" s="19" t="n">
        <v>5151.09</v>
      </c>
      <c r="D650" s="20" t="n"/>
      <c r="E650" s="21">
        <f>C650-Lambda*B650-OtherCost</f>
        <v/>
      </c>
      <c r="F650" s="22">
        <f>C650/B650</f>
        <v/>
      </c>
      <c r="G650" s="23">
        <f>B650/B649-1</f>
        <v/>
      </c>
      <c r="H650" s="23">
        <f>C650/C649-1</f>
        <v/>
      </c>
    </row>
    <row r="651" ht="17" customHeight="1">
      <c r="A651" s="13" t="inlineStr">
        <is>
          <t>2026-02-03</t>
        </is>
      </c>
      <c r="B651" s="14" t="n">
        <v>7650</v>
      </c>
      <c r="C651" s="14" t="n">
        <v>5167.03</v>
      </c>
      <c r="D651" s="15" t="n"/>
      <c r="E651" s="16">
        <f>C651-Lambda*B651-OtherCost</f>
        <v/>
      </c>
      <c r="F651" s="17">
        <f>C651/B651</f>
        <v/>
      </c>
      <c r="G651" s="24">
        <f>B651/B650-1</f>
        <v/>
      </c>
      <c r="H651" s="24">
        <f>C651/C650-1</f>
        <v/>
      </c>
    </row>
    <row r="652" ht="17" customHeight="1">
      <c r="A652" s="18" t="inlineStr">
        <is>
          <t>2026-02-04</t>
        </is>
      </c>
      <c r="B652" s="19" t="n">
        <v>7650</v>
      </c>
      <c r="C652" s="19" t="n">
        <v>5130.9</v>
      </c>
      <c r="D652" s="20" t="n"/>
      <c r="E652" s="21">
        <f>C652-Lambda*B652-OtherCost</f>
        <v/>
      </c>
      <c r="F652" s="22">
        <f>C652/B652</f>
        <v/>
      </c>
      <c r="G652" s="23">
        <f>B652/B651-1</f>
        <v/>
      </c>
      <c r="H652" s="23">
        <f>C652/C651-1</f>
        <v/>
      </c>
    </row>
    <row r="653" ht="17" customHeight="1">
      <c r="A653" s="13" t="inlineStr">
        <is>
          <t>2026-02-05</t>
        </is>
      </c>
      <c r="B653" s="14" t="n">
        <v>7650</v>
      </c>
      <c r="C653" s="14" t="n">
        <v>5144.26</v>
      </c>
      <c r="D653" s="15" t="n"/>
      <c r="E653" s="16">
        <f>C653-Lambda*B653-OtherCost</f>
        <v/>
      </c>
      <c r="F653" s="17">
        <f>C653/B653</f>
        <v/>
      </c>
      <c r="G653" s="24">
        <f>B653/B652-1</f>
        <v/>
      </c>
      <c r="H653" s="24">
        <f>C653/C652-1</f>
        <v/>
      </c>
    </row>
    <row r="654" ht="17" customHeight="1">
      <c r="A654" s="18" t="inlineStr">
        <is>
          <t>2026-02-06</t>
        </is>
      </c>
      <c r="B654" s="19" t="n">
        <v>7650</v>
      </c>
      <c r="C654" s="19" t="n">
        <v>5130.9</v>
      </c>
      <c r="D654" s="20" t="n"/>
      <c r="E654" s="21">
        <f>C654-Lambda*B654-OtherCost</f>
        <v/>
      </c>
      <c r="F654" s="22">
        <f>C654/B654</f>
        <v/>
      </c>
      <c r="G654" s="23">
        <f>B654/B653-1</f>
        <v/>
      </c>
      <c r="H654" s="23">
        <f>C654/C653-1</f>
        <v/>
      </c>
    </row>
    <row r="655" ht="17" customHeight="1">
      <c r="A655" s="13" t="inlineStr">
        <is>
          <t>2026-02-08</t>
        </is>
      </c>
      <c r="B655" s="14" t="n">
        <v>7650</v>
      </c>
      <c r="C655" s="14" t="n">
        <v>5151.86</v>
      </c>
      <c r="D655" s="15" t="n"/>
      <c r="E655" s="16">
        <f>C655-Lambda*B655-OtherCost</f>
        <v/>
      </c>
      <c r="F655" s="17">
        <f>C655/B655</f>
        <v/>
      </c>
      <c r="G655" s="24">
        <f>B655/B654-1</f>
        <v/>
      </c>
      <c r="H655" s="24">
        <f>C655/C654-1</f>
        <v/>
      </c>
    </row>
    <row r="656" ht="17" customHeight="1">
      <c r="A656" s="18" t="inlineStr">
        <is>
          <t>2026-02-09</t>
        </is>
      </c>
      <c r="B656" s="19" t="n">
        <v>7650</v>
      </c>
      <c r="C656" s="19" t="n">
        <v>5195.2</v>
      </c>
      <c r="D656" s="20" t="n"/>
      <c r="E656" s="21">
        <f>C656-Lambda*B656-OtherCost</f>
        <v/>
      </c>
      <c r="F656" s="22">
        <f>C656/B656</f>
        <v/>
      </c>
      <c r="G656" s="23">
        <f>B656/B655-1</f>
        <v/>
      </c>
      <c r="H656" s="23">
        <f>C656/C655-1</f>
        <v/>
      </c>
    </row>
    <row r="657" ht="17" customHeight="1">
      <c r="A657" s="13" t="inlineStr">
        <is>
          <t>2026-02-10</t>
        </is>
      </c>
      <c r="B657" s="14" t="n">
        <v>7650</v>
      </c>
      <c r="C657" s="14" t="n">
        <v>5212.07</v>
      </c>
      <c r="D657" s="15" t="n"/>
      <c r="E657" s="16">
        <f>C657-Lambda*B657-OtherCost</f>
        <v/>
      </c>
      <c r="F657" s="17">
        <f>C657/B657</f>
        <v/>
      </c>
      <c r="G657" s="24">
        <f>B657/B656-1</f>
        <v/>
      </c>
      <c r="H657" s="24">
        <f>C657/C656-1</f>
        <v/>
      </c>
    </row>
    <row r="658" ht="17" customHeight="1">
      <c r="A658" s="18" t="inlineStr">
        <is>
          <t>2026-02-11</t>
        </is>
      </c>
      <c r="B658" s="19" t="n">
        <v>7650</v>
      </c>
      <c r="C658" s="19" t="n">
        <v>5184.66</v>
      </c>
      <c r="D658" s="20" t="n"/>
      <c r="E658" s="21">
        <f>C658-Lambda*B658-OtherCost</f>
        <v/>
      </c>
      <c r="F658" s="22">
        <f>C658/B658</f>
        <v/>
      </c>
      <c r="G658" s="23">
        <f>B658/B657-1</f>
        <v/>
      </c>
      <c r="H658" s="23">
        <f>C658/C657-1</f>
        <v/>
      </c>
    </row>
    <row r="659" ht="17" customHeight="1">
      <c r="A659" s="13" t="inlineStr">
        <is>
          <t>2026-02-12</t>
        </is>
      </c>
      <c r="B659" s="14" t="n">
        <v>7650</v>
      </c>
      <c r="C659" s="14" t="n">
        <v>5168.5</v>
      </c>
      <c r="D659" s="15" t="n"/>
      <c r="E659" s="16">
        <f>C659-Lambda*B659-OtherCost</f>
        <v/>
      </c>
      <c r="F659" s="17">
        <f>C659/B659</f>
        <v/>
      </c>
      <c r="G659" s="24">
        <f>B659/B658-1</f>
        <v/>
      </c>
      <c r="H659" s="24">
        <f>C659/C658-1</f>
        <v/>
      </c>
    </row>
    <row r="660" ht="17" customHeight="1">
      <c r="A660" s="18" t="inlineStr">
        <is>
          <t>2026-02-13</t>
        </is>
      </c>
      <c r="B660" s="19" t="n">
        <v>7650</v>
      </c>
      <c r="C660" s="19" t="n">
        <v>5184.66</v>
      </c>
      <c r="D660" s="20" t="n"/>
      <c r="E660" s="21">
        <f>C660-Lambda*B660-OtherCost</f>
        <v/>
      </c>
      <c r="F660" s="22">
        <f>C660/B660</f>
        <v/>
      </c>
      <c r="G660" s="23">
        <f>B660/B659-1</f>
        <v/>
      </c>
      <c r="H660" s="23">
        <f>C660/C659-1</f>
        <v/>
      </c>
    </row>
    <row r="661" ht="17" customHeight="1">
      <c r="A661" s="13" t="inlineStr">
        <is>
          <t>2026-02-15</t>
        </is>
      </c>
      <c r="B661" s="14" t="n">
        <v>7650</v>
      </c>
      <c r="C661" s="14" t="n">
        <v>5168.5</v>
      </c>
      <c r="D661" s="15" t="n"/>
      <c r="E661" s="16">
        <f>C661-Lambda*B661-OtherCost</f>
        <v/>
      </c>
      <c r="F661" s="17">
        <f>C661/B661</f>
        <v/>
      </c>
      <c r="G661" s="24">
        <f>B661/B660-1</f>
        <v/>
      </c>
      <c r="H661" s="24">
        <f>C661/C660-1</f>
        <v/>
      </c>
    </row>
    <row r="662" ht="17" customHeight="1">
      <c r="A662" s="18" t="inlineStr">
        <is>
          <t>2026-02-16</t>
        </is>
      </c>
      <c r="B662" s="19" t="n">
        <v>7650</v>
      </c>
      <c r="C662" s="19" t="n">
        <v>5168.5</v>
      </c>
      <c r="D662" s="20" t="n"/>
      <c r="E662" s="21">
        <f>C662-Lambda*B662-OtherCost</f>
        <v/>
      </c>
      <c r="F662" s="22">
        <f>C662/B662</f>
        <v/>
      </c>
      <c r="G662" s="23">
        <f>B662/B661-1</f>
        <v/>
      </c>
      <c r="H662" s="23">
        <f>C662/C661-1</f>
        <v/>
      </c>
    </row>
    <row r="663" ht="17" customHeight="1">
      <c r="A663" s="13" t="inlineStr">
        <is>
          <t>2026-02-17</t>
        </is>
      </c>
      <c r="B663" s="14" t="n">
        <v>7650</v>
      </c>
      <c r="C663" s="14" t="n">
        <v>5168.5</v>
      </c>
      <c r="D663" s="15" t="n"/>
      <c r="E663" s="16">
        <f>C663-Lambda*B663-OtherCost</f>
        <v/>
      </c>
      <c r="F663" s="17">
        <f>C663/B663</f>
        <v/>
      </c>
      <c r="G663" s="24">
        <f>B663/B662-1</f>
        <v/>
      </c>
      <c r="H663" s="24">
        <f>C663/C662-1</f>
        <v/>
      </c>
    </row>
    <row r="664" ht="17" customHeight="1">
      <c r="A664" s="18" t="inlineStr">
        <is>
          <t>2026-02-18</t>
        </is>
      </c>
      <c r="B664" s="19" t="n">
        <v>7650</v>
      </c>
      <c r="C664" s="19" t="n">
        <v>5181.47</v>
      </c>
      <c r="D664" s="20" t="n"/>
      <c r="E664" s="21">
        <f>C664-Lambda*B664-OtherCost</f>
        <v/>
      </c>
      <c r="F664" s="22">
        <f>C664/B664</f>
        <v/>
      </c>
      <c r="G664" s="23">
        <f>B664/B663-1</f>
        <v/>
      </c>
      <c r="H664" s="23">
        <f>C664/C663-1</f>
        <v/>
      </c>
    </row>
    <row r="665" ht="17" customHeight="1">
      <c r="A665" s="13" t="inlineStr">
        <is>
          <t>2026-02-19</t>
        </is>
      </c>
      <c r="B665" s="14" t="n">
        <v>7650</v>
      </c>
      <c r="C665" s="14" t="n">
        <v>5181.47</v>
      </c>
      <c r="D665" s="15" t="n"/>
      <c r="E665" s="16">
        <f>C665-Lambda*B665-OtherCost</f>
        <v/>
      </c>
      <c r="F665" s="17">
        <f>C665/B665</f>
        <v/>
      </c>
      <c r="G665" s="24">
        <f>B665/B664-1</f>
        <v/>
      </c>
      <c r="H665" s="24">
        <f>C665/C664-1</f>
        <v/>
      </c>
    </row>
    <row r="666" ht="17" customHeight="1">
      <c r="A666" s="18" t="inlineStr">
        <is>
          <t>2026-02-20</t>
        </is>
      </c>
      <c r="B666" s="19" t="n">
        <v>7650</v>
      </c>
      <c r="C666" s="19" t="n">
        <v>5181.47</v>
      </c>
      <c r="D666" s="20" t="n"/>
      <c r="E666" s="21">
        <f>C666-Lambda*B666-OtherCost</f>
        <v/>
      </c>
      <c r="F666" s="22">
        <f>C666/B666</f>
        <v/>
      </c>
      <c r="G666" s="23">
        <f>B666/B665-1</f>
        <v/>
      </c>
      <c r="H666" s="23">
        <f>C666/C665-1</f>
        <v/>
      </c>
    </row>
    <row r="667" ht="17" customHeight="1">
      <c r="A667" s="13" t="inlineStr">
        <is>
          <t>2026-02-22</t>
        </is>
      </c>
      <c r="B667" s="14" t="n">
        <v>7650</v>
      </c>
      <c r="C667" s="14" t="n">
        <v>5181.47</v>
      </c>
      <c r="D667" s="15" t="n"/>
      <c r="E667" s="16">
        <f>C667-Lambda*B667-OtherCost</f>
        <v/>
      </c>
      <c r="F667" s="17">
        <f>C667/B667</f>
        <v/>
      </c>
      <c r="G667" s="24">
        <f>B667/B666-1</f>
        <v/>
      </c>
      <c r="H667" s="24">
        <f>C667/C666-1</f>
        <v/>
      </c>
    </row>
    <row r="668" ht="17" customHeight="1">
      <c r="A668" s="18" t="inlineStr">
        <is>
          <t>2026-02-23</t>
        </is>
      </c>
      <c r="B668" s="19" t="n">
        <v>7650</v>
      </c>
      <c r="C668" s="19" t="n">
        <v>5324.57</v>
      </c>
      <c r="D668" s="20" t="n"/>
      <c r="E668" s="21">
        <f>C668-Lambda*B668-OtherCost</f>
        <v/>
      </c>
      <c r="F668" s="22">
        <f>C668/B668</f>
        <v/>
      </c>
      <c r="G668" s="23">
        <f>B668/B667-1</f>
        <v/>
      </c>
      <c r="H668" s="23">
        <f>C668/C667-1</f>
        <v/>
      </c>
    </row>
    <row r="669" ht="17" customHeight="1">
      <c r="A669" s="13" t="inlineStr">
        <is>
          <t>2026-02-24</t>
        </is>
      </c>
      <c r="B669" s="14" t="n">
        <v>7650</v>
      </c>
      <c r="C669" s="14" t="n">
        <v>5319.43</v>
      </c>
      <c r="D669" s="15" t="n"/>
      <c r="E669" s="16">
        <f>C669-Lambda*B669-OtherCost</f>
        <v/>
      </c>
      <c r="F669" s="17">
        <f>C669/B669</f>
        <v/>
      </c>
      <c r="G669" s="24">
        <f>B669/B668-1</f>
        <v/>
      </c>
      <c r="H669" s="24">
        <f>C669/C668-1</f>
        <v/>
      </c>
    </row>
    <row r="670" ht="17" customHeight="1">
      <c r="A670" s="18" t="inlineStr">
        <is>
          <t>2026-02-25</t>
        </is>
      </c>
      <c r="B670" s="19" t="n">
        <v>7650</v>
      </c>
      <c r="C670" s="19" t="n">
        <v>5270.64</v>
      </c>
      <c r="D670" s="20" t="n"/>
      <c r="E670" s="21">
        <f>C670-Lambda*B670-OtherCost</f>
        <v/>
      </c>
      <c r="F670" s="22">
        <f>C670/B670</f>
        <v/>
      </c>
      <c r="G670" s="23">
        <f>B670/B669-1</f>
        <v/>
      </c>
      <c r="H670" s="23">
        <f>C670/C669-1</f>
        <v/>
      </c>
    </row>
    <row r="671" ht="17" customHeight="1">
      <c r="A671" s="13" t="inlineStr">
        <is>
          <t>2026-02-26</t>
        </is>
      </c>
      <c r="B671" s="14" t="n">
        <v>7650</v>
      </c>
      <c r="C671" s="14" t="n">
        <v>5237.9</v>
      </c>
      <c r="D671" s="15" t="n"/>
      <c r="E671" s="16">
        <f>C671-Lambda*B671-OtherCost</f>
        <v/>
      </c>
      <c r="F671" s="17">
        <f>C671/B671</f>
        <v/>
      </c>
      <c r="G671" s="24">
        <f>B671/B670-1</f>
        <v/>
      </c>
      <c r="H671" s="24">
        <f>C671/C670-1</f>
        <v/>
      </c>
    </row>
    <row r="672" ht="17" customHeight="1">
      <c r="A672" s="18" t="inlineStr">
        <is>
          <t>2026-02-27</t>
        </is>
      </c>
      <c r="B672" s="19" t="n">
        <v>7650</v>
      </c>
      <c r="C672" s="19" t="n">
        <v>5270.64</v>
      </c>
      <c r="D672" s="20" t="n"/>
      <c r="E672" s="21">
        <f>C672-Lambda*B672-OtherCost</f>
        <v/>
      </c>
      <c r="F672" s="22">
        <f>C672/B672</f>
        <v/>
      </c>
      <c r="G672" s="23">
        <f>B672/B671-1</f>
        <v/>
      </c>
      <c r="H672" s="23">
        <f>C672/C671-1</f>
        <v/>
      </c>
    </row>
    <row r="673" ht="17" customHeight="1">
      <c r="A673" s="13" t="inlineStr">
        <is>
          <t>2026-03-01</t>
        </is>
      </c>
      <c r="B673" s="14" t="n">
        <v>7600</v>
      </c>
      <c r="C673" s="14" t="n">
        <v>5374.74</v>
      </c>
      <c r="D673" s="15" t="n"/>
      <c r="E673" s="16">
        <f>C673-Lambda*B673-OtherCost</f>
        <v/>
      </c>
      <c r="F673" s="17">
        <f>C673/B673</f>
        <v/>
      </c>
      <c r="G673" s="24">
        <f>B673/B672-1</f>
        <v/>
      </c>
      <c r="H673" s="24">
        <f>C673/C672-1</f>
        <v/>
      </c>
    </row>
    <row r="674" ht="17" customHeight="1">
      <c r="A674" s="18" t="inlineStr">
        <is>
          <t>2026-03-02</t>
        </is>
      </c>
      <c r="B674" s="19" t="n">
        <v>7600</v>
      </c>
      <c r="C674" s="19" t="n">
        <v>5396.26</v>
      </c>
      <c r="D674" s="20" t="n"/>
      <c r="E674" s="21">
        <f>C674-Lambda*B674-OtherCost</f>
        <v/>
      </c>
      <c r="F674" s="22">
        <f>C674/B674</f>
        <v/>
      </c>
      <c r="G674" s="23">
        <f>B674/B673-1</f>
        <v/>
      </c>
      <c r="H674" s="23">
        <f>C674/C673-1</f>
        <v/>
      </c>
    </row>
    <row r="675" ht="17" customHeight="1">
      <c r="A675" s="13" t="inlineStr">
        <is>
          <t>2026-03-03</t>
        </is>
      </c>
      <c r="B675" s="14" t="n">
        <v>8200</v>
      </c>
      <c r="C675" s="14" t="n">
        <v>5515.66</v>
      </c>
      <c r="D675" s="15" t="n"/>
      <c r="E675" s="16">
        <f>C675-Lambda*B675-OtherCost</f>
        <v/>
      </c>
      <c r="F675" s="17">
        <f>C675/B675</f>
        <v/>
      </c>
      <c r="G675" s="24">
        <f>B675/B674-1</f>
        <v/>
      </c>
      <c r="H675" s="24">
        <f>C675/C674-1</f>
        <v/>
      </c>
    </row>
    <row r="676" ht="17" customHeight="1">
      <c r="A676" s="18" t="inlineStr">
        <is>
          <t>2026-03-04</t>
        </is>
      </c>
      <c r="B676" s="19" t="n">
        <v>8200</v>
      </c>
      <c r="C676" s="19" t="n">
        <v>5702.43</v>
      </c>
      <c r="D676" s="20" t="n"/>
      <c r="E676" s="21">
        <f>C676-Lambda*B676-OtherCost</f>
        <v/>
      </c>
      <c r="F676" s="22">
        <f>C676/B676</f>
        <v/>
      </c>
      <c r="G676" s="23">
        <f>B676/B675-1</f>
        <v/>
      </c>
      <c r="H676" s="23">
        <f>C676/C675-1</f>
        <v/>
      </c>
    </row>
    <row r="677" ht="17" customHeight="1">
      <c r="A677" s="13" t="inlineStr">
        <is>
          <t>2026-03-05</t>
        </is>
      </c>
      <c r="B677" s="14" t="n">
        <v>8200</v>
      </c>
      <c r="C677" s="14" t="n">
        <v>5764</v>
      </c>
      <c r="D677" s="15" t="n"/>
      <c r="E677" s="16">
        <f>C677-Lambda*B677-OtherCost</f>
        <v/>
      </c>
      <c r="F677" s="17">
        <f>C677/B677</f>
        <v/>
      </c>
      <c r="G677" s="24">
        <f>B677/B676-1</f>
        <v/>
      </c>
      <c r="H677" s="24">
        <f>C677/C676-1</f>
        <v/>
      </c>
    </row>
    <row r="678" ht="17" customHeight="1">
      <c r="A678" s="18" t="inlineStr">
        <is>
          <t>2026-03-06</t>
        </is>
      </c>
      <c r="B678" s="19" t="n">
        <v>8200</v>
      </c>
      <c r="C678" s="19" t="n">
        <v>5702.43</v>
      </c>
      <c r="D678" s="20" t="n"/>
      <c r="E678" s="21">
        <f>C678-Lambda*B678-OtherCost</f>
        <v/>
      </c>
      <c r="F678" s="22">
        <f>C678/B678</f>
        <v/>
      </c>
      <c r="G678" s="23">
        <f>B678/B677-1</f>
        <v/>
      </c>
      <c r="H678" s="23">
        <f>C678/C677-1</f>
        <v/>
      </c>
    </row>
    <row r="679" ht="17" customHeight="1">
      <c r="A679" s="13" t="inlineStr">
        <is>
          <t>2026-03-08</t>
        </is>
      </c>
      <c r="B679" s="14" t="n">
        <v>8600</v>
      </c>
      <c r="C679" s="14" t="n">
        <v>5857.34</v>
      </c>
      <c r="D679" s="15" t="n"/>
      <c r="E679" s="16">
        <f>C679-Lambda*B679-OtherCost</f>
        <v/>
      </c>
      <c r="F679" s="17">
        <f>C679/B679</f>
        <v/>
      </c>
      <c r="G679" s="24">
        <f>B679/B678-1</f>
        <v/>
      </c>
      <c r="H679" s="24">
        <f>C679/C678-1</f>
        <v/>
      </c>
    </row>
    <row r="680" ht="17" customHeight="1">
      <c r="A680" s="18" t="inlineStr">
        <is>
          <t>2026-03-09</t>
        </is>
      </c>
      <c r="B680" s="19" t="n">
        <v>10600</v>
      </c>
      <c r="C680" s="19" t="n">
        <v>5789.93</v>
      </c>
      <c r="D680" s="20" t="n"/>
      <c r="E680" s="21">
        <f>C680-Lambda*B680-OtherCost</f>
        <v/>
      </c>
      <c r="F680" s="22">
        <f>C680/B680</f>
        <v/>
      </c>
      <c r="G680" s="23">
        <f>B680/B679-1</f>
        <v/>
      </c>
      <c r="H680" s="23">
        <f>C680/C679-1</f>
        <v/>
      </c>
    </row>
    <row r="681" ht="17" customHeight="1">
      <c r="A681" s="13" t="inlineStr">
        <is>
          <t>2026-03-10</t>
        </is>
      </c>
      <c r="B681" s="14" t="n">
        <v>8800</v>
      </c>
      <c r="C681" s="14" t="n">
        <v>5865.47</v>
      </c>
      <c r="D681" s="15" t="n"/>
      <c r="E681" s="16">
        <f>C681-Lambda*B681-OtherCost</f>
        <v/>
      </c>
      <c r="F681" s="17">
        <f>C681/B681</f>
        <v/>
      </c>
      <c r="G681" s="24">
        <f>B681/B680-1</f>
        <v/>
      </c>
      <c r="H681" s="24">
        <f>C681/C680-1</f>
        <v/>
      </c>
    </row>
    <row r="682" ht="17" customHeight="1">
      <c r="A682" s="18" t="inlineStr">
        <is>
          <t>2026-03-11</t>
        </is>
      </c>
      <c r="B682" s="19" t="n">
        <v>8800</v>
      </c>
      <c r="C682" s="19" t="n">
        <v>6145.26</v>
      </c>
      <c r="D682" s="20" t="n"/>
      <c r="E682" s="21">
        <f>C682-Lambda*B682-OtherCost</f>
        <v/>
      </c>
      <c r="F682" s="22">
        <f>C682/B682</f>
        <v/>
      </c>
      <c r="G682" s="23">
        <f>B682/B681-1</f>
        <v/>
      </c>
      <c r="H682" s="23">
        <f>C682/C681-1</f>
        <v/>
      </c>
    </row>
    <row r="683" ht="17" customHeight="1">
      <c r="A683" s="13" t="inlineStr">
        <is>
          <t>2026-03-12</t>
        </is>
      </c>
      <c r="B683" s="14" t="n">
        <v>10200</v>
      </c>
      <c r="C683" s="14" t="n">
        <v>6600.6</v>
      </c>
      <c r="D683" s="15" t="n"/>
      <c r="E683" s="16">
        <f>C683-Lambda*B683-OtherCost</f>
        <v/>
      </c>
      <c r="F683" s="17">
        <f>C683/B683</f>
        <v/>
      </c>
      <c r="G683" s="24">
        <f>B683/B682-1</f>
        <v/>
      </c>
      <c r="H683" s="24">
        <f>C683/C682-1</f>
        <v/>
      </c>
    </row>
    <row r="684" ht="17" customHeight="1">
      <c r="A684" s="18" t="inlineStr">
        <is>
          <t>2026-03-13</t>
        </is>
      </c>
      <c r="B684" s="19" t="n">
        <v>8800</v>
      </c>
      <c r="C684" s="19" t="n">
        <v>6145.26</v>
      </c>
      <c r="D684" s="20" t="n"/>
      <c r="E684" s="21">
        <f>C684-Lambda*B684-OtherCost</f>
        <v/>
      </c>
      <c r="F684" s="22">
        <f>C684/B684</f>
        <v/>
      </c>
      <c r="G684" s="23">
        <f>B684/B683-1</f>
        <v/>
      </c>
      <c r="H684" s="23">
        <f>C684/C683-1</f>
        <v/>
      </c>
    </row>
    <row r="685" ht="17" customHeight="1">
      <c r="A685" s="13" t="inlineStr">
        <is>
          <t>2026-03-15</t>
        </is>
      </c>
      <c r="B685" s="14" t="n">
        <v>10200</v>
      </c>
      <c r="C685" s="14" t="n">
        <v>6633.86</v>
      </c>
      <c r="D685" s="15" t="n"/>
      <c r="E685" s="16">
        <f>C685-Lambda*B685-OtherCost</f>
        <v/>
      </c>
      <c r="F685" s="17">
        <f>C685/B685</f>
        <v/>
      </c>
      <c r="G685" s="24">
        <f>B685/B684-1</f>
        <v/>
      </c>
      <c r="H685" s="24">
        <f>C685/C684-1</f>
        <v/>
      </c>
    </row>
    <row r="686" ht="17" customHeight="1">
      <c r="A686" s="18" t="inlineStr">
        <is>
          <t>2026-03-16</t>
        </is>
      </c>
      <c r="B686" s="19" t="n">
        <v>10200</v>
      </c>
      <c r="C686" s="19" t="n">
        <v>6931.84</v>
      </c>
      <c r="D686" s="20" t="n"/>
      <c r="E686" s="21">
        <f>C686-Lambda*B686-OtherCost</f>
        <v/>
      </c>
      <c r="F686" s="22">
        <f>C686/B686</f>
        <v/>
      </c>
      <c r="G686" s="23">
        <f>B686/B685-1</f>
        <v/>
      </c>
      <c r="H686" s="23">
        <f>C686/C685-1</f>
        <v/>
      </c>
    </row>
    <row r="687" ht="17" customHeight="1">
      <c r="A687" s="13" t="inlineStr">
        <is>
          <t>2026-03-17</t>
        </is>
      </c>
      <c r="B687" s="14" t="n">
        <v>10200</v>
      </c>
      <c r="C687" s="14" t="n">
        <v>6875.93</v>
      </c>
      <c r="D687" s="15" t="n"/>
      <c r="E687" s="16">
        <f>C687-Lambda*B687-OtherCost</f>
        <v/>
      </c>
      <c r="F687" s="17">
        <f>C687/B687</f>
        <v/>
      </c>
      <c r="G687" s="24">
        <f>B687/B686-1</f>
        <v/>
      </c>
      <c r="H687" s="24">
        <f>C687/C686-1</f>
        <v/>
      </c>
    </row>
    <row r="688" ht="17" customHeight="1">
      <c r="A688" s="18" t="inlineStr">
        <is>
          <t>2026-03-18</t>
        </is>
      </c>
      <c r="B688" s="19" t="n">
        <v>10200</v>
      </c>
      <c r="C688" s="19" t="n">
        <v>6897.4</v>
      </c>
      <c r="D688" s="20" t="n"/>
      <c r="E688" s="21">
        <f>C688-Lambda*B688-OtherCost</f>
        <v/>
      </c>
      <c r="F688" s="22">
        <f>C688/B688</f>
        <v/>
      </c>
      <c r="G688" s="23">
        <f>B688/B687-1</f>
        <v/>
      </c>
      <c r="H688" s="23">
        <f>C688/C687-1</f>
        <v/>
      </c>
    </row>
    <row r="689" ht="17" customHeight="1">
      <c r="A689" s="13" t="inlineStr">
        <is>
          <t>2026-03-19</t>
        </is>
      </c>
      <c r="B689" s="14" t="n">
        <v>10200</v>
      </c>
      <c r="C689" s="14" t="n">
        <v>6673.7</v>
      </c>
      <c r="D689" s="15" t="n"/>
      <c r="E689" s="16">
        <f>C689-Lambda*B689-OtherCost</f>
        <v/>
      </c>
      <c r="F689" s="17">
        <f>C689/B689</f>
        <v/>
      </c>
      <c r="G689" s="24">
        <f>B689/B688-1</f>
        <v/>
      </c>
      <c r="H689" s="24">
        <f>C689/C688-1</f>
        <v/>
      </c>
    </row>
    <row r="690" ht="17" customHeight="1">
      <c r="A690" s="18" t="inlineStr">
        <is>
          <t>2026-03-20</t>
        </is>
      </c>
      <c r="B690" s="19" t="n">
        <v>10200</v>
      </c>
      <c r="C690" s="19" t="n">
        <v>6897.4</v>
      </c>
      <c r="D690" s="20" t="n"/>
      <c r="E690" s="21">
        <f>C690-Lambda*B690-OtherCost</f>
        <v/>
      </c>
      <c r="F690" s="22">
        <f>C690/B690</f>
        <v/>
      </c>
      <c r="G690" s="23">
        <f>B690/B689-1</f>
        <v/>
      </c>
      <c r="H690" s="23">
        <f>C690/C689-1</f>
        <v/>
      </c>
    </row>
    <row r="691" ht="17" customHeight="1">
      <c r="A691" s="13" t="inlineStr">
        <is>
          <t>2026-03-22</t>
        </is>
      </c>
      <c r="B691" s="14" t="n">
        <v>10200</v>
      </c>
      <c r="C691" s="14" t="n">
        <v>6855.64</v>
      </c>
      <c r="D691" s="15" t="n"/>
      <c r="E691" s="16">
        <f>C691-Lambda*B691-OtherCost</f>
        <v/>
      </c>
      <c r="F691" s="17">
        <f>C691/B691</f>
        <v/>
      </c>
      <c r="G691" s="24">
        <f>B691/B690-1</f>
        <v/>
      </c>
      <c r="H691" s="24">
        <f>C691/C690-1</f>
        <v/>
      </c>
    </row>
    <row r="692" ht="17" customHeight="1">
      <c r="A692" s="18" t="inlineStr">
        <is>
          <t>2026-03-23</t>
        </is>
      </c>
      <c r="B692" s="19" t="n">
        <v>10200</v>
      </c>
      <c r="C692" s="19" t="n">
        <v>6734.03</v>
      </c>
      <c r="D692" s="20" t="n"/>
      <c r="E692" s="21">
        <f>C692-Lambda*B692-OtherCost</f>
        <v/>
      </c>
      <c r="F692" s="22">
        <f>C692/B692</f>
        <v/>
      </c>
      <c r="G692" s="23">
        <f>B692/B691-1</f>
        <v/>
      </c>
      <c r="H692" s="23">
        <f>C692/C691-1</f>
        <v/>
      </c>
    </row>
    <row r="693" ht="17" customHeight="1">
      <c r="A693" s="13" t="inlineStr">
        <is>
          <t>2026-03-24</t>
        </is>
      </c>
      <c r="B693" s="14" t="n">
        <v>10200</v>
      </c>
      <c r="C693" s="14" t="n">
        <v>6625.9</v>
      </c>
      <c r="D693" s="15" t="n"/>
      <c r="E693" s="16">
        <f>C693-Lambda*B693-OtherCost</f>
        <v/>
      </c>
      <c r="F693" s="17">
        <f>C693/B693</f>
        <v/>
      </c>
      <c r="G693" s="24">
        <f>B693/B692-1</f>
        <v/>
      </c>
      <c r="H693" s="24">
        <f>C693/C692-1</f>
        <v/>
      </c>
    </row>
    <row r="694" ht="17" customHeight="1">
      <c r="A694" s="18" t="inlineStr">
        <is>
          <t>2026-03-25</t>
        </is>
      </c>
      <c r="B694" s="19" t="n">
        <v>10200</v>
      </c>
      <c r="C694" s="19" t="n">
        <v>6740.03</v>
      </c>
      <c r="D694" s="20" t="n"/>
      <c r="E694" s="21">
        <f>C694-Lambda*B694-OtherCost</f>
        <v/>
      </c>
      <c r="F694" s="22">
        <f>C694/B694</f>
        <v/>
      </c>
      <c r="G694" s="23">
        <f>B694/B693-1</f>
        <v/>
      </c>
      <c r="H694" s="23">
        <f>C694/C693-1</f>
        <v/>
      </c>
    </row>
    <row r="695" ht="17" customHeight="1">
      <c r="A695" s="13" t="inlineStr">
        <is>
          <t>2026-03-26</t>
        </is>
      </c>
      <c r="B695" s="14" t="n">
        <v>10200</v>
      </c>
      <c r="C695" s="14" t="n">
        <v>6746.74</v>
      </c>
      <c r="D695" s="15" t="n"/>
      <c r="E695" s="16">
        <f>C695-Lambda*B695-OtherCost</f>
        <v/>
      </c>
      <c r="F695" s="17">
        <f>C695/B695</f>
        <v/>
      </c>
      <c r="G695" s="24">
        <f>B695/B694-1</f>
        <v/>
      </c>
      <c r="H695" s="24">
        <f>C695/C694-1</f>
        <v/>
      </c>
    </row>
    <row r="696" ht="17" customHeight="1">
      <c r="A696" s="18" t="inlineStr">
        <is>
          <t>2026-03-27</t>
        </is>
      </c>
      <c r="B696" s="19" t="n">
        <v>10200</v>
      </c>
      <c r="C696" s="19" t="n">
        <v>6740.03</v>
      </c>
      <c r="D696" s="20" t="n"/>
      <c r="E696" s="21">
        <f>C696-Lambda*B696-OtherCost</f>
        <v/>
      </c>
      <c r="F696" s="22">
        <f>C696/B696</f>
        <v/>
      </c>
      <c r="G696" s="23">
        <f>B696/B695-1</f>
        <v/>
      </c>
      <c r="H696" s="23">
        <f>C696/C695-1</f>
        <v/>
      </c>
    </row>
    <row r="697" ht="17" customHeight="1">
      <c r="A697" s="13" t="inlineStr">
        <is>
          <t>2026-03-29</t>
        </is>
      </c>
      <c r="B697" s="14" t="n">
        <v>10200</v>
      </c>
      <c r="C697" s="14" t="n">
        <v>6867.64</v>
      </c>
      <c r="D697" s="15" t="n"/>
      <c r="E697" s="16">
        <f>C697-Lambda*B697-OtherCost</f>
        <v/>
      </c>
      <c r="F697" s="17">
        <f>C697/B697</f>
        <v/>
      </c>
      <c r="G697" s="24">
        <f>B697/B696-1</f>
        <v/>
      </c>
      <c r="H697" s="24">
        <f>C697/C696-1</f>
        <v/>
      </c>
    </row>
    <row r="698" ht="17" customHeight="1">
      <c r="A698" s="18" t="inlineStr">
        <is>
          <t>2026-03-30</t>
        </is>
      </c>
      <c r="B698" s="19" t="n">
        <v>9700</v>
      </c>
      <c r="C698" s="19" t="n">
        <v>6761.93</v>
      </c>
      <c r="D698" s="20" t="n"/>
      <c r="E698" s="21">
        <f>C698-Lambda*B698-OtherCost</f>
        <v/>
      </c>
      <c r="F698" s="22">
        <f>C698/B698</f>
        <v/>
      </c>
      <c r="G698" s="23">
        <f>B698/B697-1</f>
        <v/>
      </c>
      <c r="H698" s="23">
        <f>C698/C697-1</f>
        <v/>
      </c>
    </row>
    <row r="699" ht="17" customHeight="1">
      <c r="A699" s="13" t="inlineStr">
        <is>
          <t>2026-03-31</t>
        </is>
      </c>
      <c r="B699" s="14" t="n">
        <v>9700</v>
      </c>
      <c r="C699" s="14" t="n">
        <v>6601.53</v>
      </c>
      <c r="D699" s="15" t="n"/>
      <c r="E699" s="16">
        <f>C699-Lambda*B699-OtherCost</f>
        <v/>
      </c>
      <c r="F699" s="17">
        <f>C699/B699</f>
        <v/>
      </c>
      <c r="G699" s="24">
        <f>B699/B698-1</f>
        <v/>
      </c>
      <c r="H699" s="24">
        <f>C699/C698-1</f>
        <v/>
      </c>
    </row>
    <row r="700" ht="17" customHeight="1">
      <c r="A700" s="18" t="inlineStr">
        <is>
          <t>2026-04-01</t>
        </is>
      </c>
      <c r="B700" s="19" t="n">
        <v>9700</v>
      </c>
      <c r="C700" s="19" t="n">
        <v>6710.14</v>
      </c>
      <c r="D700" s="20" t="n"/>
      <c r="E700" s="21">
        <f>C700-Lambda*B700-OtherCost</f>
        <v/>
      </c>
      <c r="F700" s="22">
        <f>C700/B700</f>
        <v/>
      </c>
      <c r="G700" s="23">
        <f>B700/B699-1</f>
        <v/>
      </c>
      <c r="H700" s="23">
        <f>C700/C699-1</f>
        <v/>
      </c>
    </row>
    <row r="701" ht="17" customHeight="1">
      <c r="A701" s="13" t="inlineStr">
        <is>
          <t>2026-04-02</t>
        </is>
      </c>
      <c r="B701" s="14" t="n">
        <v>9700</v>
      </c>
      <c r="C701" s="14" t="n">
        <v>6771.43</v>
      </c>
      <c r="D701" s="15" t="n"/>
      <c r="E701" s="16">
        <f>C701-Lambda*B701-OtherCost</f>
        <v/>
      </c>
      <c r="F701" s="17">
        <f>C701/B701</f>
        <v/>
      </c>
      <c r="G701" s="24">
        <f>B701/B700-1</f>
        <v/>
      </c>
      <c r="H701" s="24">
        <f>C701/C700-1</f>
        <v/>
      </c>
    </row>
    <row r="702" ht="17" customHeight="1">
      <c r="A702" s="18" t="inlineStr">
        <is>
          <t>2026-04-03</t>
        </is>
      </c>
      <c r="B702" s="19" t="n">
        <v>9700</v>
      </c>
      <c r="C702" s="19" t="n">
        <v>6710.14</v>
      </c>
      <c r="D702" s="20" t="n"/>
      <c r="E702" s="21">
        <f>C702-Lambda*B702-OtherCost</f>
        <v/>
      </c>
      <c r="F702" s="22">
        <f>C702/B702</f>
        <v/>
      </c>
      <c r="G702" s="23">
        <f>B702/B701-1</f>
        <v/>
      </c>
      <c r="H702" s="23">
        <f>C702/C701-1</f>
        <v/>
      </c>
    </row>
    <row r="703" ht="17" customHeight="1">
      <c r="A703" s="13" t="inlineStr">
        <is>
          <t>2026-04-05</t>
        </is>
      </c>
      <c r="B703" s="14" t="n">
        <v>9700</v>
      </c>
      <c r="C703" s="14" t="n">
        <v>6771.43</v>
      </c>
      <c r="D703" s="15" t="n"/>
      <c r="E703" s="16">
        <f>C703-Lambda*B703-OtherCost</f>
        <v/>
      </c>
      <c r="F703" s="17">
        <f>C703/B703</f>
        <v/>
      </c>
      <c r="G703" s="24">
        <f>B703/B702-1</f>
        <v/>
      </c>
      <c r="H703" s="24">
        <f>C703/C702-1</f>
        <v/>
      </c>
    </row>
    <row r="704" ht="17" customHeight="1">
      <c r="A704" s="18" t="inlineStr">
        <is>
          <t>2026-04-06</t>
        </is>
      </c>
      <c r="B704" s="19" t="n">
        <v>9700</v>
      </c>
      <c r="C704" s="19" t="n">
        <v>6932.9</v>
      </c>
      <c r="D704" s="20" t="n"/>
      <c r="E704" s="21">
        <f>C704-Lambda*B704-OtherCost</f>
        <v/>
      </c>
      <c r="F704" s="22">
        <f>C704/B704</f>
        <v/>
      </c>
      <c r="G704" s="23">
        <f>B704/B703-1</f>
        <v/>
      </c>
      <c r="H704" s="23">
        <f>C704/C703-1</f>
        <v/>
      </c>
    </row>
    <row r="705" ht="17" customHeight="1">
      <c r="A705" s="13" t="inlineStr">
        <is>
          <t>2026-04-07</t>
        </is>
      </c>
      <c r="B705" s="14" t="n">
        <v>9700</v>
      </c>
      <c r="C705" s="14" t="n">
        <v>6504.47</v>
      </c>
      <c r="D705" s="15" t="n"/>
      <c r="E705" s="16">
        <f>C705-Lambda*B705-OtherCost</f>
        <v/>
      </c>
      <c r="F705" s="17">
        <f>C705/B705</f>
        <v/>
      </c>
      <c r="G705" s="24">
        <f>B705/B704-1</f>
        <v/>
      </c>
      <c r="H705" s="24">
        <f>C705/C704-1</f>
        <v/>
      </c>
    </row>
    <row r="706" ht="17" customHeight="1">
      <c r="A706" s="18" t="inlineStr">
        <is>
          <t>2026-04-08</t>
        </is>
      </c>
      <c r="B706" s="19" t="n">
        <v>10200</v>
      </c>
      <c r="C706" s="19" t="n">
        <v>6524.97</v>
      </c>
      <c r="D706" s="20" t="n"/>
      <c r="E706" s="21">
        <f>C706-Lambda*B706-OtherCost</f>
        <v/>
      </c>
      <c r="F706" s="22">
        <f>C706/B706</f>
        <v/>
      </c>
      <c r="G706" s="23">
        <f>B706/B705-1</f>
        <v/>
      </c>
      <c r="H706" s="23">
        <f>C706/C705-1</f>
        <v/>
      </c>
    </row>
    <row r="707" ht="17" customHeight="1">
      <c r="A707" s="13" t="inlineStr">
        <is>
          <t>2026-04-09</t>
        </is>
      </c>
      <c r="B707" s="14" t="n">
        <v>9600</v>
      </c>
      <c r="C707" s="14" t="n">
        <v>6365.86</v>
      </c>
      <c r="D707" s="15" t="n"/>
      <c r="E707" s="16">
        <f>C707-Lambda*B707-OtherCost</f>
        <v/>
      </c>
      <c r="F707" s="17">
        <f>C707/B707</f>
        <v/>
      </c>
      <c r="G707" s="24">
        <f>B707/B706-1</f>
        <v/>
      </c>
      <c r="H707" s="24">
        <f>C707/C706-1</f>
        <v/>
      </c>
    </row>
    <row r="708" ht="17" customHeight="1">
      <c r="A708" s="18" t="inlineStr">
        <is>
          <t>2026-04-10</t>
        </is>
      </c>
      <c r="B708" s="19" t="n">
        <v>10200</v>
      </c>
      <c r="C708" s="19" t="n">
        <v>6524.97</v>
      </c>
      <c r="D708" s="20" t="n"/>
      <c r="E708" s="21">
        <f>C708-Lambda*B708-OtherCost</f>
        <v/>
      </c>
      <c r="F708" s="22">
        <f>C708/B708</f>
        <v/>
      </c>
      <c r="G708" s="23">
        <f>B708/B707-1</f>
        <v/>
      </c>
      <c r="H708" s="23">
        <f>C708/C707-1</f>
        <v/>
      </c>
    </row>
    <row r="709" ht="17" customHeight="1">
      <c r="A709" s="13" t="inlineStr">
        <is>
          <t>2026-04-12</t>
        </is>
      </c>
      <c r="B709" s="14" t="n">
        <v>9600</v>
      </c>
      <c r="C709" s="14" t="n">
        <v>6336.3</v>
      </c>
      <c r="D709" s="15" t="n"/>
      <c r="E709" s="16">
        <f>C709-Lambda*B709-OtherCost</f>
        <v/>
      </c>
      <c r="F709" s="17">
        <f>C709/B709</f>
        <v/>
      </c>
      <c r="G709" s="24">
        <f>B709/B708-1</f>
        <v/>
      </c>
      <c r="H709" s="24">
        <f>C709/C708-1</f>
        <v/>
      </c>
    </row>
    <row r="710" ht="17" customHeight="1">
      <c r="A710" s="18" t="inlineStr">
        <is>
          <t>2026-04-13</t>
        </is>
      </c>
      <c r="B710" s="19" t="n">
        <v>9600</v>
      </c>
      <c r="C710" s="19" t="n">
        <v>6392.9</v>
      </c>
      <c r="D710" s="20" t="n"/>
      <c r="E710" s="21">
        <f>C710-Lambda*B710-OtherCost</f>
        <v/>
      </c>
      <c r="F710" s="22">
        <f>C710/B710</f>
        <v/>
      </c>
      <c r="G710" s="23">
        <f>B710/B709-1</f>
        <v/>
      </c>
      <c r="H710" s="23">
        <f>C710/C709-1</f>
        <v/>
      </c>
    </row>
    <row r="711" ht="17" customHeight="1">
      <c r="A711" s="13" t="inlineStr">
        <is>
          <t>2026-04-14</t>
        </is>
      </c>
      <c r="B711" s="14" t="n">
        <v>9600</v>
      </c>
      <c r="C711" s="14" t="n">
        <v>6531.3</v>
      </c>
      <c r="D711" s="15" t="n"/>
      <c r="E711" s="16">
        <f>C711-Lambda*B711-OtherCost</f>
        <v/>
      </c>
      <c r="F711" s="17">
        <f>C711/B711</f>
        <v/>
      </c>
      <c r="G711" s="24">
        <f>B711/B710-1</f>
        <v/>
      </c>
      <c r="H711" s="24">
        <f>C711/C710-1</f>
        <v/>
      </c>
    </row>
    <row r="712" ht="17" customHeight="1">
      <c r="A712" s="18" t="inlineStr">
        <is>
          <t>2026-04-15</t>
        </is>
      </c>
      <c r="B712" s="19" t="n">
        <v>9600</v>
      </c>
      <c r="C712" s="19" t="n">
        <v>6548.16</v>
      </c>
      <c r="D712" s="20" t="n"/>
      <c r="E712" s="21">
        <f>C712-Lambda*B712-OtherCost</f>
        <v/>
      </c>
      <c r="F712" s="22">
        <f>C712/B712</f>
        <v/>
      </c>
      <c r="G712" s="23">
        <f>B712/B711-1</f>
        <v/>
      </c>
      <c r="H712" s="23">
        <f>C712/C711-1</f>
        <v/>
      </c>
    </row>
    <row r="713" ht="17" customHeight="1">
      <c r="A713" s="13" t="inlineStr">
        <is>
          <t>2026-04-16</t>
        </is>
      </c>
      <c r="B713" s="14" t="n">
        <v>9600</v>
      </c>
      <c r="C713" s="14" t="n">
        <v>6597.47</v>
      </c>
      <c r="D713" s="15" t="n"/>
      <c r="E713" s="16">
        <f>C713-Lambda*B713-OtherCost</f>
        <v/>
      </c>
      <c r="F713" s="17">
        <f>C713/B713</f>
        <v/>
      </c>
      <c r="G713" s="24">
        <f>B713/B712-1</f>
        <v/>
      </c>
      <c r="H713" s="24">
        <f>C713/C712-1</f>
        <v/>
      </c>
    </row>
    <row r="714" ht="17" customHeight="1">
      <c r="A714" s="18" t="inlineStr">
        <is>
          <t>2026-04-17</t>
        </is>
      </c>
      <c r="B714" s="19" t="n">
        <v>9600</v>
      </c>
      <c r="C714" s="19" t="n">
        <v>6548.16</v>
      </c>
      <c r="D714" s="20" t="n"/>
      <c r="E714" s="21">
        <f>C714-Lambda*B714-OtherCost</f>
        <v/>
      </c>
      <c r="F714" s="22">
        <f>C714/B714</f>
        <v/>
      </c>
      <c r="G714" s="23">
        <f>B714/B713-1</f>
        <v/>
      </c>
      <c r="H714" s="23">
        <f>C714/C713-1</f>
        <v/>
      </c>
    </row>
    <row r="715" ht="17" customHeight="1">
      <c r="A715" s="13" t="inlineStr">
        <is>
          <t>2026-04-19</t>
        </is>
      </c>
      <c r="B715" s="14" t="n">
        <v>9600</v>
      </c>
      <c r="C715" s="14" t="n">
        <v>6508.14</v>
      </c>
      <c r="D715" s="15" t="n"/>
      <c r="E715" s="16">
        <f>C715-Lambda*B715-OtherCost</f>
        <v/>
      </c>
      <c r="F715" s="17">
        <f>C715/B715</f>
        <v/>
      </c>
      <c r="G715" s="24">
        <f>B715/B714-1</f>
        <v/>
      </c>
      <c r="H715" s="24">
        <f>C715/C714-1</f>
        <v/>
      </c>
    </row>
    <row r="716" ht="17" customHeight="1">
      <c r="A716" s="18" t="inlineStr">
        <is>
          <t>2026-04-20</t>
        </is>
      </c>
      <c r="B716" s="19" t="n">
        <v>9600</v>
      </c>
      <c r="C716" s="19" t="n">
        <v>6497.66</v>
      </c>
      <c r="D716" s="20" t="n"/>
      <c r="E716" s="21">
        <f>C716-Lambda*B716-OtherCost</f>
        <v/>
      </c>
      <c r="F716" s="22">
        <f>C716/B716</f>
        <v/>
      </c>
      <c r="G716" s="23">
        <f>B716/B715-1</f>
        <v/>
      </c>
      <c r="H716" s="23">
        <f>C716/C715-1</f>
        <v/>
      </c>
    </row>
    <row r="717" ht="17" customHeight="1">
      <c r="A717" s="13" t="inlineStr">
        <is>
          <t>2026-04-21</t>
        </is>
      </c>
      <c r="B717" s="14" t="n">
        <v>9600</v>
      </c>
      <c r="C717" s="14" t="n">
        <v>6533.93</v>
      </c>
      <c r="D717" s="15" t="n"/>
      <c r="E717" s="16">
        <f>C717-Lambda*B717-OtherCost</f>
        <v/>
      </c>
      <c r="F717" s="17">
        <f>C717/B717</f>
        <v/>
      </c>
      <c r="G717" s="24">
        <f>B717/B716-1</f>
        <v/>
      </c>
      <c r="H717" s="24">
        <f>C717/C716-1</f>
        <v/>
      </c>
    </row>
    <row r="718" ht="17" customHeight="1">
      <c r="A718" s="18" t="inlineStr">
        <is>
          <t>2026-04-22</t>
        </is>
      </c>
      <c r="B718" s="19" t="n">
        <v>9600</v>
      </c>
      <c r="C718" s="19" t="n">
        <v>6571.86</v>
      </c>
      <c r="D718" s="20" t="n"/>
      <c r="E718" s="21">
        <f>C718-Lambda*B718-OtherCost</f>
        <v/>
      </c>
      <c r="F718" s="22">
        <f>C718/B718</f>
        <v/>
      </c>
      <c r="G718" s="23">
        <f>B718/B717-1</f>
        <v/>
      </c>
      <c r="H718" s="23">
        <f>C718/C717-1</f>
        <v/>
      </c>
    </row>
    <row r="719" ht="17" customHeight="1">
      <c r="A719" s="13" t="inlineStr">
        <is>
          <t>2026-04-23</t>
        </is>
      </c>
      <c r="B719" s="14" t="n">
        <v>9600</v>
      </c>
      <c r="C719" s="14" t="n">
        <v>6591.03</v>
      </c>
      <c r="D719" s="15" t="n"/>
      <c r="E719" s="16">
        <f>C719-Lambda*B719-OtherCost</f>
        <v/>
      </c>
      <c r="F719" s="17">
        <f>C719/B719</f>
        <v/>
      </c>
      <c r="G719" s="24">
        <f>B719/B718-1</f>
        <v/>
      </c>
      <c r="H719" s="24">
        <f>C719/C718-1</f>
        <v/>
      </c>
    </row>
    <row r="720" ht="17" customHeight="1">
      <c r="A720" s="18" t="inlineStr">
        <is>
          <t>2026-04-24</t>
        </is>
      </c>
      <c r="B720" s="19" t="n">
        <v>9600</v>
      </c>
      <c r="C720" s="19" t="n">
        <v>6571.86</v>
      </c>
      <c r="D720" s="20" t="n"/>
      <c r="E720" s="21">
        <f>C720-Lambda*B720-OtherCost</f>
        <v/>
      </c>
      <c r="F720" s="22">
        <f>C720/B720</f>
        <v/>
      </c>
      <c r="G720" s="23">
        <f>B720/B719-1</f>
        <v/>
      </c>
      <c r="H720" s="23">
        <f>C720/C719-1</f>
        <v/>
      </c>
    </row>
    <row r="721" ht="17" customHeight="1">
      <c r="A721" s="13" t="inlineStr">
        <is>
          <t>2026-04-26</t>
        </is>
      </c>
      <c r="B721" s="14" t="n">
        <v>9600</v>
      </c>
      <c r="C721" s="14" t="n">
        <v>6715.43</v>
      </c>
      <c r="D721" s="15" t="n"/>
      <c r="E721" s="16">
        <f>C721-Lambda*B721-OtherCost</f>
        <v/>
      </c>
      <c r="F721" s="17">
        <f>C721/B721</f>
        <v/>
      </c>
      <c r="G721" s="24">
        <f>B721/B720-1</f>
        <v/>
      </c>
      <c r="H721" s="24">
        <f>C721/C720-1</f>
        <v/>
      </c>
    </row>
    <row r="722" ht="17" customHeight="1">
      <c r="A722" s="18" t="inlineStr">
        <is>
          <t>2026-04-27</t>
        </is>
      </c>
      <c r="B722" s="19" t="n">
        <v>9600</v>
      </c>
      <c r="C722" s="19" t="n">
        <v>6807.16</v>
      </c>
      <c r="D722" s="20" t="n"/>
      <c r="E722" s="21">
        <f>C722-Lambda*B722-OtherCost</f>
        <v/>
      </c>
      <c r="F722" s="22">
        <f>C722/B722</f>
        <v/>
      </c>
      <c r="G722" s="23">
        <f>B722/B721-1</f>
        <v/>
      </c>
      <c r="H722" s="23">
        <f>C722/C721-1</f>
        <v/>
      </c>
    </row>
    <row r="723" ht="17" customHeight="1">
      <c r="A723" s="13" t="inlineStr">
        <is>
          <t>2026-04-28</t>
        </is>
      </c>
      <c r="B723" s="14" t="n">
        <v>9900</v>
      </c>
      <c r="C723" s="14" t="n">
        <v>6827.97</v>
      </c>
      <c r="D723" s="15" t="n"/>
      <c r="E723" s="16">
        <f>C723-Lambda*B723-OtherCost</f>
        <v/>
      </c>
      <c r="F723" s="17">
        <f>C723/B723</f>
        <v/>
      </c>
      <c r="G723" s="24">
        <f>B723/B722-1</f>
        <v/>
      </c>
      <c r="H723" s="24">
        <f>C723/C722-1</f>
        <v/>
      </c>
    </row>
    <row r="724" ht="17" customHeight="1">
      <c r="A724" s="18" t="inlineStr">
        <is>
          <t>2026-04-29</t>
        </is>
      </c>
      <c r="B724" s="19" t="n">
        <v>9900</v>
      </c>
      <c r="C724" s="19" t="n">
        <v>6837.86</v>
      </c>
      <c r="D724" s="20" t="n"/>
      <c r="E724" s="21">
        <f>C724-Lambda*B724-OtherCost</f>
        <v/>
      </c>
      <c r="F724" s="22">
        <f>C724/B724</f>
        <v/>
      </c>
      <c r="G724" s="23">
        <f>B724/B723-1</f>
        <v/>
      </c>
      <c r="H724" s="23">
        <f>C724/C723-1</f>
        <v/>
      </c>
    </row>
    <row r="725" ht="17" customHeight="1">
      <c r="A725" s="13" t="inlineStr">
        <is>
          <t>2026-04-30</t>
        </is>
      </c>
      <c r="B725" s="14" t="n">
        <v>9900</v>
      </c>
      <c r="C725" s="14" t="n">
        <v>6867.86</v>
      </c>
      <c r="D725" s="15" t="n"/>
      <c r="E725" s="16">
        <f>C725-Lambda*B725-OtherCost</f>
        <v/>
      </c>
      <c r="F725" s="17">
        <f>C725/B725</f>
        <v/>
      </c>
      <c r="G725" s="24">
        <f>B725/B724-1</f>
        <v/>
      </c>
      <c r="H725" s="24">
        <f>C725/C724-1</f>
        <v/>
      </c>
    </row>
    <row r="726" ht="17" customHeight="1">
      <c r="A726" s="18" t="inlineStr">
        <is>
          <t>2026-05-01</t>
        </is>
      </c>
      <c r="B726" s="19" t="n">
        <v>9900</v>
      </c>
      <c r="C726" s="19" t="n">
        <v>6867.86</v>
      </c>
      <c r="D726" s="20" t="n"/>
      <c r="E726" s="21">
        <f>C726-Lambda*B726-OtherCost</f>
        <v/>
      </c>
      <c r="F726" s="22">
        <f>C726/B726</f>
        <v/>
      </c>
      <c r="G726" s="23">
        <f>B726/B725-1</f>
        <v/>
      </c>
      <c r="H726" s="23">
        <f>C726/C725-1</f>
        <v/>
      </c>
    </row>
    <row r="727" ht="17" customHeight="1">
      <c r="A727" s="13" t="inlineStr">
        <is>
          <t>2026-05-03</t>
        </is>
      </c>
      <c r="B727" s="14" t="n">
        <v>9900</v>
      </c>
      <c r="C727" s="14" t="n">
        <v>6867.86</v>
      </c>
      <c r="D727" s="15" t="n"/>
      <c r="E727" s="16">
        <f>C727-Lambda*B727-OtherCost</f>
        <v/>
      </c>
      <c r="F727" s="17">
        <f>C727/B727</f>
        <v/>
      </c>
      <c r="G727" s="24">
        <f>B727/B726-1</f>
        <v/>
      </c>
      <c r="H727" s="24">
        <f>C727/C726-1</f>
        <v/>
      </c>
    </row>
    <row r="728" ht="17" customHeight="1">
      <c r="A728" s="18" t="inlineStr">
        <is>
          <t>2026-05-04</t>
        </is>
      </c>
      <c r="B728" s="19" t="n">
        <v>9900</v>
      </c>
      <c r="C728" s="19" t="n">
        <v>6867.86</v>
      </c>
      <c r="D728" s="20" t="n"/>
      <c r="E728" s="21">
        <f>C728-Lambda*B728-OtherCost</f>
        <v/>
      </c>
      <c r="F728" s="22">
        <f>C728/B728</f>
        <v/>
      </c>
      <c r="G728" s="23">
        <f>B728/B727-1</f>
        <v/>
      </c>
      <c r="H728" s="23">
        <f>C728/C727-1</f>
        <v/>
      </c>
    </row>
    <row r="729" ht="17" customHeight="1">
      <c r="A729" s="13" t="inlineStr">
        <is>
          <t>2026-05-05</t>
        </is>
      </c>
      <c r="B729" s="14" t="n">
        <v>9900</v>
      </c>
      <c r="C729" s="14" t="n">
        <v>6932.66</v>
      </c>
      <c r="D729" s="15" t="n"/>
      <c r="E729" s="16">
        <f>C729-Lambda*B729-OtherCost</f>
        <v/>
      </c>
      <c r="F729" s="17">
        <f>C729/B729</f>
        <v/>
      </c>
      <c r="G729" s="24">
        <f>B729/B728-1</f>
        <v/>
      </c>
      <c r="H729" s="24">
        <f>C729/C728-1</f>
        <v/>
      </c>
    </row>
    <row r="730" ht="17" customHeight="1">
      <c r="A730" s="18" t="inlineStr">
        <is>
          <t>2026-05-06</t>
        </is>
      </c>
      <c r="B730" s="19" t="n">
        <v>9900</v>
      </c>
      <c r="C730" s="19" t="n">
        <v>6766.67</v>
      </c>
      <c r="D730" s="20" t="n"/>
      <c r="E730" s="21">
        <f>C730-Lambda*B730-OtherCost</f>
        <v/>
      </c>
      <c r="F730" s="22">
        <f>C730/B730</f>
        <v/>
      </c>
      <c r="G730" s="23">
        <f>B730/B729-1</f>
        <v/>
      </c>
      <c r="H730" s="23">
        <f>C730/C729-1</f>
        <v/>
      </c>
    </row>
    <row r="731" ht="17" customHeight="1">
      <c r="A731" s="13" t="inlineStr">
        <is>
          <t>2026-05-07</t>
        </is>
      </c>
      <c r="B731" s="14" t="n">
        <v>9900</v>
      </c>
      <c r="C731" s="14" t="n">
        <v>6622.34</v>
      </c>
      <c r="D731" s="15" t="n"/>
      <c r="E731" s="16">
        <f>C731-Lambda*B731-OtherCost</f>
        <v/>
      </c>
      <c r="F731" s="17">
        <f>C731/B731</f>
        <v/>
      </c>
      <c r="G731" s="24">
        <f>B731/B730-1</f>
        <v/>
      </c>
      <c r="H731" s="24">
        <f>C731/C730-1</f>
        <v/>
      </c>
    </row>
    <row r="732" ht="17" customHeight="1">
      <c r="A732" s="18" t="inlineStr">
        <is>
          <t>2026-05-08</t>
        </is>
      </c>
      <c r="B732" s="19" t="n">
        <v>9900</v>
      </c>
      <c r="C732" s="19" t="n">
        <v>6766.67</v>
      </c>
      <c r="D732" s="20" t="n"/>
      <c r="E732" s="21">
        <f>C732-Lambda*B732-OtherCost</f>
        <v/>
      </c>
      <c r="F732" s="22">
        <f>C732/B732</f>
        <v/>
      </c>
      <c r="G732" s="23">
        <f>B732/B731-1</f>
        <v/>
      </c>
      <c r="H732" s="23">
        <f>C732/C731-1</f>
        <v/>
      </c>
    </row>
    <row r="733" ht="17" customHeight="1">
      <c r="A733" s="13" t="inlineStr">
        <is>
          <t>2026-05-10</t>
        </is>
      </c>
      <c r="B733" s="14" t="n">
        <v>9900</v>
      </c>
      <c r="C733" s="14" t="n">
        <v>6670.25</v>
      </c>
      <c r="D733" s="15" t="n"/>
      <c r="E733" s="16">
        <f>C733-Lambda*B733-OtherCost</f>
        <v/>
      </c>
      <c r="F733" s="17">
        <f>C733/B733</f>
        <v/>
      </c>
      <c r="G733" s="24">
        <f>B733/B732-1</f>
        <v/>
      </c>
      <c r="H733" s="24">
        <f>C733/C732-1</f>
        <v/>
      </c>
    </row>
    <row r="734" ht="17" customHeight="1">
      <c r="A734" s="18" t="inlineStr">
        <is>
          <t>2026-05-11</t>
        </is>
      </c>
      <c r="B734" s="19" t="n">
        <v>9900</v>
      </c>
      <c r="C734" s="19" t="n">
        <v>6636.09</v>
      </c>
      <c r="D734" s="20" t="n"/>
      <c r="E734" s="21">
        <f>C734-Lambda*B734-OtherCost</f>
        <v/>
      </c>
      <c r="F734" s="22">
        <f>C734/B734</f>
        <v/>
      </c>
      <c r="G734" s="23">
        <f>B734/B733-1</f>
        <v/>
      </c>
      <c r="H734" s="23">
        <f>C734/C733-1</f>
        <v/>
      </c>
    </row>
    <row r="735" ht="17" customHeight="1">
      <c r="A735" s="13" t="inlineStr">
        <is>
          <t>2026-05-12</t>
        </is>
      </c>
      <c r="B735" s="14" t="n">
        <v>9900</v>
      </c>
      <c r="C735" s="14" t="n">
        <v>6571</v>
      </c>
      <c r="D735" s="15" t="n"/>
      <c r="E735" s="16">
        <f>C735-Lambda*B735-OtherCost</f>
        <v/>
      </c>
      <c r="F735" s="17">
        <f>C735/B735</f>
        <v/>
      </c>
      <c r="G735" s="24">
        <f>B735/B734-1</f>
        <v/>
      </c>
      <c r="H735" s="24">
        <f>C735/C734-1</f>
        <v/>
      </c>
    </row>
    <row r="736" ht="17" customHeight="1">
      <c r="A736" s="18" t="inlineStr">
        <is>
          <t>2026-05-13</t>
        </is>
      </c>
      <c r="B736" s="19" t="n">
        <v>9900</v>
      </c>
      <c r="C736" s="19" t="n">
        <v>6511.83</v>
      </c>
      <c r="D736" s="20" t="n"/>
      <c r="E736" s="21">
        <f>C736-Lambda*B736-OtherCost</f>
        <v/>
      </c>
      <c r="F736" s="22">
        <f>C736/B736</f>
        <v/>
      </c>
      <c r="G736" s="23">
        <f>B736/B735-1</f>
        <v/>
      </c>
      <c r="H736" s="23">
        <f>C736/C735-1</f>
        <v/>
      </c>
    </row>
    <row r="737" ht="17" customHeight="1">
      <c r="A737" s="13" t="inlineStr">
        <is>
          <t>2026-05-14</t>
        </is>
      </c>
      <c r="B737" s="14" t="n">
        <v>9900</v>
      </c>
      <c r="C737" s="14" t="n">
        <v>6573.34</v>
      </c>
      <c r="D737" s="15" t="n"/>
      <c r="E737" s="16">
        <f>C737-Lambda*B737-OtherCost</f>
        <v/>
      </c>
      <c r="F737" s="17">
        <f>C737/B737</f>
        <v/>
      </c>
      <c r="G737" s="24">
        <f>B737/B736-1</f>
        <v/>
      </c>
      <c r="H737" s="24">
        <f>C737/C736-1</f>
        <v/>
      </c>
    </row>
    <row r="738" ht="17" customHeight="1">
      <c r="A738" s="18" t="inlineStr">
        <is>
          <t>2026-05-15</t>
        </is>
      </c>
      <c r="B738" s="19" t="n">
        <v>9900</v>
      </c>
      <c r="C738" s="19" t="n">
        <v>6511.83</v>
      </c>
      <c r="D738" s="20" t="n"/>
      <c r="E738" s="21">
        <f>C738-Lambda*B738-OtherCost</f>
        <v/>
      </c>
      <c r="F738" s="22">
        <f>C738/B738</f>
        <v/>
      </c>
      <c r="G738" s="23">
        <f>B738/B737-1</f>
        <v/>
      </c>
      <c r="H738" s="23">
        <f>C738/C737-1</f>
        <v/>
      </c>
    </row>
    <row r="739" ht="17" customHeight="1">
      <c r="A739" s="13" t="inlineStr">
        <is>
          <t>2026-05-17</t>
        </is>
      </c>
      <c r="B739" s="14" t="n">
        <v>9900</v>
      </c>
      <c r="C739" s="14" t="n">
        <v>6703.34</v>
      </c>
      <c r="D739" s="15" t="n"/>
      <c r="E739" s="16">
        <f>C739-Lambda*B739-OtherCost</f>
        <v/>
      </c>
      <c r="F739" s="17">
        <f>C739/B739</f>
        <v/>
      </c>
      <c r="G739" s="24">
        <f>B739/B738-1</f>
        <v/>
      </c>
      <c r="H739" s="24">
        <f>C739/C738-1</f>
        <v/>
      </c>
    </row>
    <row r="740" ht="17" customHeight="1">
      <c r="A740" s="18" t="inlineStr">
        <is>
          <t>2026-05-18</t>
        </is>
      </c>
      <c r="B740" s="19" t="n">
        <v>9900</v>
      </c>
      <c r="C740" s="19" t="n">
        <v>6560.41</v>
      </c>
      <c r="D740" s="20" t="n"/>
      <c r="E740" s="21">
        <f>C740-Lambda*B740-OtherCost</f>
        <v/>
      </c>
      <c r="F740" s="22">
        <f>C740/B740</f>
        <v/>
      </c>
      <c r="G740" s="23">
        <f>B740/B739-1</f>
        <v/>
      </c>
      <c r="H740" s="23">
        <f>C740/C739-1</f>
        <v/>
      </c>
    </row>
    <row r="741" ht="17" customHeight="1">
      <c r="A741" s="13" t="inlineStr">
        <is>
          <t>2026-05-19</t>
        </is>
      </c>
      <c r="B741" s="14" t="n">
        <v>9900</v>
      </c>
      <c r="C741" s="14" t="n">
        <v>6573.67</v>
      </c>
      <c r="D741" s="15" t="n"/>
      <c r="E741" s="16">
        <f>C741-Lambda*B741-OtherCost</f>
        <v/>
      </c>
      <c r="F741" s="17">
        <f>C741/B741</f>
        <v/>
      </c>
      <c r="G741" s="24">
        <f>B741/B740-1</f>
        <v/>
      </c>
      <c r="H741" s="24">
        <f>C741/C740-1</f>
        <v/>
      </c>
    </row>
    <row r="742" ht="17" customHeight="1">
      <c r="A742" s="18" t="inlineStr">
        <is>
          <t>2026-05-20</t>
        </is>
      </c>
      <c r="B742" s="19" t="n">
        <v>9900</v>
      </c>
      <c r="C742" s="19" t="n">
        <v>6580.83</v>
      </c>
      <c r="D742" s="20" t="n"/>
      <c r="E742" s="21">
        <f>C742-Lambda*B742-OtherCost</f>
        <v/>
      </c>
      <c r="F742" s="22">
        <f>C742/B742</f>
        <v/>
      </c>
      <c r="G742" s="23">
        <f>B742/B741-1</f>
        <v/>
      </c>
      <c r="H742" s="23">
        <f>C742/C741-1</f>
        <v/>
      </c>
    </row>
    <row r="743" ht="17" customHeight="1">
      <c r="A743" s="13" t="inlineStr">
        <is>
          <t>2026-05-21</t>
        </is>
      </c>
      <c r="B743" s="14" t="n">
        <v>9900</v>
      </c>
      <c r="C743" s="14" t="n">
        <v>6345.91</v>
      </c>
      <c r="D743" s="15" t="n"/>
      <c r="E743" s="16">
        <f>C743-Lambda*B743-OtherCost</f>
        <v/>
      </c>
      <c r="F743" s="17">
        <f>C743/B743</f>
        <v/>
      </c>
      <c r="G743" s="24">
        <f>B743/B742-1</f>
        <v/>
      </c>
      <c r="H743" s="24">
        <f>C743/C742-1</f>
        <v/>
      </c>
    </row>
    <row r="744" ht="17" customHeight="1">
      <c r="A744" s="18" t="inlineStr">
        <is>
          <t>2026-05-22</t>
        </is>
      </c>
      <c r="B744" s="19" t="n">
        <v>9900</v>
      </c>
      <c r="C744" s="19" t="n">
        <v>6580.83</v>
      </c>
      <c r="D744" s="20" t="n"/>
      <c r="E744" s="21">
        <f>C744-Lambda*B744-OtherCost</f>
        <v/>
      </c>
      <c r="F744" s="22">
        <f>C744/B744</f>
        <v/>
      </c>
      <c r="G744" s="23">
        <f>B744/B743-1</f>
        <v/>
      </c>
      <c r="H744" s="23">
        <f>C744/C743-1</f>
        <v/>
      </c>
    </row>
    <row r="745" ht="17" customHeight="1">
      <c r="A745" s="13" t="inlineStr">
        <is>
          <t>2026-05-24</t>
        </is>
      </c>
      <c r="B745" s="14" t="n">
        <v>9900</v>
      </c>
      <c r="C745" s="14" t="n">
        <v>6192</v>
      </c>
      <c r="D745" s="15" t="n"/>
      <c r="E745" s="16">
        <f>C745-Lambda*B745-OtherCost</f>
        <v/>
      </c>
      <c r="F745" s="17">
        <f>C745/B745</f>
        <v/>
      </c>
      <c r="G745" s="24">
        <f>B745/B744-1</f>
        <v/>
      </c>
      <c r="H745" s="24">
        <f>C745/C744-1</f>
        <v/>
      </c>
    </row>
    <row r="746" ht="17" customHeight="1">
      <c r="A746" s="18" t="inlineStr">
        <is>
          <t>2026-05-25</t>
        </is>
      </c>
      <c r="B746" s="19" t="n">
        <v>9900</v>
      </c>
      <c r="C746" s="19" t="n">
        <v>6160.09</v>
      </c>
      <c r="D746" s="20" t="n"/>
      <c r="E746" s="21">
        <f>C746-Lambda*B746-OtherCost</f>
        <v/>
      </c>
      <c r="F746" s="22">
        <f>C746/B746</f>
        <v/>
      </c>
      <c r="G746" s="23">
        <f>B746/B745-1</f>
        <v/>
      </c>
      <c r="H746" s="23">
        <f>C746/C745-1</f>
        <v/>
      </c>
    </row>
    <row r="747" ht="17" customHeight="1">
      <c r="A747" s="13" t="inlineStr">
        <is>
          <t>2026-05-26</t>
        </is>
      </c>
      <c r="B747" s="14" t="n">
        <v>9900</v>
      </c>
      <c r="C747" s="14" t="n">
        <v>6180.33</v>
      </c>
      <c r="D747" s="15" t="n"/>
      <c r="E747" s="16">
        <f>C747-Lambda*B747-OtherCost</f>
        <v/>
      </c>
      <c r="F747" s="17">
        <f>C747/B747</f>
        <v/>
      </c>
      <c r="G747" s="24">
        <f>B747/B746-1</f>
        <v/>
      </c>
      <c r="H747" s="24">
        <f>C747/C746-1</f>
        <v/>
      </c>
    </row>
    <row r="748" ht="17" customHeight="1">
      <c r="A748" s="18" t="inlineStr">
        <is>
          <t>2026-05-27</t>
        </is>
      </c>
      <c r="B748" s="19" t="n">
        <v>9900</v>
      </c>
      <c r="C748" s="19" t="n">
        <v>6345.33</v>
      </c>
      <c r="D748" s="20" t="n"/>
      <c r="E748" s="21">
        <f>C748-Lambda*B748-OtherCost</f>
        <v/>
      </c>
      <c r="F748" s="22">
        <f>C748/B748</f>
        <v/>
      </c>
      <c r="G748" s="23">
        <f>B748/B747-1</f>
        <v/>
      </c>
      <c r="H748" s="23">
        <f>C748/C747-1</f>
        <v/>
      </c>
    </row>
    <row r="749" ht="17" customHeight="1">
      <c r="A749" s="13" t="inlineStr">
        <is>
          <t>2026-05-28</t>
        </is>
      </c>
      <c r="B749" s="14" t="n">
        <v>9000</v>
      </c>
      <c r="C749" s="14" t="n">
        <v>6258.75</v>
      </c>
      <c r="D749" s="15" t="n"/>
      <c r="E749" s="16">
        <f>C749-Lambda*B749-OtherCost</f>
        <v/>
      </c>
      <c r="F749" s="17">
        <f>C749/B749</f>
        <v/>
      </c>
      <c r="G749" s="24">
        <f>B749/B748-1</f>
        <v/>
      </c>
      <c r="H749" s="24">
        <f>C749/C748-1</f>
        <v/>
      </c>
    </row>
    <row r="750" ht="17" customHeight="1">
      <c r="A750" s="18" t="inlineStr">
        <is>
          <t>2026-05-29</t>
        </is>
      </c>
      <c r="B750" s="19" t="n">
        <v>9900</v>
      </c>
      <c r="C750" s="19" t="n">
        <v>6345.33</v>
      </c>
      <c r="D750" s="20" t="n"/>
      <c r="E750" s="21">
        <f>C750-Lambda*B750-OtherCost</f>
        <v/>
      </c>
      <c r="F750" s="22">
        <f>C750/B750</f>
        <v/>
      </c>
      <c r="G750" s="23">
        <f>B750/B749-1</f>
        <v/>
      </c>
      <c r="H750" s="23">
        <f>C750/C749-1</f>
        <v/>
      </c>
    </row>
    <row r="751" ht="17" customHeight="1">
      <c r="A751" s="13" t="inlineStr">
        <is>
          <t>2026-05-31</t>
        </is>
      </c>
      <c r="B751" s="14" t="n">
        <v>9000</v>
      </c>
      <c r="C751" s="14" t="n">
        <v>6313.16</v>
      </c>
      <c r="D751" s="15" t="n"/>
      <c r="E751" s="16">
        <f>C751-Lambda*B751-OtherCost</f>
        <v/>
      </c>
      <c r="F751" s="17">
        <f>C751/B751</f>
        <v/>
      </c>
      <c r="G751" s="24">
        <f>B751/B750-1</f>
        <v/>
      </c>
      <c r="H751" s="24">
        <f>C751/C750-1</f>
        <v/>
      </c>
    </row>
    <row r="752" ht="17" customHeight="1">
      <c r="A752" s="18" t="inlineStr">
        <is>
          <t>2026-06-01</t>
        </is>
      </c>
      <c r="B752" s="19" t="n">
        <v>9000</v>
      </c>
      <c r="C752" s="19" t="n">
        <v>6347.66</v>
      </c>
      <c r="D752" s="20" t="n"/>
      <c r="E752" s="21">
        <f>C752-Lambda*B752-OtherCost</f>
        <v/>
      </c>
      <c r="F752" s="22">
        <f>C752/B752</f>
        <v/>
      </c>
      <c r="G752" s="23">
        <f>B752/B751-1</f>
        <v/>
      </c>
      <c r="H752" s="23">
        <f>C752/C751-1</f>
        <v/>
      </c>
    </row>
    <row r="753" ht="17" customHeight="1">
      <c r="A753" s="13" t="inlineStr">
        <is>
          <t>2026-06-02</t>
        </is>
      </c>
      <c r="B753" s="14" t="n">
        <v>9000</v>
      </c>
      <c r="C753" s="14" t="n">
        <v>6435.75</v>
      </c>
      <c r="D753" s="15" t="n"/>
      <c r="E753" s="16">
        <f>C753-Lambda*B753-OtherCost</f>
        <v/>
      </c>
      <c r="F753" s="17">
        <f>C753/B753</f>
        <v/>
      </c>
      <c r="G753" s="24">
        <f>B753/B752-1</f>
        <v/>
      </c>
      <c r="H753" s="24">
        <f>C753/C752-1</f>
        <v/>
      </c>
    </row>
    <row r="754" ht="17" customHeight="1">
      <c r="A754" s="18" t="inlineStr">
        <is>
          <t>2026-06-03</t>
        </is>
      </c>
      <c r="B754" s="19" t="n">
        <v>9000</v>
      </c>
      <c r="C754" s="19" t="n">
        <v>6409.5</v>
      </c>
      <c r="D754" s="20" t="n"/>
      <c r="E754" s="21">
        <f>C754-Lambda*B754-OtherCost</f>
        <v/>
      </c>
      <c r="F754" s="22">
        <f>C754/B754</f>
        <v/>
      </c>
      <c r="G754" s="23">
        <f>B754/B753-1</f>
        <v/>
      </c>
      <c r="H754" s="23">
        <f>C754/C753-1</f>
        <v/>
      </c>
    </row>
    <row r="755" ht="17" customHeight="1">
      <c r="A755" s="13" t="inlineStr">
        <is>
          <t>2026-06-04</t>
        </is>
      </c>
      <c r="B755" s="14" t="n">
        <v>9000</v>
      </c>
      <c r="C755" s="14" t="n">
        <v>6557.67</v>
      </c>
      <c r="D755" s="15" t="n"/>
      <c r="E755" s="16">
        <f>C755-Lambda*B755-OtherCost</f>
        <v/>
      </c>
      <c r="F755" s="17">
        <f>C755/B755</f>
        <v/>
      </c>
      <c r="G755" s="24">
        <f>B755/B754-1</f>
        <v/>
      </c>
      <c r="H755" s="24">
        <f>C755/C754-1</f>
        <v/>
      </c>
    </row>
    <row r="756" ht="17" customHeight="1">
      <c r="A756" s="18" t="inlineStr">
        <is>
          <t>2026-06-05</t>
        </is>
      </c>
      <c r="B756" s="19" t="n">
        <v>9000</v>
      </c>
      <c r="C756" s="19" t="n">
        <v>6409.5</v>
      </c>
      <c r="D756" s="20" t="n"/>
      <c r="E756" s="21">
        <f>C756-Lambda*B756-OtherCost</f>
        <v/>
      </c>
      <c r="F756" s="22">
        <f>C756/B756</f>
        <v/>
      </c>
      <c r="G756" s="23">
        <f>B756/B755-1</f>
        <v/>
      </c>
      <c r="H756" s="23">
        <f>C756/C755-1</f>
        <v/>
      </c>
    </row>
    <row r="757" ht="17" customHeight="1">
      <c r="A757" s="13" t="inlineStr">
        <is>
          <t>2026-06-07</t>
        </is>
      </c>
      <c r="B757" s="14" t="n">
        <v>9000</v>
      </c>
      <c r="C757" s="14" t="n">
        <v>6600.75</v>
      </c>
      <c r="D757" s="15" t="n"/>
      <c r="E757" s="16">
        <f>C757-Lambda*B757-OtherCost</f>
        <v/>
      </c>
      <c r="F757" s="17">
        <f>C757/B757</f>
        <v/>
      </c>
      <c r="G757" s="24">
        <f>B757/B756-1</f>
        <v/>
      </c>
      <c r="H757" s="24">
        <f>C757/C756-1</f>
        <v/>
      </c>
    </row>
    <row r="758" ht="17" customHeight="1">
      <c r="A758" s="18" t="inlineStr">
        <is>
          <t>2026-06-08</t>
        </is>
      </c>
      <c r="B758" s="19" t="n">
        <v>9000</v>
      </c>
      <c r="C758" s="19" t="n">
        <v>6592.25</v>
      </c>
      <c r="D758" s="20" t="n"/>
      <c r="E758" s="21">
        <f>C758-Lambda*B758-OtherCost</f>
        <v/>
      </c>
      <c r="F758" s="22">
        <f>C758/B758</f>
        <v/>
      </c>
      <c r="G758" s="23">
        <f>B758/B757-1</f>
        <v/>
      </c>
      <c r="H758" s="23">
        <f>C758/C757-1</f>
        <v/>
      </c>
    </row>
    <row r="759" ht="17" customHeight="1">
      <c r="A759" s="13" t="inlineStr">
        <is>
          <t>2026-06-09</t>
        </is>
      </c>
      <c r="B759" s="14" t="n">
        <v>9000</v>
      </c>
      <c r="C759" s="14" t="n">
        <v>6603.16</v>
      </c>
      <c r="D759" s="15" t="n"/>
      <c r="E759" s="16">
        <f>C759-Lambda*B759-OtherCost</f>
        <v/>
      </c>
      <c r="F759" s="17">
        <f>C759/B759</f>
        <v/>
      </c>
      <c r="G759" s="24">
        <f>B759/B758-1</f>
        <v/>
      </c>
      <c r="H759" s="24">
        <f>C759/C758-1</f>
        <v/>
      </c>
    </row>
    <row r="760" ht="17" customHeight="1">
      <c r="A760" s="18" t="inlineStr">
        <is>
          <t>2026-06-10</t>
        </is>
      </c>
      <c r="B760" s="19" t="n">
        <v>9000</v>
      </c>
      <c r="C760" s="19" t="n">
        <v>6631.34</v>
      </c>
      <c r="D760" s="20" t="n"/>
      <c r="E760" s="21">
        <f>C760-Lambda*B760-OtherCost</f>
        <v/>
      </c>
      <c r="F760" s="22">
        <f>C760/B760</f>
        <v/>
      </c>
      <c r="G760" s="23">
        <f>B760/B759-1</f>
        <v/>
      </c>
      <c r="H760" s="23">
        <f>C760/C759-1</f>
        <v/>
      </c>
    </row>
    <row r="761" ht="17" customHeight="1">
      <c r="A761" s="13" t="inlineStr">
        <is>
          <t>2026-06-11</t>
        </is>
      </c>
      <c r="B761" s="14" t="n">
        <v>9000</v>
      </c>
      <c r="C761" s="14" t="n">
        <v>6619.08</v>
      </c>
      <c r="D761" s="15" t="n"/>
      <c r="E761" s="16">
        <f>C761-Lambda*B761-OtherCost</f>
        <v/>
      </c>
      <c r="F761" s="17">
        <f>C761/B761</f>
        <v/>
      </c>
      <c r="G761" s="24">
        <f>B761/B760-1</f>
        <v/>
      </c>
      <c r="H761" s="24">
        <f>C761/C760-1</f>
        <v/>
      </c>
    </row>
    <row r="762" ht="17" customHeight="1">
      <c r="A762" s="18" t="inlineStr">
        <is>
          <t>2026-06-12</t>
        </is>
      </c>
      <c r="B762" s="19" t="n">
        <v>9000</v>
      </c>
      <c r="C762" s="19" t="n">
        <v>6631.34</v>
      </c>
      <c r="D762" s="20" t="n"/>
      <c r="E762" s="21">
        <f>C762-Lambda*B762-OtherCost</f>
        <v/>
      </c>
      <c r="F762" s="22">
        <f>C762/B762</f>
        <v/>
      </c>
      <c r="G762" s="23">
        <f>B762/B761-1</f>
        <v/>
      </c>
      <c r="H762" s="23">
        <f>C762/C761-1</f>
        <v/>
      </c>
    </row>
    <row r="763" ht="17" customHeight="1">
      <c r="A763" s="13" t="inlineStr">
        <is>
          <t>2026-06-14</t>
        </is>
      </c>
      <c r="B763" s="14" t="n">
        <v>9000</v>
      </c>
      <c r="C763" s="14" t="n">
        <v>6473.09</v>
      </c>
      <c r="D763" s="15" t="n"/>
      <c r="E763" s="16">
        <f>C763-Lambda*B763-OtherCost</f>
        <v/>
      </c>
      <c r="F763" s="17">
        <f>C763/B763</f>
        <v/>
      </c>
      <c r="G763" s="24">
        <f>B763/B762-1</f>
        <v/>
      </c>
      <c r="H763" s="24">
        <f>C763/C762-1</f>
        <v/>
      </c>
    </row>
    <row r="764" ht="17" customHeight="1">
      <c r="A764" s="18" t="inlineStr">
        <is>
          <t>2026-06-15</t>
        </is>
      </c>
      <c r="B764" s="19" t="n">
        <v>9000</v>
      </c>
      <c r="C764" s="19" t="n">
        <v>6127.25</v>
      </c>
      <c r="D764" s="20" t="n"/>
      <c r="E764" s="21">
        <f>C764-Lambda*B764-OtherCost</f>
        <v/>
      </c>
      <c r="F764" s="22">
        <f>C764/B764</f>
        <v/>
      </c>
      <c r="G764" s="23">
        <f>B764/B763-1</f>
        <v/>
      </c>
      <c r="H764" s="23">
        <f>C764/C763-1</f>
        <v/>
      </c>
    </row>
    <row r="765" ht="17" customHeight="1">
      <c r="A765" s="13" t="inlineStr">
        <is>
          <t>2026-06-16</t>
        </is>
      </c>
      <c r="B765" s="14" t="n">
        <v>8800</v>
      </c>
      <c r="C765" s="14" t="n">
        <v>6058</v>
      </c>
      <c r="D765" s="15" t="n"/>
      <c r="E765" s="16">
        <f>C765-Lambda*B765-OtherCost</f>
        <v/>
      </c>
      <c r="F765" s="17">
        <f>C765/B765</f>
        <v/>
      </c>
      <c r="G765" s="24">
        <f>B765/B764-1</f>
        <v/>
      </c>
      <c r="H765" s="24">
        <f>C765/C764-1</f>
        <v/>
      </c>
    </row>
    <row r="766" ht="17" customHeight="1">
      <c r="A766" s="18" t="inlineStr">
        <is>
          <t>2026-06-17</t>
        </is>
      </c>
      <c r="B766" s="19" t="n">
        <v>8800</v>
      </c>
      <c r="C766" s="19" t="n">
        <v>6116.58</v>
      </c>
      <c r="D766" s="20" t="n"/>
      <c r="E766" s="21">
        <f>C766-Lambda*B766-OtherCost</f>
        <v/>
      </c>
      <c r="F766" s="22">
        <f>C766/B766</f>
        <v/>
      </c>
      <c r="G766" s="23">
        <f>B766/B765-1</f>
        <v/>
      </c>
      <c r="H766" s="23">
        <f>C766/C765-1</f>
        <v/>
      </c>
    </row>
    <row r="767" ht="17" customHeight="1">
      <c r="A767" s="13" t="inlineStr">
        <is>
          <t>2026-06-18</t>
        </is>
      </c>
      <c r="B767" s="14" t="n">
        <v>8800</v>
      </c>
      <c r="C767" s="14" t="n">
        <v>6116.58</v>
      </c>
      <c r="D767" s="15" t="n"/>
      <c r="E767" s="16">
        <f>C767-Lambda*B767-OtherCost</f>
        <v/>
      </c>
      <c r="F767" s="17">
        <f>C767/B767</f>
        <v/>
      </c>
      <c r="G767" s="24">
        <f>B767/B766-1</f>
        <v/>
      </c>
      <c r="H767" s="24">
        <f>C767/C766-1</f>
        <v/>
      </c>
    </row>
    <row r="768" ht="17" customHeight="1">
      <c r="A768" s="18" t="inlineStr">
        <is>
          <t>2026-06-19</t>
        </is>
      </c>
      <c r="B768" s="19" t="n">
        <v>8800</v>
      </c>
      <c r="C768" s="19" t="n">
        <v>6116.58</v>
      </c>
      <c r="D768" s="20" t="n"/>
      <c r="E768" s="21">
        <f>C768-Lambda*B768-OtherCost</f>
        <v/>
      </c>
      <c r="F768" s="22">
        <f>C768/B768</f>
        <v/>
      </c>
      <c r="G768" s="23">
        <f>B768/B767-1</f>
        <v/>
      </c>
      <c r="H768" s="23">
        <f>C768/C767-1</f>
        <v/>
      </c>
    </row>
    <row r="769" ht="17" customHeight="1">
      <c r="A769" s="13" t="inlineStr">
        <is>
          <t>2026-06-21</t>
        </is>
      </c>
      <c r="B769" s="14" t="n">
        <v>8800</v>
      </c>
      <c r="C769" s="14" t="n">
        <v>6041.92</v>
      </c>
      <c r="D769" s="15" t="n"/>
      <c r="E769" s="16">
        <f>C769-Lambda*B769-OtherCost</f>
        <v/>
      </c>
      <c r="F769" s="17">
        <f>C769/B769</f>
        <v/>
      </c>
      <c r="G769" s="24">
        <f>B769/B768-1</f>
        <v/>
      </c>
      <c r="H769" s="24">
        <f>C769/C768-1</f>
        <v/>
      </c>
    </row>
    <row r="770" ht="17" customHeight="1">
      <c r="A770" s="18" t="inlineStr">
        <is>
          <t>2026-06-22</t>
        </is>
      </c>
      <c r="B770" s="19" t="n">
        <v>8800</v>
      </c>
      <c r="C770" s="19" t="n">
        <v>6027.67</v>
      </c>
      <c r="D770" s="20" t="n"/>
      <c r="E770" s="21">
        <f>C770-Lambda*B770-OtherCost</f>
        <v/>
      </c>
      <c r="F770" s="22">
        <f>C770/B770</f>
        <v/>
      </c>
      <c r="G770" s="23">
        <f>B770/B769-1</f>
        <v/>
      </c>
      <c r="H770" s="23">
        <f>C770/C769-1</f>
        <v/>
      </c>
    </row>
    <row r="771" ht="17" customHeight="1">
      <c r="A771" s="13" t="inlineStr">
        <is>
          <t>2026-06-23</t>
        </is>
      </c>
      <c r="B771" s="14" t="n">
        <v>8800</v>
      </c>
      <c r="C771" s="14" t="n">
        <v>5967</v>
      </c>
      <c r="D771" s="15" t="n"/>
      <c r="E771" s="16">
        <f>C771-Lambda*B771-OtherCost</f>
        <v/>
      </c>
      <c r="F771" s="17">
        <f>C771/B771</f>
        <v/>
      </c>
      <c r="G771" s="24">
        <f>B771/B770-1</f>
        <v/>
      </c>
      <c r="H771" s="24">
        <f>C771/C770-1</f>
        <v/>
      </c>
    </row>
    <row r="772" ht="17" customHeight="1">
      <c r="A772" s="18" t="inlineStr">
        <is>
          <t>2026-06-24</t>
        </is>
      </c>
      <c r="B772" s="19" t="n">
        <v>8800</v>
      </c>
      <c r="C772" s="19" t="n">
        <v>5717.66</v>
      </c>
      <c r="D772" s="20" t="n"/>
      <c r="E772" s="21">
        <f>C772-Lambda*B772-OtherCost</f>
        <v/>
      </c>
      <c r="F772" s="22">
        <f>C772/B772</f>
        <v/>
      </c>
      <c r="G772" s="23">
        <f>B772/B771-1</f>
        <v/>
      </c>
      <c r="H772" s="23">
        <f>C772/C771-1</f>
        <v/>
      </c>
    </row>
    <row r="773" ht="17" customHeight="1">
      <c r="A773" s="13" t="inlineStr">
        <is>
          <t>2026-06-25</t>
        </is>
      </c>
      <c r="B773" s="14" t="n">
        <v>8800</v>
      </c>
      <c r="C773" s="14" t="n">
        <v>5734</v>
      </c>
      <c r="D773" s="15" t="n"/>
      <c r="E773" s="16">
        <f>C773-Lambda*B773-OtherCost</f>
        <v/>
      </c>
      <c r="F773" s="17">
        <f>C773/B773</f>
        <v/>
      </c>
      <c r="G773" s="24">
        <f>B773/B772-1</f>
        <v/>
      </c>
      <c r="H773" s="24">
        <f>C773/C772-1</f>
        <v/>
      </c>
    </row>
    <row r="774" ht="17" customHeight="1">
      <c r="A774" s="18" t="inlineStr">
        <is>
          <t>2026-06-26</t>
        </is>
      </c>
      <c r="B774" s="19" t="n">
        <v>8800</v>
      </c>
      <c r="C774" s="19" t="n">
        <v>5717.66</v>
      </c>
      <c r="D774" s="20" t="n"/>
      <c r="E774" s="21">
        <f>C774-Lambda*B774-OtherCost</f>
        <v/>
      </c>
      <c r="F774" s="22">
        <f>C774/B774</f>
        <v/>
      </c>
      <c r="G774" s="23">
        <f>B774/B773-1</f>
        <v/>
      </c>
      <c r="H774" s="23">
        <f>C774/C773-1</f>
        <v/>
      </c>
    </row>
    <row r="775" ht="17" customHeight="1">
      <c r="A775" s="13" t="inlineStr">
        <is>
          <t>2026-06-28</t>
        </is>
      </c>
      <c r="B775" s="14" t="n">
        <v>7900</v>
      </c>
      <c r="C775" s="14" t="n">
        <v>5785.66</v>
      </c>
      <c r="D775" s="15" t="n"/>
      <c r="E775" s="16">
        <f>C775-Lambda*B775-OtherCost</f>
        <v/>
      </c>
      <c r="F775" s="17">
        <f>C775/B775</f>
        <v/>
      </c>
      <c r="G775" s="24">
        <f>B775/B774-1</f>
        <v/>
      </c>
      <c r="H775" s="24">
        <f>C775/C774-1</f>
        <v/>
      </c>
    </row>
    <row r="776" ht="17" customHeight="1">
      <c r="A776" s="18" t="inlineStr">
        <is>
          <t>2026-06-29</t>
        </is>
      </c>
      <c r="B776" s="19" t="n">
        <v>7900</v>
      </c>
      <c r="C776" s="19" t="n">
        <v>5823</v>
      </c>
      <c r="D776" s="20" t="n"/>
      <c r="E776" s="21">
        <f>C776-Lambda*B776-OtherCost</f>
        <v/>
      </c>
      <c r="F776" s="22">
        <f>C776/B776</f>
        <v/>
      </c>
      <c r="G776" s="23">
        <f>B776/B775-1</f>
        <v/>
      </c>
      <c r="H776" s="23">
        <f>C776/C775-1</f>
        <v/>
      </c>
    </row>
    <row r="777" ht="17" customHeight="1">
      <c r="A777" s="13" t="inlineStr">
        <is>
          <t>2026-06-30</t>
        </is>
      </c>
      <c r="B777" s="14" t="n">
        <v>7900</v>
      </c>
      <c r="C777" s="14" t="n">
        <v>5777.83</v>
      </c>
      <c r="D777" s="15" t="n"/>
      <c r="E777" s="16">
        <f>C777-Lambda*B777-OtherCost</f>
        <v/>
      </c>
      <c r="F777" s="17">
        <f>C777/B777</f>
        <v/>
      </c>
      <c r="G777" s="24">
        <f>B777/B776-1</f>
        <v/>
      </c>
      <c r="H777" s="24">
        <f>C777/C776-1</f>
        <v/>
      </c>
    </row>
    <row r="778" ht="17" customHeight="1">
      <c r="A778" s="18" t="inlineStr">
        <is>
          <t>2026-07-01</t>
        </is>
      </c>
      <c r="B778" s="19" t="n">
        <v>7900</v>
      </c>
      <c r="C778" s="19" t="n">
        <v>5686.84</v>
      </c>
      <c r="D778" s="20" t="n"/>
      <c r="E778" s="21">
        <f>C778-Lambda*B778-OtherCost</f>
        <v/>
      </c>
      <c r="F778" s="22">
        <f>C778/B778</f>
        <v/>
      </c>
      <c r="G778" s="23">
        <f>B778/B777-1</f>
        <v/>
      </c>
      <c r="H778" s="23">
        <f>C778/C777-1</f>
        <v/>
      </c>
    </row>
    <row r="779" ht="17" customHeight="1">
      <c r="A779" s="13" t="inlineStr">
        <is>
          <t>2026-07-02</t>
        </is>
      </c>
      <c r="B779" s="14" t="n">
        <v>7900</v>
      </c>
      <c r="C779" s="14" t="n">
        <v>5696.34</v>
      </c>
      <c r="D779" s="15" t="n"/>
      <c r="E779" s="16">
        <f>C779-Lambda*B779-OtherCost</f>
        <v/>
      </c>
      <c r="F779" s="17">
        <f>C779/B779</f>
        <v/>
      </c>
      <c r="G779" s="24">
        <f>B779/B778-1</f>
        <v/>
      </c>
      <c r="H779" s="24">
        <f>C779/C778-1</f>
        <v/>
      </c>
    </row>
    <row r="780" ht="17" customHeight="1">
      <c r="A780" s="18" t="inlineStr">
        <is>
          <t>2026-07-03</t>
        </is>
      </c>
      <c r="B780" s="19" t="n">
        <v>7900</v>
      </c>
      <c r="C780" s="19" t="n">
        <v>5686.84</v>
      </c>
      <c r="D780" s="20" t="n"/>
      <c r="E780" s="21">
        <f>C780-Lambda*B780-OtherCost</f>
        <v/>
      </c>
      <c r="F780" s="22">
        <f>C780/B780</f>
        <v/>
      </c>
      <c r="G780" s="23">
        <f>B780/B779-1</f>
        <v/>
      </c>
      <c r="H780" s="23">
        <f>C780/C779-1</f>
        <v/>
      </c>
    </row>
    <row r="781" ht="17" customHeight="1">
      <c r="A781" s="13" t="inlineStr">
        <is>
          <t>2026-07-05</t>
        </is>
      </c>
      <c r="B781" s="14" t="n">
        <v>7900</v>
      </c>
      <c r="C781" s="14" t="n">
        <v>5780.66</v>
      </c>
      <c r="D781" s="15" t="n"/>
      <c r="E781" s="16">
        <f>C781-Lambda*B781-OtherCost</f>
        <v/>
      </c>
      <c r="F781" s="17">
        <f>C781/B781</f>
        <v/>
      </c>
      <c r="G781" s="24">
        <f>B781/B780-1</f>
        <v/>
      </c>
      <c r="H781" s="24">
        <f>C781/C780-1</f>
        <v/>
      </c>
    </row>
    <row r="782" ht="17" customHeight="1">
      <c r="A782" s="18" t="inlineStr">
        <is>
          <t>2026-07-06</t>
        </is>
      </c>
      <c r="B782" s="19" t="n">
        <v>7900</v>
      </c>
      <c r="C782" s="19" t="n">
        <v>5811.34</v>
      </c>
      <c r="D782" s="20" t="n"/>
      <c r="E782" s="21">
        <f>C782-Lambda*B782-OtherCost</f>
        <v/>
      </c>
      <c r="F782" s="22">
        <f>C782/B782</f>
        <v/>
      </c>
      <c r="G782" s="23">
        <f>B782/B781-1</f>
        <v/>
      </c>
      <c r="H782" s="23">
        <f>C782/C781-1</f>
        <v/>
      </c>
    </row>
    <row r="783" ht="17" customHeight="1">
      <c r="A783" s="13" t="inlineStr">
        <is>
          <t>2026-07-07</t>
        </is>
      </c>
      <c r="B783" s="14" t="n">
        <v>7900</v>
      </c>
      <c r="C783" s="14" t="n">
        <v>5873.34</v>
      </c>
      <c r="D783" s="15" t="n"/>
      <c r="E783" s="16">
        <f>C783-Lambda*B783-OtherCost</f>
        <v/>
      </c>
      <c r="F783" s="17">
        <f>C783/B783</f>
        <v/>
      </c>
      <c r="G783" s="24">
        <f>B783/B782-1</f>
        <v/>
      </c>
      <c r="H783" s="24">
        <f>C783/C782-1</f>
        <v/>
      </c>
    </row>
    <row r="784" ht="17" customHeight="1">
      <c r="A784" s="18" t="inlineStr">
        <is>
          <t>2026-07-08</t>
        </is>
      </c>
      <c r="B784" s="19" t="n">
        <v>7900</v>
      </c>
      <c r="C784" s="19" t="n">
        <v>5957.84</v>
      </c>
      <c r="D784" s="20" t="n"/>
      <c r="E784" s="21">
        <f>C784-Lambda*B784-OtherCost</f>
        <v/>
      </c>
      <c r="F784" s="22">
        <f>C784/B784</f>
        <v/>
      </c>
      <c r="G784" s="23">
        <f>B784/B783-1</f>
        <v/>
      </c>
      <c r="H784" s="23">
        <f>C784/C783-1</f>
        <v/>
      </c>
    </row>
    <row r="785" ht="17" customHeight="1">
      <c r="A785" s="13" t="inlineStr">
        <is>
          <t>2026-07-09</t>
        </is>
      </c>
      <c r="B785" s="14" t="n">
        <v>7900</v>
      </c>
      <c r="C785" s="14" t="n">
        <v>5910.5</v>
      </c>
      <c r="D785" s="15" t="n"/>
      <c r="E785" s="16">
        <f>C785-Lambda*B785-OtherCost</f>
        <v/>
      </c>
      <c r="F785" s="17">
        <f>C785/B785</f>
        <v/>
      </c>
      <c r="G785" s="24">
        <f>B785/B784-1</f>
        <v/>
      </c>
      <c r="H785" s="24">
        <f>C785/C784-1</f>
        <v/>
      </c>
    </row>
    <row r="786" ht="17" customHeight="1">
      <c r="A786" s="18" t="inlineStr">
        <is>
          <t>2026-07-10</t>
        </is>
      </c>
      <c r="B786" s="19" t="n">
        <v>7900</v>
      </c>
      <c r="C786" s="19" t="n">
        <v>5957.84</v>
      </c>
      <c r="D786" s="20" t="n"/>
      <c r="E786" s="21">
        <f>C786-Lambda*B786-OtherCost</f>
        <v/>
      </c>
      <c r="F786" s="22">
        <f>C786/B786</f>
        <v/>
      </c>
      <c r="G786" s="23">
        <f>B786/B785-1</f>
        <v/>
      </c>
      <c r="H786" s="23">
        <f>C786/C785-1</f>
        <v/>
      </c>
    </row>
    <row r="787" ht="17" customHeight="1">
      <c r="A787" s="13" t="inlineStr">
        <is>
          <t>2026-07-12</t>
        </is>
      </c>
      <c r="B787" s="14" t="n">
        <v>7900</v>
      </c>
      <c r="C787" s="14" t="n">
        <v>5898.5</v>
      </c>
      <c r="D787" s="15" t="n"/>
      <c r="E787" s="16">
        <f>C787-Lambda*B787-OtherCost</f>
        <v/>
      </c>
      <c r="F787" s="17">
        <f>C787/B787</f>
        <v/>
      </c>
      <c r="G787" s="24">
        <f>B787/B786-1</f>
        <v/>
      </c>
      <c r="H787" s="24">
        <f>C787/C786-1</f>
        <v/>
      </c>
    </row>
    <row r="788" ht="17" customHeight="1">
      <c r="A788" s="18" t="inlineStr">
        <is>
          <t>2026-07-13</t>
        </is>
      </c>
      <c r="B788" s="19" t="n">
        <v>7900</v>
      </c>
      <c r="C788" s="19" t="n">
        <v>6024.5</v>
      </c>
      <c r="D788" s="20" t="n"/>
      <c r="E788" s="21">
        <f>C788-Lambda*B788-OtherCost</f>
        <v/>
      </c>
      <c r="F788" s="22">
        <f>C788/B788</f>
        <v/>
      </c>
      <c r="G788" s="23">
        <f>B788/B787-1</f>
        <v/>
      </c>
      <c r="H788" s="23">
        <f>C788/C787-1</f>
        <v/>
      </c>
    </row>
    <row r="789" ht="17" customHeight="1">
      <c r="A789" s="13" t="inlineStr">
        <is>
          <t>2026-07-14</t>
        </is>
      </c>
      <c r="B789" s="14" t="n">
        <v>7900</v>
      </c>
      <c r="C789" s="14" t="n">
        <v>6043</v>
      </c>
      <c r="D789" s="15" t="n"/>
      <c r="E789" s="16">
        <f>C789-Lambda*B789-OtherCost</f>
        <v/>
      </c>
      <c r="F789" s="17">
        <f>C789/B789</f>
        <v/>
      </c>
      <c r="G789" s="24">
        <f>B789/B788-1</f>
        <v/>
      </c>
      <c r="H789" s="24">
        <f>C789/C788-1</f>
        <v/>
      </c>
    </row>
    <row r="790" ht="17" customHeight="1">
      <c r="A790" s="18" t="inlineStr">
        <is>
          <t>2026-07-15</t>
        </is>
      </c>
      <c r="B790" s="19" t="n">
        <v>8400</v>
      </c>
      <c r="C790" s="19" t="n">
        <v>6012.25</v>
      </c>
      <c r="D790" s="20" t="n"/>
      <c r="E790" s="21">
        <f>C790-Lambda*B790-OtherCost</f>
        <v/>
      </c>
      <c r="F790" s="22">
        <f>C790/B790</f>
        <v/>
      </c>
      <c r="G790" s="23">
        <f>B790/B789-1</f>
        <v/>
      </c>
      <c r="H790" s="23">
        <f>C790/C789-1</f>
        <v/>
      </c>
    </row>
    <row r="791" ht="17" customHeight="1">
      <c r="A791" s="13" t="inlineStr">
        <is>
          <t>2026-07-16</t>
        </is>
      </c>
      <c r="B791" s="14" t="n">
        <v>8400</v>
      </c>
      <c r="C791" s="14" t="n">
        <v>5985.91</v>
      </c>
      <c r="D791" s="15" t="n"/>
      <c r="E791" s="16">
        <f>C791-Lambda*B791-OtherCost</f>
        <v/>
      </c>
      <c r="F791" s="17">
        <f>C791/B791</f>
        <v/>
      </c>
      <c r="G791" s="24">
        <f>B791/B790-1</f>
        <v/>
      </c>
      <c r="H791" s="24">
        <f>C791/C790-1</f>
        <v/>
      </c>
    </row>
    <row r="792" ht="17" customHeight="1">
      <c r="A792" s="18" t="inlineStr">
        <is>
          <t>2026-07-17</t>
        </is>
      </c>
      <c r="B792" s="19" t="n">
        <v>8400</v>
      </c>
      <c r="C792" s="19" t="n">
        <v>6012.25</v>
      </c>
      <c r="D792" s="20" t="n"/>
      <c r="E792" s="21">
        <f>C792-Lambda*B792-OtherCost</f>
        <v/>
      </c>
      <c r="F792" s="22">
        <f>C792/B792</f>
        <v/>
      </c>
      <c r="G792" s="23">
        <f>B792/B791-1</f>
        <v/>
      </c>
      <c r="H792" s="23">
        <f>C792/C791-1</f>
        <v/>
      </c>
    </row>
    <row r="793" ht="17" customHeight="1">
      <c r="A793" s="13" t="inlineStr">
        <is>
          <t>2026-07-19</t>
        </is>
      </c>
      <c r="B793" s="14" t="n">
        <v>8400</v>
      </c>
      <c r="C793" s="14" t="n">
        <v>6079.83</v>
      </c>
      <c r="D793" s="15" t="n"/>
      <c r="E793" s="16">
        <f>C793-Lambda*B793-OtherCost</f>
        <v/>
      </c>
      <c r="F793" s="17">
        <f>C793/B793</f>
        <v/>
      </c>
      <c r="G793" s="24">
        <f>B793/B792-1</f>
        <v/>
      </c>
      <c r="H793" s="24">
        <f>C793/C792-1</f>
        <v/>
      </c>
    </row>
    <row r="794" ht="17" customHeight="1">
      <c r="A794" s="18" t="inlineStr">
        <is>
          <t>2026-07-20</t>
        </is>
      </c>
      <c r="B794" s="19" t="n">
        <v>8400</v>
      </c>
      <c r="C794" s="19" t="n">
        <v>6036.84</v>
      </c>
      <c r="D794" s="20" t="n"/>
      <c r="E794" s="21">
        <f>C794-Lambda*B794-OtherCost</f>
        <v/>
      </c>
      <c r="F794" s="22">
        <f>C794/B794</f>
        <v/>
      </c>
      <c r="G794" s="23">
        <f>B794/B793-1</f>
        <v/>
      </c>
      <c r="H794" s="23">
        <f>C794/C793-1</f>
        <v/>
      </c>
    </row>
    <row r="795" ht="17" customHeight="1">
      <c r="A795" s="13" t="inlineStr">
        <is>
          <t>2026-07-21</t>
        </is>
      </c>
      <c r="B795" s="14" t="n">
        <v>8400</v>
      </c>
      <c r="C795" s="14" t="n">
        <v>6105.33</v>
      </c>
      <c r="D795" s="15" t="n"/>
      <c r="E795" s="16">
        <f>C795-Lambda*B795-OtherCost</f>
        <v/>
      </c>
      <c r="F795" s="17">
        <f>C795/B795</f>
        <v/>
      </c>
      <c r="G795" s="24">
        <f>B795/B794-1</f>
        <v/>
      </c>
      <c r="H795" s="24">
        <f>C795/C794-1</f>
        <v/>
      </c>
    </row>
    <row r="796" ht="17" customHeight="1">
      <c r="A796" s="18" t="inlineStr">
        <is>
          <t>2026-07-22</t>
        </is>
      </c>
      <c r="B796" s="19" t="n">
        <v>8400</v>
      </c>
      <c r="C796" s="19" t="n">
        <v>6156.5</v>
      </c>
      <c r="D796" s="20" t="n"/>
      <c r="E796" s="21">
        <f>C796-Lambda*B796-OtherCost</f>
        <v/>
      </c>
      <c r="F796" s="22">
        <f>C796/B796</f>
        <v/>
      </c>
      <c r="G796" s="23">
        <f>B796/B795-1</f>
        <v/>
      </c>
      <c r="H796" s="23">
        <f>C796/C795-1</f>
        <v/>
      </c>
    </row>
    <row r="797" ht="17" customHeight="1">
      <c r="A797" s="13" t="inlineStr">
        <is>
          <t>2026-07-23</t>
        </is>
      </c>
      <c r="B797" s="14" t="n">
        <v>8400</v>
      </c>
      <c r="C797" s="14" t="n">
        <v>6170.34</v>
      </c>
      <c r="D797" s="15" t="n"/>
      <c r="E797" s="16">
        <f>C797-Lambda*B797-OtherCost</f>
        <v/>
      </c>
      <c r="F797" s="17">
        <f>C797/B797</f>
        <v/>
      </c>
      <c r="G797" s="24">
        <f>B797/B796-1</f>
        <v/>
      </c>
      <c r="H797" s="24">
        <f>C797/C796-1</f>
        <v/>
      </c>
    </row>
    <row r="798" ht="17" customHeight="1">
      <c r="A798" s="18" t="inlineStr">
        <is>
          <t>2026-07-24</t>
        </is>
      </c>
      <c r="B798" s="19" t="n">
        <v>8400</v>
      </c>
      <c r="C798" s="19" t="n">
        <v>6156.5</v>
      </c>
      <c r="D798" s="20" t="n"/>
      <c r="E798" s="21">
        <f>C798-Lambda*B798-OtherCost</f>
        <v/>
      </c>
      <c r="F798" s="22">
        <f>C798/B798</f>
        <v/>
      </c>
      <c r="G798" s="23">
        <f>B798/B797-1</f>
        <v/>
      </c>
      <c r="H798" s="23">
        <f>C798/C797-1</f>
        <v/>
      </c>
    </row>
    <row r="799" ht="17" customHeight="1">
      <c r="A799" s="13" t="inlineStr">
        <is>
          <t>2026-07-26</t>
        </is>
      </c>
      <c r="B799" s="14" t="n">
        <v>8400</v>
      </c>
      <c r="C799" s="14" t="n">
        <v>5997.16</v>
      </c>
      <c r="D799" s="15" t="n"/>
      <c r="E799" s="16">
        <f>C799-Lambda*B799-OtherCost</f>
        <v/>
      </c>
      <c r="F799" s="17">
        <f>C799/B799</f>
        <v/>
      </c>
      <c r="G799" s="24">
        <f>B799/B798-1</f>
        <v/>
      </c>
      <c r="H799" s="24">
        <f>C799/C798-1</f>
        <v/>
      </c>
    </row>
    <row r="800" ht="17" customHeight="1">
      <c r="A800" s="18" t="inlineStr">
        <is>
          <t>2026-07-27</t>
        </is>
      </c>
      <c r="B800" s="19" t="n">
        <v>8400</v>
      </c>
      <c r="C800" s="19" t="n">
        <v>5993.34</v>
      </c>
      <c r="D800" s="20" t="n"/>
      <c r="E800" s="21">
        <f>C800-Lambda*B800-OtherCost</f>
        <v/>
      </c>
      <c r="F800" s="22">
        <f>C800/B800</f>
        <v/>
      </c>
      <c r="G800" s="23">
        <f>B800/B799-1</f>
        <v/>
      </c>
      <c r="H800" s="23">
        <f>C800/C799-1</f>
        <v/>
      </c>
    </row>
    <row r="801" ht="17" customHeight="1">
      <c r="A801" s="13" t="inlineStr">
        <is>
          <t>2026-07-28</t>
        </is>
      </c>
      <c r="B801" s="14" t="n">
        <v>8500</v>
      </c>
      <c r="C801" s="14" t="n">
        <v>6017.34</v>
      </c>
      <c r="D801" s="15" t="n"/>
      <c r="E801" s="16">
        <f>C801-Lambda*B801-OtherCost</f>
        <v/>
      </c>
      <c r="F801" s="17">
        <f>C801/B801</f>
        <v/>
      </c>
      <c r="G801" s="24">
        <f>B801/B800-1</f>
        <v/>
      </c>
      <c r="H801" s="24">
        <f>C801/C800-1</f>
        <v/>
      </c>
    </row>
    <row r="802" ht="17" customHeight="1">
      <c r="A802" s="18" t="inlineStr">
        <is>
          <t>2026-07-29</t>
        </is>
      </c>
      <c r="B802" s="19" t="n">
        <v>8500</v>
      </c>
      <c r="C802" s="19" t="n">
        <v>6006.41</v>
      </c>
      <c r="D802" s="20" t="n"/>
      <c r="E802" s="21">
        <f>C802-Lambda*B802-OtherCost</f>
        <v/>
      </c>
      <c r="F802" s="22">
        <f>C802/B802</f>
        <v/>
      </c>
      <c r="G802" s="23">
        <f>B802/B801-1</f>
        <v/>
      </c>
      <c r="H802" s="23">
        <f>C802/C801-1</f>
        <v/>
      </c>
    </row>
    <row r="803" ht="17" customHeight="1">
      <c r="A803" s="13" t="inlineStr">
        <is>
          <t>2026-07-30</t>
        </is>
      </c>
      <c r="B803" s="14" t="n">
        <v>8500</v>
      </c>
      <c r="C803" s="14" t="n">
        <v>5945.75</v>
      </c>
      <c r="D803" s="15" t="n"/>
      <c r="E803" s="16">
        <f>C803-Lambda*B803-OtherCost</f>
        <v/>
      </c>
      <c r="F803" s="17">
        <f>C803/B803</f>
        <v/>
      </c>
      <c r="G803" s="24">
        <f>B803/B802-1</f>
        <v/>
      </c>
      <c r="H803" s="24">
        <f>C803/C802-1</f>
        <v/>
      </c>
    </row>
    <row r="804" ht="17" customHeight="1">
      <c r="A804" s="18" t="inlineStr">
        <is>
          <t>2026-07-31</t>
        </is>
      </c>
      <c r="B804" s="19" t="n">
        <v>8500</v>
      </c>
      <c r="C804" s="19" t="n">
        <v>6006.41</v>
      </c>
      <c r="D804" s="20" t="n"/>
      <c r="E804" s="21">
        <f>C804-Lambda*B804-OtherCost</f>
        <v/>
      </c>
      <c r="F804" s="22">
        <f>C804/B804</f>
        <v/>
      </c>
      <c r="G804" s="23">
        <f>B804/B803-1</f>
        <v/>
      </c>
      <c r="H804" s="23">
        <f>C804/C803-1</f>
        <v/>
      </c>
    </row>
    <row r="805" ht="17" customHeight="1">
      <c r="A805" s="13" t="inlineStr">
        <is>
          <t>2026-08-02</t>
        </is>
      </c>
      <c r="B805" s="14" t="n">
        <v>8500</v>
      </c>
      <c r="C805" s="14" t="n">
        <v>6027</v>
      </c>
      <c r="D805" s="15" t="n"/>
      <c r="E805" s="16">
        <f>C805-Lambda*B805-OtherCost</f>
        <v/>
      </c>
      <c r="F805" s="17">
        <f>C805/B805</f>
        <v/>
      </c>
      <c r="G805" s="24">
        <f>B805/B804-1</f>
        <v/>
      </c>
      <c r="H805" s="24">
        <f>C805/C804-1</f>
        <v/>
      </c>
    </row>
    <row r="806" ht="17" customHeight="1">
      <c r="A806" s="18" t="inlineStr">
        <is>
          <t>2026-08-03</t>
        </is>
      </c>
      <c r="B806" s="19" t="n">
        <v>8500</v>
      </c>
      <c r="C806" s="19" t="n">
        <v>6159.83</v>
      </c>
      <c r="D806" s="20" t="n"/>
      <c r="E806" s="21">
        <f>C806-Lambda*B806-OtherCost</f>
        <v/>
      </c>
      <c r="F806" s="22">
        <f>C806/B806</f>
        <v/>
      </c>
      <c r="G806" s="23">
        <f>B806/B805-1</f>
        <v/>
      </c>
      <c r="H806" s="23">
        <f>C806/C805-1</f>
        <v/>
      </c>
    </row>
    <row r="807" ht="17" customHeight="1">
      <c r="A807" s="13" t="inlineStr">
        <is>
          <t>2026-08-04</t>
        </is>
      </c>
      <c r="B807" s="14" t="n">
        <v>8500</v>
      </c>
      <c r="C807" s="14" t="n">
        <v>6021.5</v>
      </c>
      <c r="D807" s="15" t="n"/>
      <c r="E807" s="16">
        <f>C807-Lambda*B807-OtherCost</f>
        <v/>
      </c>
      <c r="F807" s="17">
        <f>C807/B807</f>
        <v/>
      </c>
      <c r="G807" s="24">
        <f>B807/B806-1</f>
        <v/>
      </c>
      <c r="H807" s="24">
        <f>C807/C806-1</f>
        <v/>
      </c>
    </row>
    <row r="808" ht="17" customHeight="1">
      <c r="A808" s="18" t="inlineStr">
        <is>
          <t>2026-08-05</t>
        </is>
      </c>
      <c r="B808" s="19" t="n">
        <v>8500</v>
      </c>
      <c r="C808" s="19" t="n">
        <v>6010.5</v>
      </c>
      <c r="D808" s="20" t="n"/>
      <c r="E808" s="21">
        <f>C808-Lambda*B808-OtherCost</f>
        <v/>
      </c>
      <c r="F808" s="22">
        <f>C808/B808</f>
        <v/>
      </c>
      <c r="G808" s="23">
        <f>B808/B807-1</f>
        <v/>
      </c>
      <c r="H808" s="23">
        <f>C808/C807-1</f>
        <v/>
      </c>
    </row>
    <row r="809" ht="17" customHeight="1">
      <c r="A809" s="13" t="inlineStr">
        <is>
          <t>2026-08-06</t>
        </is>
      </c>
      <c r="B809" s="14" t="n">
        <v>8500</v>
      </c>
      <c r="C809" s="14" t="n">
        <v>6075.86</v>
      </c>
      <c r="D809" s="15" t="n"/>
      <c r="E809" s="16">
        <f>C809-Lambda*B809-OtherCost</f>
        <v/>
      </c>
      <c r="F809" s="17">
        <f>C809/B809</f>
        <v/>
      </c>
      <c r="G809" s="24">
        <f>B809/B808-1</f>
        <v/>
      </c>
      <c r="H809" s="24">
        <f>C809/C808-1</f>
        <v/>
      </c>
    </row>
    <row r="810" ht="17" customHeight="1">
      <c r="A810" s="18" t="inlineStr">
        <is>
          <t>2026-08-07</t>
        </is>
      </c>
      <c r="B810" s="19" t="n">
        <v>8500</v>
      </c>
      <c r="C810" s="19" t="n">
        <v>6010.5</v>
      </c>
      <c r="D810" s="20" t="n"/>
      <c r="E810" s="21">
        <f>C810-Lambda*B810-OtherCost</f>
        <v/>
      </c>
      <c r="F810" s="22">
        <f>C810/B810</f>
        <v/>
      </c>
      <c r="G810" s="23">
        <f>B810/B809-1</f>
        <v/>
      </c>
      <c r="H810" s="23">
        <f>C810/C809-1</f>
        <v/>
      </c>
    </row>
    <row r="811" ht="17" customHeight="1">
      <c r="A811" s="13" t="inlineStr">
        <is>
          <t>2026-08-09</t>
        </is>
      </c>
      <c r="B811" s="14" t="n">
        <v>8500</v>
      </c>
      <c r="C811" s="14" t="n">
        <v>6050.26</v>
      </c>
      <c r="D811" s="15" t="n"/>
      <c r="E811" s="16">
        <f>C811-Lambda*B811-OtherCost</f>
        <v/>
      </c>
      <c r="F811" s="17">
        <f>C811/B811</f>
        <v/>
      </c>
      <c r="G811" s="24">
        <f>B811/B810-1</f>
        <v/>
      </c>
      <c r="H811" s="24">
        <f>C811/C810-1</f>
        <v/>
      </c>
    </row>
    <row r="812" ht="17" customHeight="1">
      <c r="A812" s="18" t="inlineStr">
        <is>
          <t>2026-08-10</t>
        </is>
      </c>
      <c r="B812" s="19" t="n">
        <v>8500</v>
      </c>
      <c r="C812" s="19" t="n">
        <v>6062.07</v>
      </c>
      <c r="D812" s="20" t="n"/>
      <c r="E812" s="21">
        <f>C812-Lambda*B812-OtherCost</f>
        <v/>
      </c>
      <c r="F812" s="22">
        <f>C812/B812</f>
        <v/>
      </c>
      <c r="G812" s="23">
        <f>B812/B811-1</f>
        <v/>
      </c>
      <c r="H812" s="23">
        <f>C812/C811-1</f>
        <v/>
      </c>
    </row>
    <row r="813" ht="17" customHeight="1">
      <c r="A813" s="13" t="inlineStr">
        <is>
          <t>2026-08-11</t>
        </is>
      </c>
      <c r="B813" s="14" t="n">
        <v>8500</v>
      </c>
      <c r="C813" s="14" t="n">
        <v>6075.26</v>
      </c>
      <c r="D813" s="15" t="n"/>
      <c r="E813" s="16">
        <f>C813-Lambda*B813-OtherCost</f>
        <v/>
      </c>
      <c r="F813" s="17">
        <f>C813/B813</f>
        <v/>
      </c>
      <c r="G813" s="24">
        <f>B813/B812-1</f>
        <v/>
      </c>
      <c r="H813" s="24">
        <f>C813/C812-1</f>
        <v/>
      </c>
    </row>
    <row r="814" ht="17" customHeight="1">
      <c r="A814" s="18" t="inlineStr">
        <is>
          <t>2026-08-12</t>
        </is>
      </c>
      <c r="B814" s="19" t="n">
        <v>8500</v>
      </c>
      <c r="C814" s="19" t="n">
        <v>6075.07</v>
      </c>
      <c r="D814" s="20" t="n"/>
      <c r="E814" s="21">
        <f>C814-Lambda*B814-OtherCost</f>
        <v/>
      </c>
      <c r="F814" s="22">
        <f>C814/B814</f>
        <v/>
      </c>
      <c r="G814" s="23">
        <f>B814/B813-1</f>
        <v/>
      </c>
      <c r="H814" s="23">
        <f>C814/C813-1</f>
        <v/>
      </c>
    </row>
    <row r="815" ht="17" customHeight="1">
      <c r="A815" s="13" t="inlineStr">
        <is>
          <t>2026-08-13</t>
        </is>
      </c>
      <c r="B815" s="14" t="n">
        <v>8500</v>
      </c>
      <c r="C815" s="14" t="n">
        <v>6084.66</v>
      </c>
      <c r="D815" s="15" t="n"/>
      <c r="E815" s="16">
        <f>C815-Lambda*B815-OtherCost</f>
        <v/>
      </c>
      <c r="F815" s="17">
        <f>C815/B815</f>
        <v/>
      </c>
      <c r="G815" s="24">
        <f>B815/B814-1</f>
        <v/>
      </c>
      <c r="H815" s="24">
        <f>C815/C814-1</f>
        <v/>
      </c>
    </row>
    <row r="816" ht="17" customHeight="1">
      <c r="A816" s="18" t="inlineStr">
        <is>
          <t>2026-08-14</t>
        </is>
      </c>
      <c r="B816" s="19" t="n">
        <v>8500</v>
      </c>
      <c r="C816" s="19" t="n">
        <v>6075.07</v>
      </c>
      <c r="D816" s="20" t="n"/>
      <c r="E816" s="21">
        <f>C816-Lambda*B816-OtherCost</f>
        <v/>
      </c>
      <c r="F816" s="22">
        <f>C816/B816</f>
        <v/>
      </c>
      <c r="G816" s="23">
        <f>B816/B815-1</f>
        <v/>
      </c>
      <c r="H816" s="23">
        <f>C816/C815-1</f>
        <v/>
      </c>
    </row>
    <row r="817" ht="17" customHeight="1">
      <c r="A817" s="13" t="inlineStr">
        <is>
          <t>2026-08-16</t>
        </is>
      </c>
      <c r="B817" s="14" t="n">
        <v>8500</v>
      </c>
      <c r="C817" s="14" t="n">
        <v>6292.86</v>
      </c>
      <c r="D817" s="15" t="n"/>
      <c r="E817" s="16">
        <f>C817-Lambda*B817-OtherCost</f>
        <v/>
      </c>
      <c r="F817" s="17">
        <f>C817/B817</f>
        <v/>
      </c>
      <c r="G817" s="24">
        <f>B817/B816-1</f>
        <v/>
      </c>
      <c r="H817" s="24">
        <f>C817/C816-1</f>
        <v/>
      </c>
    </row>
    <row r="818" ht="17" customHeight="1">
      <c r="A818" s="18" t="inlineStr">
        <is>
          <t>2026-08-17</t>
        </is>
      </c>
      <c r="B818" s="19" t="n">
        <v>8500</v>
      </c>
      <c r="C818" s="19" t="n">
        <v>6350.07</v>
      </c>
      <c r="D818" s="20" t="n"/>
      <c r="E818" s="21">
        <f>C818-Lambda*B818-OtherCost</f>
        <v/>
      </c>
      <c r="F818" s="22">
        <f>C818/B818</f>
        <v/>
      </c>
      <c r="G818" s="23">
        <f>B818/B817-1</f>
        <v/>
      </c>
      <c r="H818" s="23">
        <f>C818/C817-1</f>
        <v/>
      </c>
    </row>
    <row r="819" ht="17" customHeight="1">
      <c r="A819" s="13" t="inlineStr">
        <is>
          <t>2026-08-18</t>
        </is>
      </c>
      <c r="B819" s="14" t="n">
        <v>8500</v>
      </c>
      <c r="C819" s="14" t="n">
        <v>6310.4</v>
      </c>
      <c r="D819" s="15" t="n"/>
      <c r="E819" s="16">
        <f>C819-Lambda*B819-OtherCost</f>
        <v/>
      </c>
      <c r="F819" s="17">
        <f>C819/B819</f>
        <v/>
      </c>
      <c r="G819" s="24">
        <f>B819/B818-1</f>
        <v/>
      </c>
      <c r="H819" s="24">
        <f>C819/C818-1</f>
        <v/>
      </c>
    </row>
    <row r="820" ht="17" customHeight="1">
      <c r="A820" s="18" t="inlineStr">
        <is>
          <t>2026-08-19</t>
        </is>
      </c>
      <c r="B820" s="19" t="n">
        <v>8500</v>
      </c>
      <c r="C820" s="19" t="n">
        <v>6318.86</v>
      </c>
      <c r="D820" s="20" t="n"/>
      <c r="E820" s="21">
        <f>C820-Lambda*B820-OtherCost</f>
        <v/>
      </c>
      <c r="F820" s="22">
        <f>C820/B820</f>
        <v/>
      </c>
      <c r="G820" s="23">
        <f>B820/B819-1</f>
        <v/>
      </c>
      <c r="H820" s="23">
        <f>C820/C819-1</f>
        <v/>
      </c>
    </row>
    <row r="821" ht="17" customHeight="1">
      <c r="A821" s="13" t="inlineStr">
        <is>
          <t>2026-08-20</t>
        </is>
      </c>
      <c r="B821" s="14" t="n">
        <v>8500</v>
      </c>
      <c r="C821" s="14" t="n">
        <v>6495</v>
      </c>
      <c r="D821" s="15" t="n"/>
      <c r="E821" s="16">
        <f>C821-Lambda*B821-OtherCost</f>
        <v/>
      </c>
      <c r="F821" s="17">
        <f>C821/B821</f>
        <v/>
      </c>
      <c r="G821" s="24">
        <f>B821/B820-1</f>
        <v/>
      </c>
      <c r="H821" s="24">
        <f>C821/C820-1</f>
        <v/>
      </c>
    </row>
    <row r="822" ht="17" customHeight="1">
      <c r="A822" s="18" t="inlineStr">
        <is>
          <t>2026-08-21</t>
        </is>
      </c>
      <c r="B822" s="19" t="n">
        <v>8500</v>
      </c>
      <c r="C822" s="19" t="n">
        <v>6318.86</v>
      </c>
      <c r="D822" s="20" t="n"/>
      <c r="E822" s="21">
        <f>C822-Lambda*B822-OtherCost</f>
        <v/>
      </c>
      <c r="F822" s="22">
        <f>C822/B822</f>
        <v/>
      </c>
      <c r="G822" s="23">
        <f>B822/B821-1</f>
        <v/>
      </c>
      <c r="H822" s="23">
        <f>C822/C821-1</f>
        <v/>
      </c>
    </row>
    <row r="823" ht="17" customHeight="1">
      <c r="A823" s="13" t="inlineStr">
        <is>
          <t>2026-08-23</t>
        </is>
      </c>
      <c r="B823" s="14" t="n">
        <v>8500</v>
      </c>
      <c r="C823" s="14" t="n">
        <v>6450</v>
      </c>
      <c r="D823" s="15" t="n"/>
      <c r="E823" s="16">
        <f>C823-Lambda*B823-OtherCost</f>
        <v/>
      </c>
      <c r="F823" s="17">
        <f>C823/B823</f>
        <v/>
      </c>
      <c r="G823" s="24">
        <f>B823/B822-1</f>
        <v/>
      </c>
      <c r="H823" s="24">
        <f>C823/C822-1</f>
        <v/>
      </c>
    </row>
    <row r="824" ht="17" customHeight="1">
      <c r="A824" s="18" t="inlineStr">
        <is>
          <t>2026-08-24</t>
        </is>
      </c>
      <c r="B824" s="19" t="n">
        <v>8500</v>
      </c>
      <c r="C824" s="19" t="n">
        <v>6453</v>
      </c>
      <c r="D824" s="20" t="n"/>
      <c r="E824" s="21">
        <f>C824-Lambda*B824-OtherCost</f>
        <v/>
      </c>
      <c r="F824" s="22">
        <f>C824/B824</f>
        <v/>
      </c>
      <c r="G824" s="23">
        <f>B824/B823-1</f>
        <v/>
      </c>
      <c r="H824" s="23">
        <f>C824/C823-1</f>
        <v/>
      </c>
    </row>
    <row r="825" ht="17" customHeight="1">
      <c r="A825" s="13" t="inlineStr">
        <is>
          <t>2026-08-25</t>
        </is>
      </c>
      <c r="B825" s="14" t="n">
        <v>8500</v>
      </c>
      <c r="C825" s="14" t="n">
        <v>6253.75</v>
      </c>
      <c r="D825" s="15" t="n"/>
      <c r="E825" s="16">
        <f>C825-Lambda*B825-OtherCost</f>
        <v/>
      </c>
      <c r="F825" s="17">
        <f>C825/B825</f>
        <v/>
      </c>
      <c r="G825" s="24">
        <f>B825/B824-1</f>
        <v/>
      </c>
      <c r="H825" s="24">
        <f>C825/C824-1</f>
        <v/>
      </c>
    </row>
    <row r="826" ht="17" customHeight="1">
      <c r="A826" s="18" t="inlineStr">
        <is>
          <t>2026-08-26</t>
        </is>
      </c>
      <c r="B826" s="19" t="n">
        <v>8500</v>
      </c>
      <c r="C826" s="19" t="n">
        <v>6176.75</v>
      </c>
      <c r="D826" s="20" t="n"/>
      <c r="E826" s="21">
        <f>C826-Lambda*B826-OtherCost</f>
        <v/>
      </c>
      <c r="F826" s="22">
        <f>C826/B826</f>
        <v/>
      </c>
      <c r="G826" s="23">
        <f>B826/B825-1</f>
        <v/>
      </c>
      <c r="H826" s="23">
        <f>C826/C825-1</f>
        <v/>
      </c>
    </row>
    <row r="827" ht="17" customHeight="1">
      <c r="A827" s="13" t="inlineStr">
        <is>
          <t>2026-08-27</t>
        </is>
      </c>
      <c r="B827" s="14" t="n">
        <v>8500</v>
      </c>
      <c r="C827" s="14" t="n">
        <v>6213.25</v>
      </c>
      <c r="D827" s="15" t="n"/>
      <c r="E827" s="16">
        <f>C827-Lambda*B827-OtherCost</f>
        <v/>
      </c>
      <c r="F827" s="17">
        <f>C827/B827</f>
        <v/>
      </c>
      <c r="G827" s="24">
        <f>B827/B826-1</f>
        <v/>
      </c>
      <c r="H827" s="24">
        <f>C827/C826-1</f>
        <v/>
      </c>
    </row>
    <row r="828" ht="17" customHeight="1">
      <c r="A828" s="18" t="inlineStr">
        <is>
          <t>2026-08-28</t>
        </is>
      </c>
      <c r="B828" s="19" t="n">
        <v>8500</v>
      </c>
      <c r="C828" s="19" t="n">
        <v>6176.75</v>
      </c>
      <c r="D828" s="20" t="n"/>
      <c r="E828" s="21">
        <f>C828-Lambda*B828-OtherCost</f>
        <v/>
      </c>
      <c r="F828" s="22">
        <f>C828/B828</f>
        <v/>
      </c>
      <c r="G828" s="23">
        <f>B828/B827-1</f>
        <v/>
      </c>
      <c r="H828" s="23">
        <f>C828/C827-1</f>
        <v/>
      </c>
    </row>
    <row r="829" ht="17" customHeight="1">
      <c r="A829" s="13" t="inlineStr">
        <is>
          <t>2026-08-30</t>
        </is>
      </c>
      <c r="B829" s="14" t="n">
        <v>8500</v>
      </c>
      <c r="C829" s="14" t="n">
        <v>6303.5</v>
      </c>
      <c r="D829" s="15" t="n"/>
      <c r="E829" s="16">
        <f>C829-Lambda*B829-OtherCost</f>
        <v/>
      </c>
      <c r="F829" s="17">
        <f>C829/B829</f>
        <v/>
      </c>
      <c r="G829" s="24">
        <f>B829/B828-1</f>
        <v/>
      </c>
      <c r="H829" s="24">
        <f>C829/C828-1</f>
        <v/>
      </c>
    </row>
    <row r="830" ht="17" customHeight="1">
      <c r="A830" s="18" t="inlineStr">
        <is>
          <t>2026-08-31</t>
        </is>
      </c>
      <c r="B830" s="19" t="n">
        <v>8500</v>
      </c>
      <c r="C830" s="19" t="n">
        <v>6389.75</v>
      </c>
      <c r="D830" s="20" t="n"/>
      <c r="E830" s="21">
        <f>C830-Lambda*B830-OtherCost</f>
        <v/>
      </c>
      <c r="F830" s="22">
        <f>C830/B830</f>
        <v/>
      </c>
      <c r="G830" s="23">
        <f>B830/B829-1</f>
        <v/>
      </c>
      <c r="H830" s="23">
        <f>C830/C829-1</f>
        <v/>
      </c>
    </row>
    <row r="831" ht="17" customHeight="1">
      <c r="A831" s="13" t="inlineStr">
        <is>
          <t>2026-09-01</t>
        </is>
      </c>
      <c r="B831" s="14" t="n">
        <v>9000</v>
      </c>
      <c r="C831" s="14" t="n">
        <v>6513.25</v>
      </c>
      <c r="D831" s="15" t="n"/>
      <c r="E831" s="16">
        <f>C831-Lambda*B831-OtherCost</f>
        <v/>
      </c>
      <c r="F831" s="17">
        <f>C831/B831</f>
        <v/>
      </c>
      <c r="G831" s="24">
        <f>B831/B830-1</f>
        <v/>
      </c>
      <c r="H831" s="24">
        <f>C831/C830-1</f>
        <v/>
      </c>
    </row>
    <row r="832" ht="17" customHeight="1">
      <c r="A832" s="18" t="inlineStr">
        <is>
          <t>2026-09-02</t>
        </is>
      </c>
      <c r="B832" s="19" t="n">
        <v>9000</v>
      </c>
      <c r="C832" s="19" t="n">
        <v>6602.25</v>
      </c>
      <c r="D832" s="20" t="n"/>
      <c r="E832" s="21">
        <f>C832-Lambda*B832-OtherCost</f>
        <v/>
      </c>
      <c r="F832" s="22">
        <f>C832/B832</f>
        <v/>
      </c>
      <c r="G832" s="23">
        <f>B832/B831-1</f>
        <v/>
      </c>
      <c r="H832" s="23">
        <f>C832/C831-1</f>
        <v/>
      </c>
    </row>
    <row r="833" ht="17" customHeight="1">
      <c r="A833" s="13" t="inlineStr">
        <is>
          <t>2026-09-03</t>
        </is>
      </c>
      <c r="B833" s="14" t="n">
        <v>9000</v>
      </c>
      <c r="C833" s="14" t="n">
        <v>6562.25</v>
      </c>
      <c r="D833" s="15" t="n"/>
      <c r="E833" s="16">
        <f>C833-Lambda*B833-OtherCost</f>
        <v/>
      </c>
      <c r="F833" s="17">
        <f>C833/B833</f>
        <v/>
      </c>
      <c r="G833" s="24">
        <f>B833/B832-1</f>
        <v/>
      </c>
      <c r="H833" s="24">
        <f>C833/C832-1</f>
        <v/>
      </c>
    </row>
    <row r="834" ht="17" customHeight="1">
      <c r="A834" s="18" t="inlineStr">
        <is>
          <t>2026-09-04</t>
        </is>
      </c>
      <c r="B834" s="19" t="n">
        <v>9000</v>
      </c>
      <c r="C834" s="19" t="n">
        <v>6602.25</v>
      </c>
      <c r="D834" s="20" t="n"/>
      <c r="E834" s="21">
        <f>C834-Lambda*B834-OtherCost</f>
        <v/>
      </c>
      <c r="F834" s="22">
        <f>C834/B834</f>
        <v/>
      </c>
      <c r="G834" s="23">
        <f>B834/B833-1</f>
        <v/>
      </c>
      <c r="H834" s="23">
        <f>C834/C833-1</f>
        <v/>
      </c>
    </row>
    <row r="835" ht="17" customHeight="1">
      <c r="A835" s="13" t="inlineStr">
        <is>
          <t>2026-09-06</t>
        </is>
      </c>
      <c r="B835" s="14" t="n">
        <v>9000</v>
      </c>
      <c r="C835" s="14" t="n">
        <v>6444.25</v>
      </c>
      <c r="D835" s="15" t="n"/>
      <c r="E835" s="16">
        <f>C835-Lambda*B835-OtherCost</f>
        <v/>
      </c>
      <c r="F835" s="17">
        <f>C835/B835</f>
        <v/>
      </c>
      <c r="G835" s="24">
        <f>B835/B834-1</f>
        <v/>
      </c>
      <c r="H835" s="24">
        <f>C835/C834-1</f>
        <v/>
      </c>
    </row>
    <row r="836" ht="17" customHeight="1">
      <c r="A836" s="18" t="inlineStr">
        <is>
          <t>2026-09-07</t>
        </is>
      </c>
      <c r="B836" s="19" t="n">
        <v>9000</v>
      </c>
      <c r="C836" s="19" t="n">
        <v>6606.5</v>
      </c>
      <c r="D836" s="20" t="n"/>
      <c r="E836" s="21">
        <f>C836-Lambda*B836-OtherCost</f>
        <v/>
      </c>
      <c r="F836" s="22">
        <f>C836/B836</f>
        <v/>
      </c>
      <c r="G836" s="23">
        <f>B836/B835-1</f>
        <v/>
      </c>
      <c r="H836" s="23">
        <f>C836/C835-1</f>
        <v/>
      </c>
    </row>
    <row r="837" ht="17" customHeight="1">
      <c r="A837" s="13" t="inlineStr">
        <is>
          <t>2026-09-08</t>
        </is>
      </c>
      <c r="B837" s="14" t="n">
        <v>9000</v>
      </c>
      <c r="C837" s="14" t="n">
        <v>6662</v>
      </c>
      <c r="D837" s="15" t="n"/>
      <c r="E837" s="16">
        <f>C837-Lambda*B837-OtherCost</f>
        <v/>
      </c>
      <c r="F837" s="17">
        <f>C837/B837</f>
        <v/>
      </c>
      <c r="G837" s="24">
        <f>B837/B836-1</f>
        <v/>
      </c>
      <c r="H837" s="24">
        <f>C837/C836-1</f>
        <v/>
      </c>
    </row>
    <row r="838" ht="17" customHeight="1">
      <c r="A838" s="18" t="inlineStr">
        <is>
          <t>2026-09-09</t>
        </is>
      </c>
      <c r="B838" s="19" t="n">
        <v>9000</v>
      </c>
      <c r="C838" s="19" t="n">
        <v>6839.75</v>
      </c>
      <c r="D838" s="20" t="n"/>
      <c r="E838" s="21">
        <f>C838-Lambda*B838-OtherCost</f>
        <v/>
      </c>
      <c r="F838" s="22">
        <f>C838/B838</f>
        <v/>
      </c>
      <c r="G838" s="23">
        <f>B838/B837-1</f>
        <v/>
      </c>
      <c r="H838" s="23">
        <f>C838/C837-1</f>
        <v/>
      </c>
    </row>
    <row r="839" ht="17" customHeight="1">
      <c r="A839" s="13" t="inlineStr">
        <is>
          <t>2026-09-10</t>
        </is>
      </c>
      <c r="B839" s="14" t="n">
        <v>9600</v>
      </c>
      <c r="C839" s="14" t="n">
        <v>6971.25</v>
      </c>
      <c r="D839" s="15" t="n"/>
      <c r="E839" s="16">
        <f>C839-Lambda*B839-OtherCost</f>
        <v/>
      </c>
      <c r="F839" s="17">
        <f>C839/B839</f>
        <v/>
      </c>
      <c r="G839" s="24">
        <f>B839/B838-1</f>
        <v/>
      </c>
      <c r="H839" s="24">
        <f>C839/C838-1</f>
        <v/>
      </c>
    </row>
    <row r="840" ht="17" customHeight="1">
      <c r="A840" s="18" t="inlineStr">
        <is>
          <t>2026-09-11</t>
        </is>
      </c>
      <c r="B840" s="19" t="n">
        <v>9000</v>
      </c>
      <c r="C840" s="19" t="n">
        <v>6839.75</v>
      </c>
      <c r="D840" s="20" t="n"/>
      <c r="E840" s="21">
        <f>C840-Lambda*B840-OtherCost</f>
        <v/>
      </c>
      <c r="F840" s="22">
        <f>C840/B840</f>
        <v/>
      </c>
      <c r="G840" s="23">
        <f>B840/B839-1</f>
        <v/>
      </c>
      <c r="H840" s="23">
        <f>C840/C839-1</f>
        <v/>
      </c>
    </row>
    <row r="841" ht="17" customHeight="1">
      <c r="A841" s="13" t="inlineStr">
        <is>
          <t>2026-09-13</t>
        </is>
      </c>
      <c r="B841" s="14" t="n">
        <v>9600</v>
      </c>
      <c r="C841" s="14" t="n">
        <v>6980</v>
      </c>
      <c r="D841" s="15" t="n"/>
      <c r="E841" s="16">
        <f>C841-Lambda*B841-OtherCost</f>
        <v/>
      </c>
      <c r="F841" s="17">
        <f>C841/B841</f>
        <v/>
      </c>
      <c r="G841" s="24">
        <f>B841/B840-1</f>
        <v/>
      </c>
      <c r="H841" s="24">
        <f>C841/C840-1</f>
        <v/>
      </c>
    </row>
    <row r="842" ht="17" customHeight="1">
      <c r="A842" s="18" t="inlineStr">
        <is>
          <t>2026-09-14</t>
        </is>
      </c>
      <c r="B842" s="19" t="n">
        <v>9600</v>
      </c>
      <c r="C842" s="19" t="n">
        <v>7045.25</v>
      </c>
      <c r="D842" s="20" t="n"/>
      <c r="E842" s="21">
        <f>C842-Lambda*B842-OtherCost</f>
        <v/>
      </c>
      <c r="F842" s="22">
        <f>C842/B842</f>
        <v/>
      </c>
      <c r="G842" s="23">
        <f>B842/B841-1</f>
        <v/>
      </c>
      <c r="H842" s="23">
        <f>C842/C841-1</f>
        <v/>
      </c>
    </row>
    <row r="843" ht="17" customHeight="1">
      <c r="A843" s="13" t="inlineStr">
        <is>
          <t>2026-09-15</t>
        </is>
      </c>
      <c r="B843" s="14" t="n">
        <v>9600</v>
      </c>
      <c r="C843" s="14" t="n">
        <v>7328.25</v>
      </c>
      <c r="D843" s="15" t="n"/>
      <c r="E843" s="16">
        <f>C843-Lambda*B843-OtherCost</f>
        <v/>
      </c>
      <c r="F843" s="17">
        <f>C843/B843</f>
        <v/>
      </c>
      <c r="G843" s="24">
        <f>B843/B842-1</f>
        <v/>
      </c>
      <c r="H843" s="24">
        <f>C843/C842-1</f>
        <v/>
      </c>
    </row>
    <row r="844" ht="17" customHeight="1">
      <c r="A844" s="18" t="inlineStr">
        <is>
          <t>2026-09-16</t>
        </is>
      </c>
      <c r="B844" s="19" t="n">
        <v>9600</v>
      </c>
      <c r="C844" s="19" t="n">
        <v>7362.2</v>
      </c>
      <c r="D844" s="20" t="n"/>
      <c r="E844" s="21">
        <f>C844-Lambda*B844-OtherCost</f>
        <v/>
      </c>
      <c r="F844" s="22">
        <f>C844/B844</f>
        <v/>
      </c>
      <c r="G844" s="23">
        <f>B844/B843-1</f>
        <v/>
      </c>
      <c r="H844" s="23">
        <f>C844/C843-1</f>
        <v/>
      </c>
    </row>
    <row r="845" ht="17" customHeight="1">
      <c r="A845" s="13" t="inlineStr">
        <is>
          <t>2026-09-17</t>
        </is>
      </c>
      <c r="B845" s="14" t="n">
        <v>9800</v>
      </c>
      <c r="C845" s="14" t="n">
        <v>7108.8</v>
      </c>
      <c r="D845" s="15" t="n"/>
      <c r="E845" s="16">
        <f>C845-Lambda*B845-OtherCost</f>
        <v/>
      </c>
      <c r="F845" s="17">
        <f>C845/B845</f>
        <v/>
      </c>
      <c r="G845" s="24">
        <f>B845/B844-1</f>
        <v/>
      </c>
      <c r="H845" s="24">
        <f>C845/C844-1</f>
        <v/>
      </c>
    </row>
    <row r="846" ht="17" customHeight="1">
      <c r="A846" s="18" t="inlineStr">
        <is>
          <t>2026-09-18</t>
        </is>
      </c>
      <c r="B846" s="19" t="n">
        <v>9600</v>
      </c>
      <c r="C846" s="19" t="n">
        <v>7362.2</v>
      </c>
      <c r="D846" s="20" t="n"/>
      <c r="E846" s="21">
        <f>C846-Lambda*B846-OtherCost</f>
        <v/>
      </c>
      <c r="F846" s="22">
        <f>C846/B846</f>
        <v/>
      </c>
      <c r="G846" s="23">
        <f>B846/B845-1</f>
        <v/>
      </c>
      <c r="H846" s="23">
        <f>C846/C845-1</f>
        <v/>
      </c>
    </row>
    <row r="847" ht="17" customHeight="1">
      <c r="A847" s="13" t="inlineStr">
        <is>
          <t>2026-09-20</t>
        </is>
      </c>
      <c r="B847" s="14" t="n">
        <v>9800</v>
      </c>
      <c r="C847" s="14" t="n">
        <v>7049.3</v>
      </c>
      <c r="D847" s="15" t="n"/>
      <c r="E847" s="16">
        <f>C847-Lambda*B847-OtherCost</f>
        <v/>
      </c>
      <c r="F847" s="17">
        <f>C847/B847</f>
        <v/>
      </c>
      <c r="G847" s="24">
        <f>B847/B846-1</f>
        <v/>
      </c>
      <c r="H847" s="24">
        <f>C847/C846-1</f>
        <v/>
      </c>
    </row>
    <row r="848" ht="17" customHeight="1">
      <c r="A848" s="18" t="inlineStr">
        <is>
          <t>2026-09-21</t>
        </is>
      </c>
      <c r="B848" s="19" t="n">
        <v>9800</v>
      </c>
      <c r="C848" s="19" t="n">
        <v>7121.6</v>
      </c>
      <c r="D848" s="20" t="n"/>
      <c r="E848" s="21">
        <f>C848-Lambda*B848-OtherCost</f>
        <v/>
      </c>
      <c r="F848" s="22">
        <f>C848/B848</f>
        <v/>
      </c>
      <c r="G848" s="23">
        <f>B848/B847-1</f>
        <v/>
      </c>
      <c r="H848" s="23">
        <f>C848/C847-1</f>
        <v/>
      </c>
    </row>
    <row r="849" ht="17" customHeight="1">
      <c r="A849" s="13" t="inlineStr">
        <is>
          <t>2026-09-22</t>
        </is>
      </c>
      <c r="B849" s="14" t="n">
        <v>9800</v>
      </c>
      <c r="C849" s="14" t="n">
        <v>6949.5</v>
      </c>
      <c r="D849" s="15" t="n"/>
      <c r="E849" s="16">
        <f>C849-Lambda*B849-OtherCost</f>
        <v/>
      </c>
      <c r="F849" s="17">
        <f>C849/B849</f>
        <v/>
      </c>
      <c r="G849" s="24">
        <f>B849/B848-1</f>
        <v/>
      </c>
      <c r="H849" s="24">
        <f>C849/C848-1</f>
        <v/>
      </c>
    </row>
    <row r="850" ht="17" customHeight="1">
      <c r="A850" s="18" t="inlineStr">
        <is>
          <t>2026-09-23</t>
        </is>
      </c>
      <c r="B850" s="19" t="n">
        <v>9800</v>
      </c>
      <c r="C850" s="19" t="n">
        <v>7147.5</v>
      </c>
      <c r="D850" s="20" t="n"/>
      <c r="E850" s="21">
        <f>C850-Lambda*B850-OtherCost</f>
        <v/>
      </c>
      <c r="F850" s="22">
        <f>C850/B850</f>
        <v/>
      </c>
      <c r="G850" s="23">
        <f>B850/B849-1</f>
        <v/>
      </c>
      <c r="H850" s="23">
        <f>C850/C849-1</f>
        <v/>
      </c>
    </row>
    <row r="851" ht="17" customHeight="1">
      <c r="A851" s="13" t="inlineStr">
        <is>
          <t>2026-09-24</t>
        </is>
      </c>
      <c r="B851" s="14" t="n">
        <v>9800</v>
      </c>
      <c r="C851" s="14" t="n">
        <v>7147.5</v>
      </c>
      <c r="D851" s="15" t="n"/>
      <c r="E851" s="16">
        <f>C851-Lambda*B851-OtherCost</f>
        <v/>
      </c>
      <c r="F851" s="17">
        <f>C851/B851</f>
        <v/>
      </c>
      <c r="G851" s="24">
        <f>B851/B850-1</f>
        <v/>
      </c>
      <c r="H851" s="24">
        <f>C851/C850-1</f>
        <v/>
      </c>
    </row>
    <row r="852" ht="17" customHeight="1">
      <c r="A852" s="18" t="inlineStr">
        <is>
          <t>2026-09-25</t>
        </is>
      </c>
      <c r="B852" s="19" t="n">
        <v>9800</v>
      </c>
      <c r="C852" s="19" t="n">
        <v>7147.5</v>
      </c>
      <c r="D852" s="20" t="n"/>
      <c r="E852" s="21">
        <f>C852-Lambda*B852-OtherCost</f>
        <v/>
      </c>
      <c r="F852" s="22">
        <f>C852/B852</f>
        <v/>
      </c>
      <c r="G852" s="23">
        <f>B852/B851-1</f>
        <v/>
      </c>
      <c r="H852" s="23">
        <f>C852/C851-1</f>
        <v/>
      </c>
    </row>
    <row r="853" ht="17" customHeight="1">
      <c r="A853" s="13" t="inlineStr">
        <is>
          <t>2026-09-27</t>
        </is>
      </c>
      <c r="B853" s="14" t="n">
        <v>9800</v>
      </c>
      <c r="C853" s="14" t="n">
        <v>7293.5</v>
      </c>
      <c r="D853" s="15" t="n"/>
      <c r="E853" s="16">
        <f>C853-Lambda*B853-OtherCost</f>
        <v/>
      </c>
      <c r="F853" s="17">
        <f>C853/B853</f>
        <v/>
      </c>
      <c r="G853" s="24">
        <f>B853/B852-1</f>
        <v/>
      </c>
      <c r="H853" s="24">
        <f>C853/C852-1</f>
        <v/>
      </c>
    </row>
    <row r="854" ht="17" customHeight="1">
      <c r="A854" s="18" t="inlineStr">
        <is>
          <t>2026-09-28</t>
        </is>
      </c>
      <c r="B854" s="19" t="n">
        <v>9900</v>
      </c>
      <c r="C854" s="19" t="n">
        <v>7328.75</v>
      </c>
      <c r="D854" s="20" t="n"/>
      <c r="E854" s="21">
        <f>C854-Lambda*B854-OtherCost</f>
        <v/>
      </c>
      <c r="F854" s="22">
        <f>C854/B854</f>
        <v/>
      </c>
      <c r="G854" s="23">
        <f>B854/B853-1</f>
        <v/>
      </c>
      <c r="H854" s="23">
        <f>C854/C853-1</f>
        <v/>
      </c>
    </row>
    <row r="855" ht="17" customHeight="1">
      <c r="A855" s="13" t="inlineStr">
        <is>
          <t>2026-09-29</t>
        </is>
      </c>
      <c r="B855" s="14" t="n">
        <v>9900</v>
      </c>
      <c r="C855" s="14" t="n">
        <v>7327.25</v>
      </c>
      <c r="D855" s="15" t="n"/>
      <c r="E855" s="16">
        <f>C855-Lambda*B855-OtherCost</f>
        <v/>
      </c>
      <c r="F855" s="17">
        <f>C855/B855</f>
        <v/>
      </c>
      <c r="G855" s="24">
        <f>B855/B854-1</f>
        <v/>
      </c>
      <c r="H855" s="24">
        <f>C855/C854-1</f>
        <v/>
      </c>
    </row>
    <row r="856" ht="17" customHeight="1">
      <c r="A856" s="18" t="inlineStr">
        <is>
          <t>2026-09-30</t>
        </is>
      </c>
      <c r="B856" s="19" t="n">
        <v>9900</v>
      </c>
      <c r="C856" s="19" t="n">
        <v>7327.25</v>
      </c>
      <c r="D856" s="20" t="n"/>
      <c r="E856" s="21">
        <f>C856-Lambda*B856-OtherCost</f>
        <v/>
      </c>
      <c r="F856" s="22">
        <f>C856/B856</f>
        <v/>
      </c>
      <c r="G856" s="23">
        <f>B856/B855-1</f>
        <v/>
      </c>
      <c r="H856" s="23">
        <f>C856/C855-1</f>
        <v/>
      </c>
    </row>
    <row r="857" ht="17" customHeight="1">
      <c r="A857" s="13" t="inlineStr">
        <is>
          <t>2026-10-01</t>
        </is>
      </c>
      <c r="B857" s="14" t="n">
        <v>9900</v>
      </c>
      <c r="C857" s="14" t="n">
        <v>7327.25</v>
      </c>
      <c r="D857" s="15" t="n"/>
      <c r="E857" s="16">
        <f>C857-Lambda*B857-OtherCost</f>
        <v/>
      </c>
      <c r="F857" s="17">
        <f>C857/B857</f>
        <v/>
      </c>
      <c r="G857" s="24">
        <f>B857/B856-1</f>
        <v/>
      </c>
      <c r="H857" s="24">
        <f>C857/C856-1</f>
        <v/>
      </c>
    </row>
    <row r="858" ht="17" customHeight="1">
      <c r="A858" s="18" t="inlineStr">
        <is>
          <t>2026-10-02</t>
        </is>
      </c>
      <c r="B858" s="19" t="n">
        <v>9900</v>
      </c>
      <c r="C858" s="19" t="n">
        <v>7327.25</v>
      </c>
      <c r="D858" s="20" t="n"/>
      <c r="E858" s="21">
        <f>C858-Lambda*B858-OtherCost</f>
        <v/>
      </c>
      <c r="F858" s="22">
        <f>C858/B858</f>
        <v/>
      </c>
      <c r="G858" s="23">
        <f>B858/B857-1</f>
        <v/>
      </c>
      <c r="H858" s="23">
        <f>C858/C857-1</f>
        <v/>
      </c>
    </row>
    <row r="859" ht="17" customHeight="1">
      <c r="A859" s="13" t="inlineStr">
        <is>
          <t>2026-10-04</t>
        </is>
      </c>
      <c r="B859" s="14" t="n">
        <v>9900</v>
      </c>
      <c r="C859" s="14" t="n">
        <v>7327.25</v>
      </c>
      <c r="D859" s="15" t="n"/>
      <c r="E859" s="16">
        <f>C859-Lambda*B859-OtherCost</f>
        <v/>
      </c>
      <c r="F859" s="17">
        <f>C859/B859</f>
        <v/>
      </c>
      <c r="G859" s="24">
        <f>B859/B858-1</f>
        <v/>
      </c>
      <c r="H859" s="24">
        <f>C859/C858-1</f>
        <v/>
      </c>
    </row>
    <row r="860" ht="17" customHeight="1">
      <c r="A860" s="18" t="inlineStr">
        <is>
          <t>2026-10-05</t>
        </is>
      </c>
      <c r="B860" s="19" t="n">
        <v>9900</v>
      </c>
      <c r="C860" s="19" t="n">
        <v>7327.25</v>
      </c>
      <c r="D860" s="20" t="n"/>
      <c r="E860" s="21">
        <f>C860-Lambda*B860-OtherCost</f>
        <v/>
      </c>
      <c r="F860" s="22">
        <f>C860/B860</f>
        <v/>
      </c>
      <c r="G860" s="23">
        <f>B860/B859-1</f>
        <v/>
      </c>
      <c r="H860" s="23">
        <f>C860/C859-1</f>
        <v/>
      </c>
    </row>
    <row r="861" ht="17" customHeight="1">
      <c r="A861" s="13" t="inlineStr">
        <is>
          <t>2026-10-06</t>
        </is>
      </c>
      <c r="B861" s="14" t="n">
        <v>9900</v>
      </c>
      <c r="C861" s="14" t="n">
        <v>7327.25</v>
      </c>
      <c r="D861" s="15" t="n"/>
      <c r="E861" s="16">
        <f>C861-Lambda*B861-OtherCost</f>
        <v/>
      </c>
      <c r="F861" s="17">
        <f>C861/B861</f>
        <v/>
      </c>
      <c r="G861" s="24">
        <f>B861/B860-1</f>
        <v/>
      </c>
      <c r="H861" s="24">
        <f>C861/C860-1</f>
        <v/>
      </c>
    </row>
    <row r="862" ht="17" customHeight="1">
      <c r="A862" s="18" t="inlineStr">
        <is>
          <t>2026-10-07</t>
        </is>
      </c>
      <c r="B862" s="19" t="n">
        <v>9900</v>
      </c>
      <c r="C862" s="19" t="n">
        <v>7856.25</v>
      </c>
      <c r="D862" s="20" t="n"/>
      <c r="E862" s="21">
        <f>C862-Lambda*B862-OtherCost</f>
        <v/>
      </c>
      <c r="F862" s="22">
        <f>C862/B862</f>
        <v/>
      </c>
      <c r="G862" s="23">
        <f>B862/B861-1</f>
        <v/>
      </c>
      <c r="H862" s="23">
        <f>C862/C861-1</f>
        <v/>
      </c>
    </row>
    <row r="863" ht="17" customHeight="1">
      <c r="A863" s="13" t="inlineStr">
        <is>
          <t>2026-10-08</t>
        </is>
      </c>
      <c r="B863" s="14" t="n">
        <v>9900</v>
      </c>
      <c r="C863" s="14" t="n">
        <v>7736.75</v>
      </c>
      <c r="D863" s="15" t="n"/>
      <c r="E863" s="16">
        <f>C863-Lambda*B863-OtherCost</f>
        <v/>
      </c>
      <c r="F863" s="17">
        <f>C863/B863</f>
        <v/>
      </c>
      <c r="G863" s="24">
        <f>B863/B862-1</f>
        <v/>
      </c>
      <c r="H863" s="24">
        <f>C863/C862-1</f>
        <v/>
      </c>
    </row>
    <row r="864" ht="17" customHeight="1">
      <c r="A864" s="18" t="inlineStr">
        <is>
          <t>2026-10-09</t>
        </is>
      </c>
      <c r="B864" s="19" t="n">
        <v>9900</v>
      </c>
      <c r="C864" s="19" t="n">
        <v>7856.25</v>
      </c>
      <c r="D864" s="20" t="n"/>
      <c r="E864" s="21">
        <f>C864-Lambda*B864-OtherCost</f>
        <v/>
      </c>
      <c r="F864" s="22">
        <f>C864/B864</f>
        <v/>
      </c>
      <c r="G864" s="23">
        <f>B864/B863-1</f>
        <v/>
      </c>
      <c r="H864" s="23">
        <f>C864/C863-1</f>
        <v/>
      </c>
    </row>
    <row r="865" ht="17" customHeight="1">
      <c r="A865" s="13" t="inlineStr">
        <is>
          <t>2026-10-11</t>
        </is>
      </c>
      <c r="B865" s="14" t="n">
        <v>10500</v>
      </c>
      <c r="C865" s="14" t="n">
        <v>7374.5</v>
      </c>
      <c r="D865" s="15" t="n"/>
      <c r="E865" s="16">
        <f>C865-Lambda*B865-OtherCost</f>
        <v/>
      </c>
      <c r="F865" s="17">
        <f>C865/B865</f>
        <v/>
      </c>
      <c r="G865" s="24">
        <f>B865/B864-1</f>
        <v/>
      </c>
      <c r="H865" s="24">
        <f>C865/C864-1</f>
        <v/>
      </c>
    </row>
    <row r="866" ht="17" customHeight="1">
      <c r="A866" s="18" t="inlineStr">
        <is>
          <t>2026-10-12</t>
        </is>
      </c>
      <c r="B866" s="19" t="n">
        <v>10500</v>
      </c>
      <c r="C866" s="19" t="n">
        <v>7399.75</v>
      </c>
      <c r="D866" s="20" t="n"/>
      <c r="E866" s="21">
        <f>C866-Lambda*B866-OtherCost</f>
        <v/>
      </c>
      <c r="F866" s="22">
        <f>C866/B866</f>
        <v/>
      </c>
      <c r="G866" s="23">
        <f>B866/B865-1</f>
        <v/>
      </c>
      <c r="H866" s="23">
        <f>C866/C865-1</f>
        <v/>
      </c>
    </row>
    <row r="867" ht="17" customHeight="1">
      <c r="A867" s="13" t="inlineStr">
        <is>
          <t>2026-10-13</t>
        </is>
      </c>
      <c r="B867" s="14" t="n">
        <v>10500</v>
      </c>
      <c r="C867" s="14" t="n">
        <v>7428.5</v>
      </c>
      <c r="D867" s="15" t="n"/>
      <c r="E867" s="16">
        <f>C867-Lambda*B867-OtherCost</f>
        <v/>
      </c>
      <c r="F867" s="17">
        <f>C867/B867</f>
        <v/>
      </c>
      <c r="G867" s="24">
        <f>B867/B866-1</f>
        <v/>
      </c>
      <c r="H867" s="24">
        <f>C867/C866-1</f>
        <v/>
      </c>
    </row>
    <row r="868" ht="17" customHeight="1">
      <c r="A868" s="18" t="inlineStr">
        <is>
          <t>2026-10-14</t>
        </is>
      </c>
      <c r="B868" s="19" t="n">
        <v>10500</v>
      </c>
      <c r="C868" s="19" t="n">
        <v>7254.25</v>
      </c>
      <c r="D868" s="20" t="n"/>
      <c r="E868" s="21">
        <f>C868-Lambda*B868-OtherCost</f>
        <v/>
      </c>
      <c r="F868" s="22">
        <f>C868/B868</f>
        <v/>
      </c>
      <c r="G868" s="23">
        <f>B868/B867-1</f>
        <v/>
      </c>
      <c r="H868" s="23">
        <f>C868/C867-1</f>
        <v/>
      </c>
    </row>
    <row r="869" ht="17" customHeight="1">
      <c r="A869" s="13" t="inlineStr">
        <is>
          <t>2026-10-15</t>
        </is>
      </c>
      <c r="B869" s="14" t="n">
        <v>10500</v>
      </c>
      <c r="C869" s="14" t="n">
        <v>7231</v>
      </c>
      <c r="D869" s="15" t="n"/>
      <c r="E869" s="16">
        <f>C869-Lambda*B869-OtherCost</f>
        <v/>
      </c>
      <c r="F869" s="17">
        <f>C869/B869</f>
        <v/>
      </c>
      <c r="G869" s="24">
        <f>B869/B868-1</f>
        <v/>
      </c>
      <c r="H869" s="24">
        <f>C869/C868-1</f>
        <v/>
      </c>
    </row>
    <row r="870" ht="17" customHeight="1">
      <c r="A870" s="18" t="inlineStr">
        <is>
          <t>2026-10-16</t>
        </is>
      </c>
      <c r="B870" s="19" t="n">
        <v>10500</v>
      </c>
      <c r="C870" s="19" t="n">
        <v>7254.25</v>
      </c>
      <c r="D870" s="20" t="n"/>
      <c r="E870" s="21">
        <f>C870-Lambda*B870-OtherCost</f>
        <v/>
      </c>
      <c r="F870" s="22">
        <f>C870/B870</f>
        <v/>
      </c>
      <c r="G870" s="23">
        <f>B870/B869-1</f>
        <v/>
      </c>
      <c r="H870" s="23">
        <f>C870/C869-1</f>
        <v/>
      </c>
    </row>
    <row r="871" ht="17" customHeight="1">
      <c r="A871" s="13" t="inlineStr">
        <is>
          <t>2026-10-18</t>
        </is>
      </c>
      <c r="B871" s="14" t="n">
        <v>10500</v>
      </c>
      <c r="C871" s="14" t="n">
        <v>7054.5</v>
      </c>
      <c r="D871" s="15" t="n"/>
      <c r="E871" s="16">
        <f>C871-Lambda*B871-OtherCost</f>
        <v/>
      </c>
      <c r="F871" s="17">
        <f>C871/B871</f>
        <v/>
      </c>
      <c r="G871" s="24">
        <f>B871/B870-1</f>
        <v/>
      </c>
      <c r="H871" s="24">
        <f>C871/C870-1</f>
        <v/>
      </c>
    </row>
    <row r="872" ht="17" customHeight="1">
      <c r="A872" s="18" t="inlineStr">
        <is>
          <t>2026-10-19</t>
        </is>
      </c>
      <c r="B872" s="19" t="n">
        <v>10500</v>
      </c>
      <c r="C872" s="19" t="n">
        <v>7085.25</v>
      </c>
      <c r="D872" s="20" t="n"/>
      <c r="E872" s="21">
        <f>C872-Lambda*B872-OtherCost</f>
        <v/>
      </c>
      <c r="F872" s="22">
        <f>C872/B872</f>
        <v/>
      </c>
      <c r="G872" s="23">
        <f>B872/B871-1</f>
        <v/>
      </c>
      <c r="H872" s="23">
        <f>C872/C871-1</f>
        <v/>
      </c>
    </row>
    <row r="873" ht="17" customHeight="1">
      <c r="A873" s="13" t="inlineStr">
        <is>
          <t>2026-10-20</t>
        </is>
      </c>
      <c r="B873" s="14" t="n">
        <v>10500</v>
      </c>
      <c r="C873" s="14" t="n">
        <v>7054.5</v>
      </c>
      <c r="D873" s="15" t="n"/>
      <c r="E873" s="16">
        <f>C873-Lambda*B873-OtherCost</f>
        <v/>
      </c>
      <c r="F873" s="17">
        <f>C873/B873</f>
        <v/>
      </c>
      <c r="G873" s="24">
        <f>B873/B872-1</f>
        <v/>
      </c>
      <c r="H873" s="24">
        <f>C873/C872-1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2" customWidth="1" min="4" max="4"/>
    <col width="14" customWidth="1" min="5" max="5"/>
    <col width="13" customWidth="1" min="6" max="6"/>
    <col width="54" customWidth="1" min="7" max="7"/>
  </cols>
  <sheetData>
    <row r="1" ht="30" customHeight="1">
      <c r="A1" s="1" t="inlineStr">
        <is>
          <t>单耗台账：0.647~0.657 的出处</t>
        </is>
      </c>
    </row>
    <row r="2" ht="20" customHeight="1">
      <c r="A2" s="2" t="inlineStr">
        <is>
          <t>单耗是加工价差的唯一乘数，必须逐条可追溯；无出处不得使用。</t>
        </is>
      </c>
    </row>
    <row r="4" ht="26" customHeight="1">
      <c r="A4" s="5" t="inlineStr">
        <is>
          <t>序号</t>
        </is>
      </c>
      <c r="B4" s="5" t="inlineStr">
        <is>
          <t>装置/口径</t>
        </is>
      </c>
      <c r="C4" s="5" t="inlineStr">
        <is>
          <t>PX 单耗 t/t</t>
        </is>
      </c>
      <c r="D4" s="5" t="inlineStr">
        <is>
          <t>醋酸 t/t</t>
        </is>
      </c>
      <c r="E4" s="5" t="inlineStr">
        <is>
          <t>高压蒸汽 t/t</t>
        </is>
      </c>
      <c r="F4" s="5" t="inlineStr">
        <is>
          <t>电力 kWh/t</t>
        </is>
      </c>
      <c r="G4" s="5" t="inlineStr">
        <is>
          <t>来源</t>
        </is>
      </c>
    </row>
    <row r="5" ht="17" customHeight="1">
      <c r="A5" s="7" t="n">
        <v>1</v>
      </c>
      <c r="B5" s="7" t="inlineStr">
        <is>
          <t>汉邦石化一期</t>
        </is>
      </c>
      <c r="C5" s="25" t="n">
        <v>0.657</v>
      </c>
      <c r="D5" s="25" t="n">
        <v>0.036</v>
      </c>
      <c r="E5" s="26" t="n">
        <v>1.15</v>
      </c>
      <c r="F5" s="27" t="n">
        <v>26.4</v>
      </c>
      <c r="G5" s="7" t="inlineStr">
        <is>
          <t>天风证券 2019-12-14 表4</t>
        </is>
      </c>
    </row>
    <row r="6" ht="17" customHeight="1">
      <c r="A6" s="9" t="n">
        <v>2</v>
      </c>
      <c r="B6" s="9" t="inlineStr">
        <is>
          <t>华彬石化</t>
        </is>
      </c>
      <c r="C6" s="28" t="n">
        <v>0.654</v>
      </c>
      <c r="D6" s="28" t="n">
        <v>0.04</v>
      </c>
      <c r="E6" s="29" t="n">
        <v>1.04</v>
      </c>
      <c r="F6" s="30" t="n">
        <v>68.59999999999999</v>
      </c>
      <c r="G6" s="9" t="inlineStr">
        <is>
          <t>同上</t>
        </is>
      </c>
    </row>
    <row r="7" ht="17" customHeight="1">
      <c r="A7" s="7" t="n">
        <v>3</v>
      </c>
      <c r="B7" s="7" t="inlineStr">
        <is>
          <t>恒力石化 1-3#</t>
        </is>
      </c>
      <c r="C7" s="25" t="n">
        <v>0.655</v>
      </c>
      <c r="D7" s="25" t="n">
        <v>0.036</v>
      </c>
      <c r="E7" s="26" t="n">
        <v>0.67</v>
      </c>
      <c r="F7" s="27" t="n">
        <v>-17.8</v>
      </c>
      <c r="G7" s="7" t="inlineStr">
        <is>
          <t>同上（电力为负＝副产外送）</t>
        </is>
      </c>
    </row>
    <row r="8" ht="17" customHeight="1">
      <c r="A8" s="9" t="n">
        <v>4</v>
      </c>
      <c r="B8" s="9" t="inlineStr">
        <is>
          <t>桐昆嘉兴一期</t>
        </is>
      </c>
      <c r="C8" s="28" t="n">
        <v>0.657</v>
      </c>
      <c r="D8" s="28" t="n">
        <v>0.038</v>
      </c>
      <c r="E8" s="29" t="n">
        <v>0.76</v>
      </c>
      <c r="F8" s="30" t="n">
        <v>0</v>
      </c>
      <c r="G8" s="9" t="inlineStr">
        <is>
          <t>同上</t>
        </is>
      </c>
    </row>
    <row r="9" ht="17" customHeight="1">
      <c r="A9" s="7" t="n">
        <v>5</v>
      </c>
      <c r="B9" s="7" t="inlineStr">
        <is>
          <t>汉邦石化二期</t>
        </is>
      </c>
      <c r="C9" s="25" t="n">
        <v>0.654</v>
      </c>
      <c r="D9" s="25" t="n">
        <v>0.035</v>
      </c>
      <c r="E9" s="26" t="n">
        <v>0.6</v>
      </c>
      <c r="F9" s="27" t="n">
        <v>92.40000000000001</v>
      </c>
      <c r="G9" s="7" t="inlineStr">
        <is>
          <t>同上</t>
        </is>
      </c>
    </row>
    <row r="10" ht="17" customHeight="1">
      <c r="A10" s="9" t="n">
        <v>6</v>
      </c>
      <c r="B10" s="9" t="inlineStr">
        <is>
          <t>桐昆嘉兴二期</t>
        </is>
      </c>
      <c r="C10" s="28" t="n">
        <v>0.651</v>
      </c>
      <c r="D10" s="28" t="n">
        <v>0.033</v>
      </c>
      <c r="E10" s="29" t="n">
        <v>0.52</v>
      </c>
      <c r="F10" s="30" t="n">
        <v>0</v>
      </c>
      <c r="G10" s="9" t="inlineStr">
        <is>
          <t>同上</t>
        </is>
      </c>
    </row>
    <row r="11" ht="17" customHeight="1">
      <c r="A11" s="7" t="n">
        <v>7</v>
      </c>
      <c r="B11" s="7" t="inlineStr">
        <is>
          <t>新凤鸣独山</t>
        </is>
      </c>
      <c r="C11" s="25" t="n">
        <v>0.647</v>
      </c>
      <c r="D11" s="25" t="n">
        <v>0.032</v>
      </c>
      <c r="E11" s="26" t="n">
        <v>0.65</v>
      </c>
      <c r="F11" s="27" t="n">
        <v>-25.1</v>
      </c>
      <c r="G11" s="7" t="inlineStr">
        <is>
          <t>同上</t>
        </is>
      </c>
    </row>
    <row r="12" ht="17" customHeight="1">
      <c r="A12" s="9" t="n">
        <v>8</v>
      </c>
      <c r="B12" s="9" t="inlineStr">
        <is>
          <t>恒力石化 4-5#（P8+）</t>
        </is>
      </c>
      <c r="C12" s="28" t="n">
        <v>0.649</v>
      </c>
      <c r="D12" s="28" t="n">
        <v>0.029</v>
      </c>
      <c r="E12" s="29" t="n">
        <v>0.48</v>
      </c>
      <c r="F12" s="30" t="n">
        <v>-100</v>
      </c>
      <c r="G12" s="9" t="inlineStr">
        <is>
          <t>同上</t>
        </is>
      </c>
    </row>
    <row r="13" ht="17" customHeight="1">
      <c r="A13" s="7" t="n">
        <v>9</v>
      </c>
      <c r="B13" s="7" t="inlineStr">
        <is>
          <t>行业通用（估值口径）</t>
        </is>
      </c>
      <c r="C13" s="25" t="n">
        <v>0.655</v>
      </c>
      <c r="D13" s="25" t="n">
        <v>0.032</v>
      </c>
      <c r="E13" s="26" t="n"/>
      <c r="F13" s="27" t="n"/>
      <c r="G13" s="7" t="inlineStr">
        <is>
          <t>长江期货 2023-12-18</t>
        </is>
      </c>
    </row>
    <row r="14" ht="17" customHeight="1">
      <c r="A14" s="9" t="n">
        <v>10</v>
      </c>
      <c r="B14" s="9" t="inlineStr">
        <is>
          <t>SCI99 调研口径</t>
        </is>
      </c>
      <c r="C14" s="28" t="n">
        <v>0.653</v>
      </c>
      <c r="D14" s="28" t="n">
        <v>0.035</v>
      </c>
      <c r="E14" s="29" t="n"/>
      <c r="F14" s="30" t="n"/>
      <c r="G14" s="9" t="inlineStr">
        <is>
          <t>SCI99 2026-08-20（醋酸 0.030~0.039）</t>
        </is>
      </c>
    </row>
    <row r="15" ht="17" customHeight="1">
      <c r="A15" s="7" t="n">
        <v>11</v>
      </c>
      <c r="B15" s="7" t="inlineStr">
        <is>
          <t>均值（1-8 行）</t>
        </is>
      </c>
      <c r="C15" s="31">
        <f>AVERAGE(C5:C12)</f>
        <v/>
      </c>
      <c r="D15" s="31">
        <f>AVERAGE(D5:D12)</f>
        <v/>
      </c>
      <c r="E15" s="32">
        <f>AVERAGE(E5:E12)</f>
        <v/>
      </c>
      <c r="F15" s="33">
        <f>AVERAGE(F5:F12)</f>
        <v/>
      </c>
      <c r="G15" s="7" t="inlineStr">
        <is>
          <t>逐套装置算术平均</t>
        </is>
      </c>
    </row>
    <row r="16" ht="17" customHeight="1">
      <c r="A16" s="9" t="n">
        <v>12</v>
      </c>
      <c r="B16" s="9" t="inlineStr">
        <is>
          <t>极差（1-8 行）</t>
        </is>
      </c>
      <c r="C16" s="34">
        <f>MAX(C5:C12)-MIN(C5:C12)</f>
        <v/>
      </c>
      <c r="D16" s="34">
        <f>MAX(D5:D12)-MIN(D5:D12)</f>
        <v/>
      </c>
      <c r="E16" s="35">
        <f>MAX(E5:E12)-MIN(E5:E12)</f>
        <v/>
      </c>
      <c r="F16" s="30" t="n"/>
      <c r="G16" s="9" t="inlineStr">
        <is>
          <t>单耗离散度：PX 仅 ±0.8%，说明单耗稳定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AG87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 ht="30" customHeight="1">
      <c r="A1" s="1" t="inlineStr">
        <is>
          <t>单耗敏感性</t>
        </is>
      </c>
    </row>
    <row r="2" ht="20" customHeight="1">
      <c r="A2" s="2" t="inlineStr">
        <is>
          <t>λ 每变动 0.001 t/t，价差水平整体平移约 PX 价格×0.001（元/吨）。</t>
        </is>
      </c>
    </row>
    <row r="3">
      <c r="M3" s="12" t="inlineStr">
        <is>
          <t>辅助：各 λ 下的价差序列（列＝λ，行＝日期观测）</t>
        </is>
      </c>
    </row>
    <row r="4" ht="26" customHeight="1">
      <c r="A4" s="5" t="inlineStr">
        <is>
          <t>λ</t>
        </is>
      </c>
      <c r="B4" s="5" t="inlineStr">
        <is>
          <t>价差均值</t>
        </is>
      </c>
      <c r="C4" s="5" t="inlineStr">
        <is>
          <t>价差中位</t>
        </is>
      </c>
      <c r="D4" s="5" t="inlineStr">
        <is>
          <t>P10</t>
        </is>
      </c>
      <c r="E4" s="5" t="inlineStr">
        <is>
          <t>P50</t>
        </is>
      </c>
      <c r="F4" s="5" t="inlineStr">
        <is>
          <t>P90</t>
        </is>
      </c>
      <c r="G4" s="5" t="inlineStr">
        <is>
          <t>价差标准差</t>
        </is>
      </c>
      <c r="H4" s="5" t="inlineStr">
        <is>
          <t>与 λ=0.655 之差</t>
        </is>
      </c>
      <c r="M4" s="36" t="n">
        <v>0.6</v>
      </c>
      <c r="N4" s="36" t="n">
        <v>0.605</v>
      </c>
      <c r="O4" s="36" t="n">
        <v>0.61</v>
      </c>
      <c r="P4" s="36" t="n">
        <v>0.615</v>
      </c>
      <c r="Q4" s="36" t="n">
        <v>0.62</v>
      </c>
      <c r="R4" s="36" t="n">
        <v>0.625</v>
      </c>
      <c r="S4" s="36" t="n">
        <v>0.63</v>
      </c>
      <c r="T4" s="36" t="n">
        <v>0.635</v>
      </c>
      <c r="U4" s="36" t="n">
        <v>0.64</v>
      </c>
      <c r="V4" s="36" t="n">
        <v>0.645</v>
      </c>
      <c r="W4" s="36" t="n">
        <v>0.65</v>
      </c>
      <c r="X4" s="36" t="n">
        <v>0.655</v>
      </c>
      <c r="Y4" s="36" t="n">
        <v>0.66</v>
      </c>
      <c r="Z4" s="36" t="n">
        <v>0.665</v>
      </c>
      <c r="AA4" s="36" t="n">
        <v>0.67</v>
      </c>
      <c r="AB4" s="36" t="n">
        <v>0.675</v>
      </c>
      <c r="AC4" s="36" t="n">
        <v>0.68</v>
      </c>
      <c r="AD4" s="36" t="n">
        <v>0.6850000000000001</v>
      </c>
      <c r="AE4" s="36" t="n">
        <v>0.6899999999999999</v>
      </c>
      <c r="AF4" s="36" t="n">
        <v>0.695</v>
      </c>
      <c r="AG4" s="36" t="n">
        <v>0.7</v>
      </c>
    </row>
    <row r="5" ht="17" customHeight="1">
      <c r="A5" s="25" t="n">
        <v>0.6</v>
      </c>
      <c r="B5" s="16">
        <f>AVERAGE($M$5:$M$873)</f>
        <v/>
      </c>
      <c r="C5" s="16">
        <f>MEDIAN($M$5:$M$873)</f>
        <v/>
      </c>
      <c r="D5" s="16">
        <f>_xlfn.PERCENTILE.INC($M$5:$M$873,0.1)</f>
        <v/>
      </c>
      <c r="E5" s="16">
        <f>_xlfn.PERCENTILE.INC($M$5:$M$873,0.5)</f>
        <v/>
      </c>
      <c r="F5" s="16">
        <f>_xlfn.PERCENTILE.INC($M$5:$M$873,0.9)</f>
        <v/>
      </c>
      <c r="G5" s="16">
        <f>STDEV($M$5:$M$873)</f>
        <v/>
      </c>
      <c r="H5" s="16">
        <f>B5-$B$16</f>
        <v/>
      </c>
      <c r="M5" s="37">
        <f>'03_原始数据'!C5-0.6*'03_原始数据'!B5-OtherCost</f>
        <v/>
      </c>
      <c r="N5" s="37">
        <f>'03_原始数据'!C5-0.605*'03_原始数据'!B5-OtherCost</f>
        <v/>
      </c>
      <c r="O5" s="37">
        <f>'03_原始数据'!C5-0.61*'03_原始数据'!B5-OtherCost</f>
        <v/>
      </c>
      <c r="P5" s="37">
        <f>'03_原始数据'!C5-0.615*'03_原始数据'!B5-OtherCost</f>
        <v/>
      </c>
      <c r="Q5" s="37">
        <f>'03_原始数据'!C5-0.62*'03_原始数据'!B5-OtherCost</f>
        <v/>
      </c>
      <c r="R5" s="37">
        <f>'03_原始数据'!C5-0.625*'03_原始数据'!B5-OtherCost</f>
        <v/>
      </c>
      <c r="S5" s="37">
        <f>'03_原始数据'!C5-0.63*'03_原始数据'!B5-OtherCost</f>
        <v/>
      </c>
      <c r="T5" s="37">
        <f>'03_原始数据'!C5-0.635*'03_原始数据'!B5-OtherCost</f>
        <v/>
      </c>
      <c r="U5" s="37">
        <f>'03_原始数据'!C5-0.64*'03_原始数据'!B5-OtherCost</f>
        <v/>
      </c>
      <c r="V5" s="37">
        <f>'03_原始数据'!C5-0.645*'03_原始数据'!B5-OtherCost</f>
        <v/>
      </c>
      <c r="W5" s="37">
        <f>'03_原始数据'!C5-0.65*'03_原始数据'!B5-OtherCost</f>
        <v/>
      </c>
      <c r="X5" s="37">
        <f>'03_原始数据'!C5-0.655*'03_原始数据'!B5-OtherCost</f>
        <v/>
      </c>
      <c r="Y5" s="37">
        <f>'03_原始数据'!C5-0.66*'03_原始数据'!B5-OtherCost</f>
        <v/>
      </c>
      <c r="Z5" s="37">
        <f>'03_原始数据'!C5-0.665*'03_原始数据'!B5-OtherCost</f>
        <v/>
      </c>
      <c r="AA5" s="37">
        <f>'03_原始数据'!C5-0.67*'03_原始数据'!B5-OtherCost</f>
        <v/>
      </c>
      <c r="AB5" s="37">
        <f>'03_原始数据'!C5-0.675*'03_原始数据'!B5-OtherCost</f>
        <v/>
      </c>
      <c r="AC5" s="37">
        <f>'03_原始数据'!C5-0.68*'03_原始数据'!B5-OtherCost</f>
        <v/>
      </c>
      <c r="AD5" s="37">
        <f>'03_原始数据'!C5-0.685*'03_原始数据'!B5-OtherCost</f>
        <v/>
      </c>
      <c r="AE5" s="37">
        <f>'03_原始数据'!C5-0.69*'03_原始数据'!B5-OtherCost</f>
        <v/>
      </c>
      <c r="AF5" s="37">
        <f>'03_原始数据'!C5-0.695*'03_原始数据'!B5-OtherCost</f>
        <v/>
      </c>
      <c r="AG5" s="37">
        <f>'03_原始数据'!C5-0.7*'03_原始数据'!B5-OtherCost</f>
        <v/>
      </c>
    </row>
    <row r="6" ht="17" customHeight="1">
      <c r="A6" s="28" t="n">
        <v>0.605</v>
      </c>
      <c r="B6" s="21">
        <f>AVERAGE($N$5:$N$873)</f>
        <v/>
      </c>
      <c r="C6" s="21">
        <f>MEDIAN($N$5:$N$873)</f>
        <v/>
      </c>
      <c r="D6" s="21">
        <f>_xlfn.PERCENTILE.INC($N$5:$N$873,0.1)</f>
        <v/>
      </c>
      <c r="E6" s="21">
        <f>_xlfn.PERCENTILE.INC($N$5:$N$873,0.5)</f>
        <v/>
      </c>
      <c r="F6" s="21">
        <f>_xlfn.PERCENTILE.INC($N$5:$N$873,0.9)</f>
        <v/>
      </c>
      <c r="G6" s="21">
        <f>STDEV($N$5:$N$873)</f>
        <v/>
      </c>
      <c r="H6" s="21">
        <f>B6-$B$16</f>
        <v/>
      </c>
      <c r="M6" s="37">
        <f>'03_原始数据'!C6-0.6*'03_原始数据'!B6-OtherCost</f>
        <v/>
      </c>
      <c r="N6" s="37">
        <f>'03_原始数据'!C6-0.605*'03_原始数据'!B6-OtherCost</f>
        <v/>
      </c>
      <c r="O6" s="37">
        <f>'03_原始数据'!C6-0.61*'03_原始数据'!B6-OtherCost</f>
        <v/>
      </c>
      <c r="P6" s="37">
        <f>'03_原始数据'!C6-0.615*'03_原始数据'!B6-OtherCost</f>
        <v/>
      </c>
      <c r="Q6" s="37">
        <f>'03_原始数据'!C6-0.62*'03_原始数据'!B6-OtherCost</f>
        <v/>
      </c>
      <c r="R6" s="37">
        <f>'03_原始数据'!C6-0.625*'03_原始数据'!B6-OtherCost</f>
        <v/>
      </c>
      <c r="S6" s="37">
        <f>'03_原始数据'!C6-0.63*'03_原始数据'!B6-OtherCost</f>
        <v/>
      </c>
      <c r="T6" s="37">
        <f>'03_原始数据'!C6-0.635*'03_原始数据'!B6-OtherCost</f>
        <v/>
      </c>
      <c r="U6" s="37">
        <f>'03_原始数据'!C6-0.64*'03_原始数据'!B6-OtherCost</f>
        <v/>
      </c>
      <c r="V6" s="37">
        <f>'03_原始数据'!C6-0.645*'03_原始数据'!B6-OtherCost</f>
        <v/>
      </c>
      <c r="W6" s="37">
        <f>'03_原始数据'!C6-0.65*'03_原始数据'!B6-OtherCost</f>
        <v/>
      </c>
      <c r="X6" s="37">
        <f>'03_原始数据'!C6-0.655*'03_原始数据'!B6-OtherCost</f>
        <v/>
      </c>
      <c r="Y6" s="37">
        <f>'03_原始数据'!C6-0.66*'03_原始数据'!B6-OtherCost</f>
        <v/>
      </c>
      <c r="Z6" s="37">
        <f>'03_原始数据'!C6-0.665*'03_原始数据'!B6-OtherCost</f>
        <v/>
      </c>
      <c r="AA6" s="37">
        <f>'03_原始数据'!C6-0.67*'03_原始数据'!B6-OtherCost</f>
        <v/>
      </c>
      <c r="AB6" s="37">
        <f>'03_原始数据'!C6-0.675*'03_原始数据'!B6-OtherCost</f>
        <v/>
      </c>
      <c r="AC6" s="37">
        <f>'03_原始数据'!C6-0.68*'03_原始数据'!B6-OtherCost</f>
        <v/>
      </c>
      <c r="AD6" s="37">
        <f>'03_原始数据'!C6-0.685*'03_原始数据'!B6-OtherCost</f>
        <v/>
      </c>
      <c r="AE6" s="37">
        <f>'03_原始数据'!C6-0.69*'03_原始数据'!B6-OtherCost</f>
        <v/>
      </c>
      <c r="AF6" s="37">
        <f>'03_原始数据'!C6-0.695*'03_原始数据'!B6-OtherCost</f>
        <v/>
      </c>
      <c r="AG6" s="37">
        <f>'03_原始数据'!C6-0.7*'03_原始数据'!B6-OtherCost</f>
        <v/>
      </c>
    </row>
    <row r="7" ht="17" customHeight="1">
      <c r="A7" s="25" t="n">
        <v>0.61</v>
      </c>
      <c r="B7" s="16">
        <f>AVERAGE($O$5:$O$873)</f>
        <v/>
      </c>
      <c r="C7" s="16">
        <f>MEDIAN($O$5:$O$873)</f>
        <v/>
      </c>
      <c r="D7" s="16">
        <f>_xlfn.PERCENTILE.INC($O$5:$O$873,0.1)</f>
        <v/>
      </c>
      <c r="E7" s="16">
        <f>_xlfn.PERCENTILE.INC($O$5:$O$873,0.5)</f>
        <v/>
      </c>
      <c r="F7" s="16">
        <f>_xlfn.PERCENTILE.INC($O$5:$O$873,0.9)</f>
        <v/>
      </c>
      <c r="G7" s="16">
        <f>STDEV($O$5:$O$873)</f>
        <v/>
      </c>
      <c r="H7" s="16">
        <f>B7-$B$16</f>
        <v/>
      </c>
      <c r="M7" s="37">
        <f>'03_原始数据'!C7-0.6*'03_原始数据'!B7-OtherCost</f>
        <v/>
      </c>
      <c r="N7" s="37">
        <f>'03_原始数据'!C7-0.605*'03_原始数据'!B7-OtherCost</f>
        <v/>
      </c>
      <c r="O7" s="37">
        <f>'03_原始数据'!C7-0.61*'03_原始数据'!B7-OtherCost</f>
        <v/>
      </c>
      <c r="P7" s="37">
        <f>'03_原始数据'!C7-0.615*'03_原始数据'!B7-OtherCost</f>
        <v/>
      </c>
      <c r="Q7" s="37">
        <f>'03_原始数据'!C7-0.62*'03_原始数据'!B7-OtherCost</f>
        <v/>
      </c>
      <c r="R7" s="37">
        <f>'03_原始数据'!C7-0.625*'03_原始数据'!B7-OtherCost</f>
        <v/>
      </c>
      <c r="S7" s="37">
        <f>'03_原始数据'!C7-0.63*'03_原始数据'!B7-OtherCost</f>
        <v/>
      </c>
      <c r="T7" s="37">
        <f>'03_原始数据'!C7-0.635*'03_原始数据'!B7-OtherCost</f>
        <v/>
      </c>
      <c r="U7" s="37">
        <f>'03_原始数据'!C7-0.64*'03_原始数据'!B7-OtherCost</f>
        <v/>
      </c>
      <c r="V7" s="37">
        <f>'03_原始数据'!C7-0.645*'03_原始数据'!B7-OtherCost</f>
        <v/>
      </c>
      <c r="W7" s="37">
        <f>'03_原始数据'!C7-0.65*'03_原始数据'!B7-OtherCost</f>
        <v/>
      </c>
      <c r="X7" s="37">
        <f>'03_原始数据'!C7-0.655*'03_原始数据'!B7-OtherCost</f>
        <v/>
      </c>
      <c r="Y7" s="37">
        <f>'03_原始数据'!C7-0.66*'03_原始数据'!B7-OtherCost</f>
        <v/>
      </c>
      <c r="Z7" s="37">
        <f>'03_原始数据'!C7-0.665*'03_原始数据'!B7-OtherCost</f>
        <v/>
      </c>
      <c r="AA7" s="37">
        <f>'03_原始数据'!C7-0.67*'03_原始数据'!B7-OtherCost</f>
        <v/>
      </c>
      <c r="AB7" s="37">
        <f>'03_原始数据'!C7-0.675*'03_原始数据'!B7-OtherCost</f>
        <v/>
      </c>
      <c r="AC7" s="37">
        <f>'03_原始数据'!C7-0.68*'03_原始数据'!B7-OtherCost</f>
        <v/>
      </c>
      <c r="AD7" s="37">
        <f>'03_原始数据'!C7-0.685*'03_原始数据'!B7-OtherCost</f>
        <v/>
      </c>
      <c r="AE7" s="37">
        <f>'03_原始数据'!C7-0.69*'03_原始数据'!B7-OtherCost</f>
        <v/>
      </c>
      <c r="AF7" s="37">
        <f>'03_原始数据'!C7-0.695*'03_原始数据'!B7-OtherCost</f>
        <v/>
      </c>
      <c r="AG7" s="37">
        <f>'03_原始数据'!C7-0.7*'03_原始数据'!B7-OtherCost</f>
        <v/>
      </c>
    </row>
    <row r="8" ht="17" customHeight="1">
      <c r="A8" s="28" t="n">
        <v>0.615</v>
      </c>
      <c r="B8" s="21">
        <f>AVERAGE($P$5:$P$873)</f>
        <v/>
      </c>
      <c r="C8" s="21">
        <f>MEDIAN($P$5:$P$873)</f>
        <v/>
      </c>
      <c r="D8" s="21">
        <f>_xlfn.PERCENTILE.INC($P$5:$P$873,0.1)</f>
        <v/>
      </c>
      <c r="E8" s="21">
        <f>_xlfn.PERCENTILE.INC($P$5:$P$873,0.5)</f>
        <v/>
      </c>
      <c r="F8" s="21">
        <f>_xlfn.PERCENTILE.INC($P$5:$P$873,0.9)</f>
        <v/>
      </c>
      <c r="G8" s="21">
        <f>STDEV($P$5:$P$873)</f>
        <v/>
      </c>
      <c r="H8" s="21">
        <f>B8-$B$16</f>
        <v/>
      </c>
      <c r="J8" s="2" t="inlineStr">
        <is>
          <t>注：PERCENTILE.INC 与报告和 Python 的线性插值分位一致；PERCENTILE.EXC 会给出不同结果，勿混用。</t>
        </is>
      </c>
      <c r="M8" s="37">
        <f>'03_原始数据'!C8-0.6*'03_原始数据'!B8-OtherCost</f>
        <v/>
      </c>
      <c r="N8" s="37">
        <f>'03_原始数据'!C8-0.605*'03_原始数据'!B8-OtherCost</f>
        <v/>
      </c>
      <c r="O8" s="37">
        <f>'03_原始数据'!C8-0.61*'03_原始数据'!B8-OtherCost</f>
        <v/>
      </c>
      <c r="P8" s="37">
        <f>'03_原始数据'!C8-0.615*'03_原始数据'!B8-OtherCost</f>
        <v/>
      </c>
      <c r="Q8" s="37">
        <f>'03_原始数据'!C8-0.62*'03_原始数据'!B8-OtherCost</f>
        <v/>
      </c>
      <c r="R8" s="37">
        <f>'03_原始数据'!C8-0.625*'03_原始数据'!B8-OtherCost</f>
        <v/>
      </c>
      <c r="S8" s="37">
        <f>'03_原始数据'!C8-0.63*'03_原始数据'!B8-OtherCost</f>
        <v/>
      </c>
      <c r="T8" s="37">
        <f>'03_原始数据'!C8-0.635*'03_原始数据'!B8-OtherCost</f>
        <v/>
      </c>
      <c r="U8" s="37">
        <f>'03_原始数据'!C8-0.64*'03_原始数据'!B8-OtherCost</f>
        <v/>
      </c>
      <c r="V8" s="37">
        <f>'03_原始数据'!C8-0.645*'03_原始数据'!B8-OtherCost</f>
        <v/>
      </c>
      <c r="W8" s="37">
        <f>'03_原始数据'!C8-0.65*'03_原始数据'!B8-OtherCost</f>
        <v/>
      </c>
      <c r="X8" s="37">
        <f>'03_原始数据'!C8-0.655*'03_原始数据'!B8-OtherCost</f>
        <v/>
      </c>
      <c r="Y8" s="37">
        <f>'03_原始数据'!C8-0.66*'03_原始数据'!B8-OtherCost</f>
        <v/>
      </c>
      <c r="Z8" s="37">
        <f>'03_原始数据'!C8-0.665*'03_原始数据'!B8-OtherCost</f>
        <v/>
      </c>
      <c r="AA8" s="37">
        <f>'03_原始数据'!C8-0.67*'03_原始数据'!B8-OtherCost</f>
        <v/>
      </c>
      <c r="AB8" s="37">
        <f>'03_原始数据'!C8-0.675*'03_原始数据'!B8-OtherCost</f>
        <v/>
      </c>
      <c r="AC8" s="37">
        <f>'03_原始数据'!C8-0.68*'03_原始数据'!B8-OtherCost</f>
        <v/>
      </c>
      <c r="AD8" s="37">
        <f>'03_原始数据'!C8-0.685*'03_原始数据'!B8-OtherCost</f>
        <v/>
      </c>
      <c r="AE8" s="37">
        <f>'03_原始数据'!C8-0.69*'03_原始数据'!B8-OtherCost</f>
        <v/>
      </c>
      <c r="AF8" s="37">
        <f>'03_原始数据'!C8-0.695*'03_原始数据'!B8-OtherCost</f>
        <v/>
      </c>
      <c r="AG8" s="37">
        <f>'03_原始数据'!C8-0.7*'03_原始数据'!B8-OtherCost</f>
        <v/>
      </c>
    </row>
    <row r="9" ht="17" customHeight="1">
      <c r="A9" s="25" t="n">
        <v>0.62</v>
      </c>
      <c r="B9" s="16">
        <f>AVERAGE($Q$5:$Q$873)</f>
        <v/>
      </c>
      <c r="C9" s="16">
        <f>MEDIAN($Q$5:$Q$873)</f>
        <v/>
      </c>
      <c r="D9" s="16">
        <f>_xlfn.PERCENTILE.INC($Q$5:$Q$873,0.1)</f>
        <v/>
      </c>
      <c r="E9" s="16">
        <f>_xlfn.PERCENTILE.INC($Q$5:$Q$873,0.5)</f>
        <v/>
      </c>
      <c r="F9" s="16">
        <f>_xlfn.PERCENTILE.INC($Q$5:$Q$873,0.9)</f>
        <v/>
      </c>
      <c r="G9" s="16">
        <f>STDEV($Q$5:$Q$873)</f>
        <v/>
      </c>
      <c r="H9" s="16">
        <f>B9-$B$16</f>
        <v/>
      </c>
      <c r="M9" s="37">
        <f>'03_原始数据'!C9-0.6*'03_原始数据'!B9-OtherCost</f>
        <v/>
      </c>
      <c r="N9" s="37">
        <f>'03_原始数据'!C9-0.605*'03_原始数据'!B9-OtherCost</f>
        <v/>
      </c>
      <c r="O9" s="37">
        <f>'03_原始数据'!C9-0.61*'03_原始数据'!B9-OtherCost</f>
        <v/>
      </c>
      <c r="P9" s="37">
        <f>'03_原始数据'!C9-0.615*'03_原始数据'!B9-OtherCost</f>
        <v/>
      </c>
      <c r="Q9" s="37">
        <f>'03_原始数据'!C9-0.62*'03_原始数据'!B9-OtherCost</f>
        <v/>
      </c>
      <c r="R9" s="37">
        <f>'03_原始数据'!C9-0.625*'03_原始数据'!B9-OtherCost</f>
        <v/>
      </c>
      <c r="S9" s="37">
        <f>'03_原始数据'!C9-0.63*'03_原始数据'!B9-OtherCost</f>
        <v/>
      </c>
      <c r="T9" s="37">
        <f>'03_原始数据'!C9-0.635*'03_原始数据'!B9-OtherCost</f>
        <v/>
      </c>
      <c r="U9" s="37">
        <f>'03_原始数据'!C9-0.64*'03_原始数据'!B9-OtherCost</f>
        <v/>
      </c>
      <c r="V9" s="37">
        <f>'03_原始数据'!C9-0.645*'03_原始数据'!B9-OtherCost</f>
        <v/>
      </c>
      <c r="W9" s="37">
        <f>'03_原始数据'!C9-0.65*'03_原始数据'!B9-OtherCost</f>
        <v/>
      </c>
      <c r="X9" s="37">
        <f>'03_原始数据'!C9-0.655*'03_原始数据'!B9-OtherCost</f>
        <v/>
      </c>
      <c r="Y9" s="37">
        <f>'03_原始数据'!C9-0.66*'03_原始数据'!B9-OtherCost</f>
        <v/>
      </c>
      <c r="Z9" s="37">
        <f>'03_原始数据'!C9-0.665*'03_原始数据'!B9-OtherCost</f>
        <v/>
      </c>
      <c r="AA9" s="37">
        <f>'03_原始数据'!C9-0.67*'03_原始数据'!B9-OtherCost</f>
        <v/>
      </c>
      <c r="AB9" s="37">
        <f>'03_原始数据'!C9-0.675*'03_原始数据'!B9-OtherCost</f>
        <v/>
      </c>
      <c r="AC9" s="37">
        <f>'03_原始数据'!C9-0.68*'03_原始数据'!B9-OtherCost</f>
        <v/>
      </c>
      <c r="AD9" s="37">
        <f>'03_原始数据'!C9-0.685*'03_原始数据'!B9-OtherCost</f>
        <v/>
      </c>
      <c r="AE9" s="37">
        <f>'03_原始数据'!C9-0.69*'03_原始数据'!B9-OtherCost</f>
        <v/>
      </c>
      <c r="AF9" s="37">
        <f>'03_原始数据'!C9-0.695*'03_原始数据'!B9-OtherCost</f>
        <v/>
      </c>
      <c r="AG9" s="37">
        <f>'03_原始数据'!C9-0.7*'03_原始数据'!B9-OtherCost</f>
        <v/>
      </c>
    </row>
    <row r="10" ht="17" customHeight="1">
      <c r="A10" s="28" t="n">
        <v>0.625</v>
      </c>
      <c r="B10" s="21">
        <f>AVERAGE($R$5:$R$873)</f>
        <v/>
      </c>
      <c r="C10" s="21">
        <f>MEDIAN($R$5:$R$873)</f>
        <v/>
      </c>
      <c r="D10" s="21">
        <f>_xlfn.PERCENTILE.INC($R$5:$R$873,0.1)</f>
        <v/>
      </c>
      <c r="E10" s="21">
        <f>_xlfn.PERCENTILE.INC($R$5:$R$873,0.5)</f>
        <v/>
      </c>
      <c r="F10" s="21">
        <f>_xlfn.PERCENTILE.INC($R$5:$R$873,0.9)</f>
        <v/>
      </c>
      <c r="G10" s="21">
        <f>STDEV($R$5:$R$873)</f>
        <v/>
      </c>
      <c r="H10" s="21">
        <f>B10-$B$16</f>
        <v/>
      </c>
      <c r="M10" s="37">
        <f>'03_原始数据'!C10-0.6*'03_原始数据'!B10-OtherCost</f>
        <v/>
      </c>
      <c r="N10" s="37">
        <f>'03_原始数据'!C10-0.605*'03_原始数据'!B10-OtherCost</f>
        <v/>
      </c>
      <c r="O10" s="37">
        <f>'03_原始数据'!C10-0.61*'03_原始数据'!B10-OtherCost</f>
        <v/>
      </c>
      <c r="P10" s="37">
        <f>'03_原始数据'!C10-0.615*'03_原始数据'!B10-OtherCost</f>
        <v/>
      </c>
      <c r="Q10" s="37">
        <f>'03_原始数据'!C10-0.62*'03_原始数据'!B10-OtherCost</f>
        <v/>
      </c>
      <c r="R10" s="37">
        <f>'03_原始数据'!C10-0.625*'03_原始数据'!B10-OtherCost</f>
        <v/>
      </c>
      <c r="S10" s="37">
        <f>'03_原始数据'!C10-0.63*'03_原始数据'!B10-OtherCost</f>
        <v/>
      </c>
      <c r="T10" s="37">
        <f>'03_原始数据'!C10-0.635*'03_原始数据'!B10-OtherCost</f>
        <v/>
      </c>
      <c r="U10" s="37">
        <f>'03_原始数据'!C10-0.64*'03_原始数据'!B10-OtherCost</f>
        <v/>
      </c>
      <c r="V10" s="37">
        <f>'03_原始数据'!C10-0.645*'03_原始数据'!B10-OtherCost</f>
        <v/>
      </c>
      <c r="W10" s="37">
        <f>'03_原始数据'!C10-0.65*'03_原始数据'!B10-OtherCost</f>
        <v/>
      </c>
      <c r="X10" s="37">
        <f>'03_原始数据'!C10-0.655*'03_原始数据'!B10-OtherCost</f>
        <v/>
      </c>
      <c r="Y10" s="37">
        <f>'03_原始数据'!C10-0.66*'03_原始数据'!B10-OtherCost</f>
        <v/>
      </c>
      <c r="Z10" s="37">
        <f>'03_原始数据'!C10-0.665*'03_原始数据'!B10-OtherCost</f>
        <v/>
      </c>
      <c r="AA10" s="37">
        <f>'03_原始数据'!C10-0.67*'03_原始数据'!B10-OtherCost</f>
        <v/>
      </c>
      <c r="AB10" s="37">
        <f>'03_原始数据'!C10-0.675*'03_原始数据'!B10-OtherCost</f>
        <v/>
      </c>
      <c r="AC10" s="37">
        <f>'03_原始数据'!C10-0.68*'03_原始数据'!B10-OtherCost</f>
        <v/>
      </c>
      <c r="AD10" s="37">
        <f>'03_原始数据'!C10-0.685*'03_原始数据'!B10-OtherCost</f>
        <v/>
      </c>
      <c r="AE10" s="37">
        <f>'03_原始数据'!C10-0.69*'03_原始数据'!B10-OtherCost</f>
        <v/>
      </c>
      <c r="AF10" s="37">
        <f>'03_原始数据'!C10-0.695*'03_原始数据'!B10-OtherCost</f>
        <v/>
      </c>
      <c r="AG10" s="37">
        <f>'03_原始数据'!C10-0.7*'03_原始数据'!B10-OtherCost</f>
        <v/>
      </c>
    </row>
    <row r="11" ht="17" customHeight="1">
      <c r="A11" s="25" t="n">
        <v>0.63</v>
      </c>
      <c r="B11" s="16">
        <f>AVERAGE($S$5:$S$873)</f>
        <v/>
      </c>
      <c r="C11" s="16">
        <f>MEDIAN($S$5:$S$873)</f>
        <v/>
      </c>
      <c r="D11" s="16">
        <f>_xlfn.PERCENTILE.INC($S$5:$S$873,0.1)</f>
        <v/>
      </c>
      <c r="E11" s="16">
        <f>_xlfn.PERCENTILE.INC($S$5:$S$873,0.5)</f>
        <v/>
      </c>
      <c r="F11" s="16">
        <f>_xlfn.PERCENTILE.INC($S$5:$S$873,0.9)</f>
        <v/>
      </c>
      <c r="G11" s="16">
        <f>STDEV($S$5:$S$873)</f>
        <v/>
      </c>
      <c r="H11" s="16">
        <f>B11-$B$16</f>
        <v/>
      </c>
      <c r="M11" s="37">
        <f>'03_原始数据'!C11-0.6*'03_原始数据'!B11-OtherCost</f>
        <v/>
      </c>
      <c r="N11" s="37">
        <f>'03_原始数据'!C11-0.605*'03_原始数据'!B11-OtherCost</f>
        <v/>
      </c>
      <c r="O11" s="37">
        <f>'03_原始数据'!C11-0.61*'03_原始数据'!B11-OtherCost</f>
        <v/>
      </c>
      <c r="P11" s="37">
        <f>'03_原始数据'!C11-0.615*'03_原始数据'!B11-OtherCost</f>
        <v/>
      </c>
      <c r="Q11" s="37">
        <f>'03_原始数据'!C11-0.62*'03_原始数据'!B11-OtherCost</f>
        <v/>
      </c>
      <c r="R11" s="37">
        <f>'03_原始数据'!C11-0.625*'03_原始数据'!B11-OtherCost</f>
        <v/>
      </c>
      <c r="S11" s="37">
        <f>'03_原始数据'!C11-0.63*'03_原始数据'!B11-OtherCost</f>
        <v/>
      </c>
      <c r="T11" s="37">
        <f>'03_原始数据'!C11-0.635*'03_原始数据'!B11-OtherCost</f>
        <v/>
      </c>
      <c r="U11" s="37">
        <f>'03_原始数据'!C11-0.64*'03_原始数据'!B11-OtherCost</f>
        <v/>
      </c>
      <c r="V11" s="37">
        <f>'03_原始数据'!C11-0.645*'03_原始数据'!B11-OtherCost</f>
        <v/>
      </c>
      <c r="W11" s="37">
        <f>'03_原始数据'!C11-0.65*'03_原始数据'!B11-OtherCost</f>
        <v/>
      </c>
      <c r="X11" s="37">
        <f>'03_原始数据'!C11-0.655*'03_原始数据'!B11-OtherCost</f>
        <v/>
      </c>
      <c r="Y11" s="37">
        <f>'03_原始数据'!C11-0.66*'03_原始数据'!B11-OtherCost</f>
        <v/>
      </c>
      <c r="Z11" s="37">
        <f>'03_原始数据'!C11-0.665*'03_原始数据'!B11-OtherCost</f>
        <v/>
      </c>
      <c r="AA11" s="37">
        <f>'03_原始数据'!C11-0.67*'03_原始数据'!B11-OtherCost</f>
        <v/>
      </c>
      <c r="AB11" s="37">
        <f>'03_原始数据'!C11-0.675*'03_原始数据'!B11-OtherCost</f>
        <v/>
      </c>
      <c r="AC11" s="37">
        <f>'03_原始数据'!C11-0.68*'03_原始数据'!B11-OtherCost</f>
        <v/>
      </c>
      <c r="AD11" s="37">
        <f>'03_原始数据'!C11-0.685*'03_原始数据'!B11-OtherCost</f>
        <v/>
      </c>
      <c r="AE11" s="37">
        <f>'03_原始数据'!C11-0.69*'03_原始数据'!B11-OtherCost</f>
        <v/>
      </c>
      <c r="AF11" s="37">
        <f>'03_原始数据'!C11-0.695*'03_原始数据'!B11-OtherCost</f>
        <v/>
      </c>
      <c r="AG11" s="37">
        <f>'03_原始数据'!C11-0.7*'03_原始数据'!B11-OtherCost</f>
        <v/>
      </c>
    </row>
    <row r="12" ht="17" customHeight="1">
      <c r="A12" s="28" t="n">
        <v>0.635</v>
      </c>
      <c r="B12" s="21">
        <f>AVERAGE($T$5:$T$873)</f>
        <v/>
      </c>
      <c r="C12" s="21">
        <f>MEDIAN($T$5:$T$873)</f>
        <v/>
      </c>
      <c r="D12" s="21">
        <f>_xlfn.PERCENTILE.INC($T$5:$T$873,0.1)</f>
        <v/>
      </c>
      <c r="E12" s="21">
        <f>_xlfn.PERCENTILE.INC($T$5:$T$873,0.5)</f>
        <v/>
      </c>
      <c r="F12" s="21">
        <f>_xlfn.PERCENTILE.INC($T$5:$T$873,0.9)</f>
        <v/>
      </c>
      <c r="G12" s="21">
        <f>STDEV($T$5:$T$873)</f>
        <v/>
      </c>
      <c r="H12" s="21">
        <f>B12-$B$16</f>
        <v/>
      </c>
      <c r="M12" s="37">
        <f>'03_原始数据'!C12-0.6*'03_原始数据'!B12-OtherCost</f>
        <v/>
      </c>
      <c r="N12" s="37">
        <f>'03_原始数据'!C12-0.605*'03_原始数据'!B12-OtherCost</f>
        <v/>
      </c>
      <c r="O12" s="37">
        <f>'03_原始数据'!C12-0.61*'03_原始数据'!B12-OtherCost</f>
        <v/>
      </c>
      <c r="P12" s="37">
        <f>'03_原始数据'!C12-0.615*'03_原始数据'!B12-OtherCost</f>
        <v/>
      </c>
      <c r="Q12" s="37">
        <f>'03_原始数据'!C12-0.62*'03_原始数据'!B12-OtherCost</f>
        <v/>
      </c>
      <c r="R12" s="37">
        <f>'03_原始数据'!C12-0.625*'03_原始数据'!B12-OtherCost</f>
        <v/>
      </c>
      <c r="S12" s="37">
        <f>'03_原始数据'!C12-0.63*'03_原始数据'!B12-OtherCost</f>
        <v/>
      </c>
      <c r="T12" s="37">
        <f>'03_原始数据'!C12-0.635*'03_原始数据'!B12-OtherCost</f>
        <v/>
      </c>
      <c r="U12" s="37">
        <f>'03_原始数据'!C12-0.64*'03_原始数据'!B12-OtherCost</f>
        <v/>
      </c>
      <c r="V12" s="37">
        <f>'03_原始数据'!C12-0.645*'03_原始数据'!B12-OtherCost</f>
        <v/>
      </c>
      <c r="W12" s="37">
        <f>'03_原始数据'!C12-0.65*'03_原始数据'!B12-OtherCost</f>
        <v/>
      </c>
      <c r="X12" s="37">
        <f>'03_原始数据'!C12-0.655*'03_原始数据'!B12-OtherCost</f>
        <v/>
      </c>
      <c r="Y12" s="37">
        <f>'03_原始数据'!C12-0.66*'03_原始数据'!B12-OtherCost</f>
        <v/>
      </c>
      <c r="Z12" s="37">
        <f>'03_原始数据'!C12-0.665*'03_原始数据'!B12-OtherCost</f>
        <v/>
      </c>
      <c r="AA12" s="37">
        <f>'03_原始数据'!C12-0.67*'03_原始数据'!B12-OtherCost</f>
        <v/>
      </c>
      <c r="AB12" s="37">
        <f>'03_原始数据'!C12-0.675*'03_原始数据'!B12-OtherCost</f>
        <v/>
      </c>
      <c r="AC12" s="37">
        <f>'03_原始数据'!C12-0.68*'03_原始数据'!B12-OtherCost</f>
        <v/>
      </c>
      <c r="AD12" s="37">
        <f>'03_原始数据'!C12-0.685*'03_原始数据'!B12-OtherCost</f>
        <v/>
      </c>
      <c r="AE12" s="37">
        <f>'03_原始数据'!C12-0.69*'03_原始数据'!B12-OtherCost</f>
        <v/>
      </c>
      <c r="AF12" s="37">
        <f>'03_原始数据'!C12-0.695*'03_原始数据'!B12-OtherCost</f>
        <v/>
      </c>
      <c r="AG12" s="37">
        <f>'03_原始数据'!C12-0.7*'03_原始数据'!B12-OtherCost</f>
        <v/>
      </c>
    </row>
    <row r="13" ht="17" customHeight="1">
      <c r="A13" s="25" t="n">
        <v>0.64</v>
      </c>
      <c r="B13" s="16">
        <f>AVERAGE($U$5:$U$873)</f>
        <v/>
      </c>
      <c r="C13" s="16">
        <f>MEDIAN($U$5:$U$873)</f>
        <v/>
      </c>
      <c r="D13" s="16">
        <f>_xlfn.PERCENTILE.INC($U$5:$U$873,0.1)</f>
        <v/>
      </c>
      <c r="E13" s="16">
        <f>_xlfn.PERCENTILE.INC($U$5:$U$873,0.5)</f>
        <v/>
      </c>
      <c r="F13" s="16">
        <f>_xlfn.PERCENTILE.INC($U$5:$U$873,0.9)</f>
        <v/>
      </c>
      <c r="G13" s="16">
        <f>STDEV($U$5:$U$873)</f>
        <v/>
      </c>
      <c r="H13" s="16">
        <f>B13-$B$16</f>
        <v/>
      </c>
      <c r="M13" s="37">
        <f>'03_原始数据'!C13-0.6*'03_原始数据'!B13-OtherCost</f>
        <v/>
      </c>
      <c r="N13" s="37">
        <f>'03_原始数据'!C13-0.605*'03_原始数据'!B13-OtherCost</f>
        <v/>
      </c>
      <c r="O13" s="37">
        <f>'03_原始数据'!C13-0.61*'03_原始数据'!B13-OtherCost</f>
        <v/>
      </c>
      <c r="P13" s="37">
        <f>'03_原始数据'!C13-0.615*'03_原始数据'!B13-OtherCost</f>
        <v/>
      </c>
      <c r="Q13" s="37">
        <f>'03_原始数据'!C13-0.62*'03_原始数据'!B13-OtherCost</f>
        <v/>
      </c>
      <c r="R13" s="37">
        <f>'03_原始数据'!C13-0.625*'03_原始数据'!B13-OtherCost</f>
        <v/>
      </c>
      <c r="S13" s="37">
        <f>'03_原始数据'!C13-0.63*'03_原始数据'!B13-OtherCost</f>
        <v/>
      </c>
      <c r="T13" s="37">
        <f>'03_原始数据'!C13-0.635*'03_原始数据'!B13-OtherCost</f>
        <v/>
      </c>
      <c r="U13" s="37">
        <f>'03_原始数据'!C13-0.64*'03_原始数据'!B13-OtherCost</f>
        <v/>
      </c>
      <c r="V13" s="37">
        <f>'03_原始数据'!C13-0.645*'03_原始数据'!B13-OtherCost</f>
        <v/>
      </c>
      <c r="W13" s="37">
        <f>'03_原始数据'!C13-0.65*'03_原始数据'!B13-OtherCost</f>
        <v/>
      </c>
      <c r="X13" s="37">
        <f>'03_原始数据'!C13-0.655*'03_原始数据'!B13-OtherCost</f>
        <v/>
      </c>
      <c r="Y13" s="37">
        <f>'03_原始数据'!C13-0.66*'03_原始数据'!B13-OtherCost</f>
        <v/>
      </c>
      <c r="Z13" s="37">
        <f>'03_原始数据'!C13-0.665*'03_原始数据'!B13-OtherCost</f>
        <v/>
      </c>
      <c r="AA13" s="37">
        <f>'03_原始数据'!C13-0.67*'03_原始数据'!B13-OtherCost</f>
        <v/>
      </c>
      <c r="AB13" s="37">
        <f>'03_原始数据'!C13-0.675*'03_原始数据'!B13-OtherCost</f>
        <v/>
      </c>
      <c r="AC13" s="37">
        <f>'03_原始数据'!C13-0.68*'03_原始数据'!B13-OtherCost</f>
        <v/>
      </c>
      <c r="AD13" s="37">
        <f>'03_原始数据'!C13-0.685*'03_原始数据'!B13-OtherCost</f>
        <v/>
      </c>
      <c r="AE13" s="37">
        <f>'03_原始数据'!C13-0.69*'03_原始数据'!B13-OtherCost</f>
        <v/>
      </c>
      <c r="AF13" s="37">
        <f>'03_原始数据'!C13-0.695*'03_原始数据'!B13-OtherCost</f>
        <v/>
      </c>
      <c r="AG13" s="37">
        <f>'03_原始数据'!C13-0.7*'03_原始数据'!B13-OtherCost</f>
        <v/>
      </c>
    </row>
    <row r="14" ht="17" customHeight="1">
      <c r="A14" s="28" t="n">
        <v>0.645</v>
      </c>
      <c r="B14" s="21">
        <f>AVERAGE($V$5:$V$873)</f>
        <v/>
      </c>
      <c r="C14" s="21">
        <f>MEDIAN($V$5:$V$873)</f>
        <v/>
      </c>
      <c r="D14" s="21">
        <f>_xlfn.PERCENTILE.INC($V$5:$V$873,0.1)</f>
        <v/>
      </c>
      <c r="E14" s="21">
        <f>_xlfn.PERCENTILE.INC($V$5:$V$873,0.5)</f>
        <v/>
      </c>
      <c r="F14" s="21">
        <f>_xlfn.PERCENTILE.INC($V$5:$V$873,0.9)</f>
        <v/>
      </c>
      <c r="G14" s="21">
        <f>STDEV($V$5:$V$873)</f>
        <v/>
      </c>
      <c r="H14" s="21">
        <f>B14-$B$16</f>
        <v/>
      </c>
      <c r="M14" s="37">
        <f>'03_原始数据'!C14-0.6*'03_原始数据'!B14-OtherCost</f>
        <v/>
      </c>
      <c r="N14" s="37">
        <f>'03_原始数据'!C14-0.605*'03_原始数据'!B14-OtherCost</f>
        <v/>
      </c>
      <c r="O14" s="37">
        <f>'03_原始数据'!C14-0.61*'03_原始数据'!B14-OtherCost</f>
        <v/>
      </c>
      <c r="P14" s="37">
        <f>'03_原始数据'!C14-0.615*'03_原始数据'!B14-OtherCost</f>
        <v/>
      </c>
      <c r="Q14" s="37">
        <f>'03_原始数据'!C14-0.62*'03_原始数据'!B14-OtherCost</f>
        <v/>
      </c>
      <c r="R14" s="37">
        <f>'03_原始数据'!C14-0.625*'03_原始数据'!B14-OtherCost</f>
        <v/>
      </c>
      <c r="S14" s="37">
        <f>'03_原始数据'!C14-0.63*'03_原始数据'!B14-OtherCost</f>
        <v/>
      </c>
      <c r="T14" s="37">
        <f>'03_原始数据'!C14-0.635*'03_原始数据'!B14-OtherCost</f>
        <v/>
      </c>
      <c r="U14" s="37">
        <f>'03_原始数据'!C14-0.64*'03_原始数据'!B14-OtherCost</f>
        <v/>
      </c>
      <c r="V14" s="37">
        <f>'03_原始数据'!C14-0.645*'03_原始数据'!B14-OtherCost</f>
        <v/>
      </c>
      <c r="W14" s="37">
        <f>'03_原始数据'!C14-0.65*'03_原始数据'!B14-OtherCost</f>
        <v/>
      </c>
      <c r="X14" s="37">
        <f>'03_原始数据'!C14-0.655*'03_原始数据'!B14-OtherCost</f>
        <v/>
      </c>
      <c r="Y14" s="37">
        <f>'03_原始数据'!C14-0.66*'03_原始数据'!B14-OtherCost</f>
        <v/>
      </c>
      <c r="Z14" s="37">
        <f>'03_原始数据'!C14-0.665*'03_原始数据'!B14-OtherCost</f>
        <v/>
      </c>
      <c r="AA14" s="37">
        <f>'03_原始数据'!C14-0.67*'03_原始数据'!B14-OtherCost</f>
        <v/>
      </c>
      <c r="AB14" s="37">
        <f>'03_原始数据'!C14-0.675*'03_原始数据'!B14-OtherCost</f>
        <v/>
      </c>
      <c r="AC14" s="37">
        <f>'03_原始数据'!C14-0.68*'03_原始数据'!B14-OtherCost</f>
        <v/>
      </c>
      <c r="AD14" s="37">
        <f>'03_原始数据'!C14-0.685*'03_原始数据'!B14-OtherCost</f>
        <v/>
      </c>
      <c r="AE14" s="37">
        <f>'03_原始数据'!C14-0.69*'03_原始数据'!B14-OtherCost</f>
        <v/>
      </c>
      <c r="AF14" s="37">
        <f>'03_原始数据'!C14-0.695*'03_原始数据'!B14-OtherCost</f>
        <v/>
      </c>
      <c r="AG14" s="37">
        <f>'03_原始数据'!C14-0.7*'03_原始数据'!B14-OtherCost</f>
        <v/>
      </c>
    </row>
    <row r="15" ht="17" customHeight="1">
      <c r="A15" s="25" t="n">
        <v>0.65</v>
      </c>
      <c r="B15" s="16">
        <f>AVERAGE($W$5:$W$873)</f>
        <v/>
      </c>
      <c r="C15" s="16">
        <f>MEDIAN($W$5:$W$873)</f>
        <v/>
      </c>
      <c r="D15" s="16">
        <f>_xlfn.PERCENTILE.INC($W$5:$W$873,0.1)</f>
        <v/>
      </c>
      <c r="E15" s="16">
        <f>_xlfn.PERCENTILE.INC($W$5:$W$873,0.5)</f>
        <v/>
      </c>
      <c r="F15" s="16">
        <f>_xlfn.PERCENTILE.INC($W$5:$W$873,0.9)</f>
        <v/>
      </c>
      <c r="G15" s="16">
        <f>STDEV($W$5:$W$873)</f>
        <v/>
      </c>
      <c r="H15" s="16">
        <f>B15-$B$16</f>
        <v/>
      </c>
      <c r="M15" s="37">
        <f>'03_原始数据'!C15-0.6*'03_原始数据'!B15-OtherCost</f>
        <v/>
      </c>
      <c r="N15" s="37">
        <f>'03_原始数据'!C15-0.605*'03_原始数据'!B15-OtherCost</f>
        <v/>
      </c>
      <c r="O15" s="37">
        <f>'03_原始数据'!C15-0.61*'03_原始数据'!B15-OtherCost</f>
        <v/>
      </c>
      <c r="P15" s="37">
        <f>'03_原始数据'!C15-0.615*'03_原始数据'!B15-OtherCost</f>
        <v/>
      </c>
      <c r="Q15" s="37">
        <f>'03_原始数据'!C15-0.62*'03_原始数据'!B15-OtherCost</f>
        <v/>
      </c>
      <c r="R15" s="37">
        <f>'03_原始数据'!C15-0.625*'03_原始数据'!B15-OtherCost</f>
        <v/>
      </c>
      <c r="S15" s="37">
        <f>'03_原始数据'!C15-0.63*'03_原始数据'!B15-OtherCost</f>
        <v/>
      </c>
      <c r="T15" s="37">
        <f>'03_原始数据'!C15-0.635*'03_原始数据'!B15-OtherCost</f>
        <v/>
      </c>
      <c r="U15" s="37">
        <f>'03_原始数据'!C15-0.64*'03_原始数据'!B15-OtherCost</f>
        <v/>
      </c>
      <c r="V15" s="37">
        <f>'03_原始数据'!C15-0.645*'03_原始数据'!B15-OtherCost</f>
        <v/>
      </c>
      <c r="W15" s="37">
        <f>'03_原始数据'!C15-0.65*'03_原始数据'!B15-OtherCost</f>
        <v/>
      </c>
      <c r="X15" s="37">
        <f>'03_原始数据'!C15-0.655*'03_原始数据'!B15-OtherCost</f>
        <v/>
      </c>
      <c r="Y15" s="37">
        <f>'03_原始数据'!C15-0.66*'03_原始数据'!B15-OtherCost</f>
        <v/>
      </c>
      <c r="Z15" s="37">
        <f>'03_原始数据'!C15-0.665*'03_原始数据'!B15-OtherCost</f>
        <v/>
      </c>
      <c r="AA15" s="37">
        <f>'03_原始数据'!C15-0.67*'03_原始数据'!B15-OtherCost</f>
        <v/>
      </c>
      <c r="AB15" s="37">
        <f>'03_原始数据'!C15-0.675*'03_原始数据'!B15-OtherCost</f>
        <v/>
      </c>
      <c r="AC15" s="37">
        <f>'03_原始数据'!C15-0.68*'03_原始数据'!B15-OtherCost</f>
        <v/>
      </c>
      <c r="AD15" s="37">
        <f>'03_原始数据'!C15-0.685*'03_原始数据'!B15-OtherCost</f>
        <v/>
      </c>
      <c r="AE15" s="37">
        <f>'03_原始数据'!C15-0.69*'03_原始数据'!B15-OtherCost</f>
        <v/>
      </c>
      <c r="AF15" s="37">
        <f>'03_原始数据'!C15-0.695*'03_原始数据'!B15-OtherCost</f>
        <v/>
      </c>
      <c r="AG15" s="37">
        <f>'03_原始数据'!C15-0.7*'03_原始数据'!B15-OtherCost</f>
        <v/>
      </c>
    </row>
    <row r="16" ht="17" customHeight="1">
      <c r="A16" s="28" t="n">
        <v>0.655</v>
      </c>
      <c r="B16" s="21">
        <f>AVERAGE($X$5:$X$873)</f>
        <v/>
      </c>
      <c r="C16" s="21">
        <f>MEDIAN($X$5:$X$873)</f>
        <v/>
      </c>
      <c r="D16" s="21">
        <f>_xlfn.PERCENTILE.INC($X$5:$X$873,0.1)</f>
        <v/>
      </c>
      <c r="E16" s="21">
        <f>_xlfn.PERCENTILE.INC($X$5:$X$873,0.5)</f>
        <v/>
      </c>
      <c r="F16" s="21">
        <f>_xlfn.PERCENTILE.INC($X$5:$X$873,0.9)</f>
        <v/>
      </c>
      <c r="G16" s="21">
        <f>STDEV($X$5:$X$873)</f>
        <v/>
      </c>
      <c r="H16" s="21">
        <f>B16-$B$16</f>
        <v/>
      </c>
      <c r="M16" s="37">
        <f>'03_原始数据'!C16-0.6*'03_原始数据'!B16-OtherCost</f>
        <v/>
      </c>
      <c r="N16" s="37">
        <f>'03_原始数据'!C16-0.605*'03_原始数据'!B16-OtherCost</f>
        <v/>
      </c>
      <c r="O16" s="37">
        <f>'03_原始数据'!C16-0.61*'03_原始数据'!B16-OtherCost</f>
        <v/>
      </c>
      <c r="P16" s="37">
        <f>'03_原始数据'!C16-0.615*'03_原始数据'!B16-OtherCost</f>
        <v/>
      </c>
      <c r="Q16" s="37">
        <f>'03_原始数据'!C16-0.62*'03_原始数据'!B16-OtherCost</f>
        <v/>
      </c>
      <c r="R16" s="37">
        <f>'03_原始数据'!C16-0.625*'03_原始数据'!B16-OtherCost</f>
        <v/>
      </c>
      <c r="S16" s="37">
        <f>'03_原始数据'!C16-0.63*'03_原始数据'!B16-OtherCost</f>
        <v/>
      </c>
      <c r="T16" s="37">
        <f>'03_原始数据'!C16-0.635*'03_原始数据'!B16-OtherCost</f>
        <v/>
      </c>
      <c r="U16" s="37">
        <f>'03_原始数据'!C16-0.64*'03_原始数据'!B16-OtherCost</f>
        <v/>
      </c>
      <c r="V16" s="37">
        <f>'03_原始数据'!C16-0.645*'03_原始数据'!B16-OtherCost</f>
        <v/>
      </c>
      <c r="W16" s="37">
        <f>'03_原始数据'!C16-0.65*'03_原始数据'!B16-OtherCost</f>
        <v/>
      </c>
      <c r="X16" s="37">
        <f>'03_原始数据'!C16-0.655*'03_原始数据'!B16-OtherCost</f>
        <v/>
      </c>
      <c r="Y16" s="37">
        <f>'03_原始数据'!C16-0.66*'03_原始数据'!B16-OtherCost</f>
        <v/>
      </c>
      <c r="Z16" s="37">
        <f>'03_原始数据'!C16-0.665*'03_原始数据'!B16-OtherCost</f>
        <v/>
      </c>
      <c r="AA16" s="37">
        <f>'03_原始数据'!C16-0.67*'03_原始数据'!B16-OtherCost</f>
        <v/>
      </c>
      <c r="AB16" s="37">
        <f>'03_原始数据'!C16-0.675*'03_原始数据'!B16-OtherCost</f>
        <v/>
      </c>
      <c r="AC16" s="37">
        <f>'03_原始数据'!C16-0.68*'03_原始数据'!B16-OtherCost</f>
        <v/>
      </c>
      <c r="AD16" s="37">
        <f>'03_原始数据'!C16-0.685*'03_原始数据'!B16-OtherCost</f>
        <v/>
      </c>
      <c r="AE16" s="37">
        <f>'03_原始数据'!C16-0.69*'03_原始数据'!B16-OtherCost</f>
        <v/>
      </c>
      <c r="AF16" s="37">
        <f>'03_原始数据'!C16-0.695*'03_原始数据'!B16-OtherCost</f>
        <v/>
      </c>
      <c r="AG16" s="37">
        <f>'03_原始数据'!C16-0.7*'03_原始数据'!B16-OtherCost</f>
        <v/>
      </c>
    </row>
    <row r="17" ht="17" customHeight="1">
      <c r="A17" s="25" t="n">
        <v>0.66</v>
      </c>
      <c r="B17" s="16">
        <f>AVERAGE($Y$5:$Y$873)</f>
        <v/>
      </c>
      <c r="C17" s="16">
        <f>MEDIAN($Y$5:$Y$873)</f>
        <v/>
      </c>
      <c r="D17" s="16">
        <f>_xlfn.PERCENTILE.INC($Y$5:$Y$873,0.1)</f>
        <v/>
      </c>
      <c r="E17" s="16">
        <f>_xlfn.PERCENTILE.INC($Y$5:$Y$873,0.5)</f>
        <v/>
      </c>
      <c r="F17" s="16">
        <f>_xlfn.PERCENTILE.INC($Y$5:$Y$873,0.9)</f>
        <v/>
      </c>
      <c r="G17" s="16">
        <f>STDEV($Y$5:$Y$873)</f>
        <v/>
      </c>
      <c r="H17" s="16">
        <f>B17-$B$16</f>
        <v/>
      </c>
      <c r="M17" s="37">
        <f>'03_原始数据'!C17-0.6*'03_原始数据'!B17-OtherCost</f>
        <v/>
      </c>
      <c r="N17" s="37">
        <f>'03_原始数据'!C17-0.605*'03_原始数据'!B17-OtherCost</f>
        <v/>
      </c>
      <c r="O17" s="37">
        <f>'03_原始数据'!C17-0.61*'03_原始数据'!B17-OtherCost</f>
        <v/>
      </c>
      <c r="P17" s="37">
        <f>'03_原始数据'!C17-0.615*'03_原始数据'!B17-OtherCost</f>
        <v/>
      </c>
      <c r="Q17" s="37">
        <f>'03_原始数据'!C17-0.62*'03_原始数据'!B17-OtherCost</f>
        <v/>
      </c>
      <c r="R17" s="37">
        <f>'03_原始数据'!C17-0.625*'03_原始数据'!B17-OtherCost</f>
        <v/>
      </c>
      <c r="S17" s="37">
        <f>'03_原始数据'!C17-0.63*'03_原始数据'!B17-OtherCost</f>
        <v/>
      </c>
      <c r="T17" s="37">
        <f>'03_原始数据'!C17-0.635*'03_原始数据'!B17-OtherCost</f>
        <v/>
      </c>
      <c r="U17" s="37">
        <f>'03_原始数据'!C17-0.64*'03_原始数据'!B17-OtherCost</f>
        <v/>
      </c>
      <c r="V17" s="37">
        <f>'03_原始数据'!C17-0.645*'03_原始数据'!B17-OtherCost</f>
        <v/>
      </c>
      <c r="W17" s="37">
        <f>'03_原始数据'!C17-0.65*'03_原始数据'!B17-OtherCost</f>
        <v/>
      </c>
      <c r="X17" s="37">
        <f>'03_原始数据'!C17-0.655*'03_原始数据'!B17-OtherCost</f>
        <v/>
      </c>
      <c r="Y17" s="37">
        <f>'03_原始数据'!C17-0.66*'03_原始数据'!B17-OtherCost</f>
        <v/>
      </c>
      <c r="Z17" s="37">
        <f>'03_原始数据'!C17-0.665*'03_原始数据'!B17-OtherCost</f>
        <v/>
      </c>
      <c r="AA17" s="37">
        <f>'03_原始数据'!C17-0.67*'03_原始数据'!B17-OtherCost</f>
        <v/>
      </c>
      <c r="AB17" s="37">
        <f>'03_原始数据'!C17-0.675*'03_原始数据'!B17-OtherCost</f>
        <v/>
      </c>
      <c r="AC17" s="37">
        <f>'03_原始数据'!C17-0.68*'03_原始数据'!B17-OtherCost</f>
        <v/>
      </c>
      <c r="AD17" s="37">
        <f>'03_原始数据'!C17-0.685*'03_原始数据'!B17-OtherCost</f>
        <v/>
      </c>
      <c r="AE17" s="37">
        <f>'03_原始数据'!C17-0.69*'03_原始数据'!B17-OtherCost</f>
        <v/>
      </c>
      <c r="AF17" s="37">
        <f>'03_原始数据'!C17-0.695*'03_原始数据'!B17-OtherCost</f>
        <v/>
      </c>
      <c r="AG17" s="37">
        <f>'03_原始数据'!C17-0.7*'03_原始数据'!B17-OtherCost</f>
        <v/>
      </c>
    </row>
    <row r="18" ht="17" customHeight="1">
      <c r="A18" s="28" t="n">
        <v>0.665</v>
      </c>
      <c r="B18" s="21">
        <f>AVERAGE($Z$5:$Z$873)</f>
        <v/>
      </c>
      <c r="C18" s="21">
        <f>MEDIAN($Z$5:$Z$873)</f>
        <v/>
      </c>
      <c r="D18" s="21">
        <f>_xlfn.PERCENTILE.INC($Z$5:$Z$873,0.1)</f>
        <v/>
      </c>
      <c r="E18" s="21">
        <f>_xlfn.PERCENTILE.INC($Z$5:$Z$873,0.5)</f>
        <v/>
      </c>
      <c r="F18" s="21">
        <f>_xlfn.PERCENTILE.INC($Z$5:$Z$873,0.9)</f>
        <v/>
      </c>
      <c r="G18" s="21">
        <f>STDEV($Z$5:$Z$873)</f>
        <v/>
      </c>
      <c r="H18" s="21">
        <f>B18-$B$16</f>
        <v/>
      </c>
      <c r="M18" s="37">
        <f>'03_原始数据'!C18-0.6*'03_原始数据'!B18-OtherCost</f>
        <v/>
      </c>
      <c r="N18" s="37">
        <f>'03_原始数据'!C18-0.605*'03_原始数据'!B18-OtherCost</f>
        <v/>
      </c>
      <c r="O18" s="37">
        <f>'03_原始数据'!C18-0.61*'03_原始数据'!B18-OtherCost</f>
        <v/>
      </c>
      <c r="P18" s="37">
        <f>'03_原始数据'!C18-0.615*'03_原始数据'!B18-OtherCost</f>
        <v/>
      </c>
      <c r="Q18" s="37">
        <f>'03_原始数据'!C18-0.62*'03_原始数据'!B18-OtherCost</f>
        <v/>
      </c>
      <c r="R18" s="37">
        <f>'03_原始数据'!C18-0.625*'03_原始数据'!B18-OtherCost</f>
        <v/>
      </c>
      <c r="S18" s="37">
        <f>'03_原始数据'!C18-0.63*'03_原始数据'!B18-OtherCost</f>
        <v/>
      </c>
      <c r="T18" s="37">
        <f>'03_原始数据'!C18-0.635*'03_原始数据'!B18-OtherCost</f>
        <v/>
      </c>
      <c r="U18" s="37">
        <f>'03_原始数据'!C18-0.64*'03_原始数据'!B18-OtherCost</f>
        <v/>
      </c>
      <c r="V18" s="37">
        <f>'03_原始数据'!C18-0.645*'03_原始数据'!B18-OtherCost</f>
        <v/>
      </c>
      <c r="W18" s="37">
        <f>'03_原始数据'!C18-0.65*'03_原始数据'!B18-OtherCost</f>
        <v/>
      </c>
      <c r="X18" s="37">
        <f>'03_原始数据'!C18-0.655*'03_原始数据'!B18-OtherCost</f>
        <v/>
      </c>
      <c r="Y18" s="37">
        <f>'03_原始数据'!C18-0.66*'03_原始数据'!B18-OtherCost</f>
        <v/>
      </c>
      <c r="Z18" s="37">
        <f>'03_原始数据'!C18-0.665*'03_原始数据'!B18-OtherCost</f>
        <v/>
      </c>
      <c r="AA18" s="37">
        <f>'03_原始数据'!C18-0.67*'03_原始数据'!B18-OtherCost</f>
        <v/>
      </c>
      <c r="AB18" s="37">
        <f>'03_原始数据'!C18-0.675*'03_原始数据'!B18-OtherCost</f>
        <v/>
      </c>
      <c r="AC18" s="37">
        <f>'03_原始数据'!C18-0.68*'03_原始数据'!B18-OtherCost</f>
        <v/>
      </c>
      <c r="AD18" s="37">
        <f>'03_原始数据'!C18-0.685*'03_原始数据'!B18-OtherCost</f>
        <v/>
      </c>
      <c r="AE18" s="37">
        <f>'03_原始数据'!C18-0.69*'03_原始数据'!B18-OtherCost</f>
        <v/>
      </c>
      <c r="AF18" s="37">
        <f>'03_原始数据'!C18-0.695*'03_原始数据'!B18-OtherCost</f>
        <v/>
      </c>
      <c r="AG18" s="37">
        <f>'03_原始数据'!C18-0.7*'03_原始数据'!B18-OtherCost</f>
        <v/>
      </c>
    </row>
    <row r="19" ht="17" customHeight="1">
      <c r="A19" s="25" t="n">
        <v>0.67</v>
      </c>
      <c r="B19" s="16">
        <f>AVERAGE($AA$5:$AA$873)</f>
        <v/>
      </c>
      <c r="C19" s="16">
        <f>MEDIAN($AA$5:$AA$873)</f>
        <v/>
      </c>
      <c r="D19" s="16">
        <f>_xlfn.PERCENTILE.INC($AA$5:$AA$873,0.1)</f>
        <v/>
      </c>
      <c r="E19" s="16">
        <f>_xlfn.PERCENTILE.INC($AA$5:$AA$873,0.5)</f>
        <v/>
      </c>
      <c r="F19" s="16">
        <f>_xlfn.PERCENTILE.INC($AA$5:$AA$873,0.9)</f>
        <v/>
      </c>
      <c r="G19" s="16">
        <f>STDEV($AA$5:$AA$873)</f>
        <v/>
      </c>
      <c r="H19" s="16">
        <f>B19-$B$16</f>
        <v/>
      </c>
      <c r="M19" s="37">
        <f>'03_原始数据'!C19-0.6*'03_原始数据'!B19-OtherCost</f>
        <v/>
      </c>
      <c r="N19" s="37">
        <f>'03_原始数据'!C19-0.605*'03_原始数据'!B19-OtherCost</f>
        <v/>
      </c>
      <c r="O19" s="37">
        <f>'03_原始数据'!C19-0.61*'03_原始数据'!B19-OtherCost</f>
        <v/>
      </c>
      <c r="P19" s="37">
        <f>'03_原始数据'!C19-0.615*'03_原始数据'!B19-OtherCost</f>
        <v/>
      </c>
      <c r="Q19" s="37">
        <f>'03_原始数据'!C19-0.62*'03_原始数据'!B19-OtherCost</f>
        <v/>
      </c>
      <c r="R19" s="37">
        <f>'03_原始数据'!C19-0.625*'03_原始数据'!B19-OtherCost</f>
        <v/>
      </c>
      <c r="S19" s="37">
        <f>'03_原始数据'!C19-0.63*'03_原始数据'!B19-OtherCost</f>
        <v/>
      </c>
      <c r="T19" s="37">
        <f>'03_原始数据'!C19-0.635*'03_原始数据'!B19-OtherCost</f>
        <v/>
      </c>
      <c r="U19" s="37">
        <f>'03_原始数据'!C19-0.64*'03_原始数据'!B19-OtherCost</f>
        <v/>
      </c>
      <c r="V19" s="37">
        <f>'03_原始数据'!C19-0.645*'03_原始数据'!B19-OtherCost</f>
        <v/>
      </c>
      <c r="W19" s="37">
        <f>'03_原始数据'!C19-0.65*'03_原始数据'!B19-OtherCost</f>
        <v/>
      </c>
      <c r="X19" s="37">
        <f>'03_原始数据'!C19-0.655*'03_原始数据'!B19-OtherCost</f>
        <v/>
      </c>
      <c r="Y19" s="37">
        <f>'03_原始数据'!C19-0.66*'03_原始数据'!B19-OtherCost</f>
        <v/>
      </c>
      <c r="Z19" s="37">
        <f>'03_原始数据'!C19-0.665*'03_原始数据'!B19-OtherCost</f>
        <v/>
      </c>
      <c r="AA19" s="37">
        <f>'03_原始数据'!C19-0.67*'03_原始数据'!B19-OtherCost</f>
        <v/>
      </c>
      <c r="AB19" s="37">
        <f>'03_原始数据'!C19-0.675*'03_原始数据'!B19-OtherCost</f>
        <v/>
      </c>
      <c r="AC19" s="37">
        <f>'03_原始数据'!C19-0.68*'03_原始数据'!B19-OtherCost</f>
        <v/>
      </c>
      <c r="AD19" s="37">
        <f>'03_原始数据'!C19-0.685*'03_原始数据'!B19-OtherCost</f>
        <v/>
      </c>
      <c r="AE19" s="37">
        <f>'03_原始数据'!C19-0.69*'03_原始数据'!B19-OtherCost</f>
        <v/>
      </c>
      <c r="AF19" s="37">
        <f>'03_原始数据'!C19-0.695*'03_原始数据'!B19-OtherCost</f>
        <v/>
      </c>
      <c r="AG19" s="37">
        <f>'03_原始数据'!C19-0.7*'03_原始数据'!B19-OtherCost</f>
        <v/>
      </c>
    </row>
    <row r="20" ht="17" customHeight="1">
      <c r="A20" s="28" t="n">
        <v>0.675</v>
      </c>
      <c r="B20" s="21">
        <f>AVERAGE($AB$5:$AB$873)</f>
        <v/>
      </c>
      <c r="C20" s="21">
        <f>MEDIAN($AB$5:$AB$873)</f>
        <v/>
      </c>
      <c r="D20" s="21">
        <f>_xlfn.PERCENTILE.INC($AB$5:$AB$873,0.1)</f>
        <v/>
      </c>
      <c r="E20" s="21">
        <f>_xlfn.PERCENTILE.INC($AB$5:$AB$873,0.5)</f>
        <v/>
      </c>
      <c r="F20" s="21">
        <f>_xlfn.PERCENTILE.INC($AB$5:$AB$873,0.9)</f>
        <v/>
      </c>
      <c r="G20" s="21">
        <f>STDEV($AB$5:$AB$873)</f>
        <v/>
      </c>
      <c r="H20" s="21">
        <f>B20-$B$16</f>
        <v/>
      </c>
      <c r="M20" s="37">
        <f>'03_原始数据'!C20-0.6*'03_原始数据'!B20-OtherCost</f>
        <v/>
      </c>
      <c r="N20" s="37">
        <f>'03_原始数据'!C20-0.605*'03_原始数据'!B20-OtherCost</f>
        <v/>
      </c>
      <c r="O20" s="37">
        <f>'03_原始数据'!C20-0.61*'03_原始数据'!B20-OtherCost</f>
        <v/>
      </c>
      <c r="P20" s="37">
        <f>'03_原始数据'!C20-0.615*'03_原始数据'!B20-OtherCost</f>
        <v/>
      </c>
      <c r="Q20" s="37">
        <f>'03_原始数据'!C20-0.62*'03_原始数据'!B20-OtherCost</f>
        <v/>
      </c>
      <c r="R20" s="37">
        <f>'03_原始数据'!C20-0.625*'03_原始数据'!B20-OtherCost</f>
        <v/>
      </c>
      <c r="S20" s="37">
        <f>'03_原始数据'!C20-0.63*'03_原始数据'!B20-OtherCost</f>
        <v/>
      </c>
      <c r="T20" s="37">
        <f>'03_原始数据'!C20-0.635*'03_原始数据'!B20-OtherCost</f>
        <v/>
      </c>
      <c r="U20" s="37">
        <f>'03_原始数据'!C20-0.64*'03_原始数据'!B20-OtherCost</f>
        <v/>
      </c>
      <c r="V20" s="37">
        <f>'03_原始数据'!C20-0.645*'03_原始数据'!B20-OtherCost</f>
        <v/>
      </c>
      <c r="W20" s="37">
        <f>'03_原始数据'!C20-0.65*'03_原始数据'!B20-OtherCost</f>
        <v/>
      </c>
      <c r="X20" s="37">
        <f>'03_原始数据'!C20-0.655*'03_原始数据'!B20-OtherCost</f>
        <v/>
      </c>
      <c r="Y20" s="37">
        <f>'03_原始数据'!C20-0.66*'03_原始数据'!B20-OtherCost</f>
        <v/>
      </c>
      <c r="Z20" s="37">
        <f>'03_原始数据'!C20-0.665*'03_原始数据'!B20-OtherCost</f>
        <v/>
      </c>
      <c r="AA20" s="37">
        <f>'03_原始数据'!C20-0.67*'03_原始数据'!B20-OtherCost</f>
        <v/>
      </c>
      <c r="AB20" s="37">
        <f>'03_原始数据'!C20-0.675*'03_原始数据'!B20-OtherCost</f>
        <v/>
      </c>
      <c r="AC20" s="37">
        <f>'03_原始数据'!C20-0.68*'03_原始数据'!B20-OtherCost</f>
        <v/>
      </c>
      <c r="AD20" s="37">
        <f>'03_原始数据'!C20-0.685*'03_原始数据'!B20-OtherCost</f>
        <v/>
      </c>
      <c r="AE20" s="37">
        <f>'03_原始数据'!C20-0.69*'03_原始数据'!B20-OtherCost</f>
        <v/>
      </c>
      <c r="AF20" s="37">
        <f>'03_原始数据'!C20-0.695*'03_原始数据'!B20-OtherCost</f>
        <v/>
      </c>
      <c r="AG20" s="37">
        <f>'03_原始数据'!C20-0.7*'03_原始数据'!B20-OtherCost</f>
        <v/>
      </c>
    </row>
    <row r="21" ht="17" customHeight="1">
      <c r="A21" s="25" t="n">
        <v>0.68</v>
      </c>
      <c r="B21" s="16">
        <f>AVERAGE($AC$5:$AC$873)</f>
        <v/>
      </c>
      <c r="C21" s="16">
        <f>MEDIAN($AC$5:$AC$873)</f>
        <v/>
      </c>
      <c r="D21" s="16">
        <f>_xlfn.PERCENTILE.INC($AC$5:$AC$873,0.1)</f>
        <v/>
      </c>
      <c r="E21" s="16">
        <f>_xlfn.PERCENTILE.INC($AC$5:$AC$873,0.5)</f>
        <v/>
      </c>
      <c r="F21" s="16">
        <f>_xlfn.PERCENTILE.INC($AC$5:$AC$873,0.9)</f>
        <v/>
      </c>
      <c r="G21" s="16">
        <f>STDEV($AC$5:$AC$873)</f>
        <v/>
      </c>
      <c r="H21" s="16">
        <f>B21-$B$16</f>
        <v/>
      </c>
      <c r="M21" s="37">
        <f>'03_原始数据'!C21-0.6*'03_原始数据'!B21-OtherCost</f>
        <v/>
      </c>
      <c r="N21" s="37">
        <f>'03_原始数据'!C21-0.605*'03_原始数据'!B21-OtherCost</f>
        <v/>
      </c>
      <c r="O21" s="37">
        <f>'03_原始数据'!C21-0.61*'03_原始数据'!B21-OtherCost</f>
        <v/>
      </c>
      <c r="P21" s="37">
        <f>'03_原始数据'!C21-0.615*'03_原始数据'!B21-OtherCost</f>
        <v/>
      </c>
      <c r="Q21" s="37">
        <f>'03_原始数据'!C21-0.62*'03_原始数据'!B21-OtherCost</f>
        <v/>
      </c>
      <c r="R21" s="37">
        <f>'03_原始数据'!C21-0.625*'03_原始数据'!B21-OtherCost</f>
        <v/>
      </c>
      <c r="S21" s="37">
        <f>'03_原始数据'!C21-0.63*'03_原始数据'!B21-OtherCost</f>
        <v/>
      </c>
      <c r="T21" s="37">
        <f>'03_原始数据'!C21-0.635*'03_原始数据'!B21-OtherCost</f>
        <v/>
      </c>
      <c r="U21" s="37">
        <f>'03_原始数据'!C21-0.64*'03_原始数据'!B21-OtherCost</f>
        <v/>
      </c>
      <c r="V21" s="37">
        <f>'03_原始数据'!C21-0.645*'03_原始数据'!B21-OtherCost</f>
        <v/>
      </c>
      <c r="W21" s="37">
        <f>'03_原始数据'!C21-0.65*'03_原始数据'!B21-OtherCost</f>
        <v/>
      </c>
      <c r="X21" s="37">
        <f>'03_原始数据'!C21-0.655*'03_原始数据'!B21-OtherCost</f>
        <v/>
      </c>
      <c r="Y21" s="37">
        <f>'03_原始数据'!C21-0.66*'03_原始数据'!B21-OtherCost</f>
        <v/>
      </c>
      <c r="Z21" s="37">
        <f>'03_原始数据'!C21-0.665*'03_原始数据'!B21-OtherCost</f>
        <v/>
      </c>
      <c r="AA21" s="37">
        <f>'03_原始数据'!C21-0.67*'03_原始数据'!B21-OtherCost</f>
        <v/>
      </c>
      <c r="AB21" s="37">
        <f>'03_原始数据'!C21-0.675*'03_原始数据'!B21-OtherCost</f>
        <v/>
      </c>
      <c r="AC21" s="37">
        <f>'03_原始数据'!C21-0.68*'03_原始数据'!B21-OtherCost</f>
        <v/>
      </c>
      <c r="AD21" s="37">
        <f>'03_原始数据'!C21-0.685*'03_原始数据'!B21-OtherCost</f>
        <v/>
      </c>
      <c r="AE21" s="37">
        <f>'03_原始数据'!C21-0.69*'03_原始数据'!B21-OtherCost</f>
        <v/>
      </c>
      <c r="AF21" s="37">
        <f>'03_原始数据'!C21-0.695*'03_原始数据'!B21-OtherCost</f>
        <v/>
      </c>
      <c r="AG21" s="37">
        <f>'03_原始数据'!C21-0.7*'03_原始数据'!B21-OtherCost</f>
        <v/>
      </c>
    </row>
    <row r="22" ht="17" customHeight="1">
      <c r="A22" s="28" t="n">
        <v>0.6850000000000001</v>
      </c>
      <c r="B22" s="21">
        <f>AVERAGE($AD$5:$AD$873)</f>
        <v/>
      </c>
      <c r="C22" s="21">
        <f>MEDIAN($AD$5:$AD$873)</f>
        <v/>
      </c>
      <c r="D22" s="21">
        <f>_xlfn.PERCENTILE.INC($AD$5:$AD$873,0.1)</f>
        <v/>
      </c>
      <c r="E22" s="21">
        <f>_xlfn.PERCENTILE.INC($AD$5:$AD$873,0.5)</f>
        <v/>
      </c>
      <c r="F22" s="21">
        <f>_xlfn.PERCENTILE.INC($AD$5:$AD$873,0.9)</f>
        <v/>
      </c>
      <c r="G22" s="21">
        <f>STDEV($AD$5:$AD$873)</f>
        <v/>
      </c>
      <c r="H22" s="21">
        <f>B22-$B$16</f>
        <v/>
      </c>
      <c r="M22" s="37">
        <f>'03_原始数据'!C22-0.6*'03_原始数据'!B22-OtherCost</f>
        <v/>
      </c>
      <c r="N22" s="37">
        <f>'03_原始数据'!C22-0.605*'03_原始数据'!B22-OtherCost</f>
        <v/>
      </c>
      <c r="O22" s="37">
        <f>'03_原始数据'!C22-0.61*'03_原始数据'!B22-OtherCost</f>
        <v/>
      </c>
      <c r="P22" s="37">
        <f>'03_原始数据'!C22-0.615*'03_原始数据'!B22-OtherCost</f>
        <v/>
      </c>
      <c r="Q22" s="37">
        <f>'03_原始数据'!C22-0.62*'03_原始数据'!B22-OtherCost</f>
        <v/>
      </c>
      <c r="R22" s="37">
        <f>'03_原始数据'!C22-0.625*'03_原始数据'!B22-OtherCost</f>
        <v/>
      </c>
      <c r="S22" s="37">
        <f>'03_原始数据'!C22-0.63*'03_原始数据'!B22-OtherCost</f>
        <v/>
      </c>
      <c r="T22" s="37">
        <f>'03_原始数据'!C22-0.635*'03_原始数据'!B22-OtherCost</f>
        <v/>
      </c>
      <c r="U22" s="37">
        <f>'03_原始数据'!C22-0.64*'03_原始数据'!B22-OtherCost</f>
        <v/>
      </c>
      <c r="V22" s="37">
        <f>'03_原始数据'!C22-0.645*'03_原始数据'!B22-OtherCost</f>
        <v/>
      </c>
      <c r="W22" s="37">
        <f>'03_原始数据'!C22-0.65*'03_原始数据'!B22-OtherCost</f>
        <v/>
      </c>
      <c r="X22" s="37">
        <f>'03_原始数据'!C22-0.655*'03_原始数据'!B22-OtherCost</f>
        <v/>
      </c>
      <c r="Y22" s="37">
        <f>'03_原始数据'!C22-0.66*'03_原始数据'!B22-OtherCost</f>
        <v/>
      </c>
      <c r="Z22" s="37">
        <f>'03_原始数据'!C22-0.665*'03_原始数据'!B22-OtherCost</f>
        <v/>
      </c>
      <c r="AA22" s="37">
        <f>'03_原始数据'!C22-0.67*'03_原始数据'!B22-OtherCost</f>
        <v/>
      </c>
      <c r="AB22" s="37">
        <f>'03_原始数据'!C22-0.675*'03_原始数据'!B22-OtherCost</f>
        <v/>
      </c>
      <c r="AC22" s="37">
        <f>'03_原始数据'!C22-0.68*'03_原始数据'!B22-OtherCost</f>
        <v/>
      </c>
      <c r="AD22" s="37">
        <f>'03_原始数据'!C22-0.685*'03_原始数据'!B22-OtherCost</f>
        <v/>
      </c>
      <c r="AE22" s="37">
        <f>'03_原始数据'!C22-0.69*'03_原始数据'!B22-OtherCost</f>
        <v/>
      </c>
      <c r="AF22" s="37">
        <f>'03_原始数据'!C22-0.695*'03_原始数据'!B22-OtherCost</f>
        <v/>
      </c>
      <c r="AG22" s="37">
        <f>'03_原始数据'!C22-0.7*'03_原始数据'!B22-OtherCost</f>
        <v/>
      </c>
    </row>
    <row r="23" ht="17" customHeight="1">
      <c r="A23" s="25" t="n">
        <v>0.6899999999999999</v>
      </c>
      <c r="B23" s="16">
        <f>AVERAGE($AE$5:$AE$873)</f>
        <v/>
      </c>
      <c r="C23" s="16">
        <f>MEDIAN($AE$5:$AE$873)</f>
        <v/>
      </c>
      <c r="D23" s="16">
        <f>_xlfn.PERCENTILE.INC($AE$5:$AE$873,0.1)</f>
        <v/>
      </c>
      <c r="E23" s="16">
        <f>_xlfn.PERCENTILE.INC($AE$5:$AE$873,0.5)</f>
        <v/>
      </c>
      <c r="F23" s="16">
        <f>_xlfn.PERCENTILE.INC($AE$5:$AE$873,0.9)</f>
        <v/>
      </c>
      <c r="G23" s="16">
        <f>STDEV($AE$5:$AE$873)</f>
        <v/>
      </c>
      <c r="H23" s="16">
        <f>B23-$B$16</f>
        <v/>
      </c>
      <c r="M23" s="37">
        <f>'03_原始数据'!C23-0.6*'03_原始数据'!B23-OtherCost</f>
        <v/>
      </c>
      <c r="N23" s="37">
        <f>'03_原始数据'!C23-0.605*'03_原始数据'!B23-OtherCost</f>
        <v/>
      </c>
      <c r="O23" s="37">
        <f>'03_原始数据'!C23-0.61*'03_原始数据'!B23-OtherCost</f>
        <v/>
      </c>
      <c r="P23" s="37">
        <f>'03_原始数据'!C23-0.615*'03_原始数据'!B23-OtherCost</f>
        <v/>
      </c>
      <c r="Q23" s="37">
        <f>'03_原始数据'!C23-0.62*'03_原始数据'!B23-OtherCost</f>
        <v/>
      </c>
      <c r="R23" s="37">
        <f>'03_原始数据'!C23-0.625*'03_原始数据'!B23-OtherCost</f>
        <v/>
      </c>
      <c r="S23" s="37">
        <f>'03_原始数据'!C23-0.63*'03_原始数据'!B23-OtherCost</f>
        <v/>
      </c>
      <c r="T23" s="37">
        <f>'03_原始数据'!C23-0.635*'03_原始数据'!B23-OtherCost</f>
        <v/>
      </c>
      <c r="U23" s="37">
        <f>'03_原始数据'!C23-0.64*'03_原始数据'!B23-OtherCost</f>
        <v/>
      </c>
      <c r="V23" s="37">
        <f>'03_原始数据'!C23-0.645*'03_原始数据'!B23-OtherCost</f>
        <v/>
      </c>
      <c r="W23" s="37">
        <f>'03_原始数据'!C23-0.65*'03_原始数据'!B23-OtherCost</f>
        <v/>
      </c>
      <c r="X23" s="37">
        <f>'03_原始数据'!C23-0.655*'03_原始数据'!B23-OtherCost</f>
        <v/>
      </c>
      <c r="Y23" s="37">
        <f>'03_原始数据'!C23-0.66*'03_原始数据'!B23-OtherCost</f>
        <v/>
      </c>
      <c r="Z23" s="37">
        <f>'03_原始数据'!C23-0.665*'03_原始数据'!B23-OtherCost</f>
        <v/>
      </c>
      <c r="AA23" s="37">
        <f>'03_原始数据'!C23-0.67*'03_原始数据'!B23-OtherCost</f>
        <v/>
      </c>
      <c r="AB23" s="37">
        <f>'03_原始数据'!C23-0.675*'03_原始数据'!B23-OtherCost</f>
        <v/>
      </c>
      <c r="AC23" s="37">
        <f>'03_原始数据'!C23-0.68*'03_原始数据'!B23-OtherCost</f>
        <v/>
      </c>
      <c r="AD23" s="37">
        <f>'03_原始数据'!C23-0.685*'03_原始数据'!B23-OtherCost</f>
        <v/>
      </c>
      <c r="AE23" s="37">
        <f>'03_原始数据'!C23-0.69*'03_原始数据'!B23-OtherCost</f>
        <v/>
      </c>
      <c r="AF23" s="37">
        <f>'03_原始数据'!C23-0.695*'03_原始数据'!B23-OtherCost</f>
        <v/>
      </c>
      <c r="AG23" s="37">
        <f>'03_原始数据'!C23-0.7*'03_原始数据'!B23-OtherCost</f>
        <v/>
      </c>
    </row>
    <row r="24" ht="17" customHeight="1">
      <c r="A24" s="28" t="n">
        <v>0.695</v>
      </c>
      <c r="B24" s="21">
        <f>AVERAGE($AF$5:$AF$873)</f>
        <v/>
      </c>
      <c r="C24" s="21">
        <f>MEDIAN($AF$5:$AF$873)</f>
        <v/>
      </c>
      <c r="D24" s="21">
        <f>_xlfn.PERCENTILE.INC($AF$5:$AF$873,0.1)</f>
        <v/>
      </c>
      <c r="E24" s="21">
        <f>_xlfn.PERCENTILE.INC($AF$5:$AF$873,0.5)</f>
        <v/>
      </c>
      <c r="F24" s="21">
        <f>_xlfn.PERCENTILE.INC($AF$5:$AF$873,0.9)</f>
        <v/>
      </c>
      <c r="G24" s="21">
        <f>STDEV($AF$5:$AF$873)</f>
        <v/>
      </c>
      <c r="H24" s="21">
        <f>B24-$B$16</f>
        <v/>
      </c>
      <c r="M24" s="37">
        <f>'03_原始数据'!C24-0.6*'03_原始数据'!B24-OtherCost</f>
        <v/>
      </c>
      <c r="N24" s="37">
        <f>'03_原始数据'!C24-0.605*'03_原始数据'!B24-OtherCost</f>
        <v/>
      </c>
      <c r="O24" s="37">
        <f>'03_原始数据'!C24-0.61*'03_原始数据'!B24-OtherCost</f>
        <v/>
      </c>
      <c r="P24" s="37">
        <f>'03_原始数据'!C24-0.615*'03_原始数据'!B24-OtherCost</f>
        <v/>
      </c>
      <c r="Q24" s="37">
        <f>'03_原始数据'!C24-0.62*'03_原始数据'!B24-OtherCost</f>
        <v/>
      </c>
      <c r="R24" s="37">
        <f>'03_原始数据'!C24-0.625*'03_原始数据'!B24-OtherCost</f>
        <v/>
      </c>
      <c r="S24" s="37">
        <f>'03_原始数据'!C24-0.63*'03_原始数据'!B24-OtherCost</f>
        <v/>
      </c>
      <c r="T24" s="37">
        <f>'03_原始数据'!C24-0.635*'03_原始数据'!B24-OtherCost</f>
        <v/>
      </c>
      <c r="U24" s="37">
        <f>'03_原始数据'!C24-0.64*'03_原始数据'!B24-OtherCost</f>
        <v/>
      </c>
      <c r="V24" s="37">
        <f>'03_原始数据'!C24-0.645*'03_原始数据'!B24-OtherCost</f>
        <v/>
      </c>
      <c r="W24" s="37">
        <f>'03_原始数据'!C24-0.65*'03_原始数据'!B24-OtherCost</f>
        <v/>
      </c>
      <c r="X24" s="37">
        <f>'03_原始数据'!C24-0.655*'03_原始数据'!B24-OtherCost</f>
        <v/>
      </c>
      <c r="Y24" s="37">
        <f>'03_原始数据'!C24-0.66*'03_原始数据'!B24-OtherCost</f>
        <v/>
      </c>
      <c r="Z24" s="37">
        <f>'03_原始数据'!C24-0.665*'03_原始数据'!B24-OtherCost</f>
        <v/>
      </c>
      <c r="AA24" s="37">
        <f>'03_原始数据'!C24-0.67*'03_原始数据'!B24-OtherCost</f>
        <v/>
      </c>
      <c r="AB24" s="37">
        <f>'03_原始数据'!C24-0.675*'03_原始数据'!B24-OtherCost</f>
        <v/>
      </c>
      <c r="AC24" s="37">
        <f>'03_原始数据'!C24-0.68*'03_原始数据'!B24-OtherCost</f>
        <v/>
      </c>
      <c r="AD24" s="37">
        <f>'03_原始数据'!C24-0.685*'03_原始数据'!B24-OtherCost</f>
        <v/>
      </c>
      <c r="AE24" s="37">
        <f>'03_原始数据'!C24-0.69*'03_原始数据'!B24-OtherCost</f>
        <v/>
      </c>
      <c r="AF24" s="37">
        <f>'03_原始数据'!C24-0.695*'03_原始数据'!B24-OtherCost</f>
        <v/>
      </c>
      <c r="AG24" s="37">
        <f>'03_原始数据'!C24-0.7*'03_原始数据'!B24-OtherCost</f>
        <v/>
      </c>
    </row>
    <row r="25" ht="17" customHeight="1">
      <c r="A25" s="25" t="n">
        <v>0.7</v>
      </c>
      <c r="B25" s="16">
        <f>AVERAGE($AG$5:$AG$873)</f>
        <v/>
      </c>
      <c r="C25" s="16">
        <f>MEDIAN($AG$5:$AG$873)</f>
        <v/>
      </c>
      <c r="D25" s="16">
        <f>_xlfn.PERCENTILE.INC($AG$5:$AG$873,0.1)</f>
        <v/>
      </c>
      <c r="E25" s="16">
        <f>_xlfn.PERCENTILE.INC($AG$5:$AG$873,0.5)</f>
        <v/>
      </c>
      <c r="F25" s="16">
        <f>_xlfn.PERCENTILE.INC($AG$5:$AG$873,0.9)</f>
        <v/>
      </c>
      <c r="G25" s="16">
        <f>STDEV($AG$5:$AG$873)</f>
        <v/>
      </c>
      <c r="H25" s="16">
        <f>B25-$B$16</f>
        <v/>
      </c>
      <c r="M25" s="37">
        <f>'03_原始数据'!C25-0.6*'03_原始数据'!B25-OtherCost</f>
        <v/>
      </c>
      <c r="N25" s="37">
        <f>'03_原始数据'!C25-0.605*'03_原始数据'!B25-OtherCost</f>
        <v/>
      </c>
      <c r="O25" s="37">
        <f>'03_原始数据'!C25-0.61*'03_原始数据'!B25-OtherCost</f>
        <v/>
      </c>
      <c r="P25" s="37">
        <f>'03_原始数据'!C25-0.615*'03_原始数据'!B25-OtherCost</f>
        <v/>
      </c>
      <c r="Q25" s="37">
        <f>'03_原始数据'!C25-0.62*'03_原始数据'!B25-OtherCost</f>
        <v/>
      </c>
      <c r="R25" s="37">
        <f>'03_原始数据'!C25-0.625*'03_原始数据'!B25-OtherCost</f>
        <v/>
      </c>
      <c r="S25" s="37">
        <f>'03_原始数据'!C25-0.63*'03_原始数据'!B25-OtherCost</f>
        <v/>
      </c>
      <c r="T25" s="37">
        <f>'03_原始数据'!C25-0.635*'03_原始数据'!B25-OtherCost</f>
        <v/>
      </c>
      <c r="U25" s="37">
        <f>'03_原始数据'!C25-0.64*'03_原始数据'!B25-OtherCost</f>
        <v/>
      </c>
      <c r="V25" s="37">
        <f>'03_原始数据'!C25-0.645*'03_原始数据'!B25-OtherCost</f>
        <v/>
      </c>
      <c r="W25" s="37">
        <f>'03_原始数据'!C25-0.65*'03_原始数据'!B25-OtherCost</f>
        <v/>
      </c>
      <c r="X25" s="37">
        <f>'03_原始数据'!C25-0.655*'03_原始数据'!B25-OtherCost</f>
        <v/>
      </c>
      <c r="Y25" s="37">
        <f>'03_原始数据'!C25-0.66*'03_原始数据'!B25-OtherCost</f>
        <v/>
      </c>
      <c r="Z25" s="37">
        <f>'03_原始数据'!C25-0.665*'03_原始数据'!B25-OtherCost</f>
        <v/>
      </c>
      <c r="AA25" s="37">
        <f>'03_原始数据'!C25-0.67*'03_原始数据'!B25-OtherCost</f>
        <v/>
      </c>
      <c r="AB25" s="37">
        <f>'03_原始数据'!C25-0.675*'03_原始数据'!B25-OtherCost</f>
        <v/>
      </c>
      <c r="AC25" s="37">
        <f>'03_原始数据'!C25-0.68*'03_原始数据'!B25-OtherCost</f>
        <v/>
      </c>
      <c r="AD25" s="37">
        <f>'03_原始数据'!C25-0.685*'03_原始数据'!B25-OtherCost</f>
        <v/>
      </c>
      <c r="AE25" s="37">
        <f>'03_原始数据'!C25-0.69*'03_原始数据'!B25-OtherCost</f>
        <v/>
      </c>
      <c r="AF25" s="37">
        <f>'03_原始数据'!C25-0.695*'03_原始数据'!B25-OtherCost</f>
        <v/>
      </c>
      <c r="AG25" s="37">
        <f>'03_原始数据'!C25-0.7*'03_原始数据'!B25-OtherCost</f>
        <v/>
      </c>
    </row>
    <row r="26">
      <c r="M26" s="37">
        <f>'03_原始数据'!C26-0.6*'03_原始数据'!B26-OtherCost</f>
        <v/>
      </c>
      <c r="N26" s="37">
        <f>'03_原始数据'!C26-0.605*'03_原始数据'!B26-OtherCost</f>
        <v/>
      </c>
      <c r="O26" s="37">
        <f>'03_原始数据'!C26-0.61*'03_原始数据'!B26-OtherCost</f>
        <v/>
      </c>
      <c r="P26" s="37">
        <f>'03_原始数据'!C26-0.615*'03_原始数据'!B26-OtherCost</f>
        <v/>
      </c>
      <c r="Q26" s="37">
        <f>'03_原始数据'!C26-0.62*'03_原始数据'!B26-OtherCost</f>
        <v/>
      </c>
      <c r="R26" s="37">
        <f>'03_原始数据'!C26-0.625*'03_原始数据'!B26-OtherCost</f>
        <v/>
      </c>
      <c r="S26" s="37">
        <f>'03_原始数据'!C26-0.63*'03_原始数据'!B26-OtherCost</f>
        <v/>
      </c>
      <c r="T26" s="37">
        <f>'03_原始数据'!C26-0.635*'03_原始数据'!B26-OtherCost</f>
        <v/>
      </c>
      <c r="U26" s="37">
        <f>'03_原始数据'!C26-0.64*'03_原始数据'!B26-OtherCost</f>
        <v/>
      </c>
      <c r="V26" s="37">
        <f>'03_原始数据'!C26-0.645*'03_原始数据'!B26-OtherCost</f>
        <v/>
      </c>
      <c r="W26" s="37">
        <f>'03_原始数据'!C26-0.65*'03_原始数据'!B26-OtherCost</f>
        <v/>
      </c>
      <c r="X26" s="37">
        <f>'03_原始数据'!C26-0.655*'03_原始数据'!B26-OtherCost</f>
        <v/>
      </c>
      <c r="Y26" s="37">
        <f>'03_原始数据'!C26-0.66*'03_原始数据'!B26-OtherCost</f>
        <v/>
      </c>
      <c r="Z26" s="37">
        <f>'03_原始数据'!C26-0.665*'03_原始数据'!B26-OtherCost</f>
        <v/>
      </c>
      <c r="AA26" s="37">
        <f>'03_原始数据'!C26-0.67*'03_原始数据'!B26-OtherCost</f>
        <v/>
      </c>
      <c r="AB26" s="37">
        <f>'03_原始数据'!C26-0.675*'03_原始数据'!B26-OtherCost</f>
        <v/>
      </c>
      <c r="AC26" s="37">
        <f>'03_原始数据'!C26-0.68*'03_原始数据'!B26-OtherCost</f>
        <v/>
      </c>
      <c r="AD26" s="37">
        <f>'03_原始数据'!C26-0.685*'03_原始数据'!B26-OtherCost</f>
        <v/>
      </c>
      <c r="AE26" s="37">
        <f>'03_原始数据'!C26-0.69*'03_原始数据'!B26-OtherCost</f>
        <v/>
      </c>
      <c r="AF26" s="37">
        <f>'03_原始数据'!C26-0.695*'03_原始数据'!B26-OtherCost</f>
        <v/>
      </c>
      <c r="AG26" s="37">
        <f>'03_原始数据'!C26-0.7*'03_原始数据'!B26-OtherCost</f>
        <v/>
      </c>
    </row>
    <row r="27">
      <c r="M27" s="37">
        <f>'03_原始数据'!C27-0.6*'03_原始数据'!B27-OtherCost</f>
        <v/>
      </c>
      <c r="N27" s="37">
        <f>'03_原始数据'!C27-0.605*'03_原始数据'!B27-OtherCost</f>
        <v/>
      </c>
      <c r="O27" s="37">
        <f>'03_原始数据'!C27-0.61*'03_原始数据'!B27-OtherCost</f>
        <v/>
      </c>
      <c r="P27" s="37">
        <f>'03_原始数据'!C27-0.615*'03_原始数据'!B27-OtherCost</f>
        <v/>
      </c>
      <c r="Q27" s="37">
        <f>'03_原始数据'!C27-0.62*'03_原始数据'!B27-OtherCost</f>
        <v/>
      </c>
      <c r="R27" s="37">
        <f>'03_原始数据'!C27-0.625*'03_原始数据'!B27-OtherCost</f>
        <v/>
      </c>
      <c r="S27" s="37">
        <f>'03_原始数据'!C27-0.63*'03_原始数据'!B27-OtherCost</f>
        <v/>
      </c>
      <c r="T27" s="37">
        <f>'03_原始数据'!C27-0.635*'03_原始数据'!B27-OtherCost</f>
        <v/>
      </c>
      <c r="U27" s="37">
        <f>'03_原始数据'!C27-0.64*'03_原始数据'!B27-OtherCost</f>
        <v/>
      </c>
      <c r="V27" s="37">
        <f>'03_原始数据'!C27-0.645*'03_原始数据'!B27-OtherCost</f>
        <v/>
      </c>
      <c r="W27" s="37">
        <f>'03_原始数据'!C27-0.65*'03_原始数据'!B27-OtherCost</f>
        <v/>
      </c>
      <c r="X27" s="37">
        <f>'03_原始数据'!C27-0.655*'03_原始数据'!B27-OtherCost</f>
        <v/>
      </c>
      <c r="Y27" s="37">
        <f>'03_原始数据'!C27-0.66*'03_原始数据'!B27-OtherCost</f>
        <v/>
      </c>
      <c r="Z27" s="37">
        <f>'03_原始数据'!C27-0.665*'03_原始数据'!B27-OtherCost</f>
        <v/>
      </c>
      <c r="AA27" s="37">
        <f>'03_原始数据'!C27-0.67*'03_原始数据'!B27-OtherCost</f>
        <v/>
      </c>
      <c r="AB27" s="37">
        <f>'03_原始数据'!C27-0.675*'03_原始数据'!B27-OtherCost</f>
        <v/>
      </c>
      <c r="AC27" s="37">
        <f>'03_原始数据'!C27-0.68*'03_原始数据'!B27-OtherCost</f>
        <v/>
      </c>
      <c r="AD27" s="37">
        <f>'03_原始数据'!C27-0.685*'03_原始数据'!B27-OtherCost</f>
        <v/>
      </c>
      <c r="AE27" s="37">
        <f>'03_原始数据'!C27-0.69*'03_原始数据'!B27-OtherCost</f>
        <v/>
      </c>
      <c r="AF27" s="37">
        <f>'03_原始数据'!C27-0.695*'03_原始数据'!B27-OtherCost</f>
        <v/>
      </c>
      <c r="AG27" s="37">
        <f>'03_原始数据'!C27-0.7*'03_原始数据'!B27-OtherCost</f>
        <v/>
      </c>
    </row>
    <row r="28">
      <c r="M28" s="37">
        <f>'03_原始数据'!C28-0.6*'03_原始数据'!B28-OtherCost</f>
        <v/>
      </c>
      <c r="N28" s="37">
        <f>'03_原始数据'!C28-0.605*'03_原始数据'!B28-OtherCost</f>
        <v/>
      </c>
      <c r="O28" s="37">
        <f>'03_原始数据'!C28-0.61*'03_原始数据'!B28-OtherCost</f>
        <v/>
      </c>
      <c r="P28" s="37">
        <f>'03_原始数据'!C28-0.615*'03_原始数据'!B28-OtherCost</f>
        <v/>
      </c>
      <c r="Q28" s="37">
        <f>'03_原始数据'!C28-0.62*'03_原始数据'!B28-OtherCost</f>
        <v/>
      </c>
      <c r="R28" s="37">
        <f>'03_原始数据'!C28-0.625*'03_原始数据'!B28-OtherCost</f>
        <v/>
      </c>
      <c r="S28" s="37">
        <f>'03_原始数据'!C28-0.63*'03_原始数据'!B28-OtherCost</f>
        <v/>
      </c>
      <c r="T28" s="37">
        <f>'03_原始数据'!C28-0.635*'03_原始数据'!B28-OtherCost</f>
        <v/>
      </c>
      <c r="U28" s="37">
        <f>'03_原始数据'!C28-0.64*'03_原始数据'!B28-OtherCost</f>
        <v/>
      </c>
      <c r="V28" s="37">
        <f>'03_原始数据'!C28-0.645*'03_原始数据'!B28-OtherCost</f>
        <v/>
      </c>
      <c r="W28" s="37">
        <f>'03_原始数据'!C28-0.65*'03_原始数据'!B28-OtherCost</f>
        <v/>
      </c>
      <c r="X28" s="37">
        <f>'03_原始数据'!C28-0.655*'03_原始数据'!B28-OtherCost</f>
        <v/>
      </c>
      <c r="Y28" s="37">
        <f>'03_原始数据'!C28-0.66*'03_原始数据'!B28-OtherCost</f>
        <v/>
      </c>
      <c r="Z28" s="37">
        <f>'03_原始数据'!C28-0.665*'03_原始数据'!B28-OtherCost</f>
        <v/>
      </c>
      <c r="AA28" s="37">
        <f>'03_原始数据'!C28-0.67*'03_原始数据'!B28-OtherCost</f>
        <v/>
      </c>
      <c r="AB28" s="37">
        <f>'03_原始数据'!C28-0.675*'03_原始数据'!B28-OtherCost</f>
        <v/>
      </c>
      <c r="AC28" s="37">
        <f>'03_原始数据'!C28-0.68*'03_原始数据'!B28-OtherCost</f>
        <v/>
      </c>
      <c r="AD28" s="37">
        <f>'03_原始数据'!C28-0.685*'03_原始数据'!B28-OtherCost</f>
        <v/>
      </c>
      <c r="AE28" s="37">
        <f>'03_原始数据'!C28-0.69*'03_原始数据'!B28-OtherCost</f>
        <v/>
      </c>
      <c r="AF28" s="37">
        <f>'03_原始数据'!C28-0.695*'03_原始数据'!B28-OtherCost</f>
        <v/>
      </c>
      <c r="AG28" s="37">
        <f>'03_原始数据'!C28-0.7*'03_原始数据'!B28-OtherCost</f>
        <v/>
      </c>
    </row>
    <row r="29">
      <c r="M29" s="37">
        <f>'03_原始数据'!C29-0.6*'03_原始数据'!B29-OtherCost</f>
        <v/>
      </c>
      <c r="N29" s="37">
        <f>'03_原始数据'!C29-0.605*'03_原始数据'!B29-OtherCost</f>
        <v/>
      </c>
      <c r="O29" s="37">
        <f>'03_原始数据'!C29-0.61*'03_原始数据'!B29-OtherCost</f>
        <v/>
      </c>
      <c r="P29" s="37">
        <f>'03_原始数据'!C29-0.615*'03_原始数据'!B29-OtherCost</f>
        <v/>
      </c>
      <c r="Q29" s="37">
        <f>'03_原始数据'!C29-0.62*'03_原始数据'!B29-OtherCost</f>
        <v/>
      </c>
      <c r="R29" s="37">
        <f>'03_原始数据'!C29-0.625*'03_原始数据'!B29-OtherCost</f>
        <v/>
      </c>
      <c r="S29" s="37">
        <f>'03_原始数据'!C29-0.63*'03_原始数据'!B29-OtherCost</f>
        <v/>
      </c>
      <c r="T29" s="37">
        <f>'03_原始数据'!C29-0.635*'03_原始数据'!B29-OtherCost</f>
        <v/>
      </c>
      <c r="U29" s="37">
        <f>'03_原始数据'!C29-0.64*'03_原始数据'!B29-OtherCost</f>
        <v/>
      </c>
      <c r="V29" s="37">
        <f>'03_原始数据'!C29-0.645*'03_原始数据'!B29-OtherCost</f>
        <v/>
      </c>
      <c r="W29" s="37">
        <f>'03_原始数据'!C29-0.65*'03_原始数据'!B29-OtherCost</f>
        <v/>
      </c>
      <c r="X29" s="37">
        <f>'03_原始数据'!C29-0.655*'03_原始数据'!B29-OtherCost</f>
        <v/>
      </c>
      <c r="Y29" s="37">
        <f>'03_原始数据'!C29-0.66*'03_原始数据'!B29-OtherCost</f>
        <v/>
      </c>
      <c r="Z29" s="37">
        <f>'03_原始数据'!C29-0.665*'03_原始数据'!B29-OtherCost</f>
        <v/>
      </c>
      <c r="AA29" s="37">
        <f>'03_原始数据'!C29-0.67*'03_原始数据'!B29-OtherCost</f>
        <v/>
      </c>
      <c r="AB29" s="37">
        <f>'03_原始数据'!C29-0.675*'03_原始数据'!B29-OtherCost</f>
        <v/>
      </c>
      <c r="AC29" s="37">
        <f>'03_原始数据'!C29-0.68*'03_原始数据'!B29-OtherCost</f>
        <v/>
      </c>
      <c r="AD29" s="37">
        <f>'03_原始数据'!C29-0.685*'03_原始数据'!B29-OtherCost</f>
        <v/>
      </c>
      <c r="AE29" s="37">
        <f>'03_原始数据'!C29-0.69*'03_原始数据'!B29-OtherCost</f>
        <v/>
      </c>
      <c r="AF29" s="37">
        <f>'03_原始数据'!C29-0.695*'03_原始数据'!B29-OtherCost</f>
        <v/>
      </c>
      <c r="AG29" s="37">
        <f>'03_原始数据'!C29-0.7*'03_原始数据'!B29-OtherCost</f>
        <v/>
      </c>
    </row>
    <row r="30">
      <c r="M30" s="37">
        <f>'03_原始数据'!C30-0.6*'03_原始数据'!B30-OtherCost</f>
        <v/>
      </c>
      <c r="N30" s="37">
        <f>'03_原始数据'!C30-0.605*'03_原始数据'!B30-OtherCost</f>
        <v/>
      </c>
      <c r="O30" s="37">
        <f>'03_原始数据'!C30-0.61*'03_原始数据'!B30-OtherCost</f>
        <v/>
      </c>
      <c r="P30" s="37">
        <f>'03_原始数据'!C30-0.615*'03_原始数据'!B30-OtherCost</f>
        <v/>
      </c>
      <c r="Q30" s="37">
        <f>'03_原始数据'!C30-0.62*'03_原始数据'!B30-OtherCost</f>
        <v/>
      </c>
      <c r="R30" s="37">
        <f>'03_原始数据'!C30-0.625*'03_原始数据'!B30-OtherCost</f>
        <v/>
      </c>
      <c r="S30" s="37">
        <f>'03_原始数据'!C30-0.63*'03_原始数据'!B30-OtherCost</f>
        <v/>
      </c>
      <c r="T30" s="37">
        <f>'03_原始数据'!C30-0.635*'03_原始数据'!B30-OtherCost</f>
        <v/>
      </c>
      <c r="U30" s="37">
        <f>'03_原始数据'!C30-0.64*'03_原始数据'!B30-OtherCost</f>
        <v/>
      </c>
      <c r="V30" s="37">
        <f>'03_原始数据'!C30-0.645*'03_原始数据'!B30-OtherCost</f>
        <v/>
      </c>
      <c r="W30" s="37">
        <f>'03_原始数据'!C30-0.65*'03_原始数据'!B30-OtherCost</f>
        <v/>
      </c>
      <c r="X30" s="37">
        <f>'03_原始数据'!C30-0.655*'03_原始数据'!B30-OtherCost</f>
        <v/>
      </c>
      <c r="Y30" s="37">
        <f>'03_原始数据'!C30-0.66*'03_原始数据'!B30-OtherCost</f>
        <v/>
      </c>
      <c r="Z30" s="37">
        <f>'03_原始数据'!C30-0.665*'03_原始数据'!B30-OtherCost</f>
        <v/>
      </c>
      <c r="AA30" s="37">
        <f>'03_原始数据'!C30-0.67*'03_原始数据'!B30-OtherCost</f>
        <v/>
      </c>
      <c r="AB30" s="37">
        <f>'03_原始数据'!C30-0.675*'03_原始数据'!B30-OtherCost</f>
        <v/>
      </c>
      <c r="AC30" s="37">
        <f>'03_原始数据'!C30-0.68*'03_原始数据'!B30-OtherCost</f>
        <v/>
      </c>
      <c r="AD30" s="37">
        <f>'03_原始数据'!C30-0.685*'03_原始数据'!B30-OtherCost</f>
        <v/>
      </c>
      <c r="AE30" s="37">
        <f>'03_原始数据'!C30-0.69*'03_原始数据'!B30-OtherCost</f>
        <v/>
      </c>
      <c r="AF30" s="37">
        <f>'03_原始数据'!C30-0.695*'03_原始数据'!B30-OtherCost</f>
        <v/>
      </c>
      <c r="AG30" s="37">
        <f>'03_原始数据'!C30-0.7*'03_原始数据'!B30-OtherCost</f>
        <v/>
      </c>
    </row>
    <row r="31">
      <c r="M31" s="37">
        <f>'03_原始数据'!C31-0.6*'03_原始数据'!B31-OtherCost</f>
        <v/>
      </c>
      <c r="N31" s="37">
        <f>'03_原始数据'!C31-0.605*'03_原始数据'!B31-OtherCost</f>
        <v/>
      </c>
      <c r="O31" s="37">
        <f>'03_原始数据'!C31-0.61*'03_原始数据'!B31-OtherCost</f>
        <v/>
      </c>
      <c r="P31" s="37">
        <f>'03_原始数据'!C31-0.615*'03_原始数据'!B31-OtherCost</f>
        <v/>
      </c>
      <c r="Q31" s="37">
        <f>'03_原始数据'!C31-0.62*'03_原始数据'!B31-OtherCost</f>
        <v/>
      </c>
      <c r="R31" s="37">
        <f>'03_原始数据'!C31-0.625*'03_原始数据'!B31-OtherCost</f>
        <v/>
      </c>
      <c r="S31" s="37">
        <f>'03_原始数据'!C31-0.63*'03_原始数据'!B31-OtherCost</f>
        <v/>
      </c>
      <c r="T31" s="37">
        <f>'03_原始数据'!C31-0.635*'03_原始数据'!B31-OtherCost</f>
        <v/>
      </c>
      <c r="U31" s="37">
        <f>'03_原始数据'!C31-0.64*'03_原始数据'!B31-OtherCost</f>
        <v/>
      </c>
      <c r="V31" s="37">
        <f>'03_原始数据'!C31-0.645*'03_原始数据'!B31-OtherCost</f>
        <v/>
      </c>
      <c r="W31" s="37">
        <f>'03_原始数据'!C31-0.65*'03_原始数据'!B31-OtherCost</f>
        <v/>
      </c>
      <c r="X31" s="37">
        <f>'03_原始数据'!C31-0.655*'03_原始数据'!B31-OtherCost</f>
        <v/>
      </c>
      <c r="Y31" s="37">
        <f>'03_原始数据'!C31-0.66*'03_原始数据'!B31-OtherCost</f>
        <v/>
      </c>
      <c r="Z31" s="37">
        <f>'03_原始数据'!C31-0.665*'03_原始数据'!B31-OtherCost</f>
        <v/>
      </c>
      <c r="AA31" s="37">
        <f>'03_原始数据'!C31-0.67*'03_原始数据'!B31-OtherCost</f>
        <v/>
      </c>
      <c r="AB31" s="37">
        <f>'03_原始数据'!C31-0.675*'03_原始数据'!B31-OtherCost</f>
        <v/>
      </c>
      <c r="AC31" s="37">
        <f>'03_原始数据'!C31-0.68*'03_原始数据'!B31-OtherCost</f>
        <v/>
      </c>
      <c r="AD31" s="37">
        <f>'03_原始数据'!C31-0.685*'03_原始数据'!B31-OtherCost</f>
        <v/>
      </c>
      <c r="AE31" s="37">
        <f>'03_原始数据'!C31-0.69*'03_原始数据'!B31-OtherCost</f>
        <v/>
      </c>
      <c r="AF31" s="37">
        <f>'03_原始数据'!C31-0.695*'03_原始数据'!B31-OtherCost</f>
        <v/>
      </c>
      <c r="AG31" s="37">
        <f>'03_原始数据'!C31-0.7*'03_原始数据'!B31-OtherCost</f>
        <v/>
      </c>
    </row>
    <row r="32">
      <c r="M32" s="37">
        <f>'03_原始数据'!C32-0.6*'03_原始数据'!B32-OtherCost</f>
        <v/>
      </c>
      <c r="N32" s="37">
        <f>'03_原始数据'!C32-0.605*'03_原始数据'!B32-OtherCost</f>
        <v/>
      </c>
      <c r="O32" s="37">
        <f>'03_原始数据'!C32-0.61*'03_原始数据'!B32-OtherCost</f>
        <v/>
      </c>
      <c r="P32" s="37">
        <f>'03_原始数据'!C32-0.615*'03_原始数据'!B32-OtherCost</f>
        <v/>
      </c>
      <c r="Q32" s="37">
        <f>'03_原始数据'!C32-0.62*'03_原始数据'!B32-OtherCost</f>
        <v/>
      </c>
      <c r="R32" s="37">
        <f>'03_原始数据'!C32-0.625*'03_原始数据'!B32-OtherCost</f>
        <v/>
      </c>
      <c r="S32" s="37">
        <f>'03_原始数据'!C32-0.63*'03_原始数据'!B32-OtherCost</f>
        <v/>
      </c>
      <c r="T32" s="37">
        <f>'03_原始数据'!C32-0.635*'03_原始数据'!B32-OtherCost</f>
        <v/>
      </c>
      <c r="U32" s="37">
        <f>'03_原始数据'!C32-0.64*'03_原始数据'!B32-OtherCost</f>
        <v/>
      </c>
      <c r="V32" s="37">
        <f>'03_原始数据'!C32-0.645*'03_原始数据'!B32-OtherCost</f>
        <v/>
      </c>
      <c r="W32" s="37">
        <f>'03_原始数据'!C32-0.65*'03_原始数据'!B32-OtherCost</f>
        <v/>
      </c>
      <c r="X32" s="37">
        <f>'03_原始数据'!C32-0.655*'03_原始数据'!B32-OtherCost</f>
        <v/>
      </c>
      <c r="Y32" s="37">
        <f>'03_原始数据'!C32-0.66*'03_原始数据'!B32-OtherCost</f>
        <v/>
      </c>
      <c r="Z32" s="37">
        <f>'03_原始数据'!C32-0.665*'03_原始数据'!B32-OtherCost</f>
        <v/>
      </c>
      <c r="AA32" s="37">
        <f>'03_原始数据'!C32-0.67*'03_原始数据'!B32-OtherCost</f>
        <v/>
      </c>
      <c r="AB32" s="37">
        <f>'03_原始数据'!C32-0.675*'03_原始数据'!B32-OtherCost</f>
        <v/>
      </c>
      <c r="AC32" s="37">
        <f>'03_原始数据'!C32-0.68*'03_原始数据'!B32-OtherCost</f>
        <v/>
      </c>
      <c r="AD32" s="37">
        <f>'03_原始数据'!C32-0.685*'03_原始数据'!B32-OtherCost</f>
        <v/>
      </c>
      <c r="AE32" s="37">
        <f>'03_原始数据'!C32-0.69*'03_原始数据'!B32-OtherCost</f>
        <v/>
      </c>
      <c r="AF32" s="37">
        <f>'03_原始数据'!C32-0.695*'03_原始数据'!B32-OtherCost</f>
        <v/>
      </c>
      <c r="AG32" s="37">
        <f>'03_原始数据'!C32-0.7*'03_原始数据'!B32-OtherCost</f>
        <v/>
      </c>
    </row>
    <row r="33">
      <c r="M33" s="37">
        <f>'03_原始数据'!C33-0.6*'03_原始数据'!B33-OtherCost</f>
        <v/>
      </c>
      <c r="N33" s="37">
        <f>'03_原始数据'!C33-0.605*'03_原始数据'!B33-OtherCost</f>
        <v/>
      </c>
      <c r="O33" s="37">
        <f>'03_原始数据'!C33-0.61*'03_原始数据'!B33-OtherCost</f>
        <v/>
      </c>
      <c r="P33" s="37">
        <f>'03_原始数据'!C33-0.615*'03_原始数据'!B33-OtherCost</f>
        <v/>
      </c>
      <c r="Q33" s="37">
        <f>'03_原始数据'!C33-0.62*'03_原始数据'!B33-OtherCost</f>
        <v/>
      </c>
      <c r="R33" s="37">
        <f>'03_原始数据'!C33-0.625*'03_原始数据'!B33-OtherCost</f>
        <v/>
      </c>
      <c r="S33" s="37">
        <f>'03_原始数据'!C33-0.63*'03_原始数据'!B33-OtherCost</f>
        <v/>
      </c>
      <c r="T33" s="37">
        <f>'03_原始数据'!C33-0.635*'03_原始数据'!B33-OtherCost</f>
        <v/>
      </c>
      <c r="U33" s="37">
        <f>'03_原始数据'!C33-0.64*'03_原始数据'!B33-OtherCost</f>
        <v/>
      </c>
      <c r="V33" s="37">
        <f>'03_原始数据'!C33-0.645*'03_原始数据'!B33-OtherCost</f>
        <v/>
      </c>
      <c r="W33" s="37">
        <f>'03_原始数据'!C33-0.65*'03_原始数据'!B33-OtherCost</f>
        <v/>
      </c>
      <c r="X33" s="37">
        <f>'03_原始数据'!C33-0.655*'03_原始数据'!B33-OtherCost</f>
        <v/>
      </c>
      <c r="Y33" s="37">
        <f>'03_原始数据'!C33-0.66*'03_原始数据'!B33-OtherCost</f>
        <v/>
      </c>
      <c r="Z33" s="37">
        <f>'03_原始数据'!C33-0.665*'03_原始数据'!B33-OtherCost</f>
        <v/>
      </c>
      <c r="AA33" s="37">
        <f>'03_原始数据'!C33-0.67*'03_原始数据'!B33-OtherCost</f>
        <v/>
      </c>
      <c r="AB33" s="37">
        <f>'03_原始数据'!C33-0.675*'03_原始数据'!B33-OtherCost</f>
        <v/>
      </c>
      <c r="AC33" s="37">
        <f>'03_原始数据'!C33-0.68*'03_原始数据'!B33-OtherCost</f>
        <v/>
      </c>
      <c r="AD33" s="37">
        <f>'03_原始数据'!C33-0.685*'03_原始数据'!B33-OtherCost</f>
        <v/>
      </c>
      <c r="AE33" s="37">
        <f>'03_原始数据'!C33-0.69*'03_原始数据'!B33-OtherCost</f>
        <v/>
      </c>
      <c r="AF33" s="37">
        <f>'03_原始数据'!C33-0.695*'03_原始数据'!B33-OtherCost</f>
        <v/>
      </c>
      <c r="AG33" s="37">
        <f>'03_原始数据'!C33-0.7*'03_原始数据'!B33-OtherCost</f>
        <v/>
      </c>
    </row>
    <row r="34">
      <c r="M34" s="37">
        <f>'03_原始数据'!C34-0.6*'03_原始数据'!B34-OtherCost</f>
        <v/>
      </c>
      <c r="N34" s="37">
        <f>'03_原始数据'!C34-0.605*'03_原始数据'!B34-OtherCost</f>
        <v/>
      </c>
      <c r="O34" s="37">
        <f>'03_原始数据'!C34-0.61*'03_原始数据'!B34-OtherCost</f>
        <v/>
      </c>
      <c r="P34" s="37">
        <f>'03_原始数据'!C34-0.615*'03_原始数据'!B34-OtherCost</f>
        <v/>
      </c>
      <c r="Q34" s="37">
        <f>'03_原始数据'!C34-0.62*'03_原始数据'!B34-OtherCost</f>
        <v/>
      </c>
      <c r="R34" s="37">
        <f>'03_原始数据'!C34-0.625*'03_原始数据'!B34-OtherCost</f>
        <v/>
      </c>
      <c r="S34" s="37">
        <f>'03_原始数据'!C34-0.63*'03_原始数据'!B34-OtherCost</f>
        <v/>
      </c>
      <c r="T34" s="37">
        <f>'03_原始数据'!C34-0.635*'03_原始数据'!B34-OtherCost</f>
        <v/>
      </c>
      <c r="U34" s="37">
        <f>'03_原始数据'!C34-0.64*'03_原始数据'!B34-OtherCost</f>
        <v/>
      </c>
      <c r="V34" s="37">
        <f>'03_原始数据'!C34-0.645*'03_原始数据'!B34-OtherCost</f>
        <v/>
      </c>
      <c r="W34" s="37">
        <f>'03_原始数据'!C34-0.65*'03_原始数据'!B34-OtherCost</f>
        <v/>
      </c>
      <c r="X34" s="37">
        <f>'03_原始数据'!C34-0.655*'03_原始数据'!B34-OtherCost</f>
        <v/>
      </c>
      <c r="Y34" s="37">
        <f>'03_原始数据'!C34-0.66*'03_原始数据'!B34-OtherCost</f>
        <v/>
      </c>
      <c r="Z34" s="37">
        <f>'03_原始数据'!C34-0.665*'03_原始数据'!B34-OtherCost</f>
        <v/>
      </c>
      <c r="AA34" s="37">
        <f>'03_原始数据'!C34-0.67*'03_原始数据'!B34-OtherCost</f>
        <v/>
      </c>
      <c r="AB34" s="37">
        <f>'03_原始数据'!C34-0.675*'03_原始数据'!B34-OtherCost</f>
        <v/>
      </c>
      <c r="AC34" s="37">
        <f>'03_原始数据'!C34-0.68*'03_原始数据'!B34-OtherCost</f>
        <v/>
      </c>
      <c r="AD34" s="37">
        <f>'03_原始数据'!C34-0.685*'03_原始数据'!B34-OtherCost</f>
        <v/>
      </c>
      <c r="AE34" s="37">
        <f>'03_原始数据'!C34-0.69*'03_原始数据'!B34-OtherCost</f>
        <v/>
      </c>
      <c r="AF34" s="37">
        <f>'03_原始数据'!C34-0.695*'03_原始数据'!B34-OtherCost</f>
        <v/>
      </c>
      <c r="AG34" s="37">
        <f>'03_原始数据'!C34-0.7*'03_原始数据'!B34-OtherCost</f>
        <v/>
      </c>
    </row>
    <row r="35">
      <c r="M35" s="37">
        <f>'03_原始数据'!C35-0.6*'03_原始数据'!B35-OtherCost</f>
        <v/>
      </c>
      <c r="N35" s="37">
        <f>'03_原始数据'!C35-0.605*'03_原始数据'!B35-OtherCost</f>
        <v/>
      </c>
      <c r="O35" s="37">
        <f>'03_原始数据'!C35-0.61*'03_原始数据'!B35-OtherCost</f>
        <v/>
      </c>
      <c r="P35" s="37">
        <f>'03_原始数据'!C35-0.615*'03_原始数据'!B35-OtherCost</f>
        <v/>
      </c>
      <c r="Q35" s="37">
        <f>'03_原始数据'!C35-0.62*'03_原始数据'!B35-OtherCost</f>
        <v/>
      </c>
      <c r="R35" s="37">
        <f>'03_原始数据'!C35-0.625*'03_原始数据'!B35-OtherCost</f>
        <v/>
      </c>
      <c r="S35" s="37">
        <f>'03_原始数据'!C35-0.63*'03_原始数据'!B35-OtherCost</f>
        <v/>
      </c>
      <c r="T35" s="37">
        <f>'03_原始数据'!C35-0.635*'03_原始数据'!B35-OtherCost</f>
        <v/>
      </c>
      <c r="U35" s="37">
        <f>'03_原始数据'!C35-0.64*'03_原始数据'!B35-OtherCost</f>
        <v/>
      </c>
      <c r="V35" s="37">
        <f>'03_原始数据'!C35-0.645*'03_原始数据'!B35-OtherCost</f>
        <v/>
      </c>
      <c r="W35" s="37">
        <f>'03_原始数据'!C35-0.65*'03_原始数据'!B35-OtherCost</f>
        <v/>
      </c>
      <c r="X35" s="37">
        <f>'03_原始数据'!C35-0.655*'03_原始数据'!B35-OtherCost</f>
        <v/>
      </c>
      <c r="Y35" s="37">
        <f>'03_原始数据'!C35-0.66*'03_原始数据'!B35-OtherCost</f>
        <v/>
      </c>
      <c r="Z35" s="37">
        <f>'03_原始数据'!C35-0.665*'03_原始数据'!B35-OtherCost</f>
        <v/>
      </c>
      <c r="AA35" s="37">
        <f>'03_原始数据'!C35-0.67*'03_原始数据'!B35-OtherCost</f>
        <v/>
      </c>
      <c r="AB35" s="37">
        <f>'03_原始数据'!C35-0.675*'03_原始数据'!B35-OtherCost</f>
        <v/>
      </c>
      <c r="AC35" s="37">
        <f>'03_原始数据'!C35-0.68*'03_原始数据'!B35-OtherCost</f>
        <v/>
      </c>
      <c r="AD35" s="37">
        <f>'03_原始数据'!C35-0.685*'03_原始数据'!B35-OtherCost</f>
        <v/>
      </c>
      <c r="AE35" s="37">
        <f>'03_原始数据'!C35-0.69*'03_原始数据'!B35-OtherCost</f>
        <v/>
      </c>
      <c r="AF35" s="37">
        <f>'03_原始数据'!C35-0.695*'03_原始数据'!B35-OtherCost</f>
        <v/>
      </c>
      <c r="AG35" s="37">
        <f>'03_原始数据'!C35-0.7*'03_原始数据'!B35-OtherCost</f>
        <v/>
      </c>
    </row>
    <row r="36">
      <c r="M36" s="37">
        <f>'03_原始数据'!C36-0.6*'03_原始数据'!B36-OtherCost</f>
        <v/>
      </c>
      <c r="N36" s="37">
        <f>'03_原始数据'!C36-0.605*'03_原始数据'!B36-OtherCost</f>
        <v/>
      </c>
      <c r="O36" s="37">
        <f>'03_原始数据'!C36-0.61*'03_原始数据'!B36-OtherCost</f>
        <v/>
      </c>
      <c r="P36" s="37">
        <f>'03_原始数据'!C36-0.615*'03_原始数据'!B36-OtherCost</f>
        <v/>
      </c>
      <c r="Q36" s="37">
        <f>'03_原始数据'!C36-0.62*'03_原始数据'!B36-OtherCost</f>
        <v/>
      </c>
      <c r="R36" s="37">
        <f>'03_原始数据'!C36-0.625*'03_原始数据'!B36-OtherCost</f>
        <v/>
      </c>
      <c r="S36" s="37">
        <f>'03_原始数据'!C36-0.63*'03_原始数据'!B36-OtherCost</f>
        <v/>
      </c>
      <c r="T36" s="37">
        <f>'03_原始数据'!C36-0.635*'03_原始数据'!B36-OtherCost</f>
        <v/>
      </c>
      <c r="U36" s="37">
        <f>'03_原始数据'!C36-0.64*'03_原始数据'!B36-OtherCost</f>
        <v/>
      </c>
      <c r="V36" s="37">
        <f>'03_原始数据'!C36-0.645*'03_原始数据'!B36-OtherCost</f>
        <v/>
      </c>
      <c r="W36" s="37">
        <f>'03_原始数据'!C36-0.65*'03_原始数据'!B36-OtherCost</f>
        <v/>
      </c>
      <c r="X36" s="37">
        <f>'03_原始数据'!C36-0.655*'03_原始数据'!B36-OtherCost</f>
        <v/>
      </c>
      <c r="Y36" s="37">
        <f>'03_原始数据'!C36-0.66*'03_原始数据'!B36-OtherCost</f>
        <v/>
      </c>
      <c r="Z36" s="37">
        <f>'03_原始数据'!C36-0.665*'03_原始数据'!B36-OtherCost</f>
        <v/>
      </c>
      <c r="AA36" s="37">
        <f>'03_原始数据'!C36-0.67*'03_原始数据'!B36-OtherCost</f>
        <v/>
      </c>
      <c r="AB36" s="37">
        <f>'03_原始数据'!C36-0.675*'03_原始数据'!B36-OtherCost</f>
        <v/>
      </c>
      <c r="AC36" s="37">
        <f>'03_原始数据'!C36-0.68*'03_原始数据'!B36-OtherCost</f>
        <v/>
      </c>
      <c r="AD36" s="37">
        <f>'03_原始数据'!C36-0.685*'03_原始数据'!B36-OtherCost</f>
        <v/>
      </c>
      <c r="AE36" s="37">
        <f>'03_原始数据'!C36-0.69*'03_原始数据'!B36-OtherCost</f>
        <v/>
      </c>
      <c r="AF36" s="37">
        <f>'03_原始数据'!C36-0.695*'03_原始数据'!B36-OtherCost</f>
        <v/>
      </c>
      <c r="AG36" s="37">
        <f>'03_原始数据'!C36-0.7*'03_原始数据'!B36-OtherCost</f>
        <v/>
      </c>
    </row>
    <row r="37">
      <c r="M37" s="37">
        <f>'03_原始数据'!C37-0.6*'03_原始数据'!B37-OtherCost</f>
        <v/>
      </c>
      <c r="N37" s="37">
        <f>'03_原始数据'!C37-0.605*'03_原始数据'!B37-OtherCost</f>
        <v/>
      </c>
      <c r="O37" s="37">
        <f>'03_原始数据'!C37-0.61*'03_原始数据'!B37-OtherCost</f>
        <v/>
      </c>
      <c r="P37" s="37">
        <f>'03_原始数据'!C37-0.615*'03_原始数据'!B37-OtherCost</f>
        <v/>
      </c>
      <c r="Q37" s="37">
        <f>'03_原始数据'!C37-0.62*'03_原始数据'!B37-OtherCost</f>
        <v/>
      </c>
      <c r="R37" s="37">
        <f>'03_原始数据'!C37-0.625*'03_原始数据'!B37-OtherCost</f>
        <v/>
      </c>
      <c r="S37" s="37">
        <f>'03_原始数据'!C37-0.63*'03_原始数据'!B37-OtherCost</f>
        <v/>
      </c>
      <c r="T37" s="37">
        <f>'03_原始数据'!C37-0.635*'03_原始数据'!B37-OtherCost</f>
        <v/>
      </c>
      <c r="U37" s="37">
        <f>'03_原始数据'!C37-0.64*'03_原始数据'!B37-OtherCost</f>
        <v/>
      </c>
      <c r="V37" s="37">
        <f>'03_原始数据'!C37-0.645*'03_原始数据'!B37-OtherCost</f>
        <v/>
      </c>
      <c r="W37" s="37">
        <f>'03_原始数据'!C37-0.65*'03_原始数据'!B37-OtherCost</f>
        <v/>
      </c>
      <c r="X37" s="37">
        <f>'03_原始数据'!C37-0.655*'03_原始数据'!B37-OtherCost</f>
        <v/>
      </c>
      <c r="Y37" s="37">
        <f>'03_原始数据'!C37-0.66*'03_原始数据'!B37-OtherCost</f>
        <v/>
      </c>
      <c r="Z37" s="37">
        <f>'03_原始数据'!C37-0.665*'03_原始数据'!B37-OtherCost</f>
        <v/>
      </c>
      <c r="AA37" s="37">
        <f>'03_原始数据'!C37-0.67*'03_原始数据'!B37-OtherCost</f>
        <v/>
      </c>
      <c r="AB37" s="37">
        <f>'03_原始数据'!C37-0.675*'03_原始数据'!B37-OtherCost</f>
        <v/>
      </c>
      <c r="AC37" s="37">
        <f>'03_原始数据'!C37-0.68*'03_原始数据'!B37-OtherCost</f>
        <v/>
      </c>
      <c r="AD37" s="37">
        <f>'03_原始数据'!C37-0.685*'03_原始数据'!B37-OtherCost</f>
        <v/>
      </c>
      <c r="AE37" s="37">
        <f>'03_原始数据'!C37-0.69*'03_原始数据'!B37-OtherCost</f>
        <v/>
      </c>
      <c r="AF37" s="37">
        <f>'03_原始数据'!C37-0.695*'03_原始数据'!B37-OtherCost</f>
        <v/>
      </c>
      <c r="AG37" s="37">
        <f>'03_原始数据'!C37-0.7*'03_原始数据'!B37-OtherCost</f>
        <v/>
      </c>
    </row>
    <row r="38">
      <c r="M38" s="37">
        <f>'03_原始数据'!C38-0.6*'03_原始数据'!B38-OtherCost</f>
        <v/>
      </c>
      <c r="N38" s="37">
        <f>'03_原始数据'!C38-0.605*'03_原始数据'!B38-OtherCost</f>
        <v/>
      </c>
      <c r="O38" s="37">
        <f>'03_原始数据'!C38-0.61*'03_原始数据'!B38-OtherCost</f>
        <v/>
      </c>
      <c r="P38" s="37">
        <f>'03_原始数据'!C38-0.615*'03_原始数据'!B38-OtherCost</f>
        <v/>
      </c>
      <c r="Q38" s="37">
        <f>'03_原始数据'!C38-0.62*'03_原始数据'!B38-OtherCost</f>
        <v/>
      </c>
      <c r="R38" s="37">
        <f>'03_原始数据'!C38-0.625*'03_原始数据'!B38-OtherCost</f>
        <v/>
      </c>
      <c r="S38" s="37">
        <f>'03_原始数据'!C38-0.63*'03_原始数据'!B38-OtherCost</f>
        <v/>
      </c>
      <c r="T38" s="37">
        <f>'03_原始数据'!C38-0.635*'03_原始数据'!B38-OtherCost</f>
        <v/>
      </c>
      <c r="U38" s="37">
        <f>'03_原始数据'!C38-0.64*'03_原始数据'!B38-OtherCost</f>
        <v/>
      </c>
      <c r="V38" s="37">
        <f>'03_原始数据'!C38-0.645*'03_原始数据'!B38-OtherCost</f>
        <v/>
      </c>
      <c r="W38" s="37">
        <f>'03_原始数据'!C38-0.65*'03_原始数据'!B38-OtherCost</f>
        <v/>
      </c>
      <c r="X38" s="37">
        <f>'03_原始数据'!C38-0.655*'03_原始数据'!B38-OtherCost</f>
        <v/>
      </c>
      <c r="Y38" s="37">
        <f>'03_原始数据'!C38-0.66*'03_原始数据'!B38-OtherCost</f>
        <v/>
      </c>
      <c r="Z38" s="37">
        <f>'03_原始数据'!C38-0.665*'03_原始数据'!B38-OtherCost</f>
        <v/>
      </c>
      <c r="AA38" s="37">
        <f>'03_原始数据'!C38-0.67*'03_原始数据'!B38-OtherCost</f>
        <v/>
      </c>
      <c r="AB38" s="37">
        <f>'03_原始数据'!C38-0.675*'03_原始数据'!B38-OtherCost</f>
        <v/>
      </c>
      <c r="AC38" s="37">
        <f>'03_原始数据'!C38-0.68*'03_原始数据'!B38-OtherCost</f>
        <v/>
      </c>
      <c r="AD38" s="37">
        <f>'03_原始数据'!C38-0.685*'03_原始数据'!B38-OtherCost</f>
        <v/>
      </c>
      <c r="AE38" s="37">
        <f>'03_原始数据'!C38-0.69*'03_原始数据'!B38-OtherCost</f>
        <v/>
      </c>
      <c r="AF38" s="37">
        <f>'03_原始数据'!C38-0.695*'03_原始数据'!B38-OtherCost</f>
        <v/>
      </c>
      <c r="AG38" s="37">
        <f>'03_原始数据'!C38-0.7*'03_原始数据'!B38-OtherCost</f>
        <v/>
      </c>
    </row>
    <row r="39">
      <c r="M39" s="37">
        <f>'03_原始数据'!C39-0.6*'03_原始数据'!B39-OtherCost</f>
        <v/>
      </c>
      <c r="N39" s="37">
        <f>'03_原始数据'!C39-0.605*'03_原始数据'!B39-OtherCost</f>
        <v/>
      </c>
      <c r="O39" s="37">
        <f>'03_原始数据'!C39-0.61*'03_原始数据'!B39-OtherCost</f>
        <v/>
      </c>
      <c r="P39" s="37">
        <f>'03_原始数据'!C39-0.615*'03_原始数据'!B39-OtherCost</f>
        <v/>
      </c>
      <c r="Q39" s="37">
        <f>'03_原始数据'!C39-0.62*'03_原始数据'!B39-OtherCost</f>
        <v/>
      </c>
      <c r="R39" s="37">
        <f>'03_原始数据'!C39-0.625*'03_原始数据'!B39-OtherCost</f>
        <v/>
      </c>
      <c r="S39" s="37">
        <f>'03_原始数据'!C39-0.63*'03_原始数据'!B39-OtherCost</f>
        <v/>
      </c>
      <c r="T39" s="37">
        <f>'03_原始数据'!C39-0.635*'03_原始数据'!B39-OtherCost</f>
        <v/>
      </c>
      <c r="U39" s="37">
        <f>'03_原始数据'!C39-0.64*'03_原始数据'!B39-OtherCost</f>
        <v/>
      </c>
      <c r="V39" s="37">
        <f>'03_原始数据'!C39-0.645*'03_原始数据'!B39-OtherCost</f>
        <v/>
      </c>
      <c r="W39" s="37">
        <f>'03_原始数据'!C39-0.65*'03_原始数据'!B39-OtherCost</f>
        <v/>
      </c>
      <c r="X39" s="37">
        <f>'03_原始数据'!C39-0.655*'03_原始数据'!B39-OtherCost</f>
        <v/>
      </c>
      <c r="Y39" s="37">
        <f>'03_原始数据'!C39-0.66*'03_原始数据'!B39-OtherCost</f>
        <v/>
      </c>
      <c r="Z39" s="37">
        <f>'03_原始数据'!C39-0.665*'03_原始数据'!B39-OtherCost</f>
        <v/>
      </c>
      <c r="AA39" s="37">
        <f>'03_原始数据'!C39-0.67*'03_原始数据'!B39-OtherCost</f>
        <v/>
      </c>
      <c r="AB39" s="37">
        <f>'03_原始数据'!C39-0.675*'03_原始数据'!B39-OtherCost</f>
        <v/>
      </c>
      <c r="AC39" s="37">
        <f>'03_原始数据'!C39-0.68*'03_原始数据'!B39-OtherCost</f>
        <v/>
      </c>
      <c r="AD39" s="37">
        <f>'03_原始数据'!C39-0.685*'03_原始数据'!B39-OtherCost</f>
        <v/>
      </c>
      <c r="AE39" s="37">
        <f>'03_原始数据'!C39-0.69*'03_原始数据'!B39-OtherCost</f>
        <v/>
      </c>
      <c r="AF39" s="37">
        <f>'03_原始数据'!C39-0.695*'03_原始数据'!B39-OtherCost</f>
        <v/>
      </c>
      <c r="AG39" s="37">
        <f>'03_原始数据'!C39-0.7*'03_原始数据'!B39-OtherCost</f>
        <v/>
      </c>
    </row>
    <row r="40">
      <c r="M40" s="37">
        <f>'03_原始数据'!C40-0.6*'03_原始数据'!B40-OtherCost</f>
        <v/>
      </c>
      <c r="N40" s="37">
        <f>'03_原始数据'!C40-0.605*'03_原始数据'!B40-OtherCost</f>
        <v/>
      </c>
      <c r="O40" s="37">
        <f>'03_原始数据'!C40-0.61*'03_原始数据'!B40-OtherCost</f>
        <v/>
      </c>
      <c r="P40" s="37">
        <f>'03_原始数据'!C40-0.615*'03_原始数据'!B40-OtherCost</f>
        <v/>
      </c>
      <c r="Q40" s="37">
        <f>'03_原始数据'!C40-0.62*'03_原始数据'!B40-OtherCost</f>
        <v/>
      </c>
      <c r="R40" s="37">
        <f>'03_原始数据'!C40-0.625*'03_原始数据'!B40-OtherCost</f>
        <v/>
      </c>
      <c r="S40" s="37">
        <f>'03_原始数据'!C40-0.63*'03_原始数据'!B40-OtherCost</f>
        <v/>
      </c>
      <c r="T40" s="37">
        <f>'03_原始数据'!C40-0.635*'03_原始数据'!B40-OtherCost</f>
        <v/>
      </c>
      <c r="U40" s="37">
        <f>'03_原始数据'!C40-0.64*'03_原始数据'!B40-OtherCost</f>
        <v/>
      </c>
      <c r="V40" s="37">
        <f>'03_原始数据'!C40-0.645*'03_原始数据'!B40-OtherCost</f>
        <v/>
      </c>
      <c r="W40" s="37">
        <f>'03_原始数据'!C40-0.65*'03_原始数据'!B40-OtherCost</f>
        <v/>
      </c>
      <c r="X40" s="37">
        <f>'03_原始数据'!C40-0.655*'03_原始数据'!B40-OtherCost</f>
        <v/>
      </c>
      <c r="Y40" s="37">
        <f>'03_原始数据'!C40-0.66*'03_原始数据'!B40-OtherCost</f>
        <v/>
      </c>
      <c r="Z40" s="37">
        <f>'03_原始数据'!C40-0.665*'03_原始数据'!B40-OtherCost</f>
        <v/>
      </c>
      <c r="AA40" s="37">
        <f>'03_原始数据'!C40-0.67*'03_原始数据'!B40-OtherCost</f>
        <v/>
      </c>
      <c r="AB40" s="37">
        <f>'03_原始数据'!C40-0.675*'03_原始数据'!B40-OtherCost</f>
        <v/>
      </c>
      <c r="AC40" s="37">
        <f>'03_原始数据'!C40-0.68*'03_原始数据'!B40-OtherCost</f>
        <v/>
      </c>
      <c r="AD40" s="37">
        <f>'03_原始数据'!C40-0.685*'03_原始数据'!B40-OtherCost</f>
        <v/>
      </c>
      <c r="AE40" s="37">
        <f>'03_原始数据'!C40-0.69*'03_原始数据'!B40-OtherCost</f>
        <v/>
      </c>
      <c r="AF40" s="37">
        <f>'03_原始数据'!C40-0.695*'03_原始数据'!B40-OtherCost</f>
        <v/>
      </c>
      <c r="AG40" s="37">
        <f>'03_原始数据'!C40-0.7*'03_原始数据'!B40-OtherCost</f>
        <v/>
      </c>
    </row>
    <row r="41">
      <c r="M41" s="37">
        <f>'03_原始数据'!C41-0.6*'03_原始数据'!B41-OtherCost</f>
        <v/>
      </c>
      <c r="N41" s="37">
        <f>'03_原始数据'!C41-0.605*'03_原始数据'!B41-OtherCost</f>
        <v/>
      </c>
      <c r="O41" s="37">
        <f>'03_原始数据'!C41-0.61*'03_原始数据'!B41-OtherCost</f>
        <v/>
      </c>
      <c r="P41" s="37">
        <f>'03_原始数据'!C41-0.615*'03_原始数据'!B41-OtherCost</f>
        <v/>
      </c>
      <c r="Q41" s="37">
        <f>'03_原始数据'!C41-0.62*'03_原始数据'!B41-OtherCost</f>
        <v/>
      </c>
      <c r="R41" s="37">
        <f>'03_原始数据'!C41-0.625*'03_原始数据'!B41-OtherCost</f>
        <v/>
      </c>
      <c r="S41" s="37">
        <f>'03_原始数据'!C41-0.63*'03_原始数据'!B41-OtherCost</f>
        <v/>
      </c>
      <c r="T41" s="37">
        <f>'03_原始数据'!C41-0.635*'03_原始数据'!B41-OtherCost</f>
        <v/>
      </c>
      <c r="U41" s="37">
        <f>'03_原始数据'!C41-0.64*'03_原始数据'!B41-OtherCost</f>
        <v/>
      </c>
      <c r="V41" s="37">
        <f>'03_原始数据'!C41-0.645*'03_原始数据'!B41-OtherCost</f>
        <v/>
      </c>
      <c r="W41" s="37">
        <f>'03_原始数据'!C41-0.65*'03_原始数据'!B41-OtherCost</f>
        <v/>
      </c>
      <c r="X41" s="37">
        <f>'03_原始数据'!C41-0.655*'03_原始数据'!B41-OtherCost</f>
        <v/>
      </c>
      <c r="Y41" s="37">
        <f>'03_原始数据'!C41-0.66*'03_原始数据'!B41-OtherCost</f>
        <v/>
      </c>
      <c r="Z41" s="37">
        <f>'03_原始数据'!C41-0.665*'03_原始数据'!B41-OtherCost</f>
        <v/>
      </c>
      <c r="AA41" s="37">
        <f>'03_原始数据'!C41-0.67*'03_原始数据'!B41-OtherCost</f>
        <v/>
      </c>
      <c r="AB41" s="37">
        <f>'03_原始数据'!C41-0.675*'03_原始数据'!B41-OtherCost</f>
        <v/>
      </c>
      <c r="AC41" s="37">
        <f>'03_原始数据'!C41-0.68*'03_原始数据'!B41-OtherCost</f>
        <v/>
      </c>
      <c r="AD41" s="37">
        <f>'03_原始数据'!C41-0.685*'03_原始数据'!B41-OtherCost</f>
        <v/>
      </c>
      <c r="AE41" s="37">
        <f>'03_原始数据'!C41-0.69*'03_原始数据'!B41-OtherCost</f>
        <v/>
      </c>
      <c r="AF41" s="37">
        <f>'03_原始数据'!C41-0.695*'03_原始数据'!B41-OtherCost</f>
        <v/>
      </c>
      <c r="AG41" s="37">
        <f>'03_原始数据'!C41-0.7*'03_原始数据'!B41-OtherCost</f>
        <v/>
      </c>
    </row>
    <row r="42">
      <c r="M42" s="37">
        <f>'03_原始数据'!C42-0.6*'03_原始数据'!B42-OtherCost</f>
        <v/>
      </c>
      <c r="N42" s="37">
        <f>'03_原始数据'!C42-0.605*'03_原始数据'!B42-OtherCost</f>
        <v/>
      </c>
      <c r="O42" s="37">
        <f>'03_原始数据'!C42-0.61*'03_原始数据'!B42-OtherCost</f>
        <v/>
      </c>
      <c r="P42" s="37">
        <f>'03_原始数据'!C42-0.615*'03_原始数据'!B42-OtherCost</f>
        <v/>
      </c>
      <c r="Q42" s="37">
        <f>'03_原始数据'!C42-0.62*'03_原始数据'!B42-OtherCost</f>
        <v/>
      </c>
      <c r="R42" s="37">
        <f>'03_原始数据'!C42-0.625*'03_原始数据'!B42-OtherCost</f>
        <v/>
      </c>
      <c r="S42" s="37">
        <f>'03_原始数据'!C42-0.63*'03_原始数据'!B42-OtherCost</f>
        <v/>
      </c>
      <c r="T42" s="37">
        <f>'03_原始数据'!C42-0.635*'03_原始数据'!B42-OtherCost</f>
        <v/>
      </c>
      <c r="U42" s="37">
        <f>'03_原始数据'!C42-0.64*'03_原始数据'!B42-OtherCost</f>
        <v/>
      </c>
      <c r="V42" s="37">
        <f>'03_原始数据'!C42-0.645*'03_原始数据'!B42-OtherCost</f>
        <v/>
      </c>
      <c r="W42" s="37">
        <f>'03_原始数据'!C42-0.65*'03_原始数据'!B42-OtherCost</f>
        <v/>
      </c>
      <c r="X42" s="37">
        <f>'03_原始数据'!C42-0.655*'03_原始数据'!B42-OtherCost</f>
        <v/>
      </c>
      <c r="Y42" s="37">
        <f>'03_原始数据'!C42-0.66*'03_原始数据'!B42-OtherCost</f>
        <v/>
      </c>
      <c r="Z42" s="37">
        <f>'03_原始数据'!C42-0.665*'03_原始数据'!B42-OtherCost</f>
        <v/>
      </c>
      <c r="AA42" s="37">
        <f>'03_原始数据'!C42-0.67*'03_原始数据'!B42-OtherCost</f>
        <v/>
      </c>
      <c r="AB42" s="37">
        <f>'03_原始数据'!C42-0.675*'03_原始数据'!B42-OtherCost</f>
        <v/>
      </c>
      <c r="AC42" s="37">
        <f>'03_原始数据'!C42-0.68*'03_原始数据'!B42-OtherCost</f>
        <v/>
      </c>
      <c r="AD42" s="37">
        <f>'03_原始数据'!C42-0.685*'03_原始数据'!B42-OtherCost</f>
        <v/>
      </c>
      <c r="AE42" s="37">
        <f>'03_原始数据'!C42-0.69*'03_原始数据'!B42-OtherCost</f>
        <v/>
      </c>
      <c r="AF42" s="37">
        <f>'03_原始数据'!C42-0.695*'03_原始数据'!B42-OtherCost</f>
        <v/>
      </c>
      <c r="AG42" s="37">
        <f>'03_原始数据'!C42-0.7*'03_原始数据'!B42-OtherCost</f>
        <v/>
      </c>
    </row>
    <row r="43">
      <c r="M43" s="37">
        <f>'03_原始数据'!C43-0.6*'03_原始数据'!B43-OtherCost</f>
        <v/>
      </c>
      <c r="N43" s="37">
        <f>'03_原始数据'!C43-0.605*'03_原始数据'!B43-OtherCost</f>
        <v/>
      </c>
      <c r="O43" s="37">
        <f>'03_原始数据'!C43-0.61*'03_原始数据'!B43-OtherCost</f>
        <v/>
      </c>
      <c r="P43" s="37">
        <f>'03_原始数据'!C43-0.615*'03_原始数据'!B43-OtherCost</f>
        <v/>
      </c>
      <c r="Q43" s="37">
        <f>'03_原始数据'!C43-0.62*'03_原始数据'!B43-OtherCost</f>
        <v/>
      </c>
      <c r="R43" s="37">
        <f>'03_原始数据'!C43-0.625*'03_原始数据'!B43-OtherCost</f>
        <v/>
      </c>
      <c r="S43" s="37">
        <f>'03_原始数据'!C43-0.63*'03_原始数据'!B43-OtherCost</f>
        <v/>
      </c>
      <c r="T43" s="37">
        <f>'03_原始数据'!C43-0.635*'03_原始数据'!B43-OtherCost</f>
        <v/>
      </c>
      <c r="U43" s="37">
        <f>'03_原始数据'!C43-0.64*'03_原始数据'!B43-OtherCost</f>
        <v/>
      </c>
      <c r="V43" s="37">
        <f>'03_原始数据'!C43-0.645*'03_原始数据'!B43-OtherCost</f>
        <v/>
      </c>
      <c r="W43" s="37">
        <f>'03_原始数据'!C43-0.65*'03_原始数据'!B43-OtherCost</f>
        <v/>
      </c>
      <c r="X43" s="37">
        <f>'03_原始数据'!C43-0.655*'03_原始数据'!B43-OtherCost</f>
        <v/>
      </c>
      <c r="Y43" s="37">
        <f>'03_原始数据'!C43-0.66*'03_原始数据'!B43-OtherCost</f>
        <v/>
      </c>
      <c r="Z43" s="37">
        <f>'03_原始数据'!C43-0.665*'03_原始数据'!B43-OtherCost</f>
        <v/>
      </c>
      <c r="AA43" s="37">
        <f>'03_原始数据'!C43-0.67*'03_原始数据'!B43-OtherCost</f>
        <v/>
      </c>
      <c r="AB43" s="37">
        <f>'03_原始数据'!C43-0.675*'03_原始数据'!B43-OtherCost</f>
        <v/>
      </c>
      <c r="AC43" s="37">
        <f>'03_原始数据'!C43-0.68*'03_原始数据'!B43-OtherCost</f>
        <v/>
      </c>
      <c r="AD43" s="37">
        <f>'03_原始数据'!C43-0.685*'03_原始数据'!B43-OtherCost</f>
        <v/>
      </c>
      <c r="AE43" s="37">
        <f>'03_原始数据'!C43-0.69*'03_原始数据'!B43-OtherCost</f>
        <v/>
      </c>
      <c r="AF43" s="37">
        <f>'03_原始数据'!C43-0.695*'03_原始数据'!B43-OtherCost</f>
        <v/>
      </c>
      <c r="AG43" s="37">
        <f>'03_原始数据'!C43-0.7*'03_原始数据'!B43-OtherCost</f>
        <v/>
      </c>
    </row>
    <row r="44">
      <c r="M44" s="37">
        <f>'03_原始数据'!C44-0.6*'03_原始数据'!B44-OtherCost</f>
        <v/>
      </c>
      <c r="N44" s="37">
        <f>'03_原始数据'!C44-0.605*'03_原始数据'!B44-OtherCost</f>
        <v/>
      </c>
      <c r="O44" s="37">
        <f>'03_原始数据'!C44-0.61*'03_原始数据'!B44-OtherCost</f>
        <v/>
      </c>
      <c r="P44" s="37">
        <f>'03_原始数据'!C44-0.615*'03_原始数据'!B44-OtherCost</f>
        <v/>
      </c>
      <c r="Q44" s="37">
        <f>'03_原始数据'!C44-0.62*'03_原始数据'!B44-OtherCost</f>
        <v/>
      </c>
      <c r="R44" s="37">
        <f>'03_原始数据'!C44-0.625*'03_原始数据'!B44-OtherCost</f>
        <v/>
      </c>
      <c r="S44" s="37">
        <f>'03_原始数据'!C44-0.63*'03_原始数据'!B44-OtherCost</f>
        <v/>
      </c>
      <c r="T44" s="37">
        <f>'03_原始数据'!C44-0.635*'03_原始数据'!B44-OtherCost</f>
        <v/>
      </c>
      <c r="U44" s="37">
        <f>'03_原始数据'!C44-0.64*'03_原始数据'!B44-OtherCost</f>
        <v/>
      </c>
      <c r="V44" s="37">
        <f>'03_原始数据'!C44-0.645*'03_原始数据'!B44-OtherCost</f>
        <v/>
      </c>
      <c r="W44" s="37">
        <f>'03_原始数据'!C44-0.65*'03_原始数据'!B44-OtherCost</f>
        <v/>
      </c>
      <c r="X44" s="37">
        <f>'03_原始数据'!C44-0.655*'03_原始数据'!B44-OtherCost</f>
        <v/>
      </c>
      <c r="Y44" s="37">
        <f>'03_原始数据'!C44-0.66*'03_原始数据'!B44-OtherCost</f>
        <v/>
      </c>
      <c r="Z44" s="37">
        <f>'03_原始数据'!C44-0.665*'03_原始数据'!B44-OtherCost</f>
        <v/>
      </c>
      <c r="AA44" s="37">
        <f>'03_原始数据'!C44-0.67*'03_原始数据'!B44-OtherCost</f>
        <v/>
      </c>
      <c r="AB44" s="37">
        <f>'03_原始数据'!C44-0.675*'03_原始数据'!B44-OtherCost</f>
        <v/>
      </c>
      <c r="AC44" s="37">
        <f>'03_原始数据'!C44-0.68*'03_原始数据'!B44-OtherCost</f>
        <v/>
      </c>
      <c r="AD44" s="37">
        <f>'03_原始数据'!C44-0.685*'03_原始数据'!B44-OtherCost</f>
        <v/>
      </c>
      <c r="AE44" s="37">
        <f>'03_原始数据'!C44-0.69*'03_原始数据'!B44-OtherCost</f>
        <v/>
      </c>
      <c r="AF44" s="37">
        <f>'03_原始数据'!C44-0.695*'03_原始数据'!B44-OtherCost</f>
        <v/>
      </c>
      <c r="AG44" s="37">
        <f>'03_原始数据'!C44-0.7*'03_原始数据'!B44-OtherCost</f>
        <v/>
      </c>
    </row>
    <row r="45">
      <c r="M45" s="37">
        <f>'03_原始数据'!C45-0.6*'03_原始数据'!B45-OtherCost</f>
        <v/>
      </c>
      <c r="N45" s="37">
        <f>'03_原始数据'!C45-0.605*'03_原始数据'!B45-OtherCost</f>
        <v/>
      </c>
      <c r="O45" s="37">
        <f>'03_原始数据'!C45-0.61*'03_原始数据'!B45-OtherCost</f>
        <v/>
      </c>
      <c r="P45" s="37">
        <f>'03_原始数据'!C45-0.615*'03_原始数据'!B45-OtherCost</f>
        <v/>
      </c>
      <c r="Q45" s="37">
        <f>'03_原始数据'!C45-0.62*'03_原始数据'!B45-OtherCost</f>
        <v/>
      </c>
      <c r="R45" s="37">
        <f>'03_原始数据'!C45-0.625*'03_原始数据'!B45-OtherCost</f>
        <v/>
      </c>
      <c r="S45" s="37">
        <f>'03_原始数据'!C45-0.63*'03_原始数据'!B45-OtherCost</f>
        <v/>
      </c>
      <c r="T45" s="37">
        <f>'03_原始数据'!C45-0.635*'03_原始数据'!B45-OtherCost</f>
        <v/>
      </c>
      <c r="U45" s="37">
        <f>'03_原始数据'!C45-0.64*'03_原始数据'!B45-OtherCost</f>
        <v/>
      </c>
      <c r="V45" s="37">
        <f>'03_原始数据'!C45-0.645*'03_原始数据'!B45-OtherCost</f>
        <v/>
      </c>
      <c r="W45" s="37">
        <f>'03_原始数据'!C45-0.65*'03_原始数据'!B45-OtherCost</f>
        <v/>
      </c>
      <c r="X45" s="37">
        <f>'03_原始数据'!C45-0.655*'03_原始数据'!B45-OtherCost</f>
        <v/>
      </c>
      <c r="Y45" s="37">
        <f>'03_原始数据'!C45-0.66*'03_原始数据'!B45-OtherCost</f>
        <v/>
      </c>
      <c r="Z45" s="37">
        <f>'03_原始数据'!C45-0.665*'03_原始数据'!B45-OtherCost</f>
        <v/>
      </c>
      <c r="AA45" s="37">
        <f>'03_原始数据'!C45-0.67*'03_原始数据'!B45-OtherCost</f>
        <v/>
      </c>
      <c r="AB45" s="37">
        <f>'03_原始数据'!C45-0.675*'03_原始数据'!B45-OtherCost</f>
        <v/>
      </c>
      <c r="AC45" s="37">
        <f>'03_原始数据'!C45-0.68*'03_原始数据'!B45-OtherCost</f>
        <v/>
      </c>
      <c r="AD45" s="37">
        <f>'03_原始数据'!C45-0.685*'03_原始数据'!B45-OtherCost</f>
        <v/>
      </c>
      <c r="AE45" s="37">
        <f>'03_原始数据'!C45-0.69*'03_原始数据'!B45-OtherCost</f>
        <v/>
      </c>
      <c r="AF45" s="37">
        <f>'03_原始数据'!C45-0.695*'03_原始数据'!B45-OtherCost</f>
        <v/>
      </c>
      <c r="AG45" s="37">
        <f>'03_原始数据'!C45-0.7*'03_原始数据'!B45-OtherCost</f>
        <v/>
      </c>
    </row>
    <row r="46">
      <c r="M46" s="37">
        <f>'03_原始数据'!C46-0.6*'03_原始数据'!B46-OtherCost</f>
        <v/>
      </c>
      <c r="N46" s="37">
        <f>'03_原始数据'!C46-0.605*'03_原始数据'!B46-OtherCost</f>
        <v/>
      </c>
      <c r="O46" s="37">
        <f>'03_原始数据'!C46-0.61*'03_原始数据'!B46-OtherCost</f>
        <v/>
      </c>
      <c r="P46" s="37">
        <f>'03_原始数据'!C46-0.615*'03_原始数据'!B46-OtherCost</f>
        <v/>
      </c>
      <c r="Q46" s="37">
        <f>'03_原始数据'!C46-0.62*'03_原始数据'!B46-OtherCost</f>
        <v/>
      </c>
      <c r="R46" s="37">
        <f>'03_原始数据'!C46-0.625*'03_原始数据'!B46-OtherCost</f>
        <v/>
      </c>
      <c r="S46" s="37">
        <f>'03_原始数据'!C46-0.63*'03_原始数据'!B46-OtherCost</f>
        <v/>
      </c>
      <c r="T46" s="37">
        <f>'03_原始数据'!C46-0.635*'03_原始数据'!B46-OtherCost</f>
        <v/>
      </c>
      <c r="U46" s="37">
        <f>'03_原始数据'!C46-0.64*'03_原始数据'!B46-OtherCost</f>
        <v/>
      </c>
      <c r="V46" s="37">
        <f>'03_原始数据'!C46-0.645*'03_原始数据'!B46-OtherCost</f>
        <v/>
      </c>
      <c r="W46" s="37">
        <f>'03_原始数据'!C46-0.65*'03_原始数据'!B46-OtherCost</f>
        <v/>
      </c>
      <c r="X46" s="37">
        <f>'03_原始数据'!C46-0.655*'03_原始数据'!B46-OtherCost</f>
        <v/>
      </c>
      <c r="Y46" s="37">
        <f>'03_原始数据'!C46-0.66*'03_原始数据'!B46-OtherCost</f>
        <v/>
      </c>
      <c r="Z46" s="37">
        <f>'03_原始数据'!C46-0.665*'03_原始数据'!B46-OtherCost</f>
        <v/>
      </c>
      <c r="AA46" s="37">
        <f>'03_原始数据'!C46-0.67*'03_原始数据'!B46-OtherCost</f>
        <v/>
      </c>
      <c r="AB46" s="37">
        <f>'03_原始数据'!C46-0.675*'03_原始数据'!B46-OtherCost</f>
        <v/>
      </c>
      <c r="AC46" s="37">
        <f>'03_原始数据'!C46-0.68*'03_原始数据'!B46-OtherCost</f>
        <v/>
      </c>
      <c r="AD46" s="37">
        <f>'03_原始数据'!C46-0.685*'03_原始数据'!B46-OtherCost</f>
        <v/>
      </c>
      <c r="AE46" s="37">
        <f>'03_原始数据'!C46-0.69*'03_原始数据'!B46-OtherCost</f>
        <v/>
      </c>
      <c r="AF46" s="37">
        <f>'03_原始数据'!C46-0.695*'03_原始数据'!B46-OtherCost</f>
        <v/>
      </c>
      <c r="AG46" s="37">
        <f>'03_原始数据'!C46-0.7*'03_原始数据'!B46-OtherCost</f>
        <v/>
      </c>
    </row>
    <row r="47">
      <c r="M47" s="37">
        <f>'03_原始数据'!C47-0.6*'03_原始数据'!B47-OtherCost</f>
        <v/>
      </c>
      <c r="N47" s="37">
        <f>'03_原始数据'!C47-0.605*'03_原始数据'!B47-OtherCost</f>
        <v/>
      </c>
      <c r="O47" s="37">
        <f>'03_原始数据'!C47-0.61*'03_原始数据'!B47-OtherCost</f>
        <v/>
      </c>
      <c r="P47" s="37">
        <f>'03_原始数据'!C47-0.615*'03_原始数据'!B47-OtherCost</f>
        <v/>
      </c>
      <c r="Q47" s="37">
        <f>'03_原始数据'!C47-0.62*'03_原始数据'!B47-OtherCost</f>
        <v/>
      </c>
      <c r="R47" s="37">
        <f>'03_原始数据'!C47-0.625*'03_原始数据'!B47-OtherCost</f>
        <v/>
      </c>
      <c r="S47" s="37">
        <f>'03_原始数据'!C47-0.63*'03_原始数据'!B47-OtherCost</f>
        <v/>
      </c>
      <c r="T47" s="37">
        <f>'03_原始数据'!C47-0.635*'03_原始数据'!B47-OtherCost</f>
        <v/>
      </c>
      <c r="U47" s="37">
        <f>'03_原始数据'!C47-0.64*'03_原始数据'!B47-OtherCost</f>
        <v/>
      </c>
      <c r="V47" s="37">
        <f>'03_原始数据'!C47-0.645*'03_原始数据'!B47-OtherCost</f>
        <v/>
      </c>
      <c r="W47" s="37">
        <f>'03_原始数据'!C47-0.65*'03_原始数据'!B47-OtherCost</f>
        <v/>
      </c>
      <c r="X47" s="37">
        <f>'03_原始数据'!C47-0.655*'03_原始数据'!B47-OtherCost</f>
        <v/>
      </c>
      <c r="Y47" s="37">
        <f>'03_原始数据'!C47-0.66*'03_原始数据'!B47-OtherCost</f>
        <v/>
      </c>
      <c r="Z47" s="37">
        <f>'03_原始数据'!C47-0.665*'03_原始数据'!B47-OtherCost</f>
        <v/>
      </c>
      <c r="AA47" s="37">
        <f>'03_原始数据'!C47-0.67*'03_原始数据'!B47-OtherCost</f>
        <v/>
      </c>
      <c r="AB47" s="37">
        <f>'03_原始数据'!C47-0.675*'03_原始数据'!B47-OtherCost</f>
        <v/>
      </c>
      <c r="AC47" s="37">
        <f>'03_原始数据'!C47-0.68*'03_原始数据'!B47-OtherCost</f>
        <v/>
      </c>
      <c r="AD47" s="37">
        <f>'03_原始数据'!C47-0.685*'03_原始数据'!B47-OtherCost</f>
        <v/>
      </c>
      <c r="AE47" s="37">
        <f>'03_原始数据'!C47-0.69*'03_原始数据'!B47-OtherCost</f>
        <v/>
      </c>
      <c r="AF47" s="37">
        <f>'03_原始数据'!C47-0.695*'03_原始数据'!B47-OtherCost</f>
        <v/>
      </c>
      <c r="AG47" s="37">
        <f>'03_原始数据'!C47-0.7*'03_原始数据'!B47-OtherCost</f>
        <v/>
      </c>
    </row>
    <row r="48">
      <c r="M48" s="37">
        <f>'03_原始数据'!C48-0.6*'03_原始数据'!B48-OtherCost</f>
        <v/>
      </c>
      <c r="N48" s="37">
        <f>'03_原始数据'!C48-0.605*'03_原始数据'!B48-OtherCost</f>
        <v/>
      </c>
      <c r="O48" s="37">
        <f>'03_原始数据'!C48-0.61*'03_原始数据'!B48-OtherCost</f>
        <v/>
      </c>
      <c r="P48" s="37">
        <f>'03_原始数据'!C48-0.615*'03_原始数据'!B48-OtherCost</f>
        <v/>
      </c>
      <c r="Q48" s="37">
        <f>'03_原始数据'!C48-0.62*'03_原始数据'!B48-OtherCost</f>
        <v/>
      </c>
      <c r="R48" s="37">
        <f>'03_原始数据'!C48-0.625*'03_原始数据'!B48-OtherCost</f>
        <v/>
      </c>
      <c r="S48" s="37">
        <f>'03_原始数据'!C48-0.63*'03_原始数据'!B48-OtherCost</f>
        <v/>
      </c>
      <c r="T48" s="37">
        <f>'03_原始数据'!C48-0.635*'03_原始数据'!B48-OtherCost</f>
        <v/>
      </c>
      <c r="U48" s="37">
        <f>'03_原始数据'!C48-0.64*'03_原始数据'!B48-OtherCost</f>
        <v/>
      </c>
      <c r="V48" s="37">
        <f>'03_原始数据'!C48-0.645*'03_原始数据'!B48-OtherCost</f>
        <v/>
      </c>
      <c r="W48" s="37">
        <f>'03_原始数据'!C48-0.65*'03_原始数据'!B48-OtherCost</f>
        <v/>
      </c>
      <c r="X48" s="37">
        <f>'03_原始数据'!C48-0.655*'03_原始数据'!B48-OtherCost</f>
        <v/>
      </c>
      <c r="Y48" s="37">
        <f>'03_原始数据'!C48-0.66*'03_原始数据'!B48-OtherCost</f>
        <v/>
      </c>
      <c r="Z48" s="37">
        <f>'03_原始数据'!C48-0.665*'03_原始数据'!B48-OtherCost</f>
        <v/>
      </c>
      <c r="AA48" s="37">
        <f>'03_原始数据'!C48-0.67*'03_原始数据'!B48-OtherCost</f>
        <v/>
      </c>
      <c r="AB48" s="37">
        <f>'03_原始数据'!C48-0.675*'03_原始数据'!B48-OtherCost</f>
        <v/>
      </c>
      <c r="AC48" s="37">
        <f>'03_原始数据'!C48-0.68*'03_原始数据'!B48-OtherCost</f>
        <v/>
      </c>
      <c r="AD48" s="37">
        <f>'03_原始数据'!C48-0.685*'03_原始数据'!B48-OtherCost</f>
        <v/>
      </c>
      <c r="AE48" s="37">
        <f>'03_原始数据'!C48-0.69*'03_原始数据'!B48-OtherCost</f>
        <v/>
      </c>
      <c r="AF48" s="37">
        <f>'03_原始数据'!C48-0.695*'03_原始数据'!B48-OtherCost</f>
        <v/>
      </c>
      <c r="AG48" s="37">
        <f>'03_原始数据'!C48-0.7*'03_原始数据'!B48-OtherCost</f>
        <v/>
      </c>
    </row>
    <row r="49">
      <c r="M49" s="37">
        <f>'03_原始数据'!C49-0.6*'03_原始数据'!B49-OtherCost</f>
        <v/>
      </c>
      <c r="N49" s="37">
        <f>'03_原始数据'!C49-0.605*'03_原始数据'!B49-OtherCost</f>
        <v/>
      </c>
      <c r="O49" s="37">
        <f>'03_原始数据'!C49-0.61*'03_原始数据'!B49-OtherCost</f>
        <v/>
      </c>
      <c r="P49" s="37">
        <f>'03_原始数据'!C49-0.615*'03_原始数据'!B49-OtherCost</f>
        <v/>
      </c>
      <c r="Q49" s="37">
        <f>'03_原始数据'!C49-0.62*'03_原始数据'!B49-OtherCost</f>
        <v/>
      </c>
      <c r="R49" s="37">
        <f>'03_原始数据'!C49-0.625*'03_原始数据'!B49-OtherCost</f>
        <v/>
      </c>
      <c r="S49" s="37">
        <f>'03_原始数据'!C49-0.63*'03_原始数据'!B49-OtherCost</f>
        <v/>
      </c>
      <c r="T49" s="37">
        <f>'03_原始数据'!C49-0.635*'03_原始数据'!B49-OtherCost</f>
        <v/>
      </c>
      <c r="U49" s="37">
        <f>'03_原始数据'!C49-0.64*'03_原始数据'!B49-OtherCost</f>
        <v/>
      </c>
      <c r="V49" s="37">
        <f>'03_原始数据'!C49-0.645*'03_原始数据'!B49-OtherCost</f>
        <v/>
      </c>
      <c r="W49" s="37">
        <f>'03_原始数据'!C49-0.65*'03_原始数据'!B49-OtherCost</f>
        <v/>
      </c>
      <c r="X49" s="37">
        <f>'03_原始数据'!C49-0.655*'03_原始数据'!B49-OtherCost</f>
        <v/>
      </c>
      <c r="Y49" s="37">
        <f>'03_原始数据'!C49-0.66*'03_原始数据'!B49-OtherCost</f>
        <v/>
      </c>
      <c r="Z49" s="37">
        <f>'03_原始数据'!C49-0.665*'03_原始数据'!B49-OtherCost</f>
        <v/>
      </c>
      <c r="AA49" s="37">
        <f>'03_原始数据'!C49-0.67*'03_原始数据'!B49-OtherCost</f>
        <v/>
      </c>
      <c r="AB49" s="37">
        <f>'03_原始数据'!C49-0.675*'03_原始数据'!B49-OtherCost</f>
        <v/>
      </c>
      <c r="AC49" s="37">
        <f>'03_原始数据'!C49-0.68*'03_原始数据'!B49-OtherCost</f>
        <v/>
      </c>
      <c r="AD49" s="37">
        <f>'03_原始数据'!C49-0.685*'03_原始数据'!B49-OtherCost</f>
        <v/>
      </c>
      <c r="AE49" s="37">
        <f>'03_原始数据'!C49-0.69*'03_原始数据'!B49-OtherCost</f>
        <v/>
      </c>
      <c r="AF49" s="37">
        <f>'03_原始数据'!C49-0.695*'03_原始数据'!B49-OtherCost</f>
        <v/>
      </c>
      <c r="AG49" s="37">
        <f>'03_原始数据'!C49-0.7*'03_原始数据'!B49-OtherCost</f>
        <v/>
      </c>
    </row>
    <row r="50">
      <c r="M50" s="37">
        <f>'03_原始数据'!C50-0.6*'03_原始数据'!B50-OtherCost</f>
        <v/>
      </c>
      <c r="N50" s="37">
        <f>'03_原始数据'!C50-0.605*'03_原始数据'!B50-OtherCost</f>
        <v/>
      </c>
      <c r="O50" s="37">
        <f>'03_原始数据'!C50-0.61*'03_原始数据'!B50-OtherCost</f>
        <v/>
      </c>
      <c r="P50" s="37">
        <f>'03_原始数据'!C50-0.615*'03_原始数据'!B50-OtherCost</f>
        <v/>
      </c>
      <c r="Q50" s="37">
        <f>'03_原始数据'!C50-0.62*'03_原始数据'!B50-OtherCost</f>
        <v/>
      </c>
      <c r="R50" s="37">
        <f>'03_原始数据'!C50-0.625*'03_原始数据'!B50-OtherCost</f>
        <v/>
      </c>
      <c r="S50" s="37">
        <f>'03_原始数据'!C50-0.63*'03_原始数据'!B50-OtherCost</f>
        <v/>
      </c>
      <c r="T50" s="37">
        <f>'03_原始数据'!C50-0.635*'03_原始数据'!B50-OtherCost</f>
        <v/>
      </c>
      <c r="U50" s="37">
        <f>'03_原始数据'!C50-0.64*'03_原始数据'!B50-OtherCost</f>
        <v/>
      </c>
      <c r="V50" s="37">
        <f>'03_原始数据'!C50-0.645*'03_原始数据'!B50-OtherCost</f>
        <v/>
      </c>
      <c r="W50" s="37">
        <f>'03_原始数据'!C50-0.65*'03_原始数据'!B50-OtherCost</f>
        <v/>
      </c>
      <c r="X50" s="37">
        <f>'03_原始数据'!C50-0.655*'03_原始数据'!B50-OtherCost</f>
        <v/>
      </c>
      <c r="Y50" s="37">
        <f>'03_原始数据'!C50-0.66*'03_原始数据'!B50-OtherCost</f>
        <v/>
      </c>
      <c r="Z50" s="37">
        <f>'03_原始数据'!C50-0.665*'03_原始数据'!B50-OtherCost</f>
        <v/>
      </c>
      <c r="AA50" s="37">
        <f>'03_原始数据'!C50-0.67*'03_原始数据'!B50-OtherCost</f>
        <v/>
      </c>
      <c r="AB50" s="37">
        <f>'03_原始数据'!C50-0.675*'03_原始数据'!B50-OtherCost</f>
        <v/>
      </c>
      <c r="AC50" s="37">
        <f>'03_原始数据'!C50-0.68*'03_原始数据'!B50-OtherCost</f>
        <v/>
      </c>
      <c r="AD50" s="37">
        <f>'03_原始数据'!C50-0.685*'03_原始数据'!B50-OtherCost</f>
        <v/>
      </c>
      <c r="AE50" s="37">
        <f>'03_原始数据'!C50-0.69*'03_原始数据'!B50-OtherCost</f>
        <v/>
      </c>
      <c r="AF50" s="37">
        <f>'03_原始数据'!C50-0.695*'03_原始数据'!B50-OtherCost</f>
        <v/>
      </c>
      <c r="AG50" s="37">
        <f>'03_原始数据'!C50-0.7*'03_原始数据'!B50-OtherCost</f>
        <v/>
      </c>
    </row>
    <row r="51">
      <c r="M51" s="37">
        <f>'03_原始数据'!C51-0.6*'03_原始数据'!B51-OtherCost</f>
        <v/>
      </c>
      <c r="N51" s="37">
        <f>'03_原始数据'!C51-0.605*'03_原始数据'!B51-OtherCost</f>
        <v/>
      </c>
      <c r="O51" s="37">
        <f>'03_原始数据'!C51-0.61*'03_原始数据'!B51-OtherCost</f>
        <v/>
      </c>
      <c r="P51" s="37">
        <f>'03_原始数据'!C51-0.615*'03_原始数据'!B51-OtherCost</f>
        <v/>
      </c>
      <c r="Q51" s="37">
        <f>'03_原始数据'!C51-0.62*'03_原始数据'!B51-OtherCost</f>
        <v/>
      </c>
      <c r="R51" s="37">
        <f>'03_原始数据'!C51-0.625*'03_原始数据'!B51-OtherCost</f>
        <v/>
      </c>
      <c r="S51" s="37">
        <f>'03_原始数据'!C51-0.63*'03_原始数据'!B51-OtherCost</f>
        <v/>
      </c>
      <c r="T51" s="37">
        <f>'03_原始数据'!C51-0.635*'03_原始数据'!B51-OtherCost</f>
        <v/>
      </c>
      <c r="U51" s="37">
        <f>'03_原始数据'!C51-0.64*'03_原始数据'!B51-OtherCost</f>
        <v/>
      </c>
      <c r="V51" s="37">
        <f>'03_原始数据'!C51-0.645*'03_原始数据'!B51-OtherCost</f>
        <v/>
      </c>
      <c r="W51" s="37">
        <f>'03_原始数据'!C51-0.65*'03_原始数据'!B51-OtherCost</f>
        <v/>
      </c>
      <c r="X51" s="37">
        <f>'03_原始数据'!C51-0.655*'03_原始数据'!B51-OtherCost</f>
        <v/>
      </c>
      <c r="Y51" s="37">
        <f>'03_原始数据'!C51-0.66*'03_原始数据'!B51-OtherCost</f>
        <v/>
      </c>
      <c r="Z51" s="37">
        <f>'03_原始数据'!C51-0.665*'03_原始数据'!B51-OtherCost</f>
        <v/>
      </c>
      <c r="AA51" s="37">
        <f>'03_原始数据'!C51-0.67*'03_原始数据'!B51-OtherCost</f>
        <v/>
      </c>
      <c r="AB51" s="37">
        <f>'03_原始数据'!C51-0.675*'03_原始数据'!B51-OtherCost</f>
        <v/>
      </c>
      <c r="AC51" s="37">
        <f>'03_原始数据'!C51-0.68*'03_原始数据'!B51-OtherCost</f>
        <v/>
      </c>
      <c r="AD51" s="37">
        <f>'03_原始数据'!C51-0.685*'03_原始数据'!B51-OtherCost</f>
        <v/>
      </c>
      <c r="AE51" s="37">
        <f>'03_原始数据'!C51-0.69*'03_原始数据'!B51-OtherCost</f>
        <v/>
      </c>
      <c r="AF51" s="37">
        <f>'03_原始数据'!C51-0.695*'03_原始数据'!B51-OtherCost</f>
        <v/>
      </c>
      <c r="AG51" s="37">
        <f>'03_原始数据'!C51-0.7*'03_原始数据'!B51-OtherCost</f>
        <v/>
      </c>
    </row>
    <row r="52">
      <c r="M52" s="37">
        <f>'03_原始数据'!C52-0.6*'03_原始数据'!B52-OtherCost</f>
        <v/>
      </c>
      <c r="N52" s="37">
        <f>'03_原始数据'!C52-0.605*'03_原始数据'!B52-OtherCost</f>
        <v/>
      </c>
      <c r="O52" s="37">
        <f>'03_原始数据'!C52-0.61*'03_原始数据'!B52-OtherCost</f>
        <v/>
      </c>
      <c r="P52" s="37">
        <f>'03_原始数据'!C52-0.615*'03_原始数据'!B52-OtherCost</f>
        <v/>
      </c>
      <c r="Q52" s="37">
        <f>'03_原始数据'!C52-0.62*'03_原始数据'!B52-OtherCost</f>
        <v/>
      </c>
      <c r="R52" s="37">
        <f>'03_原始数据'!C52-0.625*'03_原始数据'!B52-OtherCost</f>
        <v/>
      </c>
      <c r="S52" s="37">
        <f>'03_原始数据'!C52-0.63*'03_原始数据'!B52-OtherCost</f>
        <v/>
      </c>
      <c r="T52" s="37">
        <f>'03_原始数据'!C52-0.635*'03_原始数据'!B52-OtherCost</f>
        <v/>
      </c>
      <c r="U52" s="37">
        <f>'03_原始数据'!C52-0.64*'03_原始数据'!B52-OtherCost</f>
        <v/>
      </c>
      <c r="V52" s="37">
        <f>'03_原始数据'!C52-0.645*'03_原始数据'!B52-OtherCost</f>
        <v/>
      </c>
      <c r="W52" s="37">
        <f>'03_原始数据'!C52-0.65*'03_原始数据'!B52-OtherCost</f>
        <v/>
      </c>
      <c r="X52" s="37">
        <f>'03_原始数据'!C52-0.655*'03_原始数据'!B52-OtherCost</f>
        <v/>
      </c>
      <c r="Y52" s="37">
        <f>'03_原始数据'!C52-0.66*'03_原始数据'!B52-OtherCost</f>
        <v/>
      </c>
      <c r="Z52" s="37">
        <f>'03_原始数据'!C52-0.665*'03_原始数据'!B52-OtherCost</f>
        <v/>
      </c>
      <c r="AA52" s="37">
        <f>'03_原始数据'!C52-0.67*'03_原始数据'!B52-OtherCost</f>
        <v/>
      </c>
      <c r="AB52" s="37">
        <f>'03_原始数据'!C52-0.675*'03_原始数据'!B52-OtherCost</f>
        <v/>
      </c>
      <c r="AC52" s="37">
        <f>'03_原始数据'!C52-0.68*'03_原始数据'!B52-OtherCost</f>
        <v/>
      </c>
      <c r="AD52" s="37">
        <f>'03_原始数据'!C52-0.685*'03_原始数据'!B52-OtherCost</f>
        <v/>
      </c>
      <c r="AE52" s="37">
        <f>'03_原始数据'!C52-0.69*'03_原始数据'!B52-OtherCost</f>
        <v/>
      </c>
      <c r="AF52" s="37">
        <f>'03_原始数据'!C52-0.695*'03_原始数据'!B52-OtherCost</f>
        <v/>
      </c>
      <c r="AG52" s="37">
        <f>'03_原始数据'!C52-0.7*'03_原始数据'!B52-OtherCost</f>
        <v/>
      </c>
    </row>
    <row r="53">
      <c r="M53" s="37">
        <f>'03_原始数据'!C53-0.6*'03_原始数据'!B53-OtherCost</f>
        <v/>
      </c>
      <c r="N53" s="37">
        <f>'03_原始数据'!C53-0.605*'03_原始数据'!B53-OtherCost</f>
        <v/>
      </c>
      <c r="O53" s="37">
        <f>'03_原始数据'!C53-0.61*'03_原始数据'!B53-OtherCost</f>
        <v/>
      </c>
      <c r="P53" s="37">
        <f>'03_原始数据'!C53-0.615*'03_原始数据'!B53-OtherCost</f>
        <v/>
      </c>
      <c r="Q53" s="37">
        <f>'03_原始数据'!C53-0.62*'03_原始数据'!B53-OtherCost</f>
        <v/>
      </c>
      <c r="R53" s="37">
        <f>'03_原始数据'!C53-0.625*'03_原始数据'!B53-OtherCost</f>
        <v/>
      </c>
      <c r="S53" s="37">
        <f>'03_原始数据'!C53-0.63*'03_原始数据'!B53-OtherCost</f>
        <v/>
      </c>
      <c r="T53" s="37">
        <f>'03_原始数据'!C53-0.635*'03_原始数据'!B53-OtherCost</f>
        <v/>
      </c>
      <c r="U53" s="37">
        <f>'03_原始数据'!C53-0.64*'03_原始数据'!B53-OtherCost</f>
        <v/>
      </c>
      <c r="V53" s="37">
        <f>'03_原始数据'!C53-0.645*'03_原始数据'!B53-OtherCost</f>
        <v/>
      </c>
      <c r="W53" s="37">
        <f>'03_原始数据'!C53-0.65*'03_原始数据'!B53-OtherCost</f>
        <v/>
      </c>
      <c r="X53" s="37">
        <f>'03_原始数据'!C53-0.655*'03_原始数据'!B53-OtherCost</f>
        <v/>
      </c>
      <c r="Y53" s="37">
        <f>'03_原始数据'!C53-0.66*'03_原始数据'!B53-OtherCost</f>
        <v/>
      </c>
      <c r="Z53" s="37">
        <f>'03_原始数据'!C53-0.665*'03_原始数据'!B53-OtherCost</f>
        <v/>
      </c>
      <c r="AA53" s="37">
        <f>'03_原始数据'!C53-0.67*'03_原始数据'!B53-OtherCost</f>
        <v/>
      </c>
      <c r="AB53" s="37">
        <f>'03_原始数据'!C53-0.675*'03_原始数据'!B53-OtherCost</f>
        <v/>
      </c>
      <c r="AC53" s="37">
        <f>'03_原始数据'!C53-0.68*'03_原始数据'!B53-OtherCost</f>
        <v/>
      </c>
      <c r="AD53" s="37">
        <f>'03_原始数据'!C53-0.685*'03_原始数据'!B53-OtherCost</f>
        <v/>
      </c>
      <c r="AE53" s="37">
        <f>'03_原始数据'!C53-0.69*'03_原始数据'!B53-OtherCost</f>
        <v/>
      </c>
      <c r="AF53" s="37">
        <f>'03_原始数据'!C53-0.695*'03_原始数据'!B53-OtherCost</f>
        <v/>
      </c>
      <c r="AG53" s="37">
        <f>'03_原始数据'!C53-0.7*'03_原始数据'!B53-OtherCost</f>
        <v/>
      </c>
    </row>
    <row r="54">
      <c r="M54" s="37">
        <f>'03_原始数据'!C54-0.6*'03_原始数据'!B54-OtherCost</f>
        <v/>
      </c>
      <c r="N54" s="37">
        <f>'03_原始数据'!C54-0.605*'03_原始数据'!B54-OtherCost</f>
        <v/>
      </c>
      <c r="O54" s="37">
        <f>'03_原始数据'!C54-0.61*'03_原始数据'!B54-OtherCost</f>
        <v/>
      </c>
      <c r="P54" s="37">
        <f>'03_原始数据'!C54-0.615*'03_原始数据'!B54-OtherCost</f>
        <v/>
      </c>
      <c r="Q54" s="37">
        <f>'03_原始数据'!C54-0.62*'03_原始数据'!B54-OtherCost</f>
        <v/>
      </c>
      <c r="R54" s="37">
        <f>'03_原始数据'!C54-0.625*'03_原始数据'!B54-OtherCost</f>
        <v/>
      </c>
      <c r="S54" s="37">
        <f>'03_原始数据'!C54-0.63*'03_原始数据'!B54-OtherCost</f>
        <v/>
      </c>
      <c r="T54" s="37">
        <f>'03_原始数据'!C54-0.635*'03_原始数据'!B54-OtherCost</f>
        <v/>
      </c>
      <c r="U54" s="37">
        <f>'03_原始数据'!C54-0.64*'03_原始数据'!B54-OtherCost</f>
        <v/>
      </c>
      <c r="V54" s="37">
        <f>'03_原始数据'!C54-0.645*'03_原始数据'!B54-OtherCost</f>
        <v/>
      </c>
      <c r="W54" s="37">
        <f>'03_原始数据'!C54-0.65*'03_原始数据'!B54-OtherCost</f>
        <v/>
      </c>
      <c r="X54" s="37">
        <f>'03_原始数据'!C54-0.655*'03_原始数据'!B54-OtherCost</f>
        <v/>
      </c>
      <c r="Y54" s="37">
        <f>'03_原始数据'!C54-0.66*'03_原始数据'!B54-OtherCost</f>
        <v/>
      </c>
      <c r="Z54" s="37">
        <f>'03_原始数据'!C54-0.665*'03_原始数据'!B54-OtherCost</f>
        <v/>
      </c>
      <c r="AA54" s="37">
        <f>'03_原始数据'!C54-0.67*'03_原始数据'!B54-OtherCost</f>
        <v/>
      </c>
      <c r="AB54" s="37">
        <f>'03_原始数据'!C54-0.675*'03_原始数据'!B54-OtherCost</f>
        <v/>
      </c>
      <c r="AC54" s="37">
        <f>'03_原始数据'!C54-0.68*'03_原始数据'!B54-OtherCost</f>
        <v/>
      </c>
      <c r="AD54" s="37">
        <f>'03_原始数据'!C54-0.685*'03_原始数据'!B54-OtherCost</f>
        <v/>
      </c>
      <c r="AE54" s="37">
        <f>'03_原始数据'!C54-0.69*'03_原始数据'!B54-OtherCost</f>
        <v/>
      </c>
      <c r="AF54" s="37">
        <f>'03_原始数据'!C54-0.695*'03_原始数据'!B54-OtherCost</f>
        <v/>
      </c>
      <c r="AG54" s="37">
        <f>'03_原始数据'!C54-0.7*'03_原始数据'!B54-OtherCost</f>
        <v/>
      </c>
    </row>
    <row r="55">
      <c r="M55" s="37">
        <f>'03_原始数据'!C55-0.6*'03_原始数据'!B55-OtherCost</f>
        <v/>
      </c>
      <c r="N55" s="37">
        <f>'03_原始数据'!C55-0.605*'03_原始数据'!B55-OtherCost</f>
        <v/>
      </c>
      <c r="O55" s="37">
        <f>'03_原始数据'!C55-0.61*'03_原始数据'!B55-OtherCost</f>
        <v/>
      </c>
      <c r="P55" s="37">
        <f>'03_原始数据'!C55-0.615*'03_原始数据'!B55-OtherCost</f>
        <v/>
      </c>
      <c r="Q55" s="37">
        <f>'03_原始数据'!C55-0.62*'03_原始数据'!B55-OtherCost</f>
        <v/>
      </c>
      <c r="R55" s="37">
        <f>'03_原始数据'!C55-0.625*'03_原始数据'!B55-OtherCost</f>
        <v/>
      </c>
      <c r="S55" s="37">
        <f>'03_原始数据'!C55-0.63*'03_原始数据'!B55-OtherCost</f>
        <v/>
      </c>
      <c r="T55" s="37">
        <f>'03_原始数据'!C55-0.635*'03_原始数据'!B55-OtherCost</f>
        <v/>
      </c>
      <c r="U55" s="37">
        <f>'03_原始数据'!C55-0.64*'03_原始数据'!B55-OtherCost</f>
        <v/>
      </c>
      <c r="V55" s="37">
        <f>'03_原始数据'!C55-0.645*'03_原始数据'!B55-OtherCost</f>
        <v/>
      </c>
      <c r="W55" s="37">
        <f>'03_原始数据'!C55-0.65*'03_原始数据'!B55-OtherCost</f>
        <v/>
      </c>
      <c r="X55" s="37">
        <f>'03_原始数据'!C55-0.655*'03_原始数据'!B55-OtherCost</f>
        <v/>
      </c>
      <c r="Y55" s="37">
        <f>'03_原始数据'!C55-0.66*'03_原始数据'!B55-OtherCost</f>
        <v/>
      </c>
      <c r="Z55" s="37">
        <f>'03_原始数据'!C55-0.665*'03_原始数据'!B55-OtherCost</f>
        <v/>
      </c>
      <c r="AA55" s="37">
        <f>'03_原始数据'!C55-0.67*'03_原始数据'!B55-OtherCost</f>
        <v/>
      </c>
      <c r="AB55" s="37">
        <f>'03_原始数据'!C55-0.675*'03_原始数据'!B55-OtherCost</f>
        <v/>
      </c>
      <c r="AC55" s="37">
        <f>'03_原始数据'!C55-0.68*'03_原始数据'!B55-OtherCost</f>
        <v/>
      </c>
      <c r="AD55" s="37">
        <f>'03_原始数据'!C55-0.685*'03_原始数据'!B55-OtherCost</f>
        <v/>
      </c>
      <c r="AE55" s="37">
        <f>'03_原始数据'!C55-0.69*'03_原始数据'!B55-OtherCost</f>
        <v/>
      </c>
      <c r="AF55" s="37">
        <f>'03_原始数据'!C55-0.695*'03_原始数据'!B55-OtherCost</f>
        <v/>
      </c>
      <c r="AG55" s="37">
        <f>'03_原始数据'!C55-0.7*'03_原始数据'!B55-OtherCost</f>
        <v/>
      </c>
    </row>
    <row r="56">
      <c r="M56" s="37">
        <f>'03_原始数据'!C56-0.6*'03_原始数据'!B56-OtherCost</f>
        <v/>
      </c>
      <c r="N56" s="37">
        <f>'03_原始数据'!C56-0.605*'03_原始数据'!B56-OtherCost</f>
        <v/>
      </c>
      <c r="O56" s="37">
        <f>'03_原始数据'!C56-0.61*'03_原始数据'!B56-OtherCost</f>
        <v/>
      </c>
      <c r="P56" s="37">
        <f>'03_原始数据'!C56-0.615*'03_原始数据'!B56-OtherCost</f>
        <v/>
      </c>
      <c r="Q56" s="37">
        <f>'03_原始数据'!C56-0.62*'03_原始数据'!B56-OtherCost</f>
        <v/>
      </c>
      <c r="R56" s="37">
        <f>'03_原始数据'!C56-0.625*'03_原始数据'!B56-OtherCost</f>
        <v/>
      </c>
      <c r="S56" s="37">
        <f>'03_原始数据'!C56-0.63*'03_原始数据'!B56-OtherCost</f>
        <v/>
      </c>
      <c r="T56" s="37">
        <f>'03_原始数据'!C56-0.635*'03_原始数据'!B56-OtherCost</f>
        <v/>
      </c>
      <c r="U56" s="37">
        <f>'03_原始数据'!C56-0.64*'03_原始数据'!B56-OtherCost</f>
        <v/>
      </c>
      <c r="V56" s="37">
        <f>'03_原始数据'!C56-0.645*'03_原始数据'!B56-OtherCost</f>
        <v/>
      </c>
      <c r="W56" s="37">
        <f>'03_原始数据'!C56-0.65*'03_原始数据'!B56-OtherCost</f>
        <v/>
      </c>
      <c r="X56" s="37">
        <f>'03_原始数据'!C56-0.655*'03_原始数据'!B56-OtherCost</f>
        <v/>
      </c>
      <c r="Y56" s="37">
        <f>'03_原始数据'!C56-0.66*'03_原始数据'!B56-OtherCost</f>
        <v/>
      </c>
      <c r="Z56" s="37">
        <f>'03_原始数据'!C56-0.665*'03_原始数据'!B56-OtherCost</f>
        <v/>
      </c>
      <c r="AA56" s="37">
        <f>'03_原始数据'!C56-0.67*'03_原始数据'!B56-OtherCost</f>
        <v/>
      </c>
      <c r="AB56" s="37">
        <f>'03_原始数据'!C56-0.675*'03_原始数据'!B56-OtherCost</f>
        <v/>
      </c>
      <c r="AC56" s="37">
        <f>'03_原始数据'!C56-0.68*'03_原始数据'!B56-OtherCost</f>
        <v/>
      </c>
      <c r="AD56" s="37">
        <f>'03_原始数据'!C56-0.685*'03_原始数据'!B56-OtherCost</f>
        <v/>
      </c>
      <c r="AE56" s="37">
        <f>'03_原始数据'!C56-0.69*'03_原始数据'!B56-OtherCost</f>
        <v/>
      </c>
      <c r="AF56" s="37">
        <f>'03_原始数据'!C56-0.695*'03_原始数据'!B56-OtherCost</f>
        <v/>
      </c>
      <c r="AG56" s="37">
        <f>'03_原始数据'!C56-0.7*'03_原始数据'!B56-OtherCost</f>
        <v/>
      </c>
    </row>
    <row r="57">
      <c r="M57" s="37">
        <f>'03_原始数据'!C57-0.6*'03_原始数据'!B57-OtherCost</f>
        <v/>
      </c>
      <c r="N57" s="37">
        <f>'03_原始数据'!C57-0.605*'03_原始数据'!B57-OtherCost</f>
        <v/>
      </c>
      <c r="O57" s="37">
        <f>'03_原始数据'!C57-0.61*'03_原始数据'!B57-OtherCost</f>
        <v/>
      </c>
      <c r="P57" s="37">
        <f>'03_原始数据'!C57-0.615*'03_原始数据'!B57-OtherCost</f>
        <v/>
      </c>
      <c r="Q57" s="37">
        <f>'03_原始数据'!C57-0.62*'03_原始数据'!B57-OtherCost</f>
        <v/>
      </c>
      <c r="R57" s="37">
        <f>'03_原始数据'!C57-0.625*'03_原始数据'!B57-OtherCost</f>
        <v/>
      </c>
      <c r="S57" s="37">
        <f>'03_原始数据'!C57-0.63*'03_原始数据'!B57-OtherCost</f>
        <v/>
      </c>
      <c r="T57" s="37">
        <f>'03_原始数据'!C57-0.635*'03_原始数据'!B57-OtherCost</f>
        <v/>
      </c>
      <c r="U57" s="37">
        <f>'03_原始数据'!C57-0.64*'03_原始数据'!B57-OtherCost</f>
        <v/>
      </c>
      <c r="V57" s="37">
        <f>'03_原始数据'!C57-0.645*'03_原始数据'!B57-OtherCost</f>
        <v/>
      </c>
      <c r="W57" s="37">
        <f>'03_原始数据'!C57-0.65*'03_原始数据'!B57-OtherCost</f>
        <v/>
      </c>
      <c r="X57" s="37">
        <f>'03_原始数据'!C57-0.655*'03_原始数据'!B57-OtherCost</f>
        <v/>
      </c>
      <c r="Y57" s="37">
        <f>'03_原始数据'!C57-0.66*'03_原始数据'!B57-OtherCost</f>
        <v/>
      </c>
      <c r="Z57" s="37">
        <f>'03_原始数据'!C57-0.665*'03_原始数据'!B57-OtherCost</f>
        <v/>
      </c>
      <c r="AA57" s="37">
        <f>'03_原始数据'!C57-0.67*'03_原始数据'!B57-OtherCost</f>
        <v/>
      </c>
      <c r="AB57" s="37">
        <f>'03_原始数据'!C57-0.675*'03_原始数据'!B57-OtherCost</f>
        <v/>
      </c>
      <c r="AC57" s="37">
        <f>'03_原始数据'!C57-0.68*'03_原始数据'!B57-OtherCost</f>
        <v/>
      </c>
      <c r="AD57" s="37">
        <f>'03_原始数据'!C57-0.685*'03_原始数据'!B57-OtherCost</f>
        <v/>
      </c>
      <c r="AE57" s="37">
        <f>'03_原始数据'!C57-0.69*'03_原始数据'!B57-OtherCost</f>
        <v/>
      </c>
      <c r="AF57" s="37">
        <f>'03_原始数据'!C57-0.695*'03_原始数据'!B57-OtherCost</f>
        <v/>
      </c>
      <c r="AG57" s="37">
        <f>'03_原始数据'!C57-0.7*'03_原始数据'!B57-OtherCost</f>
        <v/>
      </c>
    </row>
    <row r="58">
      <c r="M58" s="37">
        <f>'03_原始数据'!C58-0.6*'03_原始数据'!B58-OtherCost</f>
        <v/>
      </c>
      <c r="N58" s="37">
        <f>'03_原始数据'!C58-0.605*'03_原始数据'!B58-OtherCost</f>
        <v/>
      </c>
      <c r="O58" s="37">
        <f>'03_原始数据'!C58-0.61*'03_原始数据'!B58-OtherCost</f>
        <v/>
      </c>
      <c r="P58" s="37">
        <f>'03_原始数据'!C58-0.615*'03_原始数据'!B58-OtherCost</f>
        <v/>
      </c>
      <c r="Q58" s="37">
        <f>'03_原始数据'!C58-0.62*'03_原始数据'!B58-OtherCost</f>
        <v/>
      </c>
      <c r="R58" s="37">
        <f>'03_原始数据'!C58-0.625*'03_原始数据'!B58-OtherCost</f>
        <v/>
      </c>
      <c r="S58" s="37">
        <f>'03_原始数据'!C58-0.63*'03_原始数据'!B58-OtherCost</f>
        <v/>
      </c>
      <c r="T58" s="37">
        <f>'03_原始数据'!C58-0.635*'03_原始数据'!B58-OtherCost</f>
        <v/>
      </c>
      <c r="U58" s="37">
        <f>'03_原始数据'!C58-0.64*'03_原始数据'!B58-OtherCost</f>
        <v/>
      </c>
      <c r="V58" s="37">
        <f>'03_原始数据'!C58-0.645*'03_原始数据'!B58-OtherCost</f>
        <v/>
      </c>
      <c r="W58" s="37">
        <f>'03_原始数据'!C58-0.65*'03_原始数据'!B58-OtherCost</f>
        <v/>
      </c>
      <c r="X58" s="37">
        <f>'03_原始数据'!C58-0.655*'03_原始数据'!B58-OtherCost</f>
        <v/>
      </c>
      <c r="Y58" s="37">
        <f>'03_原始数据'!C58-0.66*'03_原始数据'!B58-OtherCost</f>
        <v/>
      </c>
      <c r="Z58" s="37">
        <f>'03_原始数据'!C58-0.665*'03_原始数据'!B58-OtherCost</f>
        <v/>
      </c>
      <c r="AA58" s="37">
        <f>'03_原始数据'!C58-0.67*'03_原始数据'!B58-OtherCost</f>
        <v/>
      </c>
      <c r="AB58" s="37">
        <f>'03_原始数据'!C58-0.675*'03_原始数据'!B58-OtherCost</f>
        <v/>
      </c>
      <c r="AC58" s="37">
        <f>'03_原始数据'!C58-0.68*'03_原始数据'!B58-OtherCost</f>
        <v/>
      </c>
      <c r="AD58" s="37">
        <f>'03_原始数据'!C58-0.685*'03_原始数据'!B58-OtherCost</f>
        <v/>
      </c>
      <c r="AE58" s="37">
        <f>'03_原始数据'!C58-0.69*'03_原始数据'!B58-OtherCost</f>
        <v/>
      </c>
      <c r="AF58" s="37">
        <f>'03_原始数据'!C58-0.695*'03_原始数据'!B58-OtherCost</f>
        <v/>
      </c>
      <c r="AG58" s="37">
        <f>'03_原始数据'!C58-0.7*'03_原始数据'!B58-OtherCost</f>
        <v/>
      </c>
    </row>
    <row r="59">
      <c r="M59" s="37">
        <f>'03_原始数据'!C59-0.6*'03_原始数据'!B59-OtherCost</f>
        <v/>
      </c>
      <c r="N59" s="37">
        <f>'03_原始数据'!C59-0.605*'03_原始数据'!B59-OtherCost</f>
        <v/>
      </c>
      <c r="O59" s="37">
        <f>'03_原始数据'!C59-0.61*'03_原始数据'!B59-OtherCost</f>
        <v/>
      </c>
      <c r="P59" s="37">
        <f>'03_原始数据'!C59-0.615*'03_原始数据'!B59-OtherCost</f>
        <v/>
      </c>
      <c r="Q59" s="37">
        <f>'03_原始数据'!C59-0.62*'03_原始数据'!B59-OtherCost</f>
        <v/>
      </c>
      <c r="R59" s="37">
        <f>'03_原始数据'!C59-0.625*'03_原始数据'!B59-OtherCost</f>
        <v/>
      </c>
      <c r="S59" s="37">
        <f>'03_原始数据'!C59-0.63*'03_原始数据'!B59-OtherCost</f>
        <v/>
      </c>
      <c r="T59" s="37">
        <f>'03_原始数据'!C59-0.635*'03_原始数据'!B59-OtherCost</f>
        <v/>
      </c>
      <c r="U59" s="37">
        <f>'03_原始数据'!C59-0.64*'03_原始数据'!B59-OtherCost</f>
        <v/>
      </c>
      <c r="V59" s="37">
        <f>'03_原始数据'!C59-0.645*'03_原始数据'!B59-OtherCost</f>
        <v/>
      </c>
      <c r="W59" s="37">
        <f>'03_原始数据'!C59-0.65*'03_原始数据'!B59-OtherCost</f>
        <v/>
      </c>
      <c r="X59" s="37">
        <f>'03_原始数据'!C59-0.655*'03_原始数据'!B59-OtherCost</f>
        <v/>
      </c>
      <c r="Y59" s="37">
        <f>'03_原始数据'!C59-0.66*'03_原始数据'!B59-OtherCost</f>
        <v/>
      </c>
      <c r="Z59" s="37">
        <f>'03_原始数据'!C59-0.665*'03_原始数据'!B59-OtherCost</f>
        <v/>
      </c>
      <c r="AA59" s="37">
        <f>'03_原始数据'!C59-0.67*'03_原始数据'!B59-OtherCost</f>
        <v/>
      </c>
      <c r="AB59" s="37">
        <f>'03_原始数据'!C59-0.675*'03_原始数据'!B59-OtherCost</f>
        <v/>
      </c>
      <c r="AC59" s="37">
        <f>'03_原始数据'!C59-0.68*'03_原始数据'!B59-OtherCost</f>
        <v/>
      </c>
      <c r="AD59" s="37">
        <f>'03_原始数据'!C59-0.685*'03_原始数据'!B59-OtherCost</f>
        <v/>
      </c>
      <c r="AE59" s="37">
        <f>'03_原始数据'!C59-0.69*'03_原始数据'!B59-OtherCost</f>
        <v/>
      </c>
      <c r="AF59" s="37">
        <f>'03_原始数据'!C59-0.695*'03_原始数据'!B59-OtherCost</f>
        <v/>
      </c>
      <c r="AG59" s="37">
        <f>'03_原始数据'!C59-0.7*'03_原始数据'!B59-OtherCost</f>
        <v/>
      </c>
    </row>
    <row r="60">
      <c r="M60" s="37">
        <f>'03_原始数据'!C60-0.6*'03_原始数据'!B60-OtherCost</f>
        <v/>
      </c>
      <c r="N60" s="37">
        <f>'03_原始数据'!C60-0.605*'03_原始数据'!B60-OtherCost</f>
        <v/>
      </c>
      <c r="O60" s="37">
        <f>'03_原始数据'!C60-0.61*'03_原始数据'!B60-OtherCost</f>
        <v/>
      </c>
      <c r="P60" s="37">
        <f>'03_原始数据'!C60-0.615*'03_原始数据'!B60-OtherCost</f>
        <v/>
      </c>
      <c r="Q60" s="37">
        <f>'03_原始数据'!C60-0.62*'03_原始数据'!B60-OtherCost</f>
        <v/>
      </c>
      <c r="R60" s="37">
        <f>'03_原始数据'!C60-0.625*'03_原始数据'!B60-OtherCost</f>
        <v/>
      </c>
      <c r="S60" s="37">
        <f>'03_原始数据'!C60-0.63*'03_原始数据'!B60-OtherCost</f>
        <v/>
      </c>
      <c r="T60" s="37">
        <f>'03_原始数据'!C60-0.635*'03_原始数据'!B60-OtherCost</f>
        <v/>
      </c>
      <c r="U60" s="37">
        <f>'03_原始数据'!C60-0.64*'03_原始数据'!B60-OtherCost</f>
        <v/>
      </c>
      <c r="V60" s="37">
        <f>'03_原始数据'!C60-0.645*'03_原始数据'!B60-OtherCost</f>
        <v/>
      </c>
      <c r="W60" s="37">
        <f>'03_原始数据'!C60-0.65*'03_原始数据'!B60-OtherCost</f>
        <v/>
      </c>
      <c r="X60" s="37">
        <f>'03_原始数据'!C60-0.655*'03_原始数据'!B60-OtherCost</f>
        <v/>
      </c>
      <c r="Y60" s="37">
        <f>'03_原始数据'!C60-0.66*'03_原始数据'!B60-OtherCost</f>
        <v/>
      </c>
      <c r="Z60" s="37">
        <f>'03_原始数据'!C60-0.665*'03_原始数据'!B60-OtherCost</f>
        <v/>
      </c>
      <c r="AA60" s="37">
        <f>'03_原始数据'!C60-0.67*'03_原始数据'!B60-OtherCost</f>
        <v/>
      </c>
      <c r="AB60" s="37">
        <f>'03_原始数据'!C60-0.675*'03_原始数据'!B60-OtherCost</f>
        <v/>
      </c>
      <c r="AC60" s="37">
        <f>'03_原始数据'!C60-0.68*'03_原始数据'!B60-OtherCost</f>
        <v/>
      </c>
      <c r="AD60" s="37">
        <f>'03_原始数据'!C60-0.685*'03_原始数据'!B60-OtherCost</f>
        <v/>
      </c>
      <c r="AE60" s="37">
        <f>'03_原始数据'!C60-0.69*'03_原始数据'!B60-OtherCost</f>
        <v/>
      </c>
      <c r="AF60" s="37">
        <f>'03_原始数据'!C60-0.695*'03_原始数据'!B60-OtherCost</f>
        <v/>
      </c>
      <c r="AG60" s="37">
        <f>'03_原始数据'!C60-0.7*'03_原始数据'!B60-OtherCost</f>
        <v/>
      </c>
    </row>
    <row r="61">
      <c r="M61" s="37">
        <f>'03_原始数据'!C61-0.6*'03_原始数据'!B61-OtherCost</f>
        <v/>
      </c>
      <c r="N61" s="37">
        <f>'03_原始数据'!C61-0.605*'03_原始数据'!B61-OtherCost</f>
        <v/>
      </c>
      <c r="O61" s="37">
        <f>'03_原始数据'!C61-0.61*'03_原始数据'!B61-OtherCost</f>
        <v/>
      </c>
      <c r="P61" s="37">
        <f>'03_原始数据'!C61-0.615*'03_原始数据'!B61-OtherCost</f>
        <v/>
      </c>
      <c r="Q61" s="37">
        <f>'03_原始数据'!C61-0.62*'03_原始数据'!B61-OtherCost</f>
        <v/>
      </c>
      <c r="R61" s="37">
        <f>'03_原始数据'!C61-0.625*'03_原始数据'!B61-OtherCost</f>
        <v/>
      </c>
      <c r="S61" s="37">
        <f>'03_原始数据'!C61-0.63*'03_原始数据'!B61-OtherCost</f>
        <v/>
      </c>
      <c r="T61" s="37">
        <f>'03_原始数据'!C61-0.635*'03_原始数据'!B61-OtherCost</f>
        <v/>
      </c>
      <c r="U61" s="37">
        <f>'03_原始数据'!C61-0.64*'03_原始数据'!B61-OtherCost</f>
        <v/>
      </c>
      <c r="V61" s="37">
        <f>'03_原始数据'!C61-0.645*'03_原始数据'!B61-OtherCost</f>
        <v/>
      </c>
      <c r="W61" s="37">
        <f>'03_原始数据'!C61-0.65*'03_原始数据'!B61-OtherCost</f>
        <v/>
      </c>
      <c r="X61" s="37">
        <f>'03_原始数据'!C61-0.655*'03_原始数据'!B61-OtherCost</f>
        <v/>
      </c>
      <c r="Y61" s="37">
        <f>'03_原始数据'!C61-0.66*'03_原始数据'!B61-OtherCost</f>
        <v/>
      </c>
      <c r="Z61" s="37">
        <f>'03_原始数据'!C61-0.665*'03_原始数据'!B61-OtherCost</f>
        <v/>
      </c>
      <c r="AA61" s="37">
        <f>'03_原始数据'!C61-0.67*'03_原始数据'!B61-OtherCost</f>
        <v/>
      </c>
      <c r="AB61" s="37">
        <f>'03_原始数据'!C61-0.675*'03_原始数据'!B61-OtherCost</f>
        <v/>
      </c>
      <c r="AC61" s="37">
        <f>'03_原始数据'!C61-0.68*'03_原始数据'!B61-OtherCost</f>
        <v/>
      </c>
      <c r="AD61" s="37">
        <f>'03_原始数据'!C61-0.685*'03_原始数据'!B61-OtherCost</f>
        <v/>
      </c>
      <c r="AE61" s="37">
        <f>'03_原始数据'!C61-0.69*'03_原始数据'!B61-OtherCost</f>
        <v/>
      </c>
      <c r="AF61" s="37">
        <f>'03_原始数据'!C61-0.695*'03_原始数据'!B61-OtherCost</f>
        <v/>
      </c>
      <c r="AG61" s="37">
        <f>'03_原始数据'!C61-0.7*'03_原始数据'!B61-OtherCost</f>
        <v/>
      </c>
    </row>
    <row r="62">
      <c r="M62" s="37">
        <f>'03_原始数据'!C62-0.6*'03_原始数据'!B62-OtherCost</f>
        <v/>
      </c>
      <c r="N62" s="37">
        <f>'03_原始数据'!C62-0.605*'03_原始数据'!B62-OtherCost</f>
        <v/>
      </c>
      <c r="O62" s="37">
        <f>'03_原始数据'!C62-0.61*'03_原始数据'!B62-OtherCost</f>
        <v/>
      </c>
      <c r="P62" s="37">
        <f>'03_原始数据'!C62-0.615*'03_原始数据'!B62-OtherCost</f>
        <v/>
      </c>
      <c r="Q62" s="37">
        <f>'03_原始数据'!C62-0.62*'03_原始数据'!B62-OtherCost</f>
        <v/>
      </c>
      <c r="R62" s="37">
        <f>'03_原始数据'!C62-0.625*'03_原始数据'!B62-OtherCost</f>
        <v/>
      </c>
      <c r="S62" s="37">
        <f>'03_原始数据'!C62-0.63*'03_原始数据'!B62-OtherCost</f>
        <v/>
      </c>
      <c r="T62" s="37">
        <f>'03_原始数据'!C62-0.635*'03_原始数据'!B62-OtherCost</f>
        <v/>
      </c>
      <c r="U62" s="37">
        <f>'03_原始数据'!C62-0.64*'03_原始数据'!B62-OtherCost</f>
        <v/>
      </c>
      <c r="V62" s="37">
        <f>'03_原始数据'!C62-0.645*'03_原始数据'!B62-OtherCost</f>
        <v/>
      </c>
      <c r="W62" s="37">
        <f>'03_原始数据'!C62-0.65*'03_原始数据'!B62-OtherCost</f>
        <v/>
      </c>
      <c r="X62" s="37">
        <f>'03_原始数据'!C62-0.655*'03_原始数据'!B62-OtherCost</f>
        <v/>
      </c>
      <c r="Y62" s="37">
        <f>'03_原始数据'!C62-0.66*'03_原始数据'!B62-OtherCost</f>
        <v/>
      </c>
      <c r="Z62" s="37">
        <f>'03_原始数据'!C62-0.665*'03_原始数据'!B62-OtherCost</f>
        <v/>
      </c>
      <c r="AA62" s="37">
        <f>'03_原始数据'!C62-0.67*'03_原始数据'!B62-OtherCost</f>
        <v/>
      </c>
      <c r="AB62" s="37">
        <f>'03_原始数据'!C62-0.675*'03_原始数据'!B62-OtherCost</f>
        <v/>
      </c>
      <c r="AC62" s="37">
        <f>'03_原始数据'!C62-0.68*'03_原始数据'!B62-OtherCost</f>
        <v/>
      </c>
      <c r="AD62" s="37">
        <f>'03_原始数据'!C62-0.685*'03_原始数据'!B62-OtherCost</f>
        <v/>
      </c>
      <c r="AE62" s="37">
        <f>'03_原始数据'!C62-0.69*'03_原始数据'!B62-OtherCost</f>
        <v/>
      </c>
      <c r="AF62" s="37">
        <f>'03_原始数据'!C62-0.695*'03_原始数据'!B62-OtherCost</f>
        <v/>
      </c>
      <c r="AG62" s="37">
        <f>'03_原始数据'!C62-0.7*'03_原始数据'!B62-OtherCost</f>
        <v/>
      </c>
    </row>
    <row r="63">
      <c r="M63" s="37">
        <f>'03_原始数据'!C63-0.6*'03_原始数据'!B63-OtherCost</f>
        <v/>
      </c>
      <c r="N63" s="37">
        <f>'03_原始数据'!C63-0.605*'03_原始数据'!B63-OtherCost</f>
        <v/>
      </c>
      <c r="O63" s="37">
        <f>'03_原始数据'!C63-0.61*'03_原始数据'!B63-OtherCost</f>
        <v/>
      </c>
      <c r="P63" s="37">
        <f>'03_原始数据'!C63-0.615*'03_原始数据'!B63-OtherCost</f>
        <v/>
      </c>
      <c r="Q63" s="37">
        <f>'03_原始数据'!C63-0.62*'03_原始数据'!B63-OtherCost</f>
        <v/>
      </c>
      <c r="R63" s="37">
        <f>'03_原始数据'!C63-0.625*'03_原始数据'!B63-OtherCost</f>
        <v/>
      </c>
      <c r="S63" s="37">
        <f>'03_原始数据'!C63-0.63*'03_原始数据'!B63-OtherCost</f>
        <v/>
      </c>
      <c r="T63" s="37">
        <f>'03_原始数据'!C63-0.635*'03_原始数据'!B63-OtherCost</f>
        <v/>
      </c>
      <c r="U63" s="37">
        <f>'03_原始数据'!C63-0.64*'03_原始数据'!B63-OtherCost</f>
        <v/>
      </c>
      <c r="V63" s="37">
        <f>'03_原始数据'!C63-0.645*'03_原始数据'!B63-OtherCost</f>
        <v/>
      </c>
      <c r="W63" s="37">
        <f>'03_原始数据'!C63-0.65*'03_原始数据'!B63-OtherCost</f>
        <v/>
      </c>
      <c r="X63" s="37">
        <f>'03_原始数据'!C63-0.655*'03_原始数据'!B63-OtherCost</f>
        <v/>
      </c>
      <c r="Y63" s="37">
        <f>'03_原始数据'!C63-0.66*'03_原始数据'!B63-OtherCost</f>
        <v/>
      </c>
      <c r="Z63" s="37">
        <f>'03_原始数据'!C63-0.665*'03_原始数据'!B63-OtherCost</f>
        <v/>
      </c>
      <c r="AA63" s="37">
        <f>'03_原始数据'!C63-0.67*'03_原始数据'!B63-OtherCost</f>
        <v/>
      </c>
      <c r="AB63" s="37">
        <f>'03_原始数据'!C63-0.675*'03_原始数据'!B63-OtherCost</f>
        <v/>
      </c>
      <c r="AC63" s="37">
        <f>'03_原始数据'!C63-0.68*'03_原始数据'!B63-OtherCost</f>
        <v/>
      </c>
      <c r="AD63" s="37">
        <f>'03_原始数据'!C63-0.685*'03_原始数据'!B63-OtherCost</f>
        <v/>
      </c>
      <c r="AE63" s="37">
        <f>'03_原始数据'!C63-0.69*'03_原始数据'!B63-OtherCost</f>
        <v/>
      </c>
      <c r="AF63" s="37">
        <f>'03_原始数据'!C63-0.695*'03_原始数据'!B63-OtherCost</f>
        <v/>
      </c>
      <c r="AG63" s="37">
        <f>'03_原始数据'!C63-0.7*'03_原始数据'!B63-OtherCost</f>
        <v/>
      </c>
    </row>
    <row r="64">
      <c r="M64" s="37">
        <f>'03_原始数据'!C64-0.6*'03_原始数据'!B64-OtherCost</f>
        <v/>
      </c>
      <c r="N64" s="37">
        <f>'03_原始数据'!C64-0.605*'03_原始数据'!B64-OtherCost</f>
        <v/>
      </c>
      <c r="O64" s="37">
        <f>'03_原始数据'!C64-0.61*'03_原始数据'!B64-OtherCost</f>
        <v/>
      </c>
      <c r="P64" s="37">
        <f>'03_原始数据'!C64-0.615*'03_原始数据'!B64-OtherCost</f>
        <v/>
      </c>
      <c r="Q64" s="37">
        <f>'03_原始数据'!C64-0.62*'03_原始数据'!B64-OtherCost</f>
        <v/>
      </c>
      <c r="R64" s="37">
        <f>'03_原始数据'!C64-0.625*'03_原始数据'!B64-OtherCost</f>
        <v/>
      </c>
      <c r="S64" s="37">
        <f>'03_原始数据'!C64-0.63*'03_原始数据'!B64-OtherCost</f>
        <v/>
      </c>
      <c r="T64" s="37">
        <f>'03_原始数据'!C64-0.635*'03_原始数据'!B64-OtherCost</f>
        <v/>
      </c>
      <c r="U64" s="37">
        <f>'03_原始数据'!C64-0.64*'03_原始数据'!B64-OtherCost</f>
        <v/>
      </c>
      <c r="V64" s="37">
        <f>'03_原始数据'!C64-0.645*'03_原始数据'!B64-OtherCost</f>
        <v/>
      </c>
      <c r="W64" s="37">
        <f>'03_原始数据'!C64-0.65*'03_原始数据'!B64-OtherCost</f>
        <v/>
      </c>
      <c r="X64" s="37">
        <f>'03_原始数据'!C64-0.655*'03_原始数据'!B64-OtherCost</f>
        <v/>
      </c>
      <c r="Y64" s="37">
        <f>'03_原始数据'!C64-0.66*'03_原始数据'!B64-OtherCost</f>
        <v/>
      </c>
      <c r="Z64" s="37">
        <f>'03_原始数据'!C64-0.665*'03_原始数据'!B64-OtherCost</f>
        <v/>
      </c>
      <c r="AA64" s="37">
        <f>'03_原始数据'!C64-0.67*'03_原始数据'!B64-OtherCost</f>
        <v/>
      </c>
      <c r="AB64" s="37">
        <f>'03_原始数据'!C64-0.675*'03_原始数据'!B64-OtherCost</f>
        <v/>
      </c>
      <c r="AC64" s="37">
        <f>'03_原始数据'!C64-0.68*'03_原始数据'!B64-OtherCost</f>
        <v/>
      </c>
      <c r="AD64" s="37">
        <f>'03_原始数据'!C64-0.685*'03_原始数据'!B64-OtherCost</f>
        <v/>
      </c>
      <c r="AE64" s="37">
        <f>'03_原始数据'!C64-0.69*'03_原始数据'!B64-OtherCost</f>
        <v/>
      </c>
      <c r="AF64" s="37">
        <f>'03_原始数据'!C64-0.695*'03_原始数据'!B64-OtherCost</f>
        <v/>
      </c>
      <c r="AG64" s="37">
        <f>'03_原始数据'!C64-0.7*'03_原始数据'!B64-OtherCost</f>
        <v/>
      </c>
    </row>
    <row r="65">
      <c r="M65" s="37">
        <f>'03_原始数据'!C65-0.6*'03_原始数据'!B65-OtherCost</f>
        <v/>
      </c>
      <c r="N65" s="37">
        <f>'03_原始数据'!C65-0.605*'03_原始数据'!B65-OtherCost</f>
        <v/>
      </c>
      <c r="O65" s="37">
        <f>'03_原始数据'!C65-0.61*'03_原始数据'!B65-OtherCost</f>
        <v/>
      </c>
      <c r="P65" s="37">
        <f>'03_原始数据'!C65-0.615*'03_原始数据'!B65-OtherCost</f>
        <v/>
      </c>
      <c r="Q65" s="37">
        <f>'03_原始数据'!C65-0.62*'03_原始数据'!B65-OtherCost</f>
        <v/>
      </c>
      <c r="R65" s="37">
        <f>'03_原始数据'!C65-0.625*'03_原始数据'!B65-OtherCost</f>
        <v/>
      </c>
      <c r="S65" s="37">
        <f>'03_原始数据'!C65-0.63*'03_原始数据'!B65-OtherCost</f>
        <v/>
      </c>
      <c r="T65" s="37">
        <f>'03_原始数据'!C65-0.635*'03_原始数据'!B65-OtherCost</f>
        <v/>
      </c>
      <c r="U65" s="37">
        <f>'03_原始数据'!C65-0.64*'03_原始数据'!B65-OtherCost</f>
        <v/>
      </c>
      <c r="V65" s="37">
        <f>'03_原始数据'!C65-0.645*'03_原始数据'!B65-OtherCost</f>
        <v/>
      </c>
      <c r="W65" s="37">
        <f>'03_原始数据'!C65-0.65*'03_原始数据'!B65-OtherCost</f>
        <v/>
      </c>
      <c r="X65" s="37">
        <f>'03_原始数据'!C65-0.655*'03_原始数据'!B65-OtherCost</f>
        <v/>
      </c>
      <c r="Y65" s="37">
        <f>'03_原始数据'!C65-0.66*'03_原始数据'!B65-OtherCost</f>
        <v/>
      </c>
      <c r="Z65" s="37">
        <f>'03_原始数据'!C65-0.665*'03_原始数据'!B65-OtherCost</f>
        <v/>
      </c>
      <c r="AA65" s="37">
        <f>'03_原始数据'!C65-0.67*'03_原始数据'!B65-OtherCost</f>
        <v/>
      </c>
      <c r="AB65" s="37">
        <f>'03_原始数据'!C65-0.675*'03_原始数据'!B65-OtherCost</f>
        <v/>
      </c>
      <c r="AC65" s="37">
        <f>'03_原始数据'!C65-0.68*'03_原始数据'!B65-OtherCost</f>
        <v/>
      </c>
      <c r="AD65" s="37">
        <f>'03_原始数据'!C65-0.685*'03_原始数据'!B65-OtherCost</f>
        <v/>
      </c>
      <c r="AE65" s="37">
        <f>'03_原始数据'!C65-0.69*'03_原始数据'!B65-OtherCost</f>
        <v/>
      </c>
      <c r="AF65" s="37">
        <f>'03_原始数据'!C65-0.695*'03_原始数据'!B65-OtherCost</f>
        <v/>
      </c>
      <c r="AG65" s="37">
        <f>'03_原始数据'!C65-0.7*'03_原始数据'!B65-OtherCost</f>
        <v/>
      </c>
    </row>
    <row r="66">
      <c r="M66" s="37">
        <f>'03_原始数据'!C66-0.6*'03_原始数据'!B66-OtherCost</f>
        <v/>
      </c>
      <c r="N66" s="37">
        <f>'03_原始数据'!C66-0.605*'03_原始数据'!B66-OtherCost</f>
        <v/>
      </c>
      <c r="O66" s="37">
        <f>'03_原始数据'!C66-0.61*'03_原始数据'!B66-OtherCost</f>
        <v/>
      </c>
      <c r="P66" s="37">
        <f>'03_原始数据'!C66-0.615*'03_原始数据'!B66-OtherCost</f>
        <v/>
      </c>
      <c r="Q66" s="37">
        <f>'03_原始数据'!C66-0.62*'03_原始数据'!B66-OtherCost</f>
        <v/>
      </c>
      <c r="R66" s="37">
        <f>'03_原始数据'!C66-0.625*'03_原始数据'!B66-OtherCost</f>
        <v/>
      </c>
      <c r="S66" s="37">
        <f>'03_原始数据'!C66-0.63*'03_原始数据'!B66-OtherCost</f>
        <v/>
      </c>
      <c r="T66" s="37">
        <f>'03_原始数据'!C66-0.635*'03_原始数据'!B66-OtherCost</f>
        <v/>
      </c>
      <c r="U66" s="37">
        <f>'03_原始数据'!C66-0.64*'03_原始数据'!B66-OtherCost</f>
        <v/>
      </c>
      <c r="V66" s="37">
        <f>'03_原始数据'!C66-0.645*'03_原始数据'!B66-OtherCost</f>
        <v/>
      </c>
      <c r="W66" s="37">
        <f>'03_原始数据'!C66-0.65*'03_原始数据'!B66-OtherCost</f>
        <v/>
      </c>
      <c r="X66" s="37">
        <f>'03_原始数据'!C66-0.655*'03_原始数据'!B66-OtherCost</f>
        <v/>
      </c>
      <c r="Y66" s="37">
        <f>'03_原始数据'!C66-0.66*'03_原始数据'!B66-OtherCost</f>
        <v/>
      </c>
      <c r="Z66" s="37">
        <f>'03_原始数据'!C66-0.665*'03_原始数据'!B66-OtherCost</f>
        <v/>
      </c>
      <c r="AA66" s="37">
        <f>'03_原始数据'!C66-0.67*'03_原始数据'!B66-OtherCost</f>
        <v/>
      </c>
      <c r="AB66" s="37">
        <f>'03_原始数据'!C66-0.675*'03_原始数据'!B66-OtherCost</f>
        <v/>
      </c>
      <c r="AC66" s="37">
        <f>'03_原始数据'!C66-0.68*'03_原始数据'!B66-OtherCost</f>
        <v/>
      </c>
      <c r="AD66" s="37">
        <f>'03_原始数据'!C66-0.685*'03_原始数据'!B66-OtherCost</f>
        <v/>
      </c>
      <c r="AE66" s="37">
        <f>'03_原始数据'!C66-0.69*'03_原始数据'!B66-OtherCost</f>
        <v/>
      </c>
      <c r="AF66" s="37">
        <f>'03_原始数据'!C66-0.695*'03_原始数据'!B66-OtherCost</f>
        <v/>
      </c>
      <c r="AG66" s="37">
        <f>'03_原始数据'!C66-0.7*'03_原始数据'!B66-OtherCost</f>
        <v/>
      </c>
    </row>
    <row r="67">
      <c r="M67" s="37">
        <f>'03_原始数据'!C67-0.6*'03_原始数据'!B67-OtherCost</f>
        <v/>
      </c>
      <c r="N67" s="37">
        <f>'03_原始数据'!C67-0.605*'03_原始数据'!B67-OtherCost</f>
        <v/>
      </c>
      <c r="O67" s="37">
        <f>'03_原始数据'!C67-0.61*'03_原始数据'!B67-OtherCost</f>
        <v/>
      </c>
      <c r="P67" s="37">
        <f>'03_原始数据'!C67-0.615*'03_原始数据'!B67-OtherCost</f>
        <v/>
      </c>
      <c r="Q67" s="37">
        <f>'03_原始数据'!C67-0.62*'03_原始数据'!B67-OtherCost</f>
        <v/>
      </c>
      <c r="R67" s="37">
        <f>'03_原始数据'!C67-0.625*'03_原始数据'!B67-OtherCost</f>
        <v/>
      </c>
      <c r="S67" s="37">
        <f>'03_原始数据'!C67-0.63*'03_原始数据'!B67-OtherCost</f>
        <v/>
      </c>
      <c r="T67" s="37">
        <f>'03_原始数据'!C67-0.635*'03_原始数据'!B67-OtherCost</f>
        <v/>
      </c>
      <c r="U67" s="37">
        <f>'03_原始数据'!C67-0.64*'03_原始数据'!B67-OtherCost</f>
        <v/>
      </c>
      <c r="V67" s="37">
        <f>'03_原始数据'!C67-0.645*'03_原始数据'!B67-OtherCost</f>
        <v/>
      </c>
      <c r="W67" s="37">
        <f>'03_原始数据'!C67-0.65*'03_原始数据'!B67-OtherCost</f>
        <v/>
      </c>
      <c r="X67" s="37">
        <f>'03_原始数据'!C67-0.655*'03_原始数据'!B67-OtherCost</f>
        <v/>
      </c>
      <c r="Y67" s="37">
        <f>'03_原始数据'!C67-0.66*'03_原始数据'!B67-OtherCost</f>
        <v/>
      </c>
      <c r="Z67" s="37">
        <f>'03_原始数据'!C67-0.665*'03_原始数据'!B67-OtherCost</f>
        <v/>
      </c>
      <c r="AA67" s="37">
        <f>'03_原始数据'!C67-0.67*'03_原始数据'!B67-OtherCost</f>
        <v/>
      </c>
      <c r="AB67" s="37">
        <f>'03_原始数据'!C67-0.675*'03_原始数据'!B67-OtherCost</f>
        <v/>
      </c>
      <c r="AC67" s="37">
        <f>'03_原始数据'!C67-0.68*'03_原始数据'!B67-OtherCost</f>
        <v/>
      </c>
      <c r="AD67" s="37">
        <f>'03_原始数据'!C67-0.685*'03_原始数据'!B67-OtherCost</f>
        <v/>
      </c>
      <c r="AE67" s="37">
        <f>'03_原始数据'!C67-0.69*'03_原始数据'!B67-OtherCost</f>
        <v/>
      </c>
      <c r="AF67" s="37">
        <f>'03_原始数据'!C67-0.695*'03_原始数据'!B67-OtherCost</f>
        <v/>
      </c>
      <c r="AG67" s="37">
        <f>'03_原始数据'!C67-0.7*'03_原始数据'!B67-OtherCost</f>
        <v/>
      </c>
    </row>
    <row r="68">
      <c r="M68" s="37">
        <f>'03_原始数据'!C68-0.6*'03_原始数据'!B68-OtherCost</f>
        <v/>
      </c>
      <c r="N68" s="37">
        <f>'03_原始数据'!C68-0.605*'03_原始数据'!B68-OtherCost</f>
        <v/>
      </c>
      <c r="O68" s="37">
        <f>'03_原始数据'!C68-0.61*'03_原始数据'!B68-OtherCost</f>
        <v/>
      </c>
      <c r="P68" s="37">
        <f>'03_原始数据'!C68-0.615*'03_原始数据'!B68-OtherCost</f>
        <v/>
      </c>
      <c r="Q68" s="37">
        <f>'03_原始数据'!C68-0.62*'03_原始数据'!B68-OtherCost</f>
        <v/>
      </c>
      <c r="R68" s="37">
        <f>'03_原始数据'!C68-0.625*'03_原始数据'!B68-OtherCost</f>
        <v/>
      </c>
      <c r="S68" s="37">
        <f>'03_原始数据'!C68-0.63*'03_原始数据'!B68-OtherCost</f>
        <v/>
      </c>
      <c r="T68" s="37">
        <f>'03_原始数据'!C68-0.635*'03_原始数据'!B68-OtherCost</f>
        <v/>
      </c>
      <c r="U68" s="37">
        <f>'03_原始数据'!C68-0.64*'03_原始数据'!B68-OtherCost</f>
        <v/>
      </c>
      <c r="V68" s="37">
        <f>'03_原始数据'!C68-0.645*'03_原始数据'!B68-OtherCost</f>
        <v/>
      </c>
      <c r="W68" s="37">
        <f>'03_原始数据'!C68-0.65*'03_原始数据'!B68-OtherCost</f>
        <v/>
      </c>
      <c r="X68" s="37">
        <f>'03_原始数据'!C68-0.655*'03_原始数据'!B68-OtherCost</f>
        <v/>
      </c>
      <c r="Y68" s="37">
        <f>'03_原始数据'!C68-0.66*'03_原始数据'!B68-OtherCost</f>
        <v/>
      </c>
      <c r="Z68" s="37">
        <f>'03_原始数据'!C68-0.665*'03_原始数据'!B68-OtherCost</f>
        <v/>
      </c>
      <c r="AA68" s="37">
        <f>'03_原始数据'!C68-0.67*'03_原始数据'!B68-OtherCost</f>
        <v/>
      </c>
      <c r="AB68" s="37">
        <f>'03_原始数据'!C68-0.675*'03_原始数据'!B68-OtherCost</f>
        <v/>
      </c>
      <c r="AC68" s="37">
        <f>'03_原始数据'!C68-0.68*'03_原始数据'!B68-OtherCost</f>
        <v/>
      </c>
      <c r="AD68" s="37">
        <f>'03_原始数据'!C68-0.685*'03_原始数据'!B68-OtherCost</f>
        <v/>
      </c>
      <c r="AE68" s="37">
        <f>'03_原始数据'!C68-0.69*'03_原始数据'!B68-OtherCost</f>
        <v/>
      </c>
      <c r="AF68" s="37">
        <f>'03_原始数据'!C68-0.695*'03_原始数据'!B68-OtherCost</f>
        <v/>
      </c>
      <c r="AG68" s="37">
        <f>'03_原始数据'!C68-0.7*'03_原始数据'!B68-OtherCost</f>
        <v/>
      </c>
    </row>
    <row r="69">
      <c r="M69" s="37">
        <f>'03_原始数据'!C69-0.6*'03_原始数据'!B69-OtherCost</f>
        <v/>
      </c>
      <c r="N69" s="37">
        <f>'03_原始数据'!C69-0.605*'03_原始数据'!B69-OtherCost</f>
        <v/>
      </c>
      <c r="O69" s="37">
        <f>'03_原始数据'!C69-0.61*'03_原始数据'!B69-OtherCost</f>
        <v/>
      </c>
      <c r="P69" s="37">
        <f>'03_原始数据'!C69-0.615*'03_原始数据'!B69-OtherCost</f>
        <v/>
      </c>
      <c r="Q69" s="37">
        <f>'03_原始数据'!C69-0.62*'03_原始数据'!B69-OtherCost</f>
        <v/>
      </c>
      <c r="R69" s="37">
        <f>'03_原始数据'!C69-0.625*'03_原始数据'!B69-OtherCost</f>
        <v/>
      </c>
      <c r="S69" s="37">
        <f>'03_原始数据'!C69-0.63*'03_原始数据'!B69-OtherCost</f>
        <v/>
      </c>
      <c r="T69" s="37">
        <f>'03_原始数据'!C69-0.635*'03_原始数据'!B69-OtherCost</f>
        <v/>
      </c>
      <c r="U69" s="37">
        <f>'03_原始数据'!C69-0.64*'03_原始数据'!B69-OtherCost</f>
        <v/>
      </c>
      <c r="V69" s="37">
        <f>'03_原始数据'!C69-0.645*'03_原始数据'!B69-OtherCost</f>
        <v/>
      </c>
      <c r="W69" s="37">
        <f>'03_原始数据'!C69-0.65*'03_原始数据'!B69-OtherCost</f>
        <v/>
      </c>
      <c r="X69" s="37">
        <f>'03_原始数据'!C69-0.655*'03_原始数据'!B69-OtherCost</f>
        <v/>
      </c>
      <c r="Y69" s="37">
        <f>'03_原始数据'!C69-0.66*'03_原始数据'!B69-OtherCost</f>
        <v/>
      </c>
      <c r="Z69" s="37">
        <f>'03_原始数据'!C69-0.665*'03_原始数据'!B69-OtherCost</f>
        <v/>
      </c>
      <c r="AA69" s="37">
        <f>'03_原始数据'!C69-0.67*'03_原始数据'!B69-OtherCost</f>
        <v/>
      </c>
      <c r="AB69" s="37">
        <f>'03_原始数据'!C69-0.675*'03_原始数据'!B69-OtherCost</f>
        <v/>
      </c>
      <c r="AC69" s="37">
        <f>'03_原始数据'!C69-0.68*'03_原始数据'!B69-OtherCost</f>
        <v/>
      </c>
      <c r="AD69" s="37">
        <f>'03_原始数据'!C69-0.685*'03_原始数据'!B69-OtherCost</f>
        <v/>
      </c>
      <c r="AE69" s="37">
        <f>'03_原始数据'!C69-0.69*'03_原始数据'!B69-OtherCost</f>
        <v/>
      </c>
      <c r="AF69" s="37">
        <f>'03_原始数据'!C69-0.695*'03_原始数据'!B69-OtherCost</f>
        <v/>
      </c>
      <c r="AG69" s="37">
        <f>'03_原始数据'!C69-0.7*'03_原始数据'!B69-OtherCost</f>
        <v/>
      </c>
    </row>
    <row r="70">
      <c r="M70" s="37">
        <f>'03_原始数据'!C70-0.6*'03_原始数据'!B70-OtherCost</f>
        <v/>
      </c>
      <c r="N70" s="37">
        <f>'03_原始数据'!C70-0.605*'03_原始数据'!B70-OtherCost</f>
        <v/>
      </c>
      <c r="O70" s="37">
        <f>'03_原始数据'!C70-0.61*'03_原始数据'!B70-OtherCost</f>
        <v/>
      </c>
      <c r="P70" s="37">
        <f>'03_原始数据'!C70-0.615*'03_原始数据'!B70-OtherCost</f>
        <v/>
      </c>
      <c r="Q70" s="37">
        <f>'03_原始数据'!C70-0.62*'03_原始数据'!B70-OtherCost</f>
        <v/>
      </c>
      <c r="R70" s="37">
        <f>'03_原始数据'!C70-0.625*'03_原始数据'!B70-OtherCost</f>
        <v/>
      </c>
      <c r="S70" s="37">
        <f>'03_原始数据'!C70-0.63*'03_原始数据'!B70-OtherCost</f>
        <v/>
      </c>
      <c r="T70" s="37">
        <f>'03_原始数据'!C70-0.635*'03_原始数据'!B70-OtherCost</f>
        <v/>
      </c>
      <c r="U70" s="37">
        <f>'03_原始数据'!C70-0.64*'03_原始数据'!B70-OtherCost</f>
        <v/>
      </c>
      <c r="V70" s="37">
        <f>'03_原始数据'!C70-0.645*'03_原始数据'!B70-OtherCost</f>
        <v/>
      </c>
      <c r="W70" s="37">
        <f>'03_原始数据'!C70-0.65*'03_原始数据'!B70-OtherCost</f>
        <v/>
      </c>
      <c r="X70" s="37">
        <f>'03_原始数据'!C70-0.655*'03_原始数据'!B70-OtherCost</f>
        <v/>
      </c>
      <c r="Y70" s="37">
        <f>'03_原始数据'!C70-0.66*'03_原始数据'!B70-OtherCost</f>
        <v/>
      </c>
      <c r="Z70" s="37">
        <f>'03_原始数据'!C70-0.665*'03_原始数据'!B70-OtherCost</f>
        <v/>
      </c>
      <c r="AA70" s="37">
        <f>'03_原始数据'!C70-0.67*'03_原始数据'!B70-OtherCost</f>
        <v/>
      </c>
      <c r="AB70" s="37">
        <f>'03_原始数据'!C70-0.675*'03_原始数据'!B70-OtherCost</f>
        <v/>
      </c>
      <c r="AC70" s="37">
        <f>'03_原始数据'!C70-0.68*'03_原始数据'!B70-OtherCost</f>
        <v/>
      </c>
      <c r="AD70" s="37">
        <f>'03_原始数据'!C70-0.685*'03_原始数据'!B70-OtherCost</f>
        <v/>
      </c>
      <c r="AE70" s="37">
        <f>'03_原始数据'!C70-0.69*'03_原始数据'!B70-OtherCost</f>
        <v/>
      </c>
      <c r="AF70" s="37">
        <f>'03_原始数据'!C70-0.695*'03_原始数据'!B70-OtherCost</f>
        <v/>
      </c>
      <c r="AG70" s="37">
        <f>'03_原始数据'!C70-0.7*'03_原始数据'!B70-OtherCost</f>
        <v/>
      </c>
    </row>
    <row r="71">
      <c r="M71" s="37">
        <f>'03_原始数据'!C71-0.6*'03_原始数据'!B71-OtherCost</f>
        <v/>
      </c>
      <c r="N71" s="37">
        <f>'03_原始数据'!C71-0.605*'03_原始数据'!B71-OtherCost</f>
        <v/>
      </c>
      <c r="O71" s="37">
        <f>'03_原始数据'!C71-0.61*'03_原始数据'!B71-OtherCost</f>
        <v/>
      </c>
      <c r="P71" s="37">
        <f>'03_原始数据'!C71-0.615*'03_原始数据'!B71-OtherCost</f>
        <v/>
      </c>
      <c r="Q71" s="37">
        <f>'03_原始数据'!C71-0.62*'03_原始数据'!B71-OtherCost</f>
        <v/>
      </c>
      <c r="R71" s="37">
        <f>'03_原始数据'!C71-0.625*'03_原始数据'!B71-OtherCost</f>
        <v/>
      </c>
      <c r="S71" s="37">
        <f>'03_原始数据'!C71-0.63*'03_原始数据'!B71-OtherCost</f>
        <v/>
      </c>
      <c r="T71" s="37">
        <f>'03_原始数据'!C71-0.635*'03_原始数据'!B71-OtherCost</f>
        <v/>
      </c>
      <c r="U71" s="37">
        <f>'03_原始数据'!C71-0.64*'03_原始数据'!B71-OtherCost</f>
        <v/>
      </c>
      <c r="V71" s="37">
        <f>'03_原始数据'!C71-0.645*'03_原始数据'!B71-OtherCost</f>
        <v/>
      </c>
      <c r="W71" s="37">
        <f>'03_原始数据'!C71-0.65*'03_原始数据'!B71-OtherCost</f>
        <v/>
      </c>
      <c r="X71" s="37">
        <f>'03_原始数据'!C71-0.655*'03_原始数据'!B71-OtherCost</f>
        <v/>
      </c>
      <c r="Y71" s="37">
        <f>'03_原始数据'!C71-0.66*'03_原始数据'!B71-OtherCost</f>
        <v/>
      </c>
      <c r="Z71" s="37">
        <f>'03_原始数据'!C71-0.665*'03_原始数据'!B71-OtherCost</f>
        <v/>
      </c>
      <c r="AA71" s="37">
        <f>'03_原始数据'!C71-0.67*'03_原始数据'!B71-OtherCost</f>
        <v/>
      </c>
      <c r="AB71" s="37">
        <f>'03_原始数据'!C71-0.675*'03_原始数据'!B71-OtherCost</f>
        <v/>
      </c>
      <c r="AC71" s="37">
        <f>'03_原始数据'!C71-0.68*'03_原始数据'!B71-OtherCost</f>
        <v/>
      </c>
      <c r="AD71" s="37">
        <f>'03_原始数据'!C71-0.685*'03_原始数据'!B71-OtherCost</f>
        <v/>
      </c>
      <c r="AE71" s="37">
        <f>'03_原始数据'!C71-0.69*'03_原始数据'!B71-OtherCost</f>
        <v/>
      </c>
      <c r="AF71" s="37">
        <f>'03_原始数据'!C71-0.695*'03_原始数据'!B71-OtherCost</f>
        <v/>
      </c>
      <c r="AG71" s="37">
        <f>'03_原始数据'!C71-0.7*'03_原始数据'!B71-OtherCost</f>
        <v/>
      </c>
    </row>
    <row r="72">
      <c r="M72" s="37">
        <f>'03_原始数据'!C72-0.6*'03_原始数据'!B72-OtherCost</f>
        <v/>
      </c>
      <c r="N72" s="37">
        <f>'03_原始数据'!C72-0.605*'03_原始数据'!B72-OtherCost</f>
        <v/>
      </c>
      <c r="O72" s="37">
        <f>'03_原始数据'!C72-0.61*'03_原始数据'!B72-OtherCost</f>
        <v/>
      </c>
      <c r="P72" s="37">
        <f>'03_原始数据'!C72-0.615*'03_原始数据'!B72-OtherCost</f>
        <v/>
      </c>
      <c r="Q72" s="37">
        <f>'03_原始数据'!C72-0.62*'03_原始数据'!B72-OtherCost</f>
        <v/>
      </c>
      <c r="R72" s="37">
        <f>'03_原始数据'!C72-0.625*'03_原始数据'!B72-OtherCost</f>
        <v/>
      </c>
      <c r="S72" s="37">
        <f>'03_原始数据'!C72-0.63*'03_原始数据'!B72-OtherCost</f>
        <v/>
      </c>
      <c r="T72" s="37">
        <f>'03_原始数据'!C72-0.635*'03_原始数据'!B72-OtherCost</f>
        <v/>
      </c>
      <c r="U72" s="37">
        <f>'03_原始数据'!C72-0.64*'03_原始数据'!B72-OtherCost</f>
        <v/>
      </c>
      <c r="V72" s="37">
        <f>'03_原始数据'!C72-0.645*'03_原始数据'!B72-OtherCost</f>
        <v/>
      </c>
      <c r="W72" s="37">
        <f>'03_原始数据'!C72-0.65*'03_原始数据'!B72-OtherCost</f>
        <v/>
      </c>
      <c r="X72" s="37">
        <f>'03_原始数据'!C72-0.655*'03_原始数据'!B72-OtherCost</f>
        <v/>
      </c>
      <c r="Y72" s="37">
        <f>'03_原始数据'!C72-0.66*'03_原始数据'!B72-OtherCost</f>
        <v/>
      </c>
      <c r="Z72" s="37">
        <f>'03_原始数据'!C72-0.665*'03_原始数据'!B72-OtherCost</f>
        <v/>
      </c>
      <c r="AA72" s="37">
        <f>'03_原始数据'!C72-0.67*'03_原始数据'!B72-OtherCost</f>
        <v/>
      </c>
      <c r="AB72" s="37">
        <f>'03_原始数据'!C72-0.675*'03_原始数据'!B72-OtherCost</f>
        <v/>
      </c>
      <c r="AC72" s="37">
        <f>'03_原始数据'!C72-0.68*'03_原始数据'!B72-OtherCost</f>
        <v/>
      </c>
      <c r="AD72" s="37">
        <f>'03_原始数据'!C72-0.685*'03_原始数据'!B72-OtherCost</f>
        <v/>
      </c>
      <c r="AE72" s="37">
        <f>'03_原始数据'!C72-0.69*'03_原始数据'!B72-OtherCost</f>
        <v/>
      </c>
      <c r="AF72" s="37">
        <f>'03_原始数据'!C72-0.695*'03_原始数据'!B72-OtherCost</f>
        <v/>
      </c>
      <c r="AG72" s="37">
        <f>'03_原始数据'!C72-0.7*'03_原始数据'!B72-OtherCost</f>
        <v/>
      </c>
    </row>
    <row r="73">
      <c r="M73" s="37">
        <f>'03_原始数据'!C73-0.6*'03_原始数据'!B73-OtherCost</f>
        <v/>
      </c>
      <c r="N73" s="37">
        <f>'03_原始数据'!C73-0.605*'03_原始数据'!B73-OtherCost</f>
        <v/>
      </c>
      <c r="O73" s="37">
        <f>'03_原始数据'!C73-0.61*'03_原始数据'!B73-OtherCost</f>
        <v/>
      </c>
      <c r="P73" s="37">
        <f>'03_原始数据'!C73-0.615*'03_原始数据'!B73-OtherCost</f>
        <v/>
      </c>
      <c r="Q73" s="37">
        <f>'03_原始数据'!C73-0.62*'03_原始数据'!B73-OtherCost</f>
        <v/>
      </c>
      <c r="R73" s="37">
        <f>'03_原始数据'!C73-0.625*'03_原始数据'!B73-OtherCost</f>
        <v/>
      </c>
      <c r="S73" s="37">
        <f>'03_原始数据'!C73-0.63*'03_原始数据'!B73-OtherCost</f>
        <v/>
      </c>
      <c r="T73" s="37">
        <f>'03_原始数据'!C73-0.635*'03_原始数据'!B73-OtherCost</f>
        <v/>
      </c>
      <c r="U73" s="37">
        <f>'03_原始数据'!C73-0.64*'03_原始数据'!B73-OtherCost</f>
        <v/>
      </c>
      <c r="V73" s="37">
        <f>'03_原始数据'!C73-0.645*'03_原始数据'!B73-OtherCost</f>
        <v/>
      </c>
      <c r="W73" s="37">
        <f>'03_原始数据'!C73-0.65*'03_原始数据'!B73-OtherCost</f>
        <v/>
      </c>
      <c r="X73" s="37">
        <f>'03_原始数据'!C73-0.655*'03_原始数据'!B73-OtherCost</f>
        <v/>
      </c>
      <c r="Y73" s="37">
        <f>'03_原始数据'!C73-0.66*'03_原始数据'!B73-OtherCost</f>
        <v/>
      </c>
      <c r="Z73" s="37">
        <f>'03_原始数据'!C73-0.665*'03_原始数据'!B73-OtherCost</f>
        <v/>
      </c>
      <c r="AA73" s="37">
        <f>'03_原始数据'!C73-0.67*'03_原始数据'!B73-OtherCost</f>
        <v/>
      </c>
      <c r="AB73" s="37">
        <f>'03_原始数据'!C73-0.675*'03_原始数据'!B73-OtherCost</f>
        <v/>
      </c>
      <c r="AC73" s="37">
        <f>'03_原始数据'!C73-0.68*'03_原始数据'!B73-OtherCost</f>
        <v/>
      </c>
      <c r="AD73" s="37">
        <f>'03_原始数据'!C73-0.685*'03_原始数据'!B73-OtherCost</f>
        <v/>
      </c>
      <c r="AE73" s="37">
        <f>'03_原始数据'!C73-0.69*'03_原始数据'!B73-OtherCost</f>
        <v/>
      </c>
      <c r="AF73" s="37">
        <f>'03_原始数据'!C73-0.695*'03_原始数据'!B73-OtherCost</f>
        <v/>
      </c>
      <c r="AG73" s="37">
        <f>'03_原始数据'!C73-0.7*'03_原始数据'!B73-OtherCost</f>
        <v/>
      </c>
    </row>
    <row r="74">
      <c r="M74" s="37">
        <f>'03_原始数据'!C74-0.6*'03_原始数据'!B74-OtherCost</f>
        <v/>
      </c>
      <c r="N74" s="37">
        <f>'03_原始数据'!C74-0.605*'03_原始数据'!B74-OtherCost</f>
        <v/>
      </c>
      <c r="O74" s="37">
        <f>'03_原始数据'!C74-0.61*'03_原始数据'!B74-OtherCost</f>
        <v/>
      </c>
      <c r="P74" s="37">
        <f>'03_原始数据'!C74-0.615*'03_原始数据'!B74-OtherCost</f>
        <v/>
      </c>
      <c r="Q74" s="37">
        <f>'03_原始数据'!C74-0.62*'03_原始数据'!B74-OtherCost</f>
        <v/>
      </c>
      <c r="R74" s="37">
        <f>'03_原始数据'!C74-0.625*'03_原始数据'!B74-OtherCost</f>
        <v/>
      </c>
      <c r="S74" s="37">
        <f>'03_原始数据'!C74-0.63*'03_原始数据'!B74-OtherCost</f>
        <v/>
      </c>
      <c r="T74" s="37">
        <f>'03_原始数据'!C74-0.635*'03_原始数据'!B74-OtherCost</f>
        <v/>
      </c>
      <c r="U74" s="37">
        <f>'03_原始数据'!C74-0.64*'03_原始数据'!B74-OtherCost</f>
        <v/>
      </c>
      <c r="V74" s="37">
        <f>'03_原始数据'!C74-0.645*'03_原始数据'!B74-OtherCost</f>
        <v/>
      </c>
      <c r="W74" s="37">
        <f>'03_原始数据'!C74-0.65*'03_原始数据'!B74-OtherCost</f>
        <v/>
      </c>
      <c r="X74" s="37">
        <f>'03_原始数据'!C74-0.655*'03_原始数据'!B74-OtherCost</f>
        <v/>
      </c>
      <c r="Y74" s="37">
        <f>'03_原始数据'!C74-0.66*'03_原始数据'!B74-OtherCost</f>
        <v/>
      </c>
      <c r="Z74" s="37">
        <f>'03_原始数据'!C74-0.665*'03_原始数据'!B74-OtherCost</f>
        <v/>
      </c>
      <c r="AA74" s="37">
        <f>'03_原始数据'!C74-0.67*'03_原始数据'!B74-OtherCost</f>
        <v/>
      </c>
      <c r="AB74" s="37">
        <f>'03_原始数据'!C74-0.675*'03_原始数据'!B74-OtherCost</f>
        <v/>
      </c>
      <c r="AC74" s="37">
        <f>'03_原始数据'!C74-0.68*'03_原始数据'!B74-OtherCost</f>
        <v/>
      </c>
      <c r="AD74" s="37">
        <f>'03_原始数据'!C74-0.685*'03_原始数据'!B74-OtherCost</f>
        <v/>
      </c>
      <c r="AE74" s="37">
        <f>'03_原始数据'!C74-0.69*'03_原始数据'!B74-OtherCost</f>
        <v/>
      </c>
      <c r="AF74" s="37">
        <f>'03_原始数据'!C74-0.695*'03_原始数据'!B74-OtherCost</f>
        <v/>
      </c>
      <c r="AG74" s="37">
        <f>'03_原始数据'!C74-0.7*'03_原始数据'!B74-OtherCost</f>
        <v/>
      </c>
    </row>
    <row r="75">
      <c r="M75" s="37">
        <f>'03_原始数据'!C75-0.6*'03_原始数据'!B75-OtherCost</f>
        <v/>
      </c>
      <c r="N75" s="37">
        <f>'03_原始数据'!C75-0.605*'03_原始数据'!B75-OtherCost</f>
        <v/>
      </c>
      <c r="O75" s="37">
        <f>'03_原始数据'!C75-0.61*'03_原始数据'!B75-OtherCost</f>
        <v/>
      </c>
      <c r="P75" s="37">
        <f>'03_原始数据'!C75-0.615*'03_原始数据'!B75-OtherCost</f>
        <v/>
      </c>
      <c r="Q75" s="37">
        <f>'03_原始数据'!C75-0.62*'03_原始数据'!B75-OtherCost</f>
        <v/>
      </c>
      <c r="R75" s="37">
        <f>'03_原始数据'!C75-0.625*'03_原始数据'!B75-OtherCost</f>
        <v/>
      </c>
      <c r="S75" s="37">
        <f>'03_原始数据'!C75-0.63*'03_原始数据'!B75-OtherCost</f>
        <v/>
      </c>
      <c r="T75" s="37">
        <f>'03_原始数据'!C75-0.635*'03_原始数据'!B75-OtherCost</f>
        <v/>
      </c>
      <c r="U75" s="37">
        <f>'03_原始数据'!C75-0.64*'03_原始数据'!B75-OtherCost</f>
        <v/>
      </c>
      <c r="V75" s="37">
        <f>'03_原始数据'!C75-0.645*'03_原始数据'!B75-OtherCost</f>
        <v/>
      </c>
      <c r="W75" s="37">
        <f>'03_原始数据'!C75-0.65*'03_原始数据'!B75-OtherCost</f>
        <v/>
      </c>
      <c r="X75" s="37">
        <f>'03_原始数据'!C75-0.655*'03_原始数据'!B75-OtherCost</f>
        <v/>
      </c>
      <c r="Y75" s="37">
        <f>'03_原始数据'!C75-0.66*'03_原始数据'!B75-OtherCost</f>
        <v/>
      </c>
      <c r="Z75" s="37">
        <f>'03_原始数据'!C75-0.665*'03_原始数据'!B75-OtherCost</f>
        <v/>
      </c>
      <c r="AA75" s="37">
        <f>'03_原始数据'!C75-0.67*'03_原始数据'!B75-OtherCost</f>
        <v/>
      </c>
      <c r="AB75" s="37">
        <f>'03_原始数据'!C75-0.675*'03_原始数据'!B75-OtherCost</f>
        <v/>
      </c>
      <c r="AC75" s="37">
        <f>'03_原始数据'!C75-0.68*'03_原始数据'!B75-OtherCost</f>
        <v/>
      </c>
      <c r="AD75" s="37">
        <f>'03_原始数据'!C75-0.685*'03_原始数据'!B75-OtherCost</f>
        <v/>
      </c>
      <c r="AE75" s="37">
        <f>'03_原始数据'!C75-0.69*'03_原始数据'!B75-OtherCost</f>
        <v/>
      </c>
      <c r="AF75" s="37">
        <f>'03_原始数据'!C75-0.695*'03_原始数据'!B75-OtherCost</f>
        <v/>
      </c>
      <c r="AG75" s="37">
        <f>'03_原始数据'!C75-0.7*'03_原始数据'!B75-OtherCost</f>
        <v/>
      </c>
    </row>
    <row r="76">
      <c r="M76" s="37">
        <f>'03_原始数据'!C76-0.6*'03_原始数据'!B76-OtherCost</f>
        <v/>
      </c>
      <c r="N76" s="37">
        <f>'03_原始数据'!C76-0.605*'03_原始数据'!B76-OtherCost</f>
        <v/>
      </c>
      <c r="O76" s="37">
        <f>'03_原始数据'!C76-0.61*'03_原始数据'!B76-OtherCost</f>
        <v/>
      </c>
      <c r="P76" s="37">
        <f>'03_原始数据'!C76-0.615*'03_原始数据'!B76-OtherCost</f>
        <v/>
      </c>
      <c r="Q76" s="37">
        <f>'03_原始数据'!C76-0.62*'03_原始数据'!B76-OtherCost</f>
        <v/>
      </c>
      <c r="R76" s="37">
        <f>'03_原始数据'!C76-0.625*'03_原始数据'!B76-OtherCost</f>
        <v/>
      </c>
      <c r="S76" s="37">
        <f>'03_原始数据'!C76-0.63*'03_原始数据'!B76-OtherCost</f>
        <v/>
      </c>
      <c r="T76" s="37">
        <f>'03_原始数据'!C76-0.635*'03_原始数据'!B76-OtherCost</f>
        <v/>
      </c>
      <c r="U76" s="37">
        <f>'03_原始数据'!C76-0.64*'03_原始数据'!B76-OtherCost</f>
        <v/>
      </c>
      <c r="V76" s="37">
        <f>'03_原始数据'!C76-0.645*'03_原始数据'!B76-OtherCost</f>
        <v/>
      </c>
      <c r="W76" s="37">
        <f>'03_原始数据'!C76-0.65*'03_原始数据'!B76-OtherCost</f>
        <v/>
      </c>
      <c r="X76" s="37">
        <f>'03_原始数据'!C76-0.655*'03_原始数据'!B76-OtherCost</f>
        <v/>
      </c>
      <c r="Y76" s="37">
        <f>'03_原始数据'!C76-0.66*'03_原始数据'!B76-OtherCost</f>
        <v/>
      </c>
      <c r="Z76" s="37">
        <f>'03_原始数据'!C76-0.665*'03_原始数据'!B76-OtherCost</f>
        <v/>
      </c>
      <c r="AA76" s="37">
        <f>'03_原始数据'!C76-0.67*'03_原始数据'!B76-OtherCost</f>
        <v/>
      </c>
      <c r="AB76" s="37">
        <f>'03_原始数据'!C76-0.675*'03_原始数据'!B76-OtherCost</f>
        <v/>
      </c>
      <c r="AC76" s="37">
        <f>'03_原始数据'!C76-0.68*'03_原始数据'!B76-OtherCost</f>
        <v/>
      </c>
      <c r="AD76" s="37">
        <f>'03_原始数据'!C76-0.685*'03_原始数据'!B76-OtherCost</f>
        <v/>
      </c>
      <c r="AE76" s="37">
        <f>'03_原始数据'!C76-0.69*'03_原始数据'!B76-OtherCost</f>
        <v/>
      </c>
      <c r="AF76" s="37">
        <f>'03_原始数据'!C76-0.695*'03_原始数据'!B76-OtherCost</f>
        <v/>
      </c>
      <c r="AG76" s="37">
        <f>'03_原始数据'!C76-0.7*'03_原始数据'!B76-OtherCost</f>
        <v/>
      </c>
    </row>
    <row r="77">
      <c r="M77" s="37">
        <f>'03_原始数据'!C77-0.6*'03_原始数据'!B77-OtherCost</f>
        <v/>
      </c>
      <c r="N77" s="37">
        <f>'03_原始数据'!C77-0.605*'03_原始数据'!B77-OtherCost</f>
        <v/>
      </c>
      <c r="O77" s="37">
        <f>'03_原始数据'!C77-0.61*'03_原始数据'!B77-OtherCost</f>
        <v/>
      </c>
      <c r="P77" s="37">
        <f>'03_原始数据'!C77-0.615*'03_原始数据'!B77-OtherCost</f>
        <v/>
      </c>
      <c r="Q77" s="37">
        <f>'03_原始数据'!C77-0.62*'03_原始数据'!B77-OtherCost</f>
        <v/>
      </c>
      <c r="R77" s="37">
        <f>'03_原始数据'!C77-0.625*'03_原始数据'!B77-OtherCost</f>
        <v/>
      </c>
      <c r="S77" s="37">
        <f>'03_原始数据'!C77-0.63*'03_原始数据'!B77-OtherCost</f>
        <v/>
      </c>
      <c r="T77" s="37">
        <f>'03_原始数据'!C77-0.635*'03_原始数据'!B77-OtherCost</f>
        <v/>
      </c>
      <c r="U77" s="37">
        <f>'03_原始数据'!C77-0.64*'03_原始数据'!B77-OtherCost</f>
        <v/>
      </c>
      <c r="V77" s="37">
        <f>'03_原始数据'!C77-0.645*'03_原始数据'!B77-OtherCost</f>
        <v/>
      </c>
      <c r="W77" s="37">
        <f>'03_原始数据'!C77-0.65*'03_原始数据'!B77-OtherCost</f>
        <v/>
      </c>
      <c r="X77" s="37">
        <f>'03_原始数据'!C77-0.655*'03_原始数据'!B77-OtherCost</f>
        <v/>
      </c>
      <c r="Y77" s="37">
        <f>'03_原始数据'!C77-0.66*'03_原始数据'!B77-OtherCost</f>
        <v/>
      </c>
      <c r="Z77" s="37">
        <f>'03_原始数据'!C77-0.665*'03_原始数据'!B77-OtherCost</f>
        <v/>
      </c>
      <c r="AA77" s="37">
        <f>'03_原始数据'!C77-0.67*'03_原始数据'!B77-OtherCost</f>
        <v/>
      </c>
      <c r="AB77" s="37">
        <f>'03_原始数据'!C77-0.675*'03_原始数据'!B77-OtherCost</f>
        <v/>
      </c>
      <c r="AC77" s="37">
        <f>'03_原始数据'!C77-0.68*'03_原始数据'!B77-OtherCost</f>
        <v/>
      </c>
      <c r="AD77" s="37">
        <f>'03_原始数据'!C77-0.685*'03_原始数据'!B77-OtherCost</f>
        <v/>
      </c>
      <c r="AE77" s="37">
        <f>'03_原始数据'!C77-0.69*'03_原始数据'!B77-OtherCost</f>
        <v/>
      </c>
      <c r="AF77" s="37">
        <f>'03_原始数据'!C77-0.695*'03_原始数据'!B77-OtherCost</f>
        <v/>
      </c>
      <c r="AG77" s="37">
        <f>'03_原始数据'!C77-0.7*'03_原始数据'!B77-OtherCost</f>
        <v/>
      </c>
    </row>
    <row r="78">
      <c r="M78" s="37">
        <f>'03_原始数据'!C78-0.6*'03_原始数据'!B78-OtherCost</f>
        <v/>
      </c>
      <c r="N78" s="37">
        <f>'03_原始数据'!C78-0.605*'03_原始数据'!B78-OtherCost</f>
        <v/>
      </c>
      <c r="O78" s="37">
        <f>'03_原始数据'!C78-0.61*'03_原始数据'!B78-OtherCost</f>
        <v/>
      </c>
      <c r="P78" s="37">
        <f>'03_原始数据'!C78-0.615*'03_原始数据'!B78-OtherCost</f>
        <v/>
      </c>
      <c r="Q78" s="37">
        <f>'03_原始数据'!C78-0.62*'03_原始数据'!B78-OtherCost</f>
        <v/>
      </c>
      <c r="R78" s="37">
        <f>'03_原始数据'!C78-0.625*'03_原始数据'!B78-OtherCost</f>
        <v/>
      </c>
      <c r="S78" s="37">
        <f>'03_原始数据'!C78-0.63*'03_原始数据'!B78-OtherCost</f>
        <v/>
      </c>
      <c r="T78" s="37">
        <f>'03_原始数据'!C78-0.635*'03_原始数据'!B78-OtherCost</f>
        <v/>
      </c>
      <c r="U78" s="37">
        <f>'03_原始数据'!C78-0.64*'03_原始数据'!B78-OtherCost</f>
        <v/>
      </c>
      <c r="V78" s="37">
        <f>'03_原始数据'!C78-0.645*'03_原始数据'!B78-OtherCost</f>
        <v/>
      </c>
      <c r="W78" s="37">
        <f>'03_原始数据'!C78-0.65*'03_原始数据'!B78-OtherCost</f>
        <v/>
      </c>
      <c r="X78" s="37">
        <f>'03_原始数据'!C78-0.655*'03_原始数据'!B78-OtherCost</f>
        <v/>
      </c>
      <c r="Y78" s="37">
        <f>'03_原始数据'!C78-0.66*'03_原始数据'!B78-OtherCost</f>
        <v/>
      </c>
      <c r="Z78" s="37">
        <f>'03_原始数据'!C78-0.665*'03_原始数据'!B78-OtherCost</f>
        <v/>
      </c>
      <c r="AA78" s="37">
        <f>'03_原始数据'!C78-0.67*'03_原始数据'!B78-OtherCost</f>
        <v/>
      </c>
      <c r="AB78" s="37">
        <f>'03_原始数据'!C78-0.675*'03_原始数据'!B78-OtherCost</f>
        <v/>
      </c>
      <c r="AC78" s="37">
        <f>'03_原始数据'!C78-0.68*'03_原始数据'!B78-OtherCost</f>
        <v/>
      </c>
      <c r="AD78" s="37">
        <f>'03_原始数据'!C78-0.685*'03_原始数据'!B78-OtherCost</f>
        <v/>
      </c>
      <c r="AE78" s="37">
        <f>'03_原始数据'!C78-0.69*'03_原始数据'!B78-OtherCost</f>
        <v/>
      </c>
      <c r="AF78" s="37">
        <f>'03_原始数据'!C78-0.695*'03_原始数据'!B78-OtherCost</f>
        <v/>
      </c>
      <c r="AG78" s="37">
        <f>'03_原始数据'!C78-0.7*'03_原始数据'!B78-OtherCost</f>
        <v/>
      </c>
    </row>
    <row r="79">
      <c r="M79" s="37">
        <f>'03_原始数据'!C79-0.6*'03_原始数据'!B79-OtherCost</f>
        <v/>
      </c>
      <c r="N79" s="37">
        <f>'03_原始数据'!C79-0.605*'03_原始数据'!B79-OtherCost</f>
        <v/>
      </c>
      <c r="O79" s="37">
        <f>'03_原始数据'!C79-0.61*'03_原始数据'!B79-OtherCost</f>
        <v/>
      </c>
      <c r="P79" s="37">
        <f>'03_原始数据'!C79-0.615*'03_原始数据'!B79-OtherCost</f>
        <v/>
      </c>
      <c r="Q79" s="37">
        <f>'03_原始数据'!C79-0.62*'03_原始数据'!B79-OtherCost</f>
        <v/>
      </c>
      <c r="R79" s="37">
        <f>'03_原始数据'!C79-0.625*'03_原始数据'!B79-OtherCost</f>
        <v/>
      </c>
      <c r="S79" s="37">
        <f>'03_原始数据'!C79-0.63*'03_原始数据'!B79-OtherCost</f>
        <v/>
      </c>
      <c r="T79" s="37">
        <f>'03_原始数据'!C79-0.635*'03_原始数据'!B79-OtherCost</f>
        <v/>
      </c>
      <c r="U79" s="37">
        <f>'03_原始数据'!C79-0.64*'03_原始数据'!B79-OtherCost</f>
        <v/>
      </c>
      <c r="V79" s="37">
        <f>'03_原始数据'!C79-0.645*'03_原始数据'!B79-OtherCost</f>
        <v/>
      </c>
      <c r="W79" s="37">
        <f>'03_原始数据'!C79-0.65*'03_原始数据'!B79-OtherCost</f>
        <v/>
      </c>
      <c r="X79" s="37">
        <f>'03_原始数据'!C79-0.655*'03_原始数据'!B79-OtherCost</f>
        <v/>
      </c>
      <c r="Y79" s="37">
        <f>'03_原始数据'!C79-0.66*'03_原始数据'!B79-OtherCost</f>
        <v/>
      </c>
      <c r="Z79" s="37">
        <f>'03_原始数据'!C79-0.665*'03_原始数据'!B79-OtherCost</f>
        <v/>
      </c>
      <c r="AA79" s="37">
        <f>'03_原始数据'!C79-0.67*'03_原始数据'!B79-OtherCost</f>
        <v/>
      </c>
      <c r="AB79" s="37">
        <f>'03_原始数据'!C79-0.675*'03_原始数据'!B79-OtherCost</f>
        <v/>
      </c>
      <c r="AC79" s="37">
        <f>'03_原始数据'!C79-0.68*'03_原始数据'!B79-OtherCost</f>
        <v/>
      </c>
      <c r="AD79" s="37">
        <f>'03_原始数据'!C79-0.685*'03_原始数据'!B79-OtherCost</f>
        <v/>
      </c>
      <c r="AE79" s="37">
        <f>'03_原始数据'!C79-0.69*'03_原始数据'!B79-OtherCost</f>
        <v/>
      </c>
      <c r="AF79" s="37">
        <f>'03_原始数据'!C79-0.695*'03_原始数据'!B79-OtherCost</f>
        <v/>
      </c>
      <c r="AG79" s="37">
        <f>'03_原始数据'!C79-0.7*'03_原始数据'!B79-OtherCost</f>
        <v/>
      </c>
    </row>
    <row r="80">
      <c r="M80" s="37">
        <f>'03_原始数据'!C80-0.6*'03_原始数据'!B80-OtherCost</f>
        <v/>
      </c>
      <c r="N80" s="37">
        <f>'03_原始数据'!C80-0.605*'03_原始数据'!B80-OtherCost</f>
        <v/>
      </c>
      <c r="O80" s="37">
        <f>'03_原始数据'!C80-0.61*'03_原始数据'!B80-OtherCost</f>
        <v/>
      </c>
      <c r="P80" s="37">
        <f>'03_原始数据'!C80-0.615*'03_原始数据'!B80-OtherCost</f>
        <v/>
      </c>
      <c r="Q80" s="37">
        <f>'03_原始数据'!C80-0.62*'03_原始数据'!B80-OtherCost</f>
        <v/>
      </c>
      <c r="R80" s="37">
        <f>'03_原始数据'!C80-0.625*'03_原始数据'!B80-OtherCost</f>
        <v/>
      </c>
      <c r="S80" s="37">
        <f>'03_原始数据'!C80-0.63*'03_原始数据'!B80-OtherCost</f>
        <v/>
      </c>
      <c r="T80" s="37">
        <f>'03_原始数据'!C80-0.635*'03_原始数据'!B80-OtherCost</f>
        <v/>
      </c>
      <c r="U80" s="37">
        <f>'03_原始数据'!C80-0.64*'03_原始数据'!B80-OtherCost</f>
        <v/>
      </c>
      <c r="V80" s="37">
        <f>'03_原始数据'!C80-0.645*'03_原始数据'!B80-OtherCost</f>
        <v/>
      </c>
      <c r="W80" s="37">
        <f>'03_原始数据'!C80-0.65*'03_原始数据'!B80-OtherCost</f>
        <v/>
      </c>
      <c r="X80" s="37">
        <f>'03_原始数据'!C80-0.655*'03_原始数据'!B80-OtherCost</f>
        <v/>
      </c>
      <c r="Y80" s="37">
        <f>'03_原始数据'!C80-0.66*'03_原始数据'!B80-OtherCost</f>
        <v/>
      </c>
      <c r="Z80" s="37">
        <f>'03_原始数据'!C80-0.665*'03_原始数据'!B80-OtherCost</f>
        <v/>
      </c>
      <c r="AA80" s="37">
        <f>'03_原始数据'!C80-0.67*'03_原始数据'!B80-OtherCost</f>
        <v/>
      </c>
      <c r="AB80" s="37">
        <f>'03_原始数据'!C80-0.675*'03_原始数据'!B80-OtherCost</f>
        <v/>
      </c>
      <c r="AC80" s="37">
        <f>'03_原始数据'!C80-0.68*'03_原始数据'!B80-OtherCost</f>
        <v/>
      </c>
      <c r="AD80" s="37">
        <f>'03_原始数据'!C80-0.685*'03_原始数据'!B80-OtherCost</f>
        <v/>
      </c>
      <c r="AE80" s="37">
        <f>'03_原始数据'!C80-0.69*'03_原始数据'!B80-OtherCost</f>
        <v/>
      </c>
      <c r="AF80" s="37">
        <f>'03_原始数据'!C80-0.695*'03_原始数据'!B80-OtherCost</f>
        <v/>
      </c>
      <c r="AG80" s="37">
        <f>'03_原始数据'!C80-0.7*'03_原始数据'!B80-OtherCost</f>
        <v/>
      </c>
    </row>
    <row r="81">
      <c r="M81" s="37">
        <f>'03_原始数据'!C81-0.6*'03_原始数据'!B81-OtherCost</f>
        <v/>
      </c>
      <c r="N81" s="37">
        <f>'03_原始数据'!C81-0.605*'03_原始数据'!B81-OtherCost</f>
        <v/>
      </c>
      <c r="O81" s="37">
        <f>'03_原始数据'!C81-0.61*'03_原始数据'!B81-OtherCost</f>
        <v/>
      </c>
      <c r="P81" s="37">
        <f>'03_原始数据'!C81-0.615*'03_原始数据'!B81-OtherCost</f>
        <v/>
      </c>
      <c r="Q81" s="37">
        <f>'03_原始数据'!C81-0.62*'03_原始数据'!B81-OtherCost</f>
        <v/>
      </c>
      <c r="R81" s="37">
        <f>'03_原始数据'!C81-0.625*'03_原始数据'!B81-OtherCost</f>
        <v/>
      </c>
      <c r="S81" s="37">
        <f>'03_原始数据'!C81-0.63*'03_原始数据'!B81-OtherCost</f>
        <v/>
      </c>
      <c r="T81" s="37">
        <f>'03_原始数据'!C81-0.635*'03_原始数据'!B81-OtherCost</f>
        <v/>
      </c>
      <c r="U81" s="37">
        <f>'03_原始数据'!C81-0.64*'03_原始数据'!B81-OtherCost</f>
        <v/>
      </c>
      <c r="V81" s="37">
        <f>'03_原始数据'!C81-0.645*'03_原始数据'!B81-OtherCost</f>
        <v/>
      </c>
      <c r="W81" s="37">
        <f>'03_原始数据'!C81-0.65*'03_原始数据'!B81-OtherCost</f>
        <v/>
      </c>
      <c r="X81" s="37">
        <f>'03_原始数据'!C81-0.655*'03_原始数据'!B81-OtherCost</f>
        <v/>
      </c>
      <c r="Y81" s="37">
        <f>'03_原始数据'!C81-0.66*'03_原始数据'!B81-OtherCost</f>
        <v/>
      </c>
      <c r="Z81" s="37">
        <f>'03_原始数据'!C81-0.665*'03_原始数据'!B81-OtherCost</f>
        <v/>
      </c>
      <c r="AA81" s="37">
        <f>'03_原始数据'!C81-0.67*'03_原始数据'!B81-OtherCost</f>
        <v/>
      </c>
      <c r="AB81" s="37">
        <f>'03_原始数据'!C81-0.675*'03_原始数据'!B81-OtherCost</f>
        <v/>
      </c>
      <c r="AC81" s="37">
        <f>'03_原始数据'!C81-0.68*'03_原始数据'!B81-OtherCost</f>
        <v/>
      </c>
      <c r="AD81" s="37">
        <f>'03_原始数据'!C81-0.685*'03_原始数据'!B81-OtherCost</f>
        <v/>
      </c>
      <c r="AE81" s="37">
        <f>'03_原始数据'!C81-0.69*'03_原始数据'!B81-OtherCost</f>
        <v/>
      </c>
      <c r="AF81" s="37">
        <f>'03_原始数据'!C81-0.695*'03_原始数据'!B81-OtherCost</f>
        <v/>
      </c>
      <c r="AG81" s="37">
        <f>'03_原始数据'!C81-0.7*'03_原始数据'!B81-OtherCost</f>
        <v/>
      </c>
    </row>
    <row r="82">
      <c r="M82" s="37">
        <f>'03_原始数据'!C82-0.6*'03_原始数据'!B82-OtherCost</f>
        <v/>
      </c>
      <c r="N82" s="37">
        <f>'03_原始数据'!C82-0.605*'03_原始数据'!B82-OtherCost</f>
        <v/>
      </c>
      <c r="O82" s="37">
        <f>'03_原始数据'!C82-0.61*'03_原始数据'!B82-OtherCost</f>
        <v/>
      </c>
      <c r="P82" s="37">
        <f>'03_原始数据'!C82-0.615*'03_原始数据'!B82-OtherCost</f>
        <v/>
      </c>
      <c r="Q82" s="37">
        <f>'03_原始数据'!C82-0.62*'03_原始数据'!B82-OtherCost</f>
        <v/>
      </c>
      <c r="R82" s="37">
        <f>'03_原始数据'!C82-0.625*'03_原始数据'!B82-OtherCost</f>
        <v/>
      </c>
      <c r="S82" s="37">
        <f>'03_原始数据'!C82-0.63*'03_原始数据'!B82-OtherCost</f>
        <v/>
      </c>
      <c r="T82" s="37">
        <f>'03_原始数据'!C82-0.635*'03_原始数据'!B82-OtherCost</f>
        <v/>
      </c>
      <c r="U82" s="37">
        <f>'03_原始数据'!C82-0.64*'03_原始数据'!B82-OtherCost</f>
        <v/>
      </c>
      <c r="V82" s="37">
        <f>'03_原始数据'!C82-0.645*'03_原始数据'!B82-OtherCost</f>
        <v/>
      </c>
      <c r="W82" s="37">
        <f>'03_原始数据'!C82-0.65*'03_原始数据'!B82-OtherCost</f>
        <v/>
      </c>
      <c r="X82" s="37">
        <f>'03_原始数据'!C82-0.655*'03_原始数据'!B82-OtherCost</f>
        <v/>
      </c>
      <c r="Y82" s="37">
        <f>'03_原始数据'!C82-0.66*'03_原始数据'!B82-OtherCost</f>
        <v/>
      </c>
      <c r="Z82" s="37">
        <f>'03_原始数据'!C82-0.665*'03_原始数据'!B82-OtherCost</f>
        <v/>
      </c>
      <c r="AA82" s="37">
        <f>'03_原始数据'!C82-0.67*'03_原始数据'!B82-OtherCost</f>
        <v/>
      </c>
      <c r="AB82" s="37">
        <f>'03_原始数据'!C82-0.675*'03_原始数据'!B82-OtherCost</f>
        <v/>
      </c>
      <c r="AC82" s="37">
        <f>'03_原始数据'!C82-0.68*'03_原始数据'!B82-OtherCost</f>
        <v/>
      </c>
      <c r="AD82" s="37">
        <f>'03_原始数据'!C82-0.685*'03_原始数据'!B82-OtherCost</f>
        <v/>
      </c>
      <c r="AE82" s="37">
        <f>'03_原始数据'!C82-0.69*'03_原始数据'!B82-OtherCost</f>
        <v/>
      </c>
      <c r="AF82" s="37">
        <f>'03_原始数据'!C82-0.695*'03_原始数据'!B82-OtherCost</f>
        <v/>
      </c>
      <c r="AG82" s="37">
        <f>'03_原始数据'!C82-0.7*'03_原始数据'!B82-OtherCost</f>
        <v/>
      </c>
    </row>
    <row r="83">
      <c r="M83" s="37">
        <f>'03_原始数据'!C83-0.6*'03_原始数据'!B83-OtherCost</f>
        <v/>
      </c>
      <c r="N83" s="37">
        <f>'03_原始数据'!C83-0.605*'03_原始数据'!B83-OtherCost</f>
        <v/>
      </c>
      <c r="O83" s="37">
        <f>'03_原始数据'!C83-0.61*'03_原始数据'!B83-OtherCost</f>
        <v/>
      </c>
      <c r="P83" s="37">
        <f>'03_原始数据'!C83-0.615*'03_原始数据'!B83-OtherCost</f>
        <v/>
      </c>
      <c r="Q83" s="37">
        <f>'03_原始数据'!C83-0.62*'03_原始数据'!B83-OtherCost</f>
        <v/>
      </c>
      <c r="R83" s="37">
        <f>'03_原始数据'!C83-0.625*'03_原始数据'!B83-OtherCost</f>
        <v/>
      </c>
      <c r="S83" s="37">
        <f>'03_原始数据'!C83-0.63*'03_原始数据'!B83-OtherCost</f>
        <v/>
      </c>
      <c r="T83" s="37">
        <f>'03_原始数据'!C83-0.635*'03_原始数据'!B83-OtherCost</f>
        <v/>
      </c>
      <c r="U83" s="37">
        <f>'03_原始数据'!C83-0.64*'03_原始数据'!B83-OtherCost</f>
        <v/>
      </c>
      <c r="V83" s="37">
        <f>'03_原始数据'!C83-0.645*'03_原始数据'!B83-OtherCost</f>
        <v/>
      </c>
      <c r="W83" s="37">
        <f>'03_原始数据'!C83-0.65*'03_原始数据'!B83-OtherCost</f>
        <v/>
      </c>
      <c r="X83" s="37">
        <f>'03_原始数据'!C83-0.655*'03_原始数据'!B83-OtherCost</f>
        <v/>
      </c>
      <c r="Y83" s="37">
        <f>'03_原始数据'!C83-0.66*'03_原始数据'!B83-OtherCost</f>
        <v/>
      </c>
      <c r="Z83" s="37">
        <f>'03_原始数据'!C83-0.665*'03_原始数据'!B83-OtherCost</f>
        <v/>
      </c>
      <c r="AA83" s="37">
        <f>'03_原始数据'!C83-0.67*'03_原始数据'!B83-OtherCost</f>
        <v/>
      </c>
      <c r="AB83" s="37">
        <f>'03_原始数据'!C83-0.675*'03_原始数据'!B83-OtherCost</f>
        <v/>
      </c>
      <c r="AC83" s="37">
        <f>'03_原始数据'!C83-0.68*'03_原始数据'!B83-OtherCost</f>
        <v/>
      </c>
      <c r="AD83" s="37">
        <f>'03_原始数据'!C83-0.685*'03_原始数据'!B83-OtherCost</f>
        <v/>
      </c>
      <c r="AE83" s="37">
        <f>'03_原始数据'!C83-0.69*'03_原始数据'!B83-OtherCost</f>
        <v/>
      </c>
      <c r="AF83" s="37">
        <f>'03_原始数据'!C83-0.695*'03_原始数据'!B83-OtherCost</f>
        <v/>
      </c>
      <c r="AG83" s="37">
        <f>'03_原始数据'!C83-0.7*'03_原始数据'!B83-OtherCost</f>
        <v/>
      </c>
    </row>
    <row r="84">
      <c r="M84" s="37">
        <f>'03_原始数据'!C84-0.6*'03_原始数据'!B84-OtherCost</f>
        <v/>
      </c>
      <c r="N84" s="37">
        <f>'03_原始数据'!C84-0.605*'03_原始数据'!B84-OtherCost</f>
        <v/>
      </c>
      <c r="O84" s="37">
        <f>'03_原始数据'!C84-0.61*'03_原始数据'!B84-OtherCost</f>
        <v/>
      </c>
      <c r="P84" s="37">
        <f>'03_原始数据'!C84-0.615*'03_原始数据'!B84-OtherCost</f>
        <v/>
      </c>
      <c r="Q84" s="37">
        <f>'03_原始数据'!C84-0.62*'03_原始数据'!B84-OtherCost</f>
        <v/>
      </c>
      <c r="R84" s="37">
        <f>'03_原始数据'!C84-0.625*'03_原始数据'!B84-OtherCost</f>
        <v/>
      </c>
      <c r="S84" s="37">
        <f>'03_原始数据'!C84-0.63*'03_原始数据'!B84-OtherCost</f>
        <v/>
      </c>
      <c r="T84" s="37">
        <f>'03_原始数据'!C84-0.635*'03_原始数据'!B84-OtherCost</f>
        <v/>
      </c>
      <c r="U84" s="37">
        <f>'03_原始数据'!C84-0.64*'03_原始数据'!B84-OtherCost</f>
        <v/>
      </c>
      <c r="V84" s="37">
        <f>'03_原始数据'!C84-0.645*'03_原始数据'!B84-OtherCost</f>
        <v/>
      </c>
      <c r="W84" s="37">
        <f>'03_原始数据'!C84-0.65*'03_原始数据'!B84-OtherCost</f>
        <v/>
      </c>
      <c r="X84" s="37">
        <f>'03_原始数据'!C84-0.655*'03_原始数据'!B84-OtherCost</f>
        <v/>
      </c>
      <c r="Y84" s="37">
        <f>'03_原始数据'!C84-0.66*'03_原始数据'!B84-OtherCost</f>
        <v/>
      </c>
      <c r="Z84" s="37">
        <f>'03_原始数据'!C84-0.665*'03_原始数据'!B84-OtherCost</f>
        <v/>
      </c>
      <c r="AA84" s="37">
        <f>'03_原始数据'!C84-0.67*'03_原始数据'!B84-OtherCost</f>
        <v/>
      </c>
      <c r="AB84" s="37">
        <f>'03_原始数据'!C84-0.675*'03_原始数据'!B84-OtherCost</f>
        <v/>
      </c>
      <c r="AC84" s="37">
        <f>'03_原始数据'!C84-0.68*'03_原始数据'!B84-OtherCost</f>
        <v/>
      </c>
      <c r="AD84" s="37">
        <f>'03_原始数据'!C84-0.685*'03_原始数据'!B84-OtherCost</f>
        <v/>
      </c>
      <c r="AE84" s="37">
        <f>'03_原始数据'!C84-0.69*'03_原始数据'!B84-OtherCost</f>
        <v/>
      </c>
      <c r="AF84" s="37">
        <f>'03_原始数据'!C84-0.695*'03_原始数据'!B84-OtherCost</f>
        <v/>
      </c>
      <c r="AG84" s="37">
        <f>'03_原始数据'!C84-0.7*'03_原始数据'!B84-OtherCost</f>
        <v/>
      </c>
    </row>
    <row r="85">
      <c r="M85" s="37">
        <f>'03_原始数据'!C85-0.6*'03_原始数据'!B85-OtherCost</f>
        <v/>
      </c>
      <c r="N85" s="37">
        <f>'03_原始数据'!C85-0.605*'03_原始数据'!B85-OtherCost</f>
        <v/>
      </c>
      <c r="O85" s="37">
        <f>'03_原始数据'!C85-0.61*'03_原始数据'!B85-OtherCost</f>
        <v/>
      </c>
      <c r="P85" s="37">
        <f>'03_原始数据'!C85-0.615*'03_原始数据'!B85-OtherCost</f>
        <v/>
      </c>
      <c r="Q85" s="37">
        <f>'03_原始数据'!C85-0.62*'03_原始数据'!B85-OtherCost</f>
        <v/>
      </c>
      <c r="R85" s="37">
        <f>'03_原始数据'!C85-0.625*'03_原始数据'!B85-OtherCost</f>
        <v/>
      </c>
      <c r="S85" s="37">
        <f>'03_原始数据'!C85-0.63*'03_原始数据'!B85-OtherCost</f>
        <v/>
      </c>
      <c r="T85" s="37">
        <f>'03_原始数据'!C85-0.635*'03_原始数据'!B85-OtherCost</f>
        <v/>
      </c>
      <c r="U85" s="37">
        <f>'03_原始数据'!C85-0.64*'03_原始数据'!B85-OtherCost</f>
        <v/>
      </c>
      <c r="V85" s="37">
        <f>'03_原始数据'!C85-0.645*'03_原始数据'!B85-OtherCost</f>
        <v/>
      </c>
      <c r="W85" s="37">
        <f>'03_原始数据'!C85-0.65*'03_原始数据'!B85-OtherCost</f>
        <v/>
      </c>
      <c r="X85" s="37">
        <f>'03_原始数据'!C85-0.655*'03_原始数据'!B85-OtherCost</f>
        <v/>
      </c>
      <c r="Y85" s="37">
        <f>'03_原始数据'!C85-0.66*'03_原始数据'!B85-OtherCost</f>
        <v/>
      </c>
      <c r="Z85" s="37">
        <f>'03_原始数据'!C85-0.665*'03_原始数据'!B85-OtherCost</f>
        <v/>
      </c>
      <c r="AA85" s="37">
        <f>'03_原始数据'!C85-0.67*'03_原始数据'!B85-OtherCost</f>
        <v/>
      </c>
      <c r="AB85" s="37">
        <f>'03_原始数据'!C85-0.675*'03_原始数据'!B85-OtherCost</f>
        <v/>
      </c>
      <c r="AC85" s="37">
        <f>'03_原始数据'!C85-0.68*'03_原始数据'!B85-OtherCost</f>
        <v/>
      </c>
      <c r="AD85" s="37">
        <f>'03_原始数据'!C85-0.685*'03_原始数据'!B85-OtherCost</f>
        <v/>
      </c>
      <c r="AE85" s="37">
        <f>'03_原始数据'!C85-0.69*'03_原始数据'!B85-OtherCost</f>
        <v/>
      </c>
      <c r="AF85" s="37">
        <f>'03_原始数据'!C85-0.695*'03_原始数据'!B85-OtherCost</f>
        <v/>
      </c>
      <c r="AG85" s="37">
        <f>'03_原始数据'!C85-0.7*'03_原始数据'!B85-OtherCost</f>
        <v/>
      </c>
    </row>
    <row r="86">
      <c r="M86" s="37">
        <f>'03_原始数据'!C86-0.6*'03_原始数据'!B86-OtherCost</f>
        <v/>
      </c>
      <c r="N86" s="37">
        <f>'03_原始数据'!C86-0.605*'03_原始数据'!B86-OtherCost</f>
        <v/>
      </c>
      <c r="O86" s="37">
        <f>'03_原始数据'!C86-0.61*'03_原始数据'!B86-OtherCost</f>
        <v/>
      </c>
      <c r="P86" s="37">
        <f>'03_原始数据'!C86-0.615*'03_原始数据'!B86-OtherCost</f>
        <v/>
      </c>
      <c r="Q86" s="37">
        <f>'03_原始数据'!C86-0.62*'03_原始数据'!B86-OtherCost</f>
        <v/>
      </c>
      <c r="R86" s="37">
        <f>'03_原始数据'!C86-0.625*'03_原始数据'!B86-OtherCost</f>
        <v/>
      </c>
      <c r="S86" s="37">
        <f>'03_原始数据'!C86-0.63*'03_原始数据'!B86-OtherCost</f>
        <v/>
      </c>
      <c r="T86" s="37">
        <f>'03_原始数据'!C86-0.635*'03_原始数据'!B86-OtherCost</f>
        <v/>
      </c>
      <c r="U86" s="37">
        <f>'03_原始数据'!C86-0.64*'03_原始数据'!B86-OtherCost</f>
        <v/>
      </c>
      <c r="V86" s="37">
        <f>'03_原始数据'!C86-0.645*'03_原始数据'!B86-OtherCost</f>
        <v/>
      </c>
      <c r="W86" s="37">
        <f>'03_原始数据'!C86-0.65*'03_原始数据'!B86-OtherCost</f>
        <v/>
      </c>
      <c r="X86" s="37">
        <f>'03_原始数据'!C86-0.655*'03_原始数据'!B86-OtherCost</f>
        <v/>
      </c>
      <c r="Y86" s="37">
        <f>'03_原始数据'!C86-0.66*'03_原始数据'!B86-OtherCost</f>
        <v/>
      </c>
      <c r="Z86" s="37">
        <f>'03_原始数据'!C86-0.665*'03_原始数据'!B86-OtherCost</f>
        <v/>
      </c>
      <c r="AA86" s="37">
        <f>'03_原始数据'!C86-0.67*'03_原始数据'!B86-OtherCost</f>
        <v/>
      </c>
      <c r="AB86" s="37">
        <f>'03_原始数据'!C86-0.675*'03_原始数据'!B86-OtherCost</f>
        <v/>
      </c>
      <c r="AC86" s="37">
        <f>'03_原始数据'!C86-0.68*'03_原始数据'!B86-OtherCost</f>
        <v/>
      </c>
      <c r="AD86" s="37">
        <f>'03_原始数据'!C86-0.685*'03_原始数据'!B86-OtherCost</f>
        <v/>
      </c>
      <c r="AE86" s="37">
        <f>'03_原始数据'!C86-0.69*'03_原始数据'!B86-OtherCost</f>
        <v/>
      </c>
      <c r="AF86" s="37">
        <f>'03_原始数据'!C86-0.695*'03_原始数据'!B86-OtherCost</f>
        <v/>
      </c>
      <c r="AG86" s="37">
        <f>'03_原始数据'!C86-0.7*'03_原始数据'!B86-OtherCost</f>
        <v/>
      </c>
    </row>
    <row r="87">
      <c r="M87" s="37">
        <f>'03_原始数据'!C87-0.6*'03_原始数据'!B87-OtherCost</f>
        <v/>
      </c>
      <c r="N87" s="37">
        <f>'03_原始数据'!C87-0.605*'03_原始数据'!B87-OtherCost</f>
        <v/>
      </c>
      <c r="O87" s="37">
        <f>'03_原始数据'!C87-0.61*'03_原始数据'!B87-OtherCost</f>
        <v/>
      </c>
      <c r="P87" s="37">
        <f>'03_原始数据'!C87-0.615*'03_原始数据'!B87-OtherCost</f>
        <v/>
      </c>
      <c r="Q87" s="37">
        <f>'03_原始数据'!C87-0.62*'03_原始数据'!B87-OtherCost</f>
        <v/>
      </c>
      <c r="R87" s="37">
        <f>'03_原始数据'!C87-0.625*'03_原始数据'!B87-OtherCost</f>
        <v/>
      </c>
      <c r="S87" s="37">
        <f>'03_原始数据'!C87-0.63*'03_原始数据'!B87-OtherCost</f>
        <v/>
      </c>
      <c r="T87" s="37">
        <f>'03_原始数据'!C87-0.635*'03_原始数据'!B87-OtherCost</f>
        <v/>
      </c>
      <c r="U87" s="37">
        <f>'03_原始数据'!C87-0.64*'03_原始数据'!B87-OtherCost</f>
        <v/>
      </c>
      <c r="V87" s="37">
        <f>'03_原始数据'!C87-0.645*'03_原始数据'!B87-OtherCost</f>
        <v/>
      </c>
      <c r="W87" s="37">
        <f>'03_原始数据'!C87-0.65*'03_原始数据'!B87-OtherCost</f>
        <v/>
      </c>
      <c r="X87" s="37">
        <f>'03_原始数据'!C87-0.655*'03_原始数据'!B87-OtherCost</f>
        <v/>
      </c>
      <c r="Y87" s="37">
        <f>'03_原始数据'!C87-0.66*'03_原始数据'!B87-OtherCost</f>
        <v/>
      </c>
      <c r="Z87" s="37">
        <f>'03_原始数据'!C87-0.665*'03_原始数据'!B87-OtherCost</f>
        <v/>
      </c>
      <c r="AA87" s="37">
        <f>'03_原始数据'!C87-0.67*'03_原始数据'!B87-OtherCost</f>
        <v/>
      </c>
      <c r="AB87" s="37">
        <f>'03_原始数据'!C87-0.675*'03_原始数据'!B87-OtherCost</f>
        <v/>
      </c>
      <c r="AC87" s="37">
        <f>'03_原始数据'!C87-0.68*'03_原始数据'!B87-OtherCost</f>
        <v/>
      </c>
      <c r="AD87" s="37">
        <f>'03_原始数据'!C87-0.685*'03_原始数据'!B87-OtherCost</f>
        <v/>
      </c>
      <c r="AE87" s="37">
        <f>'03_原始数据'!C87-0.69*'03_原始数据'!B87-OtherCost</f>
        <v/>
      </c>
      <c r="AF87" s="37">
        <f>'03_原始数据'!C87-0.695*'03_原始数据'!B87-OtherCost</f>
        <v/>
      </c>
      <c r="AG87" s="37">
        <f>'03_原始数据'!C87-0.7*'03_原始数据'!B87-OtherCost</f>
        <v/>
      </c>
    </row>
    <row r="88">
      <c r="M88" s="37">
        <f>'03_原始数据'!C88-0.6*'03_原始数据'!B88-OtherCost</f>
        <v/>
      </c>
      <c r="N88" s="37">
        <f>'03_原始数据'!C88-0.605*'03_原始数据'!B88-OtherCost</f>
        <v/>
      </c>
      <c r="O88" s="37">
        <f>'03_原始数据'!C88-0.61*'03_原始数据'!B88-OtherCost</f>
        <v/>
      </c>
      <c r="P88" s="37">
        <f>'03_原始数据'!C88-0.615*'03_原始数据'!B88-OtherCost</f>
        <v/>
      </c>
      <c r="Q88" s="37">
        <f>'03_原始数据'!C88-0.62*'03_原始数据'!B88-OtherCost</f>
        <v/>
      </c>
      <c r="R88" s="37">
        <f>'03_原始数据'!C88-0.625*'03_原始数据'!B88-OtherCost</f>
        <v/>
      </c>
      <c r="S88" s="37">
        <f>'03_原始数据'!C88-0.63*'03_原始数据'!B88-OtherCost</f>
        <v/>
      </c>
      <c r="T88" s="37">
        <f>'03_原始数据'!C88-0.635*'03_原始数据'!B88-OtherCost</f>
        <v/>
      </c>
      <c r="U88" s="37">
        <f>'03_原始数据'!C88-0.64*'03_原始数据'!B88-OtherCost</f>
        <v/>
      </c>
      <c r="V88" s="37">
        <f>'03_原始数据'!C88-0.645*'03_原始数据'!B88-OtherCost</f>
        <v/>
      </c>
      <c r="W88" s="37">
        <f>'03_原始数据'!C88-0.65*'03_原始数据'!B88-OtherCost</f>
        <v/>
      </c>
      <c r="X88" s="37">
        <f>'03_原始数据'!C88-0.655*'03_原始数据'!B88-OtherCost</f>
        <v/>
      </c>
      <c r="Y88" s="37">
        <f>'03_原始数据'!C88-0.66*'03_原始数据'!B88-OtherCost</f>
        <v/>
      </c>
      <c r="Z88" s="37">
        <f>'03_原始数据'!C88-0.665*'03_原始数据'!B88-OtherCost</f>
        <v/>
      </c>
      <c r="AA88" s="37">
        <f>'03_原始数据'!C88-0.67*'03_原始数据'!B88-OtherCost</f>
        <v/>
      </c>
      <c r="AB88" s="37">
        <f>'03_原始数据'!C88-0.675*'03_原始数据'!B88-OtherCost</f>
        <v/>
      </c>
      <c r="AC88" s="37">
        <f>'03_原始数据'!C88-0.68*'03_原始数据'!B88-OtherCost</f>
        <v/>
      </c>
      <c r="AD88" s="37">
        <f>'03_原始数据'!C88-0.685*'03_原始数据'!B88-OtherCost</f>
        <v/>
      </c>
      <c r="AE88" s="37">
        <f>'03_原始数据'!C88-0.69*'03_原始数据'!B88-OtherCost</f>
        <v/>
      </c>
      <c r="AF88" s="37">
        <f>'03_原始数据'!C88-0.695*'03_原始数据'!B88-OtherCost</f>
        <v/>
      </c>
      <c r="AG88" s="37">
        <f>'03_原始数据'!C88-0.7*'03_原始数据'!B88-OtherCost</f>
        <v/>
      </c>
    </row>
    <row r="89">
      <c r="M89" s="37">
        <f>'03_原始数据'!C89-0.6*'03_原始数据'!B89-OtherCost</f>
        <v/>
      </c>
      <c r="N89" s="37">
        <f>'03_原始数据'!C89-0.605*'03_原始数据'!B89-OtherCost</f>
        <v/>
      </c>
      <c r="O89" s="37">
        <f>'03_原始数据'!C89-0.61*'03_原始数据'!B89-OtherCost</f>
        <v/>
      </c>
      <c r="P89" s="37">
        <f>'03_原始数据'!C89-0.615*'03_原始数据'!B89-OtherCost</f>
        <v/>
      </c>
      <c r="Q89" s="37">
        <f>'03_原始数据'!C89-0.62*'03_原始数据'!B89-OtherCost</f>
        <v/>
      </c>
      <c r="R89" s="37">
        <f>'03_原始数据'!C89-0.625*'03_原始数据'!B89-OtherCost</f>
        <v/>
      </c>
      <c r="S89" s="37">
        <f>'03_原始数据'!C89-0.63*'03_原始数据'!B89-OtherCost</f>
        <v/>
      </c>
      <c r="T89" s="37">
        <f>'03_原始数据'!C89-0.635*'03_原始数据'!B89-OtherCost</f>
        <v/>
      </c>
      <c r="U89" s="37">
        <f>'03_原始数据'!C89-0.64*'03_原始数据'!B89-OtherCost</f>
        <v/>
      </c>
      <c r="V89" s="37">
        <f>'03_原始数据'!C89-0.645*'03_原始数据'!B89-OtherCost</f>
        <v/>
      </c>
      <c r="W89" s="37">
        <f>'03_原始数据'!C89-0.65*'03_原始数据'!B89-OtherCost</f>
        <v/>
      </c>
      <c r="X89" s="37">
        <f>'03_原始数据'!C89-0.655*'03_原始数据'!B89-OtherCost</f>
        <v/>
      </c>
      <c r="Y89" s="37">
        <f>'03_原始数据'!C89-0.66*'03_原始数据'!B89-OtherCost</f>
        <v/>
      </c>
      <c r="Z89" s="37">
        <f>'03_原始数据'!C89-0.665*'03_原始数据'!B89-OtherCost</f>
        <v/>
      </c>
      <c r="AA89" s="37">
        <f>'03_原始数据'!C89-0.67*'03_原始数据'!B89-OtherCost</f>
        <v/>
      </c>
      <c r="AB89" s="37">
        <f>'03_原始数据'!C89-0.675*'03_原始数据'!B89-OtherCost</f>
        <v/>
      </c>
      <c r="AC89" s="37">
        <f>'03_原始数据'!C89-0.68*'03_原始数据'!B89-OtherCost</f>
        <v/>
      </c>
      <c r="AD89" s="37">
        <f>'03_原始数据'!C89-0.685*'03_原始数据'!B89-OtherCost</f>
        <v/>
      </c>
      <c r="AE89" s="37">
        <f>'03_原始数据'!C89-0.69*'03_原始数据'!B89-OtherCost</f>
        <v/>
      </c>
      <c r="AF89" s="37">
        <f>'03_原始数据'!C89-0.695*'03_原始数据'!B89-OtherCost</f>
        <v/>
      </c>
      <c r="AG89" s="37">
        <f>'03_原始数据'!C89-0.7*'03_原始数据'!B89-OtherCost</f>
        <v/>
      </c>
    </row>
    <row r="90">
      <c r="M90" s="37">
        <f>'03_原始数据'!C90-0.6*'03_原始数据'!B90-OtherCost</f>
        <v/>
      </c>
      <c r="N90" s="37">
        <f>'03_原始数据'!C90-0.605*'03_原始数据'!B90-OtherCost</f>
        <v/>
      </c>
      <c r="O90" s="37">
        <f>'03_原始数据'!C90-0.61*'03_原始数据'!B90-OtherCost</f>
        <v/>
      </c>
      <c r="P90" s="37">
        <f>'03_原始数据'!C90-0.615*'03_原始数据'!B90-OtherCost</f>
        <v/>
      </c>
      <c r="Q90" s="37">
        <f>'03_原始数据'!C90-0.62*'03_原始数据'!B90-OtherCost</f>
        <v/>
      </c>
      <c r="R90" s="37">
        <f>'03_原始数据'!C90-0.625*'03_原始数据'!B90-OtherCost</f>
        <v/>
      </c>
      <c r="S90" s="37">
        <f>'03_原始数据'!C90-0.63*'03_原始数据'!B90-OtherCost</f>
        <v/>
      </c>
      <c r="T90" s="37">
        <f>'03_原始数据'!C90-0.635*'03_原始数据'!B90-OtherCost</f>
        <v/>
      </c>
      <c r="U90" s="37">
        <f>'03_原始数据'!C90-0.64*'03_原始数据'!B90-OtherCost</f>
        <v/>
      </c>
      <c r="V90" s="37">
        <f>'03_原始数据'!C90-0.645*'03_原始数据'!B90-OtherCost</f>
        <v/>
      </c>
      <c r="W90" s="37">
        <f>'03_原始数据'!C90-0.65*'03_原始数据'!B90-OtherCost</f>
        <v/>
      </c>
      <c r="X90" s="37">
        <f>'03_原始数据'!C90-0.655*'03_原始数据'!B90-OtherCost</f>
        <v/>
      </c>
      <c r="Y90" s="37">
        <f>'03_原始数据'!C90-0.66*'03_原始数据'!B90-OtherCost</f>
        <v/>
      </c>
      <c r="Z90" s="37">
        <f>'03_原始数据'!C90-0.665*'03_原始数据'!B90-OtherCost</f>
        <v/>
      </c>
      <c r="AA90" s="37">
        <f>'03_原始数据'!C90-0.67*'03_原始数据'!B90-OtherCost</f>
        <v/>
      </c>
      <c r="AB90" s="37">
        <f>'03_原始数据'!C90-0.675*'03_原始数据'!B90-OtherCost</f>
        <v/>
      </c>
      <c r="AC90" s="37">
        <f>'03_原始数据'!C90-0.68*'03_原始数据'!B90-OtherCost</f>
        <v/>
      </c>
      <c r="AD90" s="37">
        <f>'03_原始数据'!C90-0.685*'03_原始数据'!B90-OtherCost</f>
        <v/>
      </c>
      <c r="AE90" s="37">
        <f>'03_原始数据'!C90-0.69*'03_原始数据'!B90-OtherCost</f>
        <v/>
      </c>
      <c r="AF90" s="37">
        <f>'03_原始数据'!C90-0.695*'03_原始数据'!B90-OtherCost</f>
        <v/>
      </c>
      <c r="AG90" s="37">
        <f>'03_原始数据'!C90-0.7*'03_原始数据'!B90-OtherCost</f>
        <v/>
      </c>
    </row>
    <row r="91">
      <c r="M91" s="37">
        <f>'03_原始数据'!C91-0.6*'03_原始数据'!B91-OtherCost</f>
        <v/>
      </c>
      <c r="N91" s="37">
        <f>'03_原始数据'!C91-0.605*'03_原始数据'!B91-OtherCost</f>
        <v/>
      </c>
      <c r="O91" s="37">
        <f>'03_原始数据'!C91-0.61*'03_原始数据'!B91-OtherCost</f>
        <v/>
      </c>
      <c r="P91" s="37">
        <f>'03_原始数据'!C91-0.615*'03_原始数据'!B91-OtherCost</f>
        <v/>
      </c>
      <c r="Q91" s="37">
        <f>'03_原始数据'!C91-0.62*'03_原始数据'!B91-OtherCost</f>
        <v/>
      </c>
      <c r="R91" s="37">
        <f>'03_原始数据'!C91-0.625*'03_原始数据'!B91-OtherCost</f>
        <v/>
      </c>
      <c r="S91" s="37">
        <f>'03_原始数据'!C91-0.63*'03_原始数据'!B91-OtherCost</f>
        <v/>
      </c>
      <c r="T91" s="37">
        <f>'03_原始数据'!C91-0.635*'03_原始数据'!B91-OtherCost</f>
        <v/>
      </c>
      <c r="U91" s="37">
        <f>'03_原始数据'!C91-0.64*'03_原始数据'!B91-OtherCost</f>
        <v/>
      </c>
      <c r="V91" s="37">
        <f>'03_原始数据'!C91-0.645*'03_原始数据'!B91-OtherCost</f>
        <v/>
      </c>
      <c r="W91" s="37">
        <f>'03_原始数据'!C91-0.65*'03_原始数据'!B91-OtherCost</f>
        <v/>
      </c>
      <c r="X91" s="37">
        <f>'03_原始数据'!C91-0.655*'03_原始数据'!B91-OtherCost</f>
        <v/>
      </c>
      <c r="Y91" s="37">
        <f>'03_原始数据'!C91-0.66*'03_原始数据'!B91-OtherCost</f>
        <v/>
      </c>
      <c r="Z91" s="37">
        <f>'03_原始数据'!C91-0.665*'03_原始数据'!B91-OtherCost</f>
        <v/>
      </c>
      <c r="AA91" s="37">
        <f>'03_原始数据'!C91-0.67*'03_原始数据'!B91-OtherCost</f>
        <v/>
      </c>
      <c r="AB91" s="37">
        <f>'03_原始数据'!C91-0.675*'03_原始数据'!B91-OtherCost</f>
        <v/>
      </c>
      <c r="AC91" s="37">
        <f>'03_原始数据'!C91-0.68*'03_原始数据'!B91-OtherCost</f>
        <v/>
      </c>
      <c r="AD91" s="37">
        <f>'03_原始数据'!C91-0.685*'03_原始数据'!B91-OtherCost</f>
        <v/>
      </c>
      <c r="AE91" s="37">
        <f>'03_原始数据'!C91-0.69*'03_原始数据'!B91-OtherCost</f>
        <v/>
      </c>
      <c r="AF91" s="37">
        <f>'03_原始数据'!C91-0.695*'03_原始数据'!B91-OtherCost</f>
        <v/>
      </c>
      <c r="AG91" s="37">
        <f>'03_原始数据'!C91-0.7*'03_原始数据'!B91-OtherCost</f>
        <v/>
      </c>
    </row>
    <row r="92">
      <c r="M92" s="37">
        <f>'03_原始数据'!C92-0.6*'03_原始数据'!B92-OtherCost</f>
        <v/>
      </c>
      <c r="N92" s="37">
        <f>'03_原始数据'!C92-0.605*'03_原始数据'!B92-OtherCost</f>
        <v/>
      </c>
      <c r="O92" s="37">
        <f>'03_原始数据'!C92-0.61*'03_原始数据'!B92-OtherCost</f>
        <v/>
      </c>
      <c r="P92" s="37">
        <f>'03_原始数据'!C92-0.615*'03_原始数据'!B92-OtherCost</f>
        <v/>
      </c>
      <c r="Q92" s="37">
        <f>'03_原始数据'!C92-0.62*'03_原始数据'!B92-OtherCost</f>
        <v/>
      </c>
      <c r="R92" s="37">
        <f>'03_原始数据'!C92-0.625*'03_原始数据'!B92-OtherCost</f>
        <v/>
      </c>
      <c r="S92" s="37">
        <f>'03_原始数据'!C92-0.63*'03_原始数据'!B92-OtherCost</f>
        <v/>
      </c>
      <c r="T92" s="37">
        <f>'03_原始数据'!C92-0.635*'03_原始数据'!B92-OtherCost</f>
        <v/>
      </c>
      <c r="U92" s="37">
        <f>'03_原始数据'!C92-0.64*'03_原始数据'!B92-OtherCost</f>
        <v/>
      </c>
      <c r="V92" s="37">
        <f>'03_原始数据'!C92-0.645*'03_原始数据'!B92-OtherCost</f>
        <v/>
      </c>
      <c r="W92" s="37">
        <f>'03_原始数据'!C92-0.65*'03_原始数据'!B92-OtherCost</f>
        <v/>
      </c>
      <c r="X92" s="37">
        <f>'03_原始数据'!C92-0.655*'03_原始数据'!B92-OtherCost</f>
        <v/>
      </c>
      <c r="Y92" s="37">
        <f>'03_原始数据'!C92-0.66*'03_原始数据'!B92-OtherCost</f>
        <v/>
      </c>
      <c r="Z92" s="37">
        <f>'03_原始数据'!C92-0.665*'03_原始数据'!B92-OtherCost</f>
        <v/>
      </c>
      <c r="AA92" s="37">
        <f>'03_原始数据'!C92-0.67*'03_原始数据'!B92-OtherCost</f>
        <v/>
      </c>
      <c r="AB92" s="37">
        <f>'03_原始数据'!C92-0.675*'03_原始数据'!B92-OtherCost</f>
        <v/>
      </c>
      <c r="AC92" s="37">
        <f>'03_原始数据'!C92-0.68*'03_原始数据'!B92-OtherCost</f>
        <v/>
      </c>
      <c r="AD92" s="37">
        <f>'03_原始数据'!C92-0.685*'03_原始数据'!B92-OtherCost</f>
        <v/>
      </c>
      <c r="AE92" s="37">
        <f>'03_原始数据'!C92-0.69*'03_原始数据'!B92-OtherCost</f>
        <v/>
      </c>
      <c r="AF92" s="37">
        <f>'03_原始数据'!C92-0.695*'03_原始数据'!B92-OtherCost</f>
        <v/>
      </c>
      <c r="AG92" s="37">
        <f>'03_原始数据'!C92-0.7*'03_原始数据'!B92-OtherCost</f>
        <v/>
      </c>
    </row>
    <row r="93">
      <c r="M93" s="37">
        <f>'03_原始数据'!C93-0.6*'03_原始数据'!B93-OtherCost</f>
        <v/>
      </c>
      <c r="N93" s="37">
        <f>'03_原始数据'!C93-0.605*'03_原始数据'!B93-OtherCost</f>
        <v/>
      </c>
      <c r="O93" s="37">
        <f>'03_原始数据'!C93-0.61*'03_原始数据'!B93-OtherCost</f>
        <v/>
      </c>
      <c r="P93" s="37">
        <f>'03_原始数据'!C93-0.615*'03_原始数据'!B93-OtherCost</f>
        <v/>
      </c>
      <c r="Q93" s="37">
        <f>'03_原始数据'!C93-0.62*'03_原始数据'!B93-OtherCost</f>
        <v/>
      </c>
      <c r="R93" s="37">
        <f>'03_原始数据'!C93-0.625*'03_原始数据'!B93-OtherCost</f>
        <v/>
      </c>
      <c r="S93" s="37">
        <f>'03_原始数据'!C93-0.63*'03_原始数据'!B93-OtherCost</f>
        <v/>
      </c>
      <c r="T93" s="37">
        <f>'03_原始数据'!C93-0.635*'03_原始数据'!B93-OtherCost</f>
        <v/>
      </c>
      <c r="U93" s="37">
        <f>'03_原始数据'!C93-0.64*'03_原始数据'!B93-OtherCost</f>
        <v/>
      </c>
      <c r="V93" s="37">
        <f>'03_原始数据'!C93-0.645*'03_原始数据'!B93-OtherCost</f>
        <v/>
      </c>
      <c r="W93" s="37">
        <f>'03_原始数据'!C93-0.65*'03_原始数据'!B93-OtherCost</f>
        <v/>
      </c>
      <c r="X93" s="37">
        <f>'03_原始数据'!C93-0.655*'03_原始数据'!B93-OtherCost</f>
        <v/>
      </c>
      <c r="Y93" s="37">
        <f>'03_原始数据'!C93-0.66*'03_原始数据'!B93-OtherCost</f>
        <v/>
      </c>
      <c r="Z93" s="37">
        <f>'03_原始数据'!C93-0.665*'03_原始数据'!B93-OtherCost</f>
        <v/>
      </c>
      <c r="AA93" s="37">
        <f>'03_原始数据'!C93-0.67*'03_原始数据'!B93-OtherCost</f>
        <v/>
      </c>
      <c r="AB93" s="37">
        <f>'03_原始数据'!C93-0.675*'03_原始数据'!B93-OtherCost</f>
        <v/>
      </c>
      <c r="AC93" s="37">
        <f>'03_原始数据'!C93-0.68*'03_原始数据'!B93-OtherCost</f>
        <v/>
      </c>
      <c r="AD93" s="37">
        <f>'03_原始数据'!C93-0.685*'03_原始数据'!B93-OtherCost</f>
        <v/>
      </c>
      <c r="AE93" s="37">
        <f>'03_原始数据'!C93-0.69*'03_原始数据'!B93-OtherCost</f>
        <v/>
      </c>
      <c r="AF93" s="37">
        <f>'03_原始数据'!C93-0.695*'03_原始数据'!B93-OtherCost</f>
        <v/>
      </c>
      <c r="AG93" s="37">
        <f>'03_原始数据'!C93-0.7*'03_原始数据'!B93-OtherCost</f>
        <v/>
      </c>
    </row>
    <row r="94">
      <c r="M94" s="37">
        <f>'03_原始数据'!C94-0.6*'03_原始数据'!B94-OtherCost</f>
        <v/>
      </c>
      <c r="N94" s="37">
        <f>'03_原始数据'!C94-0.605*'03_原始数据'!B94-OtherCost</f>
        <v/>
      </c>
      <c r="O94" s="37">
        <f>'03_原始数据'!C94-0.61*'03_原始数据'!B94-OtherCost</f>
        <v/>
      </c>
      <c r="P94" s="37">
        <f>'03_原始数据'!C94-0.615*'03_原始数据'!B94-OtherCost</f>
        <v/>
      </c>
      <c r="Q94" s="37">
        <f>'03_原始数据'!C94-0.62*'03_原始数据'!B94-OtherCost</f>
        <v/>
      </c>
      <c r="R94" s="37">
        <f>'03_原始数据'!C94-0.625*'03_原始数据'!B94-OtherCost</f>
        <v/>
      </c>
      <c r="S94" s="37">
        <f>'03_原始数据'!C94-0.63*'03_原始数据'!B94-OtherCost</f>
        <v/>
      </c>
      <c r="T94" s="37">
        <f>'03_原始数据'!C94-0.635*'03_原始数据'!B94-OtherCost</f>
        <v/>
      </c>
      <c r="U94" s="37">
        <f>'03_原始数据'!C94-0.64*'03_原始数据'!B94-OtherCost</f>
        <v/>
      </c>
      <c r="V94" s="37">
        <f>'03_原始数据'!C94-0.645*'03_原始数据'!B94-OtherCost</f>
        <v/>
      </c>
      <c r="W94" s="37">
        <f>'03_原始数据'!C94-0.65*'03_原始数据'!B94-OtherCost</f>
        <v/>
      </c>
      <c r="X94" s="37">
        <f>'03_原始数据'!C94-0.655*'03_原始数据'!B94-OtherCost</f>
        <v/>
      </c>
      <c r="Y94" s="37">
        <f>'03_原始数据'!C94-0.66*'03_原始数据'!B94-OtherCost</f>
        <v/>
      </c>
      <c r="Z94" s="37">
        <f>'03_原始数据'!C94-0.665*'03_原始数据'!B94-OtherCost</f>
        <v/>
      </c>
      <c r="AA94" s="37">
        <f>'03_原始数据'!C94-0.67*'03_原始数据'!B94-OtherCost</f>
        <v/>
      </c>
      <c r="AB94" s="37">
        <f>'03_原始数据'!C94-0.675*'03_原始数据'!B94-OtherCost</f>
        <v/>
      </c>
      <c r="AC94" s="37">
        <f>'03_原始数据'!C94-0.68*'03_原始数据'!B94-OtherCost</f>
        <v/>
      </c>
      <c r="AD94" s="37">
        <f>'03_原始数据'!C94-0.685*'03_原始数据'!B94-OtherCost</f>
        <v/>
      </c>
      <c r="AE94" s="37">
        <f>'03_原始数据'!C94-0.69*'03_原始数据'!B94-OtherCost</f>
        <v/>
      </c>
      <c r="AF94" s="37">
        <f>'03_原始数据'!C94-0.695*'03_原始数据'!B94-OtherCost</f>
        <v/>
      </c>
      <c r="AG94" s="37">
        <f>'03_原始数据'!C94-0.7*'03_原始数据'!B94-OtherCost</f>
        <v/>
      </c>
    </row>
    <row r="95">
      <c r="M95" s="37">
        <f>'03_原始数据'!C95-0.6*'03_原始数据'!B95-OtherCost</f>
        <v/>
      </c>
      <c r="N95" s="37">
        <f>'03_原始数据'!C95-0.605*'03_原始数据'!B95-OtherCost</f>
        <v/>
      </c>
      <c r="O95" s="37">
        <f>'03_原始数据'!C95-0.61*'03_原始数据'!B95-OtherCost</f>
        <v/>
      </c>
      <c r="P95" s="37">
        <f>'03_原始数据'!C95-0.615*'03_原始数据'!B95-OtherCost</f>
        <v/>
      </c>
      <c r="Q95" s="37">
        <f>'03_原始数据'!C95-0.62*'03_原始数据'!B95-OtherCost</f>
        <v/>
      </c>
      <c r="R95" s="37">
        <f>'03_原始数据'!C95-0.625*'03_原始数据'!B95-OtherCost</f>
        <v/>
      </c>
      <c r="S95" s="37">
        <f>'03_原始数据'!C95-0.63*'03_原始数据'!B95-OtherCost</f>
        <v/>
      </c>
      <c r="T95" s="37">
        <f>'03_原始数据'!C95-0.635*'03_原始数据'!B95-OtherCost</f>
        <v/>
      </c>
      <c r="U95" s="37">
        <f>'03_原始数据'!C95-0.64*'03_原始数据'!B95-OtherCost</f>
        <v/>
      </c>
      <c r="V95" s="37">
        <f>'03_原始数据'!C95-0.645*'03_原始数据'!B95-OtherCost</f>
        <v/>
      </c>
      <c r="W95" s="37">
        <f>'03_原始数据'!C95-0.65*'03_原始数据'!B95-OtherCost</f>
        <v/>
      </c>
      <c r="X95" s="37">
        <f>'03_原始数据'!C95-0.655*'03_原始数据'!B95-OtherCost</f>
        <v/>
      </c>
      <c r="Y95" s="37">
        <f>'03_原始数据'!C95-0.66*'03_原始数据'!B95-OtherCost</f>
        <v/>
      </c>
      <c r="Z95" s="37">
        <f>'03_原始数据'!C95-0.665*'03_原始数据'!B95-OtherCost</f>
        <v/>
      </c>
      <c r="AA95" s="37">
        <f>'03_原始数据'!C95-0.67*'03_原始数据'!B95-OtherCost</f>
        <v/>
      </c>
      <c r="AB95" s="37">
        <f>'03_原始数据'!C95-0.675*'03_原始数据'!B95-OtherCost</f>
        <v/>
      </c>
      <c r="AC95" s="37">
        <f>'03_原始数据'!C95-0.68*'03_原始数据'!B95-OtherCost</f>
        <v/>
      </c>
      <c r="AD95" s="37">
        <f>'03_原始数据'!C95-0.685*'03_原始数据'!B95-OtherCost</f>
        <v/>
      </c>
      <c r="AE95" s="37">
        <f>'03_原始数据'!C95-0.69*'03_原始数据'!B95-OtherCost</f>
        <v/>
      </c>
      <c r="AF95" s="37">
        <f>'03_原始数据'!C95-0.695*'03_原始数据'!B95-OtherCost</f>
        <v/>
      </c>
      <c r="AG95" s="37">
        <f>'03_原始数据'!C95-0.7*'03_原始数据'!B95-OtherCost</f>
        <v/>
      </c>
    </row>
    <row r="96">
      <c r="M96" s="37">
        <f>'03_原始数据'!C96-0.6*'03_原始数据'!B96-OtherCost</f>
        <v/>
      </c>
      <c r="N96" s="37">
        <f>'03_原始数据'!C96-0.605*'03_原始数据'!B96-OtherCost</f>
        <v/>
      </c>
      <c r="O96" s="37">
        <f>'03_原始数据'!C96-0.61*'03_原始数据'!B96-OtherCost</f>
        <v/>
      </c>
      <c r="P96" s="37">
        <f>'03_原始数据'!C96-0.615*'03_原始数据'!B96-OtherCost</f>
        <v/>
      </c>
      <c r="Q96" s="37">
        <f>'03_原始数据'!C96-0.62*'03_原始数据'!B96-OtherCost</f>
        <v/>
      </c>
      <c r="R96" s="37">
        <f>'03_原始数据'!C96-0.625*'03_原始数据'!B96-OtherCost</f>
        <v/>
      </c>
      <c r="S96" s="37">
        <f>'03_原始数据'!C96-0.63*'03_原始数据'!B96-OtherCost</f>
        <v/>
      </c>
      <c r="T96" s="37">
        <f>'03_原始数据'!C96-0.635*'03_原始数据'!B96-OtherCost</f>
        <v/>
      </c>
      <c r="U96" s="37">
        <f>'03_原始数据'!C96-0.64*'03_原始数据'!B96-OtherCost</f>
        <v/>
      </c>
      <c r="V96" s="37">
        <f>'03_原始数据'!C96-0.645*'03_原始数据'!B96-OtherCost</f>
        <v/>
      </c>
      <c r="W96" s="37">
        <f>'03_原始数据'!C96-0.65*'03_原始数据'!B96-OtherCost</f>
        <v/>
      </c>
      <c r="X96" s="37">
        <f>'03_原始数据'!C96-0.655*'03_原始数据'!B96-OtherCost</f>
        <v/>
      </c>
      <c r="Y96" s="37">
        <f>'03_原始数据'!C96-0.66*'03_原始数据'!B96-OtherCost</f>
        <v/>
      </c>
      <c r="Z96" s="37">
        <f>'03_原始数据'!C96-0.665*'03_原始数据'!B96-OtherCost</f>
        <v/>
      </c>
      <c r="AA96" s="37">
        <f>'03_原始数据'!C96-0.67*'03_原始数据'!B96-OtherCost</f>
        <v/>
      </c>
      <c r="AB96" s="37">
        <f>'03_原始数据'!C96-0.675*'03_原始数据'!B96-OtherCost</f>
        <v/>
      </c>
      <c r="AC96" s="37">
        <f>'03_原始数据'!C96-0.68*'03_原始数据'!B96-OtherCost</f>
        <v/>
      </c>
      <c r="AD96" s="37">
        <f>'03_原始数据'!C96-0.685*'03_原始数据'!B96-OtherCost</f>
        <v/>
      </c>
      <c r="AE96" s="37">
        <f>'03_原始数据'!C96-0.69*'03_原始数据'!B96-OtherCost</f>
        <v/>
      </c>
      <c r="AF96" s="37">
        <f>'03_原始数据'!C96-0.695*'03_原始数据'!B96-OtherCost</f>
        <v/>
      </c>
      <c r="AG96" s="37">
        <f>'03_原始数据'!C96-0.7*'03_原始数据'!B96-OtherCost</f>
        <v/>
      </c>
    </row>
    <row r="97">
      <c r="M97" s="37">
        <f>'03_原始数据'!C97-0.6*'03_原始数据'!B97-OtherCost</f>
        <v/>
      </c>
      <c r="N97" s="37">
        <f>'03_原始数据'!C97-0.605*'03_原始数据'!B97-OtherCost</f>
        <v/>
      </c>
      <c r="O97" s="37">
        <f>'03_原始数据'!C97-0.61*'03_原始数据'!B97-OtherCost</f>
        <v/>
      </c>
      <c r="P97" s="37">
        <f>'03_原始数据'!C97-0.615*'03_原始数据'!B97-OtherCost</f>
        <v/>
      </c>
      <c r="Q97" s="37">
        <f>'03_原始数据'!C97-0.62*'03_原始数据'!B97-OtherCost</f>
        <v/>
      </c>
      <c r="R97" s="37">
        <f>'03_原始数据'!C97-0.625*'03_原始数据'!B97-OtherCost</f>
        <v/>
      </c>
      <c r="S97" s="37">
        <f>'03_原始数据'!C97-0.63*'03_原始数据'!B97-OtherCost</f>
        <v/>
      </c>
      <c r="T97" s="37">
        <f>'03_原始数据'!C97-0.635*'03_原始数据'!B97-OtherCost</f>
        <v/>
      </c>
      <c r="U97" s="37">
        <f>'03_原始数据'!C97-0.64*'03_原始数据'!B97-OtherCost</f>
        <v/>
      </c>
      <c r="V97" s="37">
        <f>'03_原始数据'!C97-0.645*'03_原始数据'!B97-OtherCost</f>
        <v/>
      </c>
      <c r="W97" s="37">
        <f>'03_原始数据'!C97-0.65*'03_原始数据'!B97-OtherCost</f>
        <v/>
      </c>
      <c r="X97" s="37">
        <f>'03_原始数据'!C97-0.655*'03_原始数据'!B97-OtherCost</f>
        <v/>
      </c>
      <c r="Y97" s="37">
        <f>'03_原始数据'!C97-0.66*'03_原始数据'!B97-OtherCost</f>
        <v/>
      </c>
      <c r="Z97" s="37">
        <f>'03_原始数据'!C97-0.665*'03_原始数据'!B97-OtherCost</f>
        <v/>
      </c>
      <c r="AA97" s="37">
        <f>'03_原始数据'!C97-0.67*'03_原始数据'!B97-OtherCost</f>
        <v/>
      </c>
      <c r="AB97" s="37">
        <f>'03_原始数据'!C97-0.675*'03_原始数据'!B97-OtherCost</f>
        <v/>
      </c>
      <c r="AC97" s="37">
        <f>'03_原始数据'!C97-0.68*'03_原始数据'!B97-OtherCost</f>
        <v/>
      </c>
      <c r="AD97" s="37">
        <f>'03_原始数据'!C97-0.685*'03_原始数据'!B97-OtherCost</f>
        <v/>
      </c>
      <c r="AE97" s="37">
        <f>'03_原始数据'!C97-0.69*'03_原始数据'!B97-OtherCost</f>
        <v/>
      </c>
      <c r="AF97" s="37">
        <f>'03_原始数据'!C97-0.695*'03_原始数据'!B97-OtherCost</f>
        <v/>
      </c>
      <c r="AG97" s="37">
        <f>'03_原始数据'!C97-0.7*'03_原始数据'!B97-OtherCost</f>
        <v/>
      </c>
    </row>
    <row r="98">
      <c r="M98" s="37">
        <f>'03_原始数据'!C98-0.6*'03_原始数据'!B98-OtherCost</f>
        <v/>
      </c>
      <c r="N98" s="37">
        <f>'03_原始数据'!C98-0.605*'03_原始数据'!B98-OtherCost</f>
        <v/>
      </c>
      <c r="O98" s="37">
        <f>'03_原始数据'!C98-0.61*'03_原始数据'!B98-OtherCost</f>
        <v/>
      </c>
      <c r="P98" s="37">
        <f>'03_原始数据'!C98-0.615*'03_原始数据'!B98-OtherCost</f>
        <v/>
      </c>
      <c r="Q98" s="37">
        <f>'03_原始数据'!C98-0.62*'03_原始数据'!B98-OtherCost</f>
        <v/>
      </c>
      <c r="R98" s="37">
        <f>'03_原始数据'!C98-0.625*'03_原始数据'!B98-OtherCost</f>
        <v/>
      </c>
      <c r="S98" s="37">
        <f>'03_原始数据'!C98-0.63*'03_原始数据'!B98-OtherCost</f>
        <v/>
      </c>
      <c r="T98" s="37">
        <f>'03_原始数据'!C98-0.635*'03_原始数据'!B98-OtherCost</f>
        <v/>
      </c>
      <c r="U98" s="37">
        <f>'03_原始数据'!C98-0.64*'03_原始数据'!B98-OtherCost</f>
        <v/>
      </c>
      <c r="V98" s="37">
        <f>'03_原始数据'!C98-0.645*'03_原始数据'!B98-OtherCost</f>
        <v/>
      </c>
      <c r="W98" s="37">
        <f>'03_原始数据'!C98-0.65*'03_原始数据'!B98-OtherCost</f>
        <v/>
      </c>
      <c r="X98" s="37">
        <f>'03_原始数据'!C98-0.655*'03_原始数据'!B98-OtherCost</f>
        <v/>
      </c>
      <c r="Y98" s="37">
        <f>'03_原始数据'!C98-0.66*'03_原始数据'!B98-OtherCost</f>
        <v/>
      </c>
      <c r="Z98" s="37">
        <f>'03_原始数据'!C98-0.665*'03_原始数据'!B98-OtherCost</f>
        <v/>
      </c>
      <c r="AA98" s="37">
        <f>'03_原始数据'!C98-0.67*'03_原始数据'!B98-OtherCost</f>
        <v/>
      </c>
      <c r="AB98" s="37">
        <f>'03_原始数据'!C98-0.675*'03_原始数据'!B98-OtherCost</f>
        <v/>
      </c>
      <c r="AC98" s="37">
        <f>'03_原始数据'!C98-0.68*'03_原始数据'!B98-OtherCost</f>
        <v/>
      </c>
      <c r="AD98" s="37">
        <f>'03_原始数据'!C98-0.685*'03_原始数据'!B98-OtherCost</f>
        <v/>
      </c>
      <c r="AE98" s="37">
        <f>'03_原始数据'!C98-0.69*'03_原始数据'!B98-OtherCost</f>
        <v/>
      </c>
      <c r="AF98" s="37">
        <f>'03_原始数据'!C98-0.695*'03_原始数据'!B98-OtherCost</f>
        <v/>
      </c>
      <c r="AG98" s="37">
        <f>'03_原始数据'!C98-0.7*'03_原始数据'!B98-OtherCost</f>
        <v/>
      </c>
    </row>
    <row r="99">
      <c r="M99" s="37">
        <f>'03_原始数据'!C99-0.6*'03_原始数据'!B99-OtherCost</f>
        <v/>
      </c>
      <c r="N99" s="37">
        <f>'03_原始数据'!C99-0.605*'03_原始数据'!B99-OtherCost</f>
        <v/>
      </c>
      <c r="O99" s="37">
        <f>'03_原始数据'!C99-0.61*'03_原始数据'!B99-OtherCost</f>
        <v/>
      </c>
      <c r="P99" s="37">
        <f>'03_原始数据'!C99-0.615*'03_原始数据'!B99-OtherCost</f>
        <v/>
      </c>
      <c r="Q99" s="37">
        <f>'03_原始数据'!C99-0.62*'03_原始数据'!B99-OtherCost</f>
        <v/>
      </c>
      <c r="R99" s="37">
        <f>'03_原始数据'!C99-0.625*'03_原始数据'!B99-OtherCost</f>
        <v/>
      </c>
      <c r="S99" s="37">
        <f>'03_原始数据'!C99-0.63*'03_原始数据'!B99-OtherCost</f>
        <v/>
      </c>
      <c r="T99" s="37">
        <f>'03_原始数据'!C99-0.635*'03_原始数据'!B99-OtherCost</f>
        <v/>
      </c>
      <c r="U99" s="37">
        <f>'03_原始数据'!C99-0.64*'03_原始数据'!B99-OtherCost</f>
        <v/>
      </c>
      <c r="V99" s="37">
        <f>'03_原始数据'!C99-0.645*'03_原始数据'!B99-OtherCost</f>
        <v/>
      </c>
      <c r="W99" s="37">
        <f>'03_原始数据'!C99-0.65*'03_原始数据'!B99-OtherCost</f>
        <v/>
      </c>
      <c r="X99" s="37">
        <f>'03_原始数据'!C99-0.655*'03_原始数据'!B99-OtherCost</f>
        <v/>
      </c>
      <c r="Y99" s="37">
        <f>'03_原始数据'!C99-0.66*'03_原始数据'!B99-OtherCost</f>
        <v/>
      </c>
      <c r="Z99" s="37">
        <f>'03_原始数据'!C99-0.665*'03_原始数据'!B99-OtherCost</f>
        <v/>
      </c>
      <c r="AA99" s="37">
        <f>'03_原始数据'!C99-0.67*'03_原始数据'!B99-OtherCost</f>
        <v/>
      </c>
      <c r="AB99" s="37">
        <f>'03_原始数据'!C99-0.675*'03_原始数据'!B99-OtherCost</f>
        <v/>
      </c>
      <c r="AC99" s="37">
        <f>'03_原始数据'!C99-0.68*'03_原始数据'!B99-OtherCost</f>
        <v/>
      </c>
      <c r="AD99" s="37">
        <f>'03_原始数据'!C99-0.685*'03_原始数据'!B99-OtherCost</f>
        <v/>
      </c>
      <c r="AE99" s="37">
        <f>'03_原始数据'!C99-0.69*'03_原始数据'!B99-OtherCost</f>
        <v/>
      </c>
      <c r="AF99" s="37">
        <f>'03_原始数据'!C99-0.695*'03_原始数据'!B99-OtherCost</f>
        <v/>
      </c>
      <c r="AG99" s="37">
        <f>'03_原始数据'!C99-0.7*'03_原始数据'!B99-OtherCost</f>
        <v/>
      </c>
    </row>
    <row r="100">
      <c r="M100" s="37">
        <f>'03_原始数据'!C100-0.6*'03_原始数据'!B100-OtherCost</f>
        <v/>
      </c>
      <c r="N100" s="37">
        <f>'03_原始数据'!C100-0.605*'03_原始数据'!B100-OtherCost</f>
        <v/>
      </c>
      <c r="O100" s="37">
        <f>'03_原始数据'!C100-0.61*'03_原始数据'!B100-OtherCost</f>
        <v/>
      </c>
      <c r="P100" s="37">
        <f>'03_原始数据'!C100-0.615*'03_原始数据'!B100-OtherCost</f>
        <v/>
      </c>
      <c r="Q100" s="37">
        <f>'03_原始数据'!C100-0.62*'03_原始数据'!B100-OtherCost</f>
        <v/>
      </c>
      <c r="R100" s="37">
        <f>'03_原始数据'!C100-0.625*'03_原始数据'!B100-OtherCost</f>
        <v/>
      </c>
      <c r="S100" s="37">
        <f>'03_原始数据'!C100-0.63*'03_原始数据'!B100-OtherCost</f>
        <v/>
      </c>
      <c r="T100" s="37">
        <f>'03_原始数据'!C100-0.635*'03_原始数据'!B100-OtherCost</f>
        <v/>
      </c>
      <c r="U100" s="37">
        <f>'03_原始数据'!C100-0.64*'03_原始数据'!B100-OtherCost</f>
        <v/>
      </c>
      <c r="V100" s="37">
        <f>'03_原始数据'!C100-0.645*'03_原始数据'!B100-OtherCost</f>
        <v/>
      </c>
      <c r="W100" s="37">
        <f>'03_原始数据'!C100-0.65*'03_原始数据'!B100-OtherCost</f>
        <v/>
      </c>
      <c r="X100" s="37">
        <f>'03_原始数据'!C100-0.655*'03_原始数据'!B100-OtherCost</f>
        <v/>
      </c>
      <c r="Y100" s="37">
        <f>'03_原始数据'!C100-0.66*'03_原始数据'!B100-OtherCost</f>
        <v/>
      </c>
      <c r="Z100" s="37">
        <f>'03_原始数据'!C100-0.665*'03_原始数据'!B100-OtherCost</f>
        <v/>
      </c>
      <c r="AA100" s="37">
        <f>'03_原始数据'!C100-0.67*'03_原始数据'!B100-OtherCost</f>
        <v/>
      </c>
      <c r="AB100" s="37">
        <f>'03_原始数据'!C100-0.675*'03_原始数据'!B100-OtherCost</f>
        <v/>
      </c>
      <c r="AC100" s="37">
        <f>'03_原始数据'!C100-0.68*'03_原始数据'!B100-OtherCost</f>
        <v/>
      </c>
      <c r="AD100" s="37">
        <f>'03_原始数据'!C100-0.685*'03_原始数据'!B100-OtherCost</f>
        <v/>
      </c>
      <c r="AE100" s="37">
        <f>'03_原始数据'!C100-0.69*'03_原始数据'!B100-OtherCost</f>
        <v/>
      </c>
      <c r="AF100" s="37">
        <f>'03_原始数据'!C100-0.695*'03_原始数据'!B100-OtherCost</f>
        <v/>
      </c>
      <c r="AG100" s="37">
        <f>'03_原始数据'!C100-0.7*'03_原始数据'!B100-OtherCost</f>
        <v/>
      </c>
    </row>
    <row r="101">
      <c r="M101" s="37">
        <f>'03_原始数据'!C101-0.6*'03_原始数据'!B101-OtherCost</f>
        <v/>
      </c>
      <c r="N101" s="37">
        <f>'03_原始数据'!C101-0.605*'03_原始数据'!B101-OtherCost</f>
        <v/>
      </c>
      <c r="O101" s="37">
        <f>'03_原始数据'!C101-0.61*'03_原始数据'!B101-OtherCost</f>
        <v/>
      </c>
      <c r="P101" s="37">
        <f>'03_原始数据'!C101-0.615*'03_原始数据'!B101-OtherCost</f>
        <v/>
      </c>
      <c r="Q101" s="37">
        <f>'03_原始数据'!C101-0.62*'03_原始数据'!B101-OtherCost</f>
        <v/>
      </c>
      <c r="R101" s="37">
        <f>'03_原始数据'!C101-0.625*'03_原始数据'!B101-OtherCost</f>
        <v/>
      </c>
      <c r="S101" s="37">
        <f>'03_原始数据'!C101-0.63*'03_原始数据'!B101-OtherCost</f>
        <v/>
      </c>
      <c r="T101" s="37">
        <f>'03_原始数据'!C101-0.635*'03_原始数据'!B101-OtherCost</f>
        <v/>
      </c>
      <c r="U101" s="37">
        <f>'03_原始数据'!C101-0.64*'03_原始数据'!B101-OtherCost</f>
        <v/>
      </c>
      <c r="V101" s="37">
        <f>'03_原始数据'!C101-0.645*'03_原始数据'!B101-OtherCost</f>
        <v/>
      </c>
      <c r="W101" s="37">
        <f>'03_原始数据'!C101-0.65*'03_原始数据'!B101-OtherCost</f>
        <v/>
      </c>
      <c r="X101" s="37">
        <f>'03_原始数据'!C101-0.655*'03_原始数据'!B101-OtherCost</f>
        <v/>
      </c>
      <c r="Y101" s="37">
        <f>'03_原始数据'!C101-0.66*'03_原始数据'!B101-OtherCost</f>
        <v/>
      </c>
      <c r="Z101" s="37">
        <f>'03_原始数据'!C101-0.665*'03_原始数据'!B101-OtherCost</f>
        <v/>
      </c>
      <c r="AA101" s="37">
        <f>'03_原始数据'!C101-0.67*'03_原始数据'!B101-OtherCost</f>
        <v/>
      </c>
      <c r="AB101" s="37">
        <f>'03_原始数据'!C101-0.675*'03_原始数据'!B101-OtherCost</f>
        <v/>
      </c>
      <c r="AC101" s="37">
        <f>'03_原始数据'!C101-0.68*'03_原始数据'!B101-OtherCost</f>
        <v/>
      </c>
      <c r="AD101" s="37">
        <f>'03_原始数据'!C101-0.685*'03_原始数据'!B101-OtherCost</f>
        <v/>
      </c>
      <c r="AE101" s="37">
        <f>'03_原始数据'!C101-0.69*'03_原始数据'!B101-OtherCost</f>
        <v/>
      </c>
      <c r="AF101" s="37">
        <f>'03_原始数据'!C101-0.695*'03_原始数据'!B101-OtherCost</f>
        <v/>
      </c>
      <c r="AG101" s="37">
        <f>'03_原始数据'!C101-0.7*'03_原始数据'!B101-OtherCost</f>
        <v/>
      </c>
    </row>
    <row r="102">
      <c r="M102" s="37">
        <f>'03_原始数据'!C102-0.6*'03_原始数据'!B102-OtherCost</f>
        <v/>
      </c>
      <c r="N102" s="37">
        <f>'03_原始数据'!C102-0.605*'03_原始数据'!B102-OtherCost</f>
        <v/>
      </c>
      <c r="O102" s="37">
        <f>'03_原始数据'!C102-0.61*'03_原始数据'!B102-OtherCost</f>
        <v/>
      </c>
      <c r="P102" s="37">
        <f>'03_原始数据'!C102-0.615*'03_原始数据'!B102-OtherCost</f>
        <v/>
      </c>
      <c r="Q102" s="37">
        <f>'03_原始数据'!C102-0.62*'03_原始数据'!B102-OtherCost</f>
        <v/>
      </c>
      <c r="R102" s="37">
        <f>'03_原始数据'!C102-0.625*'03_原始数据'!B102-OtherCost</f>
        <v/>
      </c>
      <c r="S102" s="37">
        <f>'03_原始数据'!C102-0.63*'03_原始数据'!B102-OtherCost</f>
        <v/>
      </c>
      <c r="T102" s="37">
        <f>'03_原始数据'!C102-0.635*'03_原始数据'!B102-OtherCost</f>
        <v/>
      </c>
      <c r="U102" s="37">
        <f>'03_原始数据'!C102-0.64*'03_原始数据'!B102-OtherCost</f>
        <v/>
      </c>
      <c r="V102" s="37">
        <f>'03_原始数据'!C102-0.645*'03_原始数据'!B102-OtherCost</f>
        <v/>
      </c>
      <c r="W102" s="37">
        <f>'03_原始数据'!C102-0.65*'03_原始数据'!B102-OtherCost</f>
        <v/>
      </c>
      <c r="X102" s="37">
        <f>'03_原始数据'!C102-0.655*'03_原始数据'!B102-OtherCost</f>
        <v/>
      </c>
      <c r="Y102" s="37">
        <f>'03_原始数据'!C102-0.66*'03_原始数据'!B102-OtherCost</f>
        <v/>
      </c>
      <c r="Z102" s="37">
        <f>'03_原始数据'!C102-0.665*'03_原始数据'!B102-OtherCost</f>
        <v/>
      </c>
      <c r="AA102" s="37">
        <f>'03_原始数据'!C102-0.67*'03_原始数据'!B102-OtherCost</f>
        <v/>
      </c>
      <c r="AB102" s="37">
        <f>'03_原始数据'!C102-0.675*'03_原始数据'!B102-OtherCost</f>
        <v/>
      </c>
      <c r="AC102" s="37">
        <f>'03_原始数据'!C102-0.68*'03_原始数据'!B102-OtherCost</f>
        <v/>
      </c>
      <c r="AD102" s="37">
        <f>'03_原始数据'!C102-0.685*'03_原始数据'!B102-OtherCost</f>
        <v/>
      </c>
      <c r="AE102" s="37">
        <f>'03_原始数据'!C102-0.69*'03_原始数据'!B102-OtherCost</f>
        <v/>
      </c>
      <c r="AF102" s="37">
        <f>'03_原始数据'!C102-0.695*'03_原始数据'!B102-OtherCost</f>
        <v/>
      </c>
      <c r="AG102" s="37">
        <f>'03_原始数据'!C102-0.7*'03_原始数据'!B102-OtherCost</f>
        <v/>
      </c>
    </row>
    <row r="103">
      <c r="M103" s="37">
        <f>'03_原始数据'!C103-0.6*'03_原始数据'!B103-OtherCost</f>
        <v/>
      </c>
      <c r="N103" s="37">
        <f>'03_原始数据'!C103-0.605*'03_原始数据'!B103-OtherCost</f>
        <v/>
      </c>
      <c r="O103" s="37">
        <f>'03_原始数据'!C103-0.61*'03_原始数据'!B103-OtherCost</f>
        <v/>
      </c>
      <c r="P103" s="37">
        <f>'03_原始数据'!C103-0.615*'03_原始数据'!B103-OtherCost</f>
        <v/>
      </c>
      <c r="Q103" s="37">
        <f>'03_原始数据'!C103-0.62*'03_原始数据'!B103-OtherCost</f>
        <v/>
      </c>
      <c r="R103" s="37">
        <f>'03_原始数据'!C103-0.625*'03_原始数据'!B103-OtherCost</f>
        <v/>
      </c>
      <c r="S103" s="37">
        <f>'03_原始数据'!C103-0.63*'03_原始数据'!B103-OtherCost</f>
        <v/>
      </c>
      <c r="T103" s="37">
        <f>'03_原始数据'!C103-0.635*'03_原始数据'!B103-OtherCost</f>
        <v/>
      </c>
      <c r="U103" s="37">
        <f>'03_原始数据'!C103-0.64*'03_原始数据'!B103-OtherCost</f>
        <v/>
      </c>
      <c r="V103" s="37">
        <f>'03_原始数据'!C103-0.645*'03_原始数据'!B103-OtherCost</f>
        <v/>
      </c>
      <c r="W103" s="37">
        <f>'03_原始数据'!C103-0.65*'03_原始数据'!B103-OtherCost</f>
        <v/>
      </c>
      <c r="X103" s="37">
        <f>'03_原始数据'!C103-0.655*'03_原始数据'!B103-OtherCost</f>
        <v/>
      </c>
      <c r="Y103" s="37">
        <f>'03_原始数据'!C103-0.66*'03_原始数据'!B103-OtherCost</f>
        <v/>
      </c>
      <c r="Z103" s="37">
        <f>'03_原始数据'!C103-0.665*'03_原始数据'!B103-OtherCost</f>
        <v/>
      </c>
      <c r="AA103" s="37">
        <f>'03_原始数据'!C103-0.67*'03_原始数据'!B103-OtherCost</f>
        <v/>
      </c>
      <c r="AB103" s="37">
        <f>'03_原始数据'!C103-0.675*'03_原始数据'!B103-OtherCost</f>
        <v/>
      </c>
      <c r="AC103" s="37">
        <f>'03_原始数据'!C103-0.68*'03_原始数据'!B103-OtherCost</f>
        <v/>
      </c>
      <c r="AD103" s="37">
        <f>'03_原始数据'!C103-0.685*'03_原始数据'!B103-OtherCost</f>
        <v/>
      </c>
      <c r="AE103" s="37">
        <f>'03_原始数据'!C103-0.69*'03_原始数据'!B103-OtherCost</f>
        <v/>
      </c>
      <c r="AF103" s="37">
        <f>'03_原始数据'!C103-0.695*'03_原始数据'!B103-OtherCost</f>
        <v/>
      </c>
      <c r="AG103" s="37">
        <f>'03_原始数据'!C103-0.7*'03_原始数据'!B103-OtherCost</f>
        <v/>
      </c>
    </row>
    <row r="104">
      <c r="M104" s="37">
        <f>'03_原始数据'!C104-0.6*'03_原始数据'!B104-OtherCost</f>
        <v/>
      </c>
      <c r="N104" s="37">
        <f>'03_原始数据'!C104-0.605*'03_原始数据'!B104-OtherCost</f>
        <v/>
      </c>
      <c r="O104" s="37">
        <f>'03_原始数据'!C104-0.61*'03_原始数据'!B104-OtherCost</f>
        <v/>
      </c>
      <c r="P104" s="37">
        <f>'03_原始数据'!C104-0.615*'03_原始数据'!B104-OtherCost</f>
        <v/>
      </c>
      <c r="Q104" s="37">
        <f>'03_原始数据'!C104-0.62*'03_原始数据'!B104-OtherCost</f>
        <v/>
      </c>
      <c r="R104" s="37">
        <f>'03_原始数据'!C104-0.625*'03_原始数据'!B104-OtherCost</f>
        <v/>
      </c>
      <c r="S104" s="37">
        <f>'03_原始数据'!C104-0.63*'03_原始数据'!B104-OtherCost</f>
        <v/>
      </c>
      <c r="T104" s="37">
        <f>'03_原始数据'!C104-0.635*'03_原始数据'!B104-OtherCost</f>
        <v/>
      </c>
      <c r="U104" s="37">
        <f>'03_原始数据'!C104-0.64*'03_原始数据'!B104-OtherCost</f>
        <v/>
      </c>
      <c r="V104" s="37">
        <f>'03_原始数据'!C104-0.645*'03_原始数据'!B104-OtherCost</f>
        <v/>
      </c>
      <c r="W104" s="37">
        <f>'03_原始数据'!C104-0.65*'03_原始数据'!B104-OtherCost</f>
        <v/>
      </c>
      <c r="X104" s="37">
        <f>'03_原始数据'!C104-0.655*'03_原始数据'!B104-OtherCost</f>
        <v/>
      </c>
      <c r="Y104" s="37">
        <f>'03_原始数据'!C104-0.66*'03_原始数据'!B104-OtherCost</f>
        <v/>
      </c>
      <c r="Z104" s="37">
        <f>'03_原始数据'!C104-0.665*'03_原始数据'!B104-OtherCost</f>
        <v/>
      </c>
      <c r="AA104" s="37">
        <f>'03_原始数据'!C104-0.67*'03_原始数据'!B104-OtherCost</f>
        <v/>
      </c>
      <c r="AB104" s="37">
        <f>'03_原始数据'!C104-0.675*'03_原始数据'!B104-OtherCost</f>
        <v/>
      </c>
      <c r="AC104" s="37">
        <f>'03_原始数据'!C104-0.68*'03_原始数据'!B104-OtherCost</f>
        <v/>
      </c>
      <c r="AD104" s="37">
        <f>'03_原始数据'!C104-0.685*'03_原始数据'!B104-OtherCost</f>
        <v/>
      </c>
      <c r="AE104" s="37">
        <f>'03_原始数据'!C104-0.69*'03_原始数据'!B104-OtherCost</f>
        <v/>
      </c>
      <c r="AF104" s="37">
        <f>'03_原始数据'!C104-0.695*'03_原始数据'!B104-OtherCost</f>
        <v/>
      </c>
      <c r="AG104" s="37">
        <f>'03_原始数据'!C104-0.7*'03_原始数据'!B104-OtherCost</f>
        <v/>
      </c>
    </row>
    <row r="105">
      <c r="M105" s="37">
        <f>'03_原始数据'!C105-0.6*'03_原始数据'!B105-OtherCost</f>
        <v/>
      </c>
      <c r="N105" s="37">
        <f>'03_原始数据'!C105-0.605*'03_原始数据'!B105-OtherCost</f>
        <v/>
      </c>
      <c r="O105" s="37">
        <f>'03_原始数据'!C105-0.61*'03_原始数据'!B105-OtherCost</f>
        <v/>
      </c>
      <c r="P105" s="37">
        <f>'03_原始数据'!C105-0.615*'03_原始数据'!B105-OtherCost</f>
        <v/>
      </c>
      <c r="Q105" s="37">
        <f>'03_原始数据'!C105-0.62*'03_原始数据'!B105-OtherCost</f>
        <v/>
      </c>
      <c r="R105" s="37">
        <f>'03_原始数据'!C105-0.625*'03_原始数据'!B105-OtherCost</f>
        <v/>
      </c>
      <c r="S105" s="37">
        <f>'03_原始数据'!C105-0.63*'03_原始数据'!B105-OtherCost</f>
        <v/>
      </c>
      <c r="T105" s="37">
        <f>'03_原始数据'!C105-0.635*'03_原始数据'!B105-OtherCost</f>
        <v/>
      </c>
      <c r="U105" s="37">
        <f>'03_原始数据'!C105-0.64*'03_原始数据'!B105-OtherCost</f>
        <v/>
      </c>
      <c r="V105" s="37">
        <f>'03_原始数据'!C105-0.645*'03_原始数据'!B105-OtherCost</f>
        <v/>
      </c>
      <c r="W105" s="37">
        <f>'03_原始数据'!C105-0.65*'03_原始数据'!B105-OtherCost</f>
        <v/>
      </c>
      <c r="X105" s="37">
        <f>'03_原始数据'!C105-0.655*'03_原始数据'!B105-OtherCost</f>
        <v/>
      </c>
      <c r="Y105" s="37">
        <f>'03_原始数据'!C105-0.66*'03_原始数据'!B105-OtherCost</f>
        <v/>
      </c>
      <c r="Z105" s="37">
        <f>'03_原始数据'!C105-0.665*'03_原始数据'!B105-OtherCost</f>
        <v/>
      </c>
      <c r="AA105" s="37">
        <f>'03_原始数据'!C105-0.67*'03_原始数据'!B105-OtherCost</f>
        <v/>
      </c>
      <c r="AB105" s="37">
        <f>'03_原始数据'!C105-0.675*'03_原始数据'!B105-OtherCost</f>
        <v/>
      </c>
      <c r="AC105" s="37">
        <f>'03_原始数据'!C105-0.68*'03_原始数据'!B105-OtherCost</f>
        <v/>
      </c>
      <c r="AD105" s="37">
        <f>'03_原始数据'!C105-0.685*'03_原始数据'!B105-OtherCost</f>
        <v/>
      </c>
      <c r="AE105" s="37">
        <f>'03_原始数据'!C105-0.69*'03_原始数据'!B105-OtherCost</f>
        <v/>
      </c>
      <c r="AF105" s="37">
        <f>'03_原始数据'!C105-0.695*'03_原始数据'!B105-OtherCost</f>
        <v/>
      </c>
      <c r="AG105" s="37">
        <f>'03_原始数据'!C105-0.7*'03_原始数据'!B105-OtherCost</f>
        <v/>
      </c>
    </row>
    <row r="106">
      <c r="M106" s="37">
        <f>'03_原始数据'!C106-0.6*'03_原始数据'!B106-OtherCost</f>
        <v/>
      </c>
      <c r="N106" s="37">
        <f>'03_原始数据'!C106-0.605*'03_原始数据'!B106-OtherCost</f>
        <v/>
      </c>
      <c r="O106" s="37">
        <f>'03_原始数据'!C106-0.61*'03_原始数据'!B106-OtherCost</f>
        <v/>
      </c>
      <c r="P106" s="37">
        <f>'03_原始数据'!C106-0.615*'03_原始数据'!B106-OtherCost</f>
        <v/>
      </c>
      <c r="Q106" s="37">
        <f>'03_原始数据'!C106-0.62*'03_原始数据'!B106-OtherCost</f>
        <v/>
      </c>
      <c r="R106" s="37">
        <f>'03_原始数据'!C106-0.625*'03_原始数据'!B106-OtherCost</f>
        <v/>
      </c>
      <c r="S106" s="37">
        <f>'03_原始数据'!C106-0.63*'03_原始数据'!B106-OtherCost</f>
        <v/>
      </c>
      <c r="T106" s="37">
        <f>'03_原始数据'!C106-0.635*'03_原始数据'!B106-OtherCost</f>
        <v/>
      </c>
      <c r="U106" s="37">
        <f>'03_原始数据'!C106-0.64*'03_原始数据'!B106-OtherCost</f>
        <v/>
      </c>
      <c r="V106" s="37">
        <f>'03_原始数据'!C106-0.645*'03_原始数据'!B106-OtherCost</f>
        <v/>
      </c>
      <c r="W106" s="37">
        <f>'03_原始数据'!C106-0.65*'03_原始数据'!B106-OtherCost</f>
        <v/>
      </c>
      <c r="X106" s="37">
        <f>'03_原始数据'!C106-0.655*'03_原始数据'!B106-OtherCost</f>
        <v/>
      </c>
      <c r="Y106" s="37">
        <f>'03_原始数据'!C106-0.66*'03_原始数据'!B106-OtherCost</f>
        <v/>
      </c>
      <c r="Z106" s="37">
        <f>'03_原始数据'!C106-0.665*'03_原始数据'!B106-OtherCost</f>
        <v/>
      </c>
      <c r="AA106" s="37">
        <f>'03_原始数据'!C106-0.67*'03_原始数据'!B106-OtherCost</f>
        <v/>
      </c>
      <c r="AB106" s="37">
        <f>'03_原始数据'!C106-0.675*'03_原始数据'!B106-OtherCost</f>
        <v/>
      </c>
      <c r="AC106" s="37">
        <f>'03_原始数据'!C106-0.68*'03_原始数据'!B106-OtherCost</f>
        <v/>
      </c>
      <c r="AD106" s="37">
        <f>'03_原始数据'!C106-0.685*'03_原始数据'!B106-OtherCost</f>
        <v/>
      </c>
      <c r="AE106" s="37">
        <f>'03_原始数据'!C106-0.69*'03_原始数据'!B106-OtherCost</f>
        <v/>
      </c>
      <c r="AF106" s="37">
        <f>'03_原始数据'!C106-0.695*'03_原始数据'!B106-OtherCost</f>
        <v/>
      </c>
      <c r="AG106" s="37">
        <f>'03_原始数据'!C106-0.7*'03_原始数据'!B106-OtherCost</f>
        <v/>
      </c>
    </row>
    <row r="107">
      <c r="M107" s="37">
        <f>'03_原始数据'!C107-0.6*'03_原始数据'!B107-OtherCost</f>
        <v/>
      </c>
      <c r="N107" s="37">
        <f>'03_原始数据'!C107-0.605*'03_原始数据'!B107-OtherCost</f>
        <v/>
      </c>
      <c r="O107" s="37">
        <f>'03_原始数据'!C107-0.61*'03_原始数据'!B107-OtherCost</f>
        <v/>
      </c>
      <c r="P107" s="37">
        <f>'03_原始数据'!C107-0.615*'03_原始数据'!B107-OtherCost</f>
        <v/>
      </c>
      <c r="Q107" s="37">
        <f>'03_原始数据'!C107-0.62*'03_原始数据'!B107-OtherCost</f>
        <v/>
      </c>
      <c r="R107" s="37">
        <f>'03_原始数据'!C107-0.625*'03_原始数据'!B107-OtherCost</f>
        <v/>
      </c>
      <c r="S107" s="37">
        <f>'03_原始数据'!C107-0.63*'03_原始数据'!B107-OtherCost</f>
        <v/>
      </c>
      <c r="T107" s="37">
        <f>'03_原始数据'!C107-0.635*'03_原始数据'!B107-OtherCost</f>
        <v/>
      </c>
      <c r="U107" s="37">
        <f>'03_原始数据'!C107-0.64*'03_原始数据'!B107-OtherCost</f>
        <v/>
      </c>
      <c r="V107" s="37">
        <f>'03_原始数据'!C107-0.645*'03_原始数据'!B107-OtherCost</f>
        <v/>
      </c>
      <c r="W107" s="37">
        <f>'03_原始数据'!C107-0.65*'03_原始数据'!B107-OtherCost</f>
        <v/>
      </c>
      <c r="X107" s="37">
        <f>'03_原始数据'!C107-0.655*'03_原始数据'!B107-OtherCost</f>
        <v/>
      </c>
      <c r="Y107" s="37">
        <f>'03_原始数据'!C107-0.66*'03_原始数据'!B107-OtherCost</f>
        <v/>
      </c>
      <c r="Z107" s="37">
        <f>'03_原始数据'!C107-0.665*'03_原始数据'!B107-OtherCost</f>
        <v/>
      </c>
      <c r="AA107" s="37">
        <f>'03_原始数据'!C107-0.67*'03_原始数据'!B107-OtherCost</f>
        <v/>
      </c>
      <c r="AB107" s="37">
        <f>'03_原始数据'!C107-0.675*'03_原始数据'!B107-OtherCost</f>
        <v/>
      </c>
      <c r="AC107" s="37">
        <f>'03_原始数据'!C107-0.68*'03_原始数据'!B107-OtherCost</f>
        <v/>
      </c>
      <c r="AD107" s="37">
        <f>'03_原始数据'!C107-0.685*'03_原始数据'!B107-OtherCost</f>
        <v/>
      </c>
      <c r="AE107" s="37">
        <f>'03_原始数据'!C107-0.69*'03_原始数据'!B107-OtherCost</f>
        <v/>
      </c>
      <c r="AF107" s="37">
        <f>'03_原始数据'!C107-0.695*'03_原始数据'!B107-OtherCost</f>
        <v/>
      </c>
      <c r="AG107" s="37">
        <f>'03_原始数据'!C107-0.7*'03_原始数据'!B107-OtherCost</f>
        <v/>
      </c>
    </row>
    <row r="108">
      <c r="M108" s="37">
        <f>'03_原始数据'!C108-0.6*'03_原始数据'!B108-OtherCost</f>
        <v/>
      </c>
      <c r="N108" s="37">
        <f>'03_原始数据'!C108-0.605*'03_原始数据'!B108-OtherCost</f>
        <v/>
      </c>
      <c r="O108" s="37">
        <f>'03_原始数据'!C108-0.61*'03_原始数据'!B108-OtherCost</f>
        <v/>
      </c>
      <c r="P108" s="37">
        <f>'03_原始数据'!C108-0.615*'03_原始数据'!B108-OtherCost</f>
        <v/>
      </c>
      <c r="Q108" s="37">
        <f>'03_原始数据'!C108-0.62*'03_原始数据'!B108-OtherCost</f>
        <v/>
      </c>
      <c r="R108" s="37">
        <f>'03_原始数据'!C108-0.625*'03_原始数据'!B108-OtherCost</f>
        <v/>
      </c>
      <c r="S108" s="37">
        <f>'03_原始数据'!C108-0.63*'03_原始数据'!B108-OtherCost</f>
        <v/>
      </c>
      <c r="T108" s="37">
        <f>'03_原始数据'!C108-0.635*'03_原始数据'!B108-OtherCost</f>
        <v/>
      </c>
      <c r="U108" s="37">
        <f>'03_原始数据'!C108-0.64*'03_原始数据'!B108-OtherCost</f>
        <v/>
      </c>
      <c r="V108" s="37">
        <f>'03_原始数据'!C108-0.645*'03_原始数据'!B108-OtherCost</f>
        <v/>
      </c>
      <c r="W108" s="37">
        <f>'03_原始数据'!C108-0.65*'03_原始数据'!B108-OtherCost</f>
        <v/>
      </c>
      <c r="X108" s="37">
        <f>'03_原始数据'!C108-0.655*'03_原始数据'!B108-OtherCost</f>
        <v/>
      </c>
      <c r="Y108" s="37">
        <f>'03_原始数据'!C108-0.66*'03_原始数据'!B108-OtherCost</f>
        <v/>
      </c>
      <c r="Z108" s="37">
        <f>'03_原始数据'!C108-0.665*'03_原始数据'!B108-OtherCost</f>
        <v/>
      </c>
      <c r="AA108" s="37">
        <f>'03_原始数据'!C108-0.67*'03_原始数据'!B108-OtherCost</f>
        <v/>
      </c>
      <c r="AB108" s="37">
        <f>'03_原始数据'!C108-0.675*'03_原始数据'!B108-OtherCost</f>
        <v/>
      </c>
      <c r="AC108" s="37">
        <f>'03_原始数据'!C108-0.68*'03_原始数据'!B108-OtherCost</f>
        <v/>
      </c>
      <c r="AD108" s="37">
        <f>'03_原始数据'!C108-0.685*'03_原始数据'!B108-OtherCost</f>
        <v/>
      </c>
      <c r="AE108" s="37">
        <f>'03_原始数据'!C108-0.69*'03_原始数据'!B108-OtherCost</f>
        <v/>
      </c>
      <c r="AF108" s="37">
        <f>'03_原始数据'!C108-0.695*'03_原始数据'!B108-OtherCost</f>
        <v/>
      </c>
      <c r="AG108" s="37">
        <f>'03_原始数据'!C108-0.7*'03_原始数据'!B108-OtherCost</f>
        <v/>
      </c>
    </row>
    <row r="109">
      <c r="M109" s="37">
        <f>'03_原始数据'!C109-0.6*'03_原始数据'!B109-OtherCost</f>
        <v/>
      </c>
      <c r="N109" s="37">
        <f>'03_原始数据'!C109-0.605*'03_原始数据'!B109-OtherCost</f>
        <v/>
      </c>
      <c r="O109" s="37">
        <f>'03_原始数据'!C109-0.61*'03_原始数据'!B109-OtherCost</f>
        <v/>
      </c>
      <c r="P109" s="37">
        <f>'03_原始数据'!C109-0.615*'03_原始数据'!B109-OtherCost</f>
        <v/>
      </c>
      <c r="Q109" s="37">
        <f>'03_原始数据'!C109-0.62*'03_原始数据'!B109-OtherCost</f>
        <v/>
      </c>
      <c r="R109" s="37">
        <f>'03_原始数据'!C109-0.625*'03_原始数据'!B109-OtherCost</f>
        <v/>
      </c>
      <c r="S109" s="37">
        <f>'03_原始数据'!C109-0.63*'03_原始数据'!B109-OtherCost</f>
        <v/>
      </c>
      <c r="T109" s="37">
        <f>'03_原始数据'!C109-0.635*'03_原始数据'!B109-OtherCost</f>
        <v/>
      </c>
      <c r="U109" s="37">
        <f>'03_原始数据'!C109-0.64*'03_原始数据'!B109-OtherCost</f>
        <v/>
      </c>
      <c r="V109" s="37">
        <f>'03_原始数据'!C109-0.645*'03_原始数据'!B109-OtherCost</f>
        <v/>
      </c>
      <c r="W109" s="37">
        <f>'03_原始数据'!C109-0.65*'03_原始数据'!B109-OtherCost</f>
        <v/>
      </c>
      <c r="X109" s="37">
        <f>'03_原始数据'!C109-0.655*'03_原始数据'!B109-OtherCost</f>
        <v/>
      </c>
      <c r="Y109" s="37">
        <f>'03_原始数据'!C109-0.66*'03_原始数据'!B109-OtherCost</f>
        <v/>
      </c>
      <c r="Z109" s="37">
        <f>'03_原始数据'!C109-0.665*'03_原始数据'!B109-OtherCost</f>
        <v/>
      </c>
      <c r="AA109" s="37">
        <f>'03_原始数据'!C109-0.67*'03_原始数据'!B109-OtherCost</f>
        <v/>
      </c>
      <c r="AB109" s="37">
        <f>'03_原始数据'!C109-0.675*'03_原始数据'!B109-OtherCost</f>
        <v/>
      </c>
      <c r="AC109" s="37">
        <f>'03_原始数据'!C109-0.68*'03_原始数据'!B109-OtherCost</f>
        <v/>
      </c>
      <c r="AD109" s="37">
        <f>'03_原始数据'!C109-0.685*'03_原始数据'!B109-OtherCost</f>
        <v/>
      </c>
      <c r="AE109" s="37">
        <f>'03_原始数据'!C109-0.69*'03_原始数据'!B109-OtherCost</f>
        <v/>
      </c>
      <c r="AF109" s="37">
        <f>'03_原始数据'!C109-0.695*'03_原始数据'!B109-OtherCost</f>
        <v/>
      </c>
      <c r="AG109" s="37">
        <f>'03_原始数据'!C109-0.7*'03_原始数据'!B109-OtherCost</f>
        <v/>
      </c>
    </row>
    <row r="110">
      <c r="M110" s="37">
        <f>'03_原始数据'!C110-0.6*'03_原始数据'!B110-OtherCost</f>
        <v/>
      </c>
      <c r="N110" s="37">
        <f>'03_原始数据'!C110-0.605*'03_原始数据'!B110-OtherCost</f>
        <v/>
      </c>
      <c r="O110" s="37">
        <f>'03_原始数据'!C110-0.61*'03_原始数据'!B110-OtherCost</f>
        <v/>
      </c>
      <c r="P110" s="37">
        <f>'03_原始数据'!C110-0.615*'03_原始数据'!B110-OtherCost</f>
        <v/>
      </c>
      <c r="Q110" s="37">
        <f>'03_原始数据'!C110-0.62*'03_原始数据'!B110-OtherCost</f>
        <v/>
      </c>
      <c r="R110" s="37">
        <f>'03_原始数据'!C110-0.625*'03_原始数据'!B110-OtherCost</f>
        <v/>
      </c>
      <c r="S110" s="37">
        <f>'03_原始数据'!C110-0.63*'03_原始数据'!B110-OtherCost</f>
        <v/>
      </c>
      <c r="T110" s="37">
        <f>'03_原始数据'!C110-0.635*'03_原始数据'!B110-OtherCost</f>
        <v/>
      </c>
      <c r="U110" s="37">
        <f>'03_原始数据'!C110-0.64*'03_原始数据'!B110-OtherCost</f>
        <v/>
      </c>
      <c r="V110" s="37">
        <f>'03_原始数据'!C110-0.645*'03_原始数据'!B110-OtherCost</f>
        <v/>
      </c>
      <c r="W110" s="37">
        <f>'03_原始数据'!C110-0.65*'03_原始数据'!B110-OtherCost</f>
        <v/>
      </c>
      <c r="X110" s="37">
        <f>'03_原始数据'!C110-0.655*'03_原始数据'!B110-OtherCost</f>
        <v/>
      </c>
      <c r="Y110" s="37">
        <f>'03_原始数据'!C110-0.66*'03_原始数据'!B110-OtherCost</f>
        <v/>
      </c>
      <c r="Z110" s="37">
        <f>'03_原始数据'!C110-0.665*'03_原始数据'!B110-OtherCost</f>
        <v/>
      </c>
      <c r="AA110" s="37">
        <f>'03_原始数据'!C110-0.67*'03_原始数据'!B110-OtherCost</f>
        <v/>
      </c>
      <c r="AB110" s="37">
        <f>'03_原始数据'!C110-0.675*'03_原始数据'!B110-OtherCost</f>
        <v/>
      </c>
      <c r="AC110" s="37">
        <f>'03_原始数据'!C110-0.68*'03_原始数据'!B110-OtherCost</f>
        <v/>
      </c>
      <c r="AD110" s="37">
        <f>'03_原始数据'!C110-0.685*'03_原始数据'!B110-OtherCost</f>
        <v/>
      </c>
      <c r="AE110" s="37">
        <f>'03_原始数据'!C110-0.69*'03_原始数据'!B110-OtherCost</f>
        <v/>
      </c>
      <c r="AF110" s="37">
        <f>'03_原始数据'!C110-0.695*'03_原始数据'!B110-OtherCost</f>
        <v/>
      </c>
      <c r="AG110" s="37">
        <f>'03_原始数据'!C110-0.7*'03_原始数据'!B110-OtherCost</f>
        <v/>
      </c>
    </row>
    <row r="111">
      <c r="M111" s="37">
        <f>'03_原始数据'!C111-0.6*'03_原始数据'!B111-OtherCost</f>
        <v/>
      </c>
      <c r="N111" s="37">
        <f>'03_原始数据'!C111-0.605*'03_原始数据'!B111-OtherCost</f>
        <v/>
      </c>
      <c r="O111" s="37">
        <f>'03_原始数据'!C111-0.61*'03_原始数据'!B111-OtherCost</f>
        <v/>
      </c>
      <c r="P111" s="37">
        <f>'03_原始数据'!C111-0.615*'03_原始数据'!B111-OtherCost</f>
        <v/>
      </c>
      <c r="Q111" s="37">
        <f>'03_原始数据'!C111-0.62*'03_原始数据'!B111-OtherCost</f>
        <v/>
      </c>
      <c r="R111" s="37">
        <f>'03_原始数据'!C111-0.625*'03_原始数据'!B111-OtherCost</f>
        <v/>
      </c>
      <c r="S111" s="37">
        <f>'03_原始数据'!C111-0.63*'03_原始数据'!B111-OtherCost</f>
        <v/>
      </c>
      <c r="T111" s="37">
        <f>'03_原始数据'!C111-0.635*'03_原始数据'!B111-OtherCost</f>
        <v/>
      </c>
      <c r="U111" s="37">
        <f>'03_原始数据'!C111-0.64*'03_原始数据'!B111-OtherCost</f>
        <v/>
      </c>
      <c r="V111" s="37">
        <f>'03_原始数据'!C111-0.645*'03_原始数据'!B111-OtherCost</f>
        <v/>
      </c>
      <c r="W111" s="37">
        <f>'03_原始数据'!C111-0.65*'03_原始数据'!B111-OtherCost</f>
        <v/>
      </c>
      <c r="X111" s="37">
        <f>'03_原始数据'!C111-0.655*'03_原始数据'!B111-OtherCost</f>
        <v/>
      </c>
      <c r="Y111" s="37">
        <f>'03_原始数据'!C111-0.66*'03_原始数据'!B111-OtherCost</f>
        <v/>
      </c>
      <c r="Z111" s="37">
        <f>'03_原始数据'!C111-0.665*'03_原始数据'!B111-OtherCost</f>
        <v/>
      </c>
      <c r="AA111" s="37">
        <f>'03_原始数据'!C111-0.67*'03_原始数据'!B111-OtherCost</f>
        <v/>
      </c>
      <c r="AB111" s="37">
        <f>'03_原始数据'!C111-0.675*'03_原始数据'!B111-OtherCost</f>
        <v/>
      </c>
      <c r="AC111" s="37">
        <f>'03_原始数据'!C111-0.68*'03_原始数据'!B111-OtherCost</f>
        <v/>
      </c>
      <c r="AD111" s="37">
        <f>'03_原始数据'!C111-0.685*'03_原始数据'!B111-OtherCost</f>
        <v/>
      </c>
      <c r="AE111" s="37">
        <f>'03_原始数据'!C111-0.69*'03_原始数据'!B111-OtherCost</f>
        <v/>
      </c>
      <c r="AF111" s="37">
        <f>'03_原始数据'!C111-0.695*'03_原始数据'!B111-OtherCost</f>
        <v/>
      </c>
      <c r="AG111" s="37">
        <f>'03_原始数据'!C111-0.7*'03_原始数据'!B111-OtherCost</f>
        <v/>
      </c>
    </row>
    <row r="112">
      <c r="M112" s="37">
        <f>'03_原始数据'!C112-0.6*'03_原始数据'!B112-OtherCost</f>
        <v/>
      </c>
      <c r="N112" s="37">
        <f>'03_原始数据'!C112-0.605*'03_原始数据'!B112-OtherCost</f>
        <v/>
      </c>
      <c r="O112" s="37">
        <f>'03_原始数据'!C112-0.61*'03_原始数据'!B112-OtherCost</f>
        <v/>
      </c>
      <c r="P112" s="37">
        <f>'03_原始数据'!C112-0.615*'03_原始数据'!B112-OtherCost</f>
        <v/>
      </c>
      <c r="Q112" s="37">
        <f>'03_原始数据'!C112-0.62*'03_原始数据'!B112-OtherCost</f>
        <v/>
      </c>
      <c r="R112" s="37">
        <f>'03_原始数据'!C112-0.625*'03_原始数据'!B112-OtherCost</f>
        <v/>
      </c>
      <c r="S112" s="37">
        <f>'03_原始数据'!C112-0.63*'03_原始数据'!B112-OtherCost</f>
        <v/>
      </c>
      <c r="T112" s="37">
        <f>'03_原始数据'!C112-0.635*'03_原始数据'!B112-OtherCost</f>
        <v/>
      </c>
      <c r="U112" s="37">
        <f>'03_原始数据'!C112-0.64*'03_原始数据'!B112-OtherCost</f>
        <v/>
      </c>
      <c r="V112" s="37">
        <f>'03_原始数据'!C112-0.645*'03_原始数据'!B112-OtherCost</f>
        <v/>
      </c>
      <c r="W112" s="37">
        <f>'03_原始数据'!C112-0.65*'03_原始数据'!B112-OtherCost</f>
        <v/>
      </c>
      <c r="X112" s="37">
        <f>'03_原始数据'!C112-0.655*'03_原始数据'!B112-OtherCost</f>
        <v/>
      </c>
      <c r="Y112" s="37">
        <f>'03_原始数据'!C112-0.66*'03_原始数据'!B112-OtherCost</f>
        <v/>
      </c>
      <c r="Z112" s="37">
        <f>'03_原始数据'!C112-0.665*'03_原始数据'!B112-OtherCost</f>
        <v/>
      </c>
      <c r="AA112" s="37">
        <f>'03_原始数据'!C112-0.67*'03_原始数据'!B112-OtherCost</f>
        <v/>
      </c>
      <c r="AB112" s="37">
        <f>'03_原始数据'!C112-0.675*'03_原始数据'!B112-OtherCost</f>
        <v/>
      </c>
      <c r="AC112" s="37">
        <f>'03_原始数据'!C112-0.68*'03_原始数据'!B112-OtherCost</f>
        <v/>
      </c>
      <c r="AD112" s="37">
        <f>'03_原始数据'!C112-0.685*'03_原始数据'!B112-OtherCost</f>
        <v/>
      </c>
      <c r="AE112" s="37">
        <f>'03_原始数据'!C112-0.69*'03_原始数据'!B112-OtherCost</f>
        <v/>
      </c>
      <c r="AF112" s="37">
        <f>'03_原始数据'!C112-0.695*'03_原始数据'!B112-OtherCost</f>
        <v/>
      </c>
      <c r="AG112" s="37">
        <f>'03_原始数据'!C112-0.7*'03_原始数据'!B112-OtherCost</f>
        <v/>
      </c>
    </row>
    <row r="113">
      <c r="M113" s="37">
        <f>'03_原始数据'!C113-0.6*'03_原始数据'!B113-OtherCost</f>
        <v/>
      </c>
      <c r="N113" s="37">
        <f>'03_原始数据'!C113-0.605*'03_原始数据'!B113-OtherCost</f>
        <v/>
      </c>
      <c r="O113" s="37">
        <f>'03_原始数据'!C113-0.61*'03_原始数据'!B113-OtherCost</f>
        <v/>
      </c>
      <c r="P113" s="37">
        <f>'03_原始数据'!C113-0.615*'03_原始数据'!B113-OtherCost</f>
        <v/>
      </c>
      <c r="Q113" s="37">
        <f>'03_原始数据'!C113-0.62*'03_原始数据'!B113-OtherCost</f>
        <v/>
      </c>
      <c r="R113" s="37">
        <f>'03_原始数据'!C113-0.625*'03_原始数据'!B113-OtherCost</f>
        <v/>
      </c>
      <c r="S113" s="37">
        <f>'03_原始数据'!C113-0.63*'03_原始数据'!B113-OtherCost</f>
        <v/>
      </c>
      <c r="T113" s="37">
        <f>'03_原始数据'!C113-0.635*'03_原始数据'!B113-OtherCost</f>
        <v/>
      </c>
      <c r="U113" s="37">
        <f>'03_原始数据'!C113-0.64*'03_原始数据'!B113-OtherCost</f>
        <v/>
      </c>
      <c r="V113" s="37">
        <f>'03_原始数据'!C113-0.645*'03_原始数据'!B113-OtherCost</f>
        <v/>
      </c>
      <c r="W113" s="37">
        <f>'03_原始数据'!C113-0.65*'03_原始数据'!B113-OtherCost</f>
        <v/>
      </c>
      <c r="X113" s="37">
        <f>'03_原始数据'!C113-0.655*'03_原始数据'!B113-OtherCost</f>
        <v/>
      </c>
      <c r="Y113" s="37">
        <f>'03_原始数据'!C113-0.66*'03_原始数据'!B113-OtherCost</f>
        <v/>
      </c>
      <c r="Z113" s="37">
        <f>'03_原始数据'!C113-0.665*'03_原始数据'!B113-OtherCost</f>
        <v/>
      </c>
      <c r="AA113" s="37">
        <f>'03_原始数据'!C113-0.67*'03_原始数据'!B113-OtherCost</f>
        <v/>
      </c>
      <c r="AB113" s="37">
        <f>'03_原始数据'!C113-0.675*'03_原始数据'!B113-OtherCost</f>
        <v/>
      </c>
      <c r="AC113" s="37">
        <f>'03_原始数据'!C113-0.68*'03_原始数据'!B113-OtherCost</f>
        <v/>
      </c>
      <c r="AD113" s="37">
        <f>'03_原始数据'!C113-0.685*'03_原始数据'!B113-OtherCost</f>
        <v/>
      </c>
      <c r="AE113" s="37">
        <f>'03_原始数据'!C113-0.69*'03_原始数据'!B113-OtherCost</f>
        <v/>
      </c>
      <c r="AF113" s="37">
        <f>'03_原始数据'!C113-0.695*'03_原始数据'!B113-OtherCost</f>
        <v/>
      </c>
      <c r="AG113" s="37">
        <f>'03_原始数据'!C113-0.7*'03_原始数据'!B113-OtherCost</f>
        <v/>
      </c>
    </row>
    <row r="114">
      <c r="M114" s="37">
        <f>'03_原始数据'!C114-0.6*'03_原始数据'!B114-OtherCost</f>
        <v/>
      </c>
      <c r="N114" s="37">
        <f>'03_原始数据'!C114-0.605*'03_原始数据'!B114-OtherCost</f>
        <v/>
      </c>
      <c r="O114" s="37">
        <f>'03_原始数据'!C114-0.61*'03_原始数据'!B114-OtherCost</f>
        <v/>
      </c>
      <c r="P114" s="37">
        <f>'03_原始数据'!C114-0.615*'03_原始数据'!B114-OtherCost</f>
        <v/>
      </c>
      <c r="Q114" s="37">
        <f>'03_原始数据'!C114-0.62*'03_原始数据'!B114-OtherCost</f>
        <v/>
      </c>
      <c r="R114" s="37">
        <f>'03_原始数据'!C114-0.625*'03_原始数据'!B114-OtherCost</f>
        <v/>
      </c>
      <c r="S114" s="37">
        <f>'03_原始数据'!C114-0.63*'03_原始数据'!B114-OtherCost</f>
        <v/>
      </c>
      <c r="T114" s="37">
        <f>'03_原始数据'!C114-0.635*'03_原始数据'!B114-OtherCost</f>
        <v/>
      </c>
      <c r="U114" s="37">
        <f>'03_原始数据'!C114-0.64*'03_原始数据'!B114-OtherCost</f>
        <v/>
      </c>
      <c r="V114" s="37">
        <f>'03_原始数据'!C114-0.645*'03_原始数据'!B114-OtherCost</f>
        <v/>
      </c>
      <c r="W114" s="37">
        <f>'03_原始数据'!C114-0.65*'03_原始数据'!B114-OtherCost</f>
        <v/>
      </c>
      <c r="X114" s="37">
        <f>'03_原始数据'!C114-0.655*'03_原始数据'!B114-OtherCost</f>
        <v/>
      </c>
      <c r="Y114" s="37">
        <f>'03_原始数据'!C114-0.66*'03_原始数据'!B114-OtherCost</f>
        <v/>
      </c>
      <c r="Z114" s="37">
        <f>'03_原始数据'!C114-0.665*'03_原始数据'!B114-OtherCost</f>
        <v/>
      </c>
      <c r="AA114" s="37">
        <f>'03_原始数据'!C114-0.67*'03_原始数据'!B114-OtherCost</f>
        <v/>
      </c>
      <c r="AB114" s="37">
        <f>'03_原始数据'!C114-0.675*'03_原始数据'!B114-OtherCost</f>
        <v/>
      </c>
      <c r="AC114" s="37">
        <f>'03_原始数据'!C114-0.68*'03_原始数据'!B114-OtherCost</f>
        <v/>
      </c>
      <c r="AD114" s="37">
        <f>'03_原始数据'!C114-0.685*'03_原始数据'!B114-OtherCost</f>
        <v/>
      </c>
      <c r="AE114" s="37">
        <f>'03_原始数据'!C114-0.69*'03_原始数据'!B114-OtherCost</f>
        <v/>
      </c>
      <c r="AF114" s="37">
        <f>'03_原始数据'!C114-0.695*'03_原始数据'!B114-OtherCost</f>
        <v/>
      </c>
      <c r="AG114" s="37">
        <f>'03_原始数据'!C114-0.7*'03_原始数据'!B114-OtherCost</f>
        <v/>
      </c>
    </row>
    <row r="115">
      <c r="M115" s="37">
        <f>'03_原始数据'!C115-0.6*'03_原始数据'!B115-OtherCost</f>
        <v/>
      </c>
      <c r="N115" s="37">
        <f>'03_原始数据'!C115-0.605*'03_原始数据'!B115-OtherCost</f>
        <v/>
      </c>
      <c r="O115" s="37">
        <f>'03_原始数据'!C115-0.61*'03_原始数据'!B115-OtherCost</f>
        <v/>
      </c>
      <c r="P115" s="37">
        <f>'03_原始数据'!C115-0.615*'03_原始数据'!B115-OtherCost</f>
        <v/>
      </c>
      <c r="Q115" s="37">
        <f>'03_原始数据'!C115-0.62*'03_原始数据'!B115-OtherCost</f>
        <v/>
      </c>
      <c r="R115" s="37">
        <f>'03_原始数据'!C115-0.625*'03_原始数据'!B115-OtherCost</f>
        <v/>
      </c>
      <c r="S115" s="37">
        <f>'03_原始数据'!C115-0.63*'03_原始数据'!B115-OtherCost</f>
        <v/>
      </c>
      <c r="T115" s="37">
        <f>'03_原始数据'!C115-0.635*'03_原始数据'!B115-OtherCost</f>
        <v/>
      </c>
      <c r="U115" s="37">
        <f>'03_原始数据'!C115-0.64*'03_原始数据'!B115-OtherCost</f>
        <v/>
      </c>
      <c r="V115" s="37">
        <f>'03_原始数据'!C115-0.645*'03_原始数据'!B115-OtherCost</f>
        <v/>
      </c>
      <c r="W115" s="37">
        <f>'03_原始数据'!C115-0.65*'03_原始数据'!B115-OtherCost</f>
        <v/>
      </c>
      <c r="X115" s="37">
        <f>'03_原始数据'!C115-0.655*'03_原始数据'!B115-OtherCost</f>
        <v/>
      </c>
      <c r="Y115" s="37">
        <f>'03_原始数据'!C115-0.66*'03_原始数据'!B115-OtherCost</f>
        <v/>
      </c>
      <c r="Z115" s="37">
        <f>'03_原始数据'!C115-0.665*'03_原始数据'!B115-OtherCost</f>
        <v/>
      </c>
      <c r="AA115" s="37">
        <f>'03_原始数据'!C115-0.67*'03_原始数据'!B115-OtherCost</f>
        <v/>
      </c>
      <c r="AB115" s="37">
        <f>'03_原始数据'!C115-0.675*'03_原始数据'!B115-OtherCost</f>
        <v/>
      </c>
      <c r="AC115" s="37">
        <f>'03_原始数据'!C115-0.68*'03_原始数据'!B115-OtherCost</f>
        <v/>
      </c>
      <c r="AD115" s="37">
        <f>'03_原始数据'!C115-0.685*'03_原始数据'!B115-OtherCost</f>
        <v/>
      </c>
      <c r="AE115" s="37">
        <f>'03_原始数据'!C115-0.69*'03_原始数据'!B115-OtherCost</f>
        <v/>
      </c>
      <c r="AF115" s="37">
        <f>'03_原始数据'!C115-0.695*'03_原始数据'!B115-OtherCost</f>
        <v/>
      </c>
      <c r="AG115" s="37">
        <f>'03_原始数据'!C115-0.7*'03_原始数据'!B115-OtherCost</f>
        <v/>
      </c>
    </row>
    <row r="116">
      <c r="M116" s="37">
        <f>'03_原始数据'!C116-0.6*'03_原始数据'!B116-OtherCost</f>
        <v/>
      </c>
      <c r="N116" s="37">
        <f>'03_原始数据'!C116-0.605*'03_原始数据'!B116-OtherCost</f>
        <v/>
      </c>
      <c r="O116" s="37">
        <f>'03_原始数据'!C116-0.61*'03_原始数据'!B116-OtherCost</f>
        <v/>
      </c>
      <c r="P116" s="37">
        <f>'03_原始数据'!C116-0.615*'03_原始数据'!B116-OtherCost</f>
        <v/>
      </c>
      <c r="Q116" s="37">
        <f>'03_原始数据'!C116-0.62*'03_原始数据'!B116-OtherCost</f>
        <v/>
      </c>
      <c r="R116" s="37">
        <f>'03_原始数据'!C116-0.625*'03_原始数据'!B116-OtherCost</f>
        <v/>
      </c>
      <c r="S116" s="37">
        <f>'03_原始数据'!C116-0.63*'03_原始数据'!B116-OtherCost</f>
        <v/>
      </c>
      <c r="T116" s="37">
        <f>'03_原始数据'!C116-0.635*'03_原始数据'!B116-OtherCost</f>
        <v/>
      </c>
      <c r="U116" s="37">
        <f>'03_原始数据'!C116-0.64*'03_原始数据'!B116-OtherCost</f>
        <v/>
      </c>
      <c r="V116" s="37">
        <f>'03_原始数据'!C116-0.645*'03_原始数据'!B116-OtherCost</f>
        <v/>
      </c>
      <c r="W116" s="37">
        <f>'03_原始数据'!C116-0.65*'03_原始数据'!B116-OtherCost</f>
        <v/>
      </c>
      <c r="X116" s="37">
        <f>'03_原始数据'!C116-0.655*'03_原始数据'!B116-OtherCost</f>
        <v/>
      </c>
      <c r="Y116" s="37">
        <f>'03_原始数据'!C116-0.66*'03_原始数据'!B116-OtherCost</f>
        <v/>
      </c>
      <c r="Z116" s="37">
        <f>'03_原始数据'!C116-0.665*'03_原始数据'!B116-OtherCost</f>
        <v/>
      </c>
      <c r="AA116" s="37">
        <f>'03_原始数据'!C116-0.67*'03_原始数据'!B116-OtherCost</f>
        <v/>
      </c>
      <c r="AB116" s="37">
        <f>'03_原始数据'!C116-0.675*'03_原始数据'!B116-OtherCost</f>
        <v/>
      </c>
      <c r="AC116" s="37">
        <f>'03_原始数据'!C116-0.68*'03_原始数据'!B116-OtherCost</f>
        <v/>
      </c>
      <c r="AD116" s="37">
        <f>'03_原始数据'!C116-0.685*'03_原始数据'!B116-OtherCost</f>
        <v/>
      </c>
      <c r="AE116" s="37">
        <f>'03_原始数据'!C116-0.69*'03_原始数据'!B116-OtherCost</f>
        <v/>
      </c>
      <c r="AF116" s="37">
        <f>'03_原始数据'!C116-0.695*'03_原始数据'!B116-OtherCost</f>
        <v/>
      </c>
      <c r="AG116" s="37">
        <f>'03_原始数据'!C116-0.7*'03_原始数据'!B116-OtherCost</f>
        <v/>
      </c>
    </row>
    <row r="117">
      <c r="M117" s="37">
        <f>'03_原始数据'!C117-0.6*'03_原始数据'!B117-OtherCost</f>
        <v/>
      </c>
      <c r="N117" s="37">
        <f>'03_原始数据'!C117-0.605*'03_原始数据'!B117-OtherCost</f>
        <v/>
      </c>
      <c r="O117" s="37">
        <f>'03_原始数据'!C117-0.61*'03_原始数据'!B117-OtherCost</f>
        <v/>
      </c>
      <c r="P117" s="37">
        <f>'03_原始数据'!C117-0.615*'03_原始数据'!B117-OtherCost</f>
        <v/>
      </c>
      <c r="Q117" s="37">
        <f>'03_原始数据'!C117-0.62*'03_原始数据'!B117-OtherCost</f>
        <v/>
      </c>
      <c r="R117" s="37">
        <f>'03_原始数据'!C117-0.625*'03_原始数据'!B117-OtherCost</f>
        <v/>
      </c>
      <c r="S117" s="37">
        <f>'03_原始数据'!C117-0.63*'03_原始数据'!B117-OtherCost</f>
        <v/>
      </c>
      <c r="T117" s="37">
        <f>'03_原始数据'!C117-0.635*'03_原始数据'!B117-OtherCost</f>
        <v/>
      </c>
      <c r="U117" s="37">
        <f>'03_原始数据'!C117-0.64*'03_原始数据'!B117-OtherCost</f>
        <v/>
      </c>
      <c r="V117" s="37">
        <f>'03_原始数据'!C117-0.645*'03_原始数据'!B117-OtherCost</f>
        <v/>
      </c>
      <c r="W117" s="37">
        <f>'03_原始数据'!C117-0.65*'03_原始数据'!B117-OtherCost</f>
        <v/>
      </c>
      <c r="X117" s="37">
        <f>'03_原始数据'!C117-0.655*'03_原始数据'!B117-OtherCost</f>
        <v/>
      </c>
      <c r="Y117" s="37">
        <f>'03_原始数据'!C117-0.66*'03_原始数据'!B117-OtherCost</f>
        <v/>
      </c>
      <c r="Z117" s="37">
        <f>'03_原始数据'!C117-0.665*'03_原始数据'!B117-OtherCost</f>
        <v/>
      </c>
      <c r="AA117" s="37">
        <f>'03_原始数据'!C117-0.67*'03_原始数据'!B117-OtherCost</f>
        <v/>
      </c>
      <c r="AB117" s="37">
        <f>'03_原始数据'!C117-0.675*'03_原始数据'!B117-OtherCost</f>
        <v/>
      </c>
      <c r="AC117" s="37">
        <f>'03_原始数据'!C117-0.68*'03_原始数据'!B117-OtherCost</f>
        <v/>
      </c>
      <c r="AD117" s="37">
        <f>'03_原始数据'!C117-0.685*'03_原始数据'!B117-OtherCost</f>
        <v/>
      </c>
      <c r="AE117" s="37">
        <f>'03_原始数据'!C117-0.69*'03_原始数据'!B117-OtherCost</f>
        <v/>
      </c>
      <c r="AF117" s="37">
        <f>'03_原始数据'!C117-0.695*'03_原始数据'!B117-OtherCost</f>
        <v/>
      </c>
      <c r="AG117" s="37">
        <f>'03_原始数据'!C117-0.7*'03_原始数据'!B117-OtherCost</f>
        <v/>
      </c>
    </row>
    <row r="118">
      <c r="M118" s="37">
        <f>'03_原始数据'!C118-0.6*'03_原始数据'!B118-OtherCost</f>
        <v/>
      </c>
      <c r="N118" s="37">
        <f>'03_原始数据'!C118-0.605*'03_原始数据'!B118-OtherCost</f>
        <v/>
      </c>
      <c r="O118" s="37">
        <f>'03_原始数据'!C118-0.61*'03_原始数据'!B118-OtherCost</f>
        <v/>
      </c>
      <c r="P118" s="37">
        <f>'03_原始数据'!C118-0.615*'03_原始数据'!B118-OtherCost</f>
        <v/>
      </c>
      <c r="Q118" s="37">
        <f>'03_原始数据'!C118-0.62*'03_原始数据'!B118-OtherCost</f>
        <v/>
      </c>
      <c r="R118" s="37">
        <f>'03_原始数据'!C118-0.625*'03_原始数据'!B118-OtherCost</f>
        <v/>
      </c>
      <c r="S118" s="37">
        <f>'03_原始数据'!C118-0.63*'03_原始数据'!B118-OtherCost</f>
        <v/>
      </c>
      <c r="T118" s="37">
        <f>'03_原始数据'!C118-0.635*'03_原始数据'!B118-OtherCost</f>
        <v/>
      </c>
      <c r="U118" s="37">
        <f>'03_原始数据'!C118-0.64*'03_原始数据'!B118-OtherCost</f>
        <v/>
      </c>
      <c r="V118" s="37">
        <f>'03_原始数据'!C118-0.645*'03_原始数据'!B118-OtherCost</f>
        <v/>
      </c>
      <c r="W118" s="37">
        <f>'03_原始数据'!C118-0.65*'03_原始数据'!B118-OtherCost</f>
        <v/>
      </c>
      <c r="X118" s="37">
        <f>'03_原始数据'!C118-0.655*'03_原始数据'!B118-OtherCost</f>
        <v/>
      </c>
      <c r="Y118" s="37">
        <f>'03_原始数据'!C118-0.66*'03_原始数据'!B118-OtherCost</f>
        <v/>
      </c>
      <c r="Z118" s="37">
        <f>'03_原始数据'!C118-0.665*'03_原始数据'!B118-OtherCost</f>
        <v/>
      </c>
      <c r="AA118" s="37">
        <f>'03_原始数据'!C118-0.67*'03_原始数据'!B118-OtherCost</f>
        <v/>
      </c>
      <c r="AB118" s="37">
        <f>'03_原始数据'!C118-0.675*'03_原始数据'!B118-OtherCost</f>
        <v/>
      </c>
      <c r="AC118" s="37">
        <f>'03_原始数据'!C118-0.68*'03_原始数据'!B118-OtherCost</f>
        <v/>
      </c>
      <c r="AD118" s="37">
        <f>'03_原始数据'!C118-0.685*'03_原始数据'!B118-OtherCost</f>
        <v/>
      </c>
      <c r="AE118" s="37">
        <f>'03_原始数据'!C118-0.69*'03_原始数据'!B118-OtherCost</f>
        <v/>
      </c>
      <c r="AF118" s="37">
        <f>'03_原始数据'!C118-0.695*'03_原始数据'!B118-OtherCost</f>
        <v/>
      </c>
      <c r="AG118" s="37">
        <f>'03_原始数据'!C118-0.7*'03_原始数据'!B118-OtherCost</f>
        <v/>
      </c>
    </row>
    <row r="119">
      <c r="M119" s="37">
        <f>'03_原始数据'!C119-0.6*'03_原始数据'!B119-OtherCost</f>
        <v/>
      </c>
      <c r="N119" s="37">
        <f>'03_原始数据'!C119-0.605*'03_原始数据'!B119-OtherCost</f>
        <v/>
      </c>
      <c r="O119" s="37">
        <f>'03_原始数据'!C119-0.61*'03_原始数据'!B119-OtherCost</f>
        <v/>
      </c>
      <c r="P119" s="37">
        <f>'03_原始数据'!C119-0.615*'03_原始数据'!B119-OtherCost</f>
        <v/>
      </c>
      <c r="Q119" s="37">
        <f>'03_原始数据'!C119-0.62*'03_原始数据'!B119-OtherCost</f>
        <v/>
      </c>
      <c r="R119" s="37">
        <f>'03_原始数据'!C119-0.625*'03_原始数据'!B119-OtherCost</f>
        <v/>
      </c>
      <c r="S119" s="37">
        <f>'03_原始数据'!C119-0.63*'03_原始数据'!B119-OtherCost</f>
        <v/>
      </c>
      <c r="T119" s="37">
        <f>'03_原始数据'!C119-0.635*'03_原始数据'!B119-OtherCost</f>
        <v/>
      </c>
      <c r="U119" s="37">
        <f>'03_原始数据'!C119-0.64*'03_原始数据'!B119-OtherCost</f>
        <v/>
      </c>
      <c r="V119" s="37">
        <f>'03_原始数据'!C119-0.645*'03_原始数据'!B119-OtherCost</f>
        <v/>
      </c>
      <c r="W119" s="37">
        <f>'03_原始数据'!C119-0.65*'03_原始数据'!B119-OtherCost</f>
        <v/>
      </c>
      <c r="X119" s="37">
        <f>'03_原始数据'!C119-0.655*'03_原始数据'!B119-OtherCost</f>
        <v/>
      </c>
      <c r="Y119" s="37">
        <f>'03_原始数据'!C119-0.66*'03_原始数据'!B119-OtherCost</f>
        <v/>
      </c>
      <c r="Z119" s="37">
        <f>'03_原始数据'!C119-0.665*'03_原始数据'!B119-OtherCost</f>
        <v/>
      </c>
      <c r="AA119" s="37">
        <f>'03_原始数据'!C119-0.67*'03_原始数据'!B119-OtherCost</f>
        <v/>
      </c>
      <c r="AB119" s="37">
        <f>'03_原始数据'!C119-0.675*'03_原始数据'!B119-OtherCost</f>
        <v/>
      </c>
      <c r="AC119" s="37">
        <f>'03_原始数据'!C119-0.68*'03_原始数据'!B119-OtherCost</f>
        <v/>
      </c>
      <c r="AD119" s="37">
        <f>'03_原始数据'!C119-0.685*'03_原始数据'!B119-OtherCost</f>
        <v/>
      </c>
      <c r="AE119" s="37">
        <f>'03_原始数据'!C119-0.69*'03_原始数据'!B119-OtherCost</f>
        <v/>
      </c>
      <c r="AF119" s="37">
        <f>'03_原始数据'!C119-0.695*'03_原始数据'!B119-OtherCost</f>
        <v/>
      </c>
      <c r="AG119" s="37">
        <f>'03_原始数据'!C119-0.7*'03_原始数据'!B119-OtherCost</f>
        <v/>
      </c>
    </row>
    <row r="120">
      <c r="M120" s="37">
        <f>'03_原始数据'!C120-0.6*'03_原始数据'!B120-OtherCost</f>
        <v/>
      </c>
      <c r="N120" s="37">
        <f>'03_原始数据'!C120-0.605*'03_原始数据'!B120-OtherCost</f>
        <v/>
      </c>
      <c r="O120" s="37">
        <f>'03_原始数据'!C120-0.61*'03_原始数据'!B120-OtherCost</f>
        <v/>
      </c>
      <c r="P120" s="37">
        <f>'03_原始数据'!C120-0.615*'03_原始数据'!B120-OtherCost</f>
        <v/>
      </c>
      <c r="Q120" s="37">
        <f>'03_原始数据'!C120-0.62*'03_原始数据'!B120-OtherCost</f>
        <v/>
      </c>
      <c r="R120" s="37">
        <f>'03_原始数据'!C120-0.625*'03_原始数据'!B120-OtherCost</f>
        <v/>
      </c>
      <c r="S120" s="37">
        <f>'03_原始数据'!C120-0.63*'03_原始数据'!B120-OtherCost</f>
        <v/>
      </c>
      <c r="T120" s="37">
        <f>'03_原始数据'!C120-0.635*'03_原始数据'!B120-OtherCost</f>
        <v/>
      </c>
      <c r="U120" s="37">
        <f>'03_原始数据'!C120-0.64*'03_原始数据'!B120-OtherCost</f>
        <v/>
      </c>
      <c r="V120" s="37">
        <f>'03_原始数据'!C120-0.645*'03_原始数据'!B120-OtherCost</f>
        <v/>
      </c>
      <c r="W120" s="37">
        <f>'03_原始数据'!C120-0.65*'03_原始数据'!B120-OtherCost</f>
        <v/>
      </c>
      <c r="X120" s="37">
        <f>'03_原始数据'!C120-0.655*'03_原始数据'!B120-OtherCost</f>
        <v/>
      </c>
      <c r="Y120" s="37">
        <f>'03_原始数据'!C120-0.66*'03_原始数据'!B120-OtherCost</f>
        <v/>
      </c>
      <c r="Z120" s="37">
        <f>'03_原始数据'!C120-0.665*'03_原始数据'!B120-OtherCost</f>
        <v/>
      </c>
      <c r="AA120" s="37">
        <f>'03_原始数据'!C120-0.67*'03_原始数据'!B120-OtherCost</f>
        <v/>
      </c>
      <c r="AB120" s="37">
        <f>'03_原始数据'!C120-0.675*'03_原始数据'!B120-OtherCost</f>
        <v/>
      </c>
      <c r="AC120" s="37">
        <f>'03_原始数据'!C120-0.68*'03_原始数据'!B120-OtherCost</f>
        <v/>
      </c>
      <c r="AD120" s="37">
        <f>'03_原始数据'!C120-0.685*'03_原始数据'!B120-OtherCost</f>
        <v/>
      </c>
      <c r="AE120" s="37">
        <f>'03_原始数据'!C120-0.69*'03_原始数据'!B120-OtherCost</f>
        <v/>
      </c>
      <c r="AF120" s="37">
        <f>'03_原始数据'!C120-0.695*'03_原始数据'!B120-OtherCost</f>
        <v/>
      </c>
      <c r="AG120" s="37">
        <f>'03_原始数据'!C120-0.7*'03_原始数据'!B120-OtherCost</f>
        <v/>
      </c>
    </row>
    <row r="121">
      <c r="M121" s="37">
        <f>'03_原始数据'!C121-0.6*'03_原始数据'!B121-OtherCost</f>
        <v/>
      </c>
      <c r="N121" s="37">
        <f>'03_原始数据'!C121-0.605*'03_原始数据'!B121-OtherCost</f>
        <v/>
      </c>
      <c r="O121" s="37">
        <f>'03_原始数据'!C121-0.61*'03_原始数据'!B121-OtherCost</f>
        <v/>
      </c>
      <c r="P121" s="37">
        <f>'03_原始数据'!C121-0.615*'03_原始数据'!B121-OtherCost</f>
        <v/>
      </c>
      <c r="Q121" s="37">
        <f>'03_原始数据'!C121-0.62*'03_原始数据'!B121-OtherCost</f>
        <v/>
      </c>
      <c r="R121" s="37">
        <f>'03_原始数据'!C121-0.625*'03_原始数据'!B121-OtherCost</f>
        <v/>
      </c>
      <c r="S121" s="37">
        <f>'03_原始数据'!C121-0.63*'03_原始数据'!B121-OtherCost</f>
        <v/>
      </c>
      <c r="T121" s="37">
        <f>'03_原始数据'!C121-0.635*'03_原始数据'!B121-OtherCost</f>
        <v/>
      </c>
      <c r="U121" s="37">
        <f>'03_原始数据'!C121-0.64*'03_原始数据'!B121-OtherCost</f>
        <v/>
      </c>
      <c r="V121" s="37">
        <f>'03_原始数据'!C121-0.645*'03_原始数据'!B121-OtherCost</f>
        <v/>
      </c>
      <c r="W121" s="37">
        <f>'03_原始数据'!C121-0.65*'03_原始数据'!B121-OtherCost</f>
        <v/>
      </c>
      <c r="X121" s="37">
        <f>'03_原始数据'!C121-0.655*'03_原始数据'!B121-OtherCost</f>
        <v/>
      </c>
      <c r="Y121" s="37">
        <f>'03_原始数据'!C121-0.66*'03_原始数据'!B121-OtherCost</f>
        <v/>
      </c>
      <c r="Z121" s="37">
        <f>'03_原始数据'!C121-0.665*'03_原始数据'!B121-OtherCost</f>
        <v/>
      </c>
      <c r="AA121" s="37">
        <f>'03_原始数据'!C121-0.67*'03_原始数据'!B121-OtherCost</f>
        <v/>
      </c>
      <c r="AB121" s="37">
        <f>'03_原始数据'!C121-0.675*'03_原始数据'!B121-OtherCost</f>
        <v/>
      </c>
      <c r="AC121" s="37">
        <f>'03_原始数据'!C121-0.68*'03_原始数据'!B121-OtherCost</f>
        <v/>
      </c>
      <c r="AD121" s="37">
        <f>'03_原始数据'!C121-0.685*'03_原始数据'!B121-OtherCost</f>
        <v/>
      </c>
      <c r="AE121" s="37">
        <f>'03_原始数据'!C121-0.69*'03_原始数据'!B121-OtherCost</f>
        <v/>
      </c>
      <c r="AF121" s="37">
        <f>'03_原始数据'!C121-0.695*'03_原始数据'!B121-OtherCost</f>
        <v/>
      </c>
      <c r="AG121" s="37">
        <f>'03_原始数据'!C121-0.7*'03_原始数据'!B121-OtherCost</f>
        <v/>
      </c>
    </row>
    <row r="122">
      <c r="M122" s="37">
        <f>'03_原始数据'!C122-0.6*'03_原始数据'!B122-OtherCost</f>
        <v/>
      </c>
      <c r="N122" s="37">
        <f>'03_原始数据'!C122-0.605*'03_原始数据'!B122-OtherCost</f>
        <v/>
      </c>
      <c r="O122" s="37">
        <f>'03_原始数据'!C122-0.61*'03_原始数据'!B122-OtherCost</f>
        <v/>
      </c>
      <c r="P122" s="37">
        <f>'03_原始数据'!C122-0.615*'03_原始数据'!B122-OtherCost</f>
        <v/>
      </c>
      <c r="Q122" s="37">
        <f>'03_原始数据'!C122-0.62*'03_原始数据'!B122-OtherCost</f>
        <v/>
      </c>
      <c r="R122" s="37">
        <f>'03_原始数据'!C122-0.625*'03_原始数据'!B122-OtherCost</f>
        <v/>
      </c>
      <c r="S122" s="37">
        <f>'03_原始数据'!C122-0.63*'03_原始数据'!B122-OtherCost</f>
        <v/>
      </c>
      <c r="T122" s="37">
        <f>'03_原始数据'!C122-0.635*'03_原始数据'!B122-OtherCost</f>
        <v/>
      </c>
      <c r="U122" s="37">
        <f>'03_原始数据'!C122-0.64*'03_原始数据'!B122-OtherCost</f>
        <v/>
      </c>
      <c r="V122" s="37">
        <f>'03_原始数据'!C122-0.645*'03_原始数据'!B122-OtherCost</f>
        <v/>
      </c>
      <c r="W122" s="37">
        <f>'03_原始数据'!C122-0.65*'03_原始数据'!B122-OtherCost</f>
        <v/>
      </c>
      <c r="X122" s="37">
        <f>'03_原始数据'!C122-0.655*'03_原始数据'!B122-OtherCost</f>
        <v/>
      </c>
      <c r="Y122" s="37">
        <f>'03_原始数据'!C122-0.66*'03_原始数据'!B122-OtherCost</f>
        <v/>
      </c>
      <c r="Z122" s="37">
        <f>'03_原始数据'!C122-0.665*'03_原始数据'!B122-OtherCost</f>
        <v/>
      </c>
      <c r="AA122" s="37">
        <f>'03_原始数据'!C122-0.67*'03_原始数据'!B122-OtherCost</f>
        <v/>
      </c>
      <c r="AB122" s="37">
        <f>'03_原始数据'!C122-0.675*'03_原始数据'!B122-OtherCost</f>
        <v/>
      </c>
      <c r="AC122" s="37">
        <f>'03_原始数据'!C122-0.68*'03_原始数据'!B122-OtherCost</f>
        <v/>
      </c>
      <c r="AD122" s="37">
        <f>'03_原始数据'!C122-0.685*'03_原始数据'!B122-OtherCost</f>
        <v/>
      </c>
      <c r="AE122" s="37">
        <f>'03_原始数据'!C122-0.69*'03_原始数据'!B122-OtherCost</f>
        <v/>
      </c>
      <c r="AF122" s="37">
        <f>'03_原始数据'!C122-0.695*'03_原始数据'!B122-OtherCost</f>
        <v/>
      </c>
      <c r="AG122" s="37">
        <f>'03_原始数据'!C122-0.7*'03_原始数据'!B122-OtherCost</f>
        <v/>
      </c>
    </row>
    <row r="123">
      <c r="M123" s="37">
        <f>'03_原始数据'!C123-0.6*'03_原始数据'!B123-OtherCost</f>
        <v/>
      </c>
      <c r="N123" s="37">
        <f>'03_原始数据'!C123-0.605*'03_原始数据'!B123-OtherCost</f>
        <v/>
      </c>
      <c r="O123" s="37">
        <f>'03_原始数据'!C123-0.61*'03_原始数据'!B123-OtherCost</f>
        <v/>
      </c>
      <c r="P123" s="37">
        <f>'03_原始数据'!C123-0.615*'03_原始数据'!B123-OtherCost</f>
        <v/>
      </c>
      <c r="Q123" s="37">
        <f>'03_原始数据'!C123-0.62*'03_原始数据'!B123-OtherCost</f>
        <v/>
      </c>
      <c r="R123" s="37">
        <f>'03_原始数据'!C123-0.625*'03_原始数据'!B123-OtherCost</f>
        <v/>
      </c>
      <c r="S123" s="37">
        <f>'03_原始数据'!C123-0.63*'03_原始数据'!B123-OtherCost</f>
        <v/>
      </c>
      <c r="T123" s="37">
        <f>'03_原始数据'!C123-0.635*'03_原始数据'!B123-OtherCost</f>
        <v/>
      </c>
      <c r="U123" s="37">
        <f>'03_原始数据'!C123-0.64*'03_原始数据'!B123-OtherCost</f>
        <v/>
      </c>
      <c r="V123" s="37">
        <f>'03_原始数据'!C123-0.645*'03_原始数据'!B123-OtherCost</f>
        <v/>
      </c>
      <c r="W123" s="37">
        <f>'03_原始数据'!C123-0.65*'03_原始数据'!B123-OtherCost</f>
        <v/>
      </c>
      <c r="X123" s="37">
        <f>'03_原始数据'!C123-0.655*'03_原始数据'!B123-OtherCost</f>
        <v/>
      </c>
      <c r="Y123" s="37">
        <f>'03_原始数据'!C123-0.66*'03_原始数据'!B123-OtherCost</f>
        <v/>
      </c>
      <c r="Z123" s="37">
        <f>'03_原始数据'!C123-0.665*'03_原始数据'!B123-OtherCost</f>
        <v/>
      </c>
      <c r="AA123" s="37">
        <f>'03_原始数据'!C123-0.67*'03_原始数据'!B123-OtherCost</f>
        <v/>
      </c>
      <c r="AB123" s="37">
        <f>'03_原始数据'!C123-0.675*'03_原始数据'!B123-OtherCost</f>
        <v/>
      </c>
      <c r="AC123" s="37">
        <f>'03_原始数据'!C123-0.68*'03_原始数据'!B123-OtherCost</f>
        <v/>
      </c>
      <c r="AD123" s="37">
        <f>'03_原始数据'!C123-0.685*'03_原始数据'!B123-OtherCost</f>
        <v/>
      </c>
      <c r="AE123" s="37">
        <f>'03_原始数据'!C123-0.69*'03_原始数据'!B123-OtherCost</f>
        <v/>
      </c>
      <c r="AF123" s="37">
        <f>'03_原始数据'!C123-0.695*'03_原始数据'!B123-OtherCost</f>
        <v/>
      </c>
      <c r="AG123" s="37">
        <f>'03_原始数据'!C123-0.7*'03_原始数据'!B123-OtherCost</f>
        <v/>
      </c>
    </row>
    <row r="124">
      <c r="M124" s="37">
        <f>'03_原始数据'!C124-0.6*'03_原始数据'!B124-OtherCost</f>
        <v/>
      </c>
      <c r="N124" s="37">
        <f>'03_原始数据'!C124-0.605*'03_原始数据'!B124-OtherCost</f>
        <v/>
      </c>
      <c r="O124" s="37">
        <f>'03_原始数据'!C124-0.61*'03_原始数据'!B124-OtherCost</f>
        <v/>
      </c>
      <c r="P124" s="37">
        <f>'03_原始数据'!C124-0.615*'03_原始数据'!B124-OtherCost</f>
        <v/>
      </c>
      <c r="Q124" s="37">
        <f>'03_原始数据'!C124-0.62*'03_原始数据'!B124-OtherCost</f>
        <v/>
      </c>
      <c r="R124" s="37">
        <f>'03_原始数据'!C124-0.625*'03_原始数据'!B124-OtherCost</f>
        <v/>
      </c>
      <c r="S124" s="37">
        <f>'03_原始数据'!C124-0.63*'03_原始数据'!B124-OtherCost</f>
        <v/>
      </c>
      <c r="T124" s="37">
        <f>'03_原始数据'!C124-0.635*'03_原始数据'!B124-OtherCost</f>
        <v/>
      </c>
      <c r="U124" s="37">
        <f>'03_原始数据'!C124-0.64*'03_原始数据'!B124-OtherCost</f>
        <v/>
      </c>
      <c r="V124" s="37">
        <f>'03_原始数据'!C124-0.645*'03_原始数据'!B124-OtherCost</f>
        <v/>
      </c>
      <c r="W124" s="37">
        <f>'03_原始数据'!C124-0.65*'03_原始数据'!B124-OtherCost</f>
        <v/>
      </c>
      <c r="X124" s="37">
        <f>'03_原始数据'!C124-0.655*'03_原始数据'!B124-OtherCost</f>
        <v/>
      </c>
      <c r="Y124" s="37">
        <f>'03_原始数据'!C124-0.66*'03_原始数据'!B124-OtherCost</f>
        <v/>
      </c>
      <c r="Z124" s="37">
        <f>'03_原始数据'!C124-0.665*'03_原始数据'!B124-OtherCost</f>
        <v/>
      </c>
      <c r="AA124" s="37">
        <f>'03_原始数据'!C124-0.67*'03_原始数据'!B124-OtherCost</f>
        <v/>
      </c>
      <c r="AB124" s="37">
        <f>'03_原始数据'!C124-0.675*'03_原始数据'!B124-OtherCost</f>
        <v/>
      </c>
      <c r="AC124" s="37">
        <f>'03_原始数据'!C124-0.68*'03_原始数据'!B124-OtherCost</f>
        <v/>
      </c>
      <c r="AD124" s="37">
        <f>'03_原始数据'!C124-0.685*'03_原始数据'!B124-OtherCost</f>
        <v/>
      </c>
      <c r="AE124" s="37">
        <f>'03_原始数据'!C124-0.69*'03_原始数据'!B124-OtherCost</f>
        <v/>
      </c>
      <c r="AF124" s="37">
        <f>'03_原始数据'!C124-0.695*'03_原始数据'!B124-OtherCost</f>
        <v/>
      </c>
      <c r="AG124" s="37">
        <f>'03_原始数据'!C124-0.7*'03_原始数据'!B124-OtherCost</f>
        <v/>
      </c>
    </row>
    <row r="125">
      <c r="M125" s="37">
        <f>'03_原始数据'!C125-0.6*'03_原始数据'!B125-OtherCost</f>
        <v/>
      </c>
      <c r="N125" s="37">
        <f>'03_原始数据'!C125-0.605*'03_原始数据'!B125-OtherCost</f>
        <v/>
      </c>
      <c r="O125" s="37">
        <f>'03_原始数据'!C125-0.61*'03_原始数据'!B125-OtherCost</f>
        <v/>
      </c>
      <c r="P125" s="37">
        <f>'03_原始数据'!C125-0.615*'03_原始数据'!B125-OtherCost</f>
        <v/>
      </c>
      <c r="Q125" s="37">
        <f>'03_原始数据'!C125-0.62*'03_原始数据'!B125-OtherCost</f>
        <v/>
      </c>
      <c r="R125" s="37">
        <f>'03_原始数据'!C125-0.625*'03_原始数据'!B125-OtherCost</f>
        <v/>
      </c>
      <c r="S125" s="37">
        <f>'03_原始数据'!C125-0.63*'03_原始数据'!B125-OtherCost</f>
        <v/>
      </c>
      <c r="T125" s="37">
        <f>'03_原始数据'!C125-0.635*'03_原始数据'!B125-OtherCost</f>
        <v/>
      </c>
      <c r="U125" s="37">
        <f>'03_原始数据'!C125-0.64*'03_原始数据'!B125-OtherCost</f>
        <v/>
      </c>
      <c r="V125" s="37">
        <f>'03_原始数据'!C125-0.645*'03_原始数据'!B125-OtherCost</f>
        <v/>
      </c>
      <c r="W125" s="37">
        <f>'03_原始数据'!C125-0.65*'03_原始数据'!B125-OtherCost</f>
        <v/>
      </c>
      <c r="X125" s="37">
        <f>'03_原始数据'!C125-0.655*'03_原始数据'!B125-OtherCost</f>
        <v/>
      </c>
      <c r="Y125" s="37">
        <f>'03_原始数据'!C125-0.66*'03_原始数据'!B125-OtherCost</f>
        <v/>
      </c>
      <c r="Z125" s="37">
        <f>'03_原始数据'!C125-0.665*'03_原始数据'!B125-OtherCost</f>
        <v/>
      </c>
      <c r="AA125" s="37">
        <f>'03_原始数据'!C125-0.67*'03_原始数据'!B125-OtherCost</f>
        <v/>
      </c>
      <c r="AB125" s="37">
        <f>'03_原始数据'!C125-0.675*'03_原始数据'!B125-OtherCost</f>
        <v/>
      </c>
      <c r="AC125" s="37">
        <f>'03_原始数据'!C125-0.68*'03_原始数据'!B125-OtherCost</f>
        <v/>
      </c>
      <c r="AD125" s="37">
        <f>'03_原始数据'!C125-0.685*'03_原始数据'!B125-OtherCost</f>
        <v/>
      </c>
      <c r="AE125" s="37">
        <f>'03_原始数据'!C125-0.69*'03_原始数据'!B125-OtherCost</f>
        <v/>
      </c>
      <c r="AF125" s="37">
        <f>'03_原始数据'!C125-0.695*'03_原始数据'!B125-OtherCost</f>
        <v/>
      </c>
      <c r="AG125" s="37">
        <f>'03_原始数据'!C125-0.7*'03_原始数据'!B125-OtherCost</f>
        <v/>
      </c>
    </row>
    <row r="126">
      <c r="M126" s="37">
        <f>'03_原始数据'!C126-0.6*'03_原始数据'!B126-OtherCost</f>
        <v/>
      </c>
      <c r="N126" s="37">
        <f>'03_原始数据'!C126-0.605*'03_原始数据'!B126-OtherCost</f>
        <v/>
      </c>
      <c r="O126" s="37">
        <f>'03_原始数据'!C126-0.61*'03_原始数据'!B126-OtherCost</f>
        <v/>
      </c>
      <c r="P126" s="37">
        <f>'03_原始数据'!C126-0.615*'03_原始数据'!B126-OtherCost</f>
        <v/>
      </c>
      <c r="Q126" s="37">
        <f>'03_原始数据'!C126-0.62*'03_原始数据'!B126-OtherCost</f>
        <v/>
      </c>
      <c r="R126" s="37">
        <f>'03_原始数据'!C126-0.625*'03_原始数据'!B126-OtherCost</f>
        <v/>
      </c>
      <c r="S126" s="37">
        <f>'03_原始数据'!C126-0.63*'03_原始数据'!B126-OtherCost</f>
        <v/>
      </c>
      <c r="T126" s="37">
        <f>'03_原始数据'!C126-0.635*'03_原始数据'!B126-OtherCost</f>
        <v/>
      </c>
      <c r="U126" s="37">
        <f>'03_原始数据'!C126-0.64*'03_原始数据'!B126-OtherCost</f>
        <v/>
      </c>
      <c r="V126" s="37">
        <f>'03_原始数据'!C126-0.645*'03_原始数据'!B126-OtherCost</f>
        <v/>
      </c>
      <c r="W126" s="37">
        <f>'03_原始数据'!C126-0.65*'03_原始数据'!B126-OtherCost</f>
        <v/>
      </c>
      <c r="X126" s="37">
        <f>'03_原始数据'!C126-0.655*'03_原始数据'!B126-OtherCost</f>
        <v/>
      </c>
      <c r="Y126" s="37">
        <f>'03_原始数据'!C126-0.66*'03_原始数据'!B126-OtherCost</f>
        <v/>
      </c>
      <c r="Z126" s="37">
        <f>'03_原始数据'!C126-0.665*'03_原始数据'!B126-OtherCost</f>
        <v/>
      </c>
      <c r="AA126" s="37">
        <f>'03_原始数据'!C126-0.67*'03_原始数据'!B126-OtherCost</f>
        <v/>
      </c>
      <c r="AB126" s="37">
        <f>'03_原始数据'!C126-0.675*'03_原始数据'!B126-OtherCost</f>
        <v/>
      </c>
      <c r="AC126" s="37">
        <f>'03_原始数据'!C126-0.68*'03_原始数据'!B126-OtherCost</f>
        <v/>
      </c>
      <c r="AD126" s="37">
        <f>'03_原始数据'!C126-0.685*'03_原始数据'!B126-OtherCost</f>
        <v/>
      </c>
      <c r="AE126" s="37">
        <f>'03_原始数据'!C126-0.69*'03_原始数据'!B126-OtherCost</f>
        <v/>
      </c>
      <c r="AF126" s="37">
        <f>'03_原始数据'!C126-0.695*'03_原始数据'!B126-OtherCost</f>
        <v/>
      </c>
      <c r="AG126" s="37">
        <f>'03_原始数据'!C126-0.7*'03_原始数据'!B126-OtherCost</f>
        <v/>
      </c>
    </row>
    <row r="127">
      <c r="M127" s="37">
        <f>'03_原始数据'!C127-0.6*'03_原始数据'!B127-OtherCost</f>
        <v/>
      </c>
      <c r="N127" s="37">
        <f>'03_原始数据'!C127-0.605*'03_原始数据'!B127-OtherCost</f>
        <v/>
      </c>
      <c r="O127" s="37">
        <f>'03_原始数据'!C127-0.61*'03_原始数据'!B127-OtherCost</f>
        <v/>
      </c>
      <c r="P127" s="37">
        <f>'03_原始数据'!C127-0.615*'03_原始数据'!B127-OtherCost</f>
        <v/>
      </c>
      <c r="Q127" s="37">
        <f>'03_原始数据'!C127-0.62*'03_原始数据'!B127-OtherCost</f>
        <v/>
      </c>
      <c r="R127" s="37">
        <f>'03_原始数据'!C127-0.625*'03_原始数据'!B127-OtherCost</f>
        <v/>
      </c>
      <c r="S127" s="37">
        <f>'03_原始数据'!C127-0.63*'03_原始数据'!B127-OtherCost</f>
        <v/>
      </c>
      <c r="T127" s="37">
        <f>'03_原始数据'!C127-0.635*'03_原始数据'!B127-OtherCost</f>
        <v/>
      </c>
      <c r="U127" s="37">
        <f>'03_原始数据'!C127-0.64*'03_原始数据'!B127-OtherCost</f>
        <v/>
      </c>
      <c r="V127" s="37">
        <f>'03_原始数据'!C127-0.645*'03_原始数据'!B127-OtherCost</f>
        <v/>
      </c>
      <c r="W127" s="37">
        <f>'03_原始数据'!C127-0.65*'03_原始数据'!B127-OtherCost</f>
        <v/>
      </c>
      <c r="X127" s="37">
        <f>'03_原始数据'!C127-0.655*'03_原始数据'!B127-OtherCost</f>
        <v/>
      </c>
      <c r="Y127" s="37">
        <f>'03_原始数据'!C127-0.66*'03_原始数据'!B127-OtherCost</f>
        <v/>
      </c>
      <c r="Z127" s="37">
        <f>'03_原始数据'!C127-0.665*'03_原始数据'!B127-OtherCost</f>
        <v/>
      </c>
      <c r="AA127" s="37">
        <f>'03_原始数据'!C127-0.67*'03_原始数据'!B127-OtherCost</f>
        <v/>
      </c>
      <c r="AB127" s="37">
        <f>'03_原始数据'!C127-0.675*'03_原始数据'!B127-OtherCost</f>
        <v/>
      </c>
      <c r="AC127" s="37">
        <f>'03_原始数据'!C127-0.68*'03_原始数据'!B127-OtherCost</f>
        <v/>
      </c>
      <c r="AD127" s="37">
        <f>'03_原始数据'!C127-0.685*'03_原始数据'!B127-OtherCost</f>
        <v/>
      </c>
      <c r="AE127" s="37">
        <f>'03_原始数据'!C127-0.69*'03_原始数据'!B127-OtherCost</f>
        <v/>
      </c>
      <c r="AF127" s="37">
        <f>'03_原始数据'!C127-0.695*'03_原始数据'!B127-OtherCost</f>
        <v/>
      </c>
      <c r="AG127" s="37">
        <f>'03_原始数据'!C127-0.7*'03_原始数据'!B127-OtherCost</f>
        <v/>
      </c>
    </row>
    <row r="128">
      <c r="M128" s="37">
        <f>'03_原始数据'!C128-0.6*'03_原始数据'!B128-OtherCost</f>
        <v/>
      </c>
      <c r="N128" s="37">
        <f>'03_原始数据'!C128-0.605*'03_原始数据'!B128-OtherCost</f>
        <v/>
      </c>
      <c r="O128" s="37">
        <f>'03_原始数据'!C128-0.61*'03_原始数据'!B128-OtherCost</f>
        <v/>
      </c>
      <c r="P128" s="37">
        <f>'03_原始数据'!C128-0.615*'03_原始数据'!B128-OtherCost</f>
        <v/>
      </c>
      <c r="Q128" s="37">
        <f>'03_原始数据'!C128-0.62*'03_原始数据'!B128-OtherCost</f>
        <v/>
      </c>
      <c r="R128" s="37">
        <f>'03_原始数据'!C128-0.625*'03_原始数据'!B128-OtherCost</f>
        <v/>
      </c>
      <c r="S128" s="37">
        <f>'03_原始数据'!C128-0.63*'03_原始数据'!B128-OtherCost</f>
        <v/>
      </c>
      <c r="T128" s="37">
        <f>'03_原始数据'!C128-0.635*'03_原始数据'!B128-OtherCost</f>
        <v/>
      </c>
      <c r="U128" s="37">
        <f>'03_原始数据'!C128-0.64*'03_原始数据'!B128-OtherCost</f>
        <v/>
      </c>
      <c r="V128" s="37">
        <f>'03_原始数据'!C128-0.645*'03_原始数据'!B128-OtherCost</f>
        <v/>
      </c>
      <c r="W128" s="37">
        <f>'03_原始数据'!C128-0.65*'03_原始数据'!B128-OtherCost</f>
        <v/>
      </c>
      <c r="X128" s="37">
        <f>'03_原始数据'!C128-0.655*'03_原始数据'!B128-OtherCost</f>
        <v/>
      </c>
      <c r="Y128" s="37">
        <f>'03_原始数据'!C128-0.66*'03_原始数据'!B128-OtherCost</f>
        <v/>
      </c>
      <c r="Z128" s="37">
        <f>'03_原始数据'!C128-0.665*'03_原始数据'!B128-OtherCost</f>
        <v/>
      </c>
      <c r="AA128" s="37">
        <f>'03_原始数据'!C128-0.67*'03_原始数据'!B128-OtherCost</f>
        <v/>
      </c>
      <c r="AB128" s="37">
        <f>'03_原始数据'!C128-0.675*'03_原始数据'!B128-OtherCost</f>
        <v/>
      </c>
      <c r="AC128" s="37">
        <f>'03_原始数据'!C128-0.68*'03_原始数据'!B128-OtherCost</f>
        <v/>
      </c>
      <c r="AD128" s="37">
        <f>'03_原始数据'!C128-0.685*'03_原始数据'!B128-OtherCost</f>
        <v/>
      </c>
      <c r="AE128" s="37">
        <f>'03_原始数据'!C128-0.69*'03_原始数据'!B128-OtherCost</f>
        <v/>
      </c>
      <c r="AF128" s="37">
        <f>'03_原始数据'!C128-0.695*'03_原始数据'!B128-OtherCost</f>
        <v/>
      </c>
      <c r="AG128" s="37">
        <f>'03_原始数据'!C128-0.7*'03_原始数据'!B128-OtherCost</f>
        <v/>
      </c>
    </row>
    <row r="129">
      <c r="M129" s="37">
        <f>'03_原始数据'!C129-0.6*'03_原始数据'!B129-OtherCost</f>
        <v/>
      </c>
      <c r="N129" s="37">
        <f>'03_原始数据'!C129-0.605*'03_原始数据'!B129-OtherCost</f>
        <v/>
      </c>
      <c r="O129" s="37">
        <f>'03_原始数据'!C129-0.61*'03_原始数据'!B129-OtherCost</f>
        <v/>
      </c>
      <c r="P129" s="37">
        <f>'03_原始数据'!C129-0.615*'03_原始数据'!B129-OtherCost</f>
        <v/>
      </c>
      <c r="Q129" s="37">
        <f>'03_原始数据'!C129-0.62*'03_原始数据'!B129-OtherCost</f>
        <v/>
      </c>
      <c r="R129" s="37">
        <f>'03_原始数据'!C129-0.625*'03_原始数据'!B129-OtherCost</f>
        <v/>
      </c>
      <c r="S129" s="37">
        <f>'03_原始数据'!C129-0.63*'03_原始数据'!B129-OtherCost</f>
        <v/>
      </c>
      <c r="T129" s="37">
        <f>'03_原始数据'!C129-0.635*'03_原始数据'!B129-OtherCost</f>
        <v/>
      </c>
      <c r="U129" s="37">
        <f>'03_原始数据'!C129-0.64*'03_原始数据'!B129-OtherCost</f>
        <v/>
      </c>
      <c r="V129" s="37">
        <f>'03_原始数据'!C129-0.645*'03_原始数据'!B129-OtherCost</f>
        <v/>
      </c>
      <c r="W129" s="37">
        <f>'03_原始数据'!C129-0.65*'03_原始数据'!B129-OtherCost</f>
        <v/>
      </c>
      <c r="X129" s="37">
        <f>'03_原始数据'!C129-0.655*'03_原始数据'!B129-OtherCost</f>
        <v/>
      </c>
      <c r="Y129" s="37">
        <f>'03_原始数据'!C129-0.66*'03_原始数据'!B129-OtherCost</f>
        <v/>
      </c>
      <c r="Z129" s="37">
        <f>'03_原始数据'!C129-0.665*'03_原始数据'!B129-OtherCost</f>
        <v/>
      </c>
      <c r="AA129" s="37">
        <f>'03_原始数据'!C129-0.67*'03_原始数据'!B129-OtherCost</f>
        <v/>
      </c>
      <c r="AB129" s="37">
        <f>'03_原始数据'!C129-0.675*'03_原始数据'!B129-OtherCost</f>
        <v/>
      </c>
      <c r="AC129" s="37">
        <f>'03_原始数据'!C129-0.68*'03_原始数据'!B129-OtherCost</f>
        <v/>
      </c>
      <c r="AD129" s="37">
        <f>'03_原始数据'!C129-0.685*'03_原始数据'!B129-OtherCost</f>
        <v/>
      </c>
      <c r="AE129" s="37">
        <f>'03_原始数据'!C129-0.69*'03_原始数据'!B129-OtherCost</f>
        <v/>
      </c>
      <c r="AF129" s="37">
        <f>'03_原始数据'!C129-0.695*'03_原始数据'!B129-OtherCost</f>
        <v/>
      </c>
      <c r="AG129" s="37">
        <f>'03_原始数据'!C129-0.7*'03_原始数据'!B129-OtherCost</f>
        <v/>
      </c>
    </row>
    <row r="130">
      <c r="M130" s="37">
        <f>'03_原始数据'!C130-0.6*'03_原始数据'!B130-OtherCost</f>
        <v/>
      </c>
      <c r="N130" s="37">
        <f>'03_原始数据'!C130-0.605*'03_原始数据'!B130-OtherCost</f>
        <v/>
      </c>
      <c r="O130" s="37">
        <f>'03_原始数据'!C130-0.61*'03_原始数据'!B130-OtherCost</f>
        <v/>
      </c>
      <c r="P130" s="37">
        <f>'03_原始数据'!C130-0.615*'03_原始数据'!B130-OtherCost</f>
        <v/>
      </c>
      <c r="Q130" s="37">
        <f>'03_原始数据'!C130-0.62*'03_原始数据'!B130-OtherCost</f>
        <v/>
      </c>
      <c r="R130" s="37">
        <f>'03_原始数据'!C130-0.625*'03_原始数据'!B130-OtherCost</f>
        <v/>
      </c>
      <c r="S130" s="37">
        <f>'03_原始数据'!C130-0.63*'03_原始数据'!B130-OtherCost</f>
        <v/>
      </c>
      <c r="T130" s="37">
        <f>'03_原始数据'!C130-0.635*'03_原始数据'!B130-OtherCost</f>
        <v/>
      </c>
      <c r="U130" s="37">
        <f>'03_原始数据'!C130-0.64*'03_原始数据'!B130-OtherCost</f>
        <v/>
      </c>
      <c r="V130" s="37">
        <f>'03_原始数据'!C130-0.645*'03_原始数据'!B130-OtherCost</f>
        <v/>
      </c>
      <c r="W130" s="37">
        <f>'03_原始数据'!C130-0.65*'03_原始数据'!B130-OtherCost</f>
        <v/>
      </c>
      <c r="X130" s="37">
        <f>'03_原始数据'!C130-0.655*'03_原始数据'!B130-OtherCost</f>
        <v/>
      </c>
      <c r="Y130" s="37">
        <f>'03_原始数据'!C130-0.66*'03_原始数据'!B130-OtherCost</f>
        <v/>
      </c>
      <c r="Z130" s="37">
        <f>'03_原始数据'!C130-0.665*'03_原始数据'!B130-OtherCost</f>
        <v/>
      </c>
      <c r="AA130" s="37">
        <f>'03_原始数据'!C130-0.67*'03_原始数据'!B130-OtherCost</f>
        <v/>
      </c>
      <c r="AB130" s="37">
        <f>'03_原始数据'!C130-0.675*'03_原始数据'!B130-OtherCost</f>
        <v/>
      </c>
      <c r="AC130" s="37">
        <f>'03_原始数据'!C130-0.68*'03_原始数据'!B130-OtherCost</f>
        <v/>
      </c>
      <c r="AD130" s="37">
        <f>'03_原始数据'!C130-0.685*'03_原始数据'!B130-OtherCost</f>
        <v/>
      </c>
      <c r="AE130" s="37">
        <f>'03_原始数据'!C130-0.69*'03_原始数据'!B130-OtherCost</f>
        <v/>
      </c>
      <c r="AF130" s="37">
        <f>'03_原始数据'!C130-0.695*'03_原始数据'!B130-OtherCost</f>
        <v/>
      </c>
      <c r="AG130" s="37">
        <f>'03_原始数据'!C130-0.7*'03_原始数据'!B130-OtherCost</f>
        <v/>
      </c>
    </row>
    <row r="131">
      <c r="M131" s="37">
        <f>'03_原始数据'!C131-0.6*'03_原始数据'!B131-OtherCost</f>
        <v/>
      </c>
      <c r="N131" s="37">
        <f>'03_原始数据'!C131-0.605*'03_原始数据'!B131-OtherCost</f>
        <v/>
      </c>
      <c r="O131" s="37">
        <f>'03_原始数据'!C131-0.61*'03_原始数据'!B131-OtherCost</f>
        <v/>
      </c>
      <c r="P131" s="37">
        <f>'03_原始数据'!C131-0.615*'03_原始数据'!B131-OtherCost</f>
        <v/>
      </c>
      <c r="Q131" s="37">
        <f>'03_原始数据'!C131-0.62*'03_原始数据'!B131-OtherCost</f>
        <v/>
      </c>
      <c r="R131" s="37">
        <f>'03_原始数据'!C131-0.625*'03_原始数据'!B131-OtherCost</f>
        <v/>
      </c>
      <c r="S131" s="37">
        <f>'03_原始数据'!C131-0.63*'03_原始数据'!B131-OtherCost</f>
        <v/>
      </c>
      <c r="T131" s="37">
        <f>'03_原始数据'!C131-0.635*'03_原始数据'!B131-OtherCost</f>
        <v/>
      </c>
      <c r="U131" s="37">
        <f>'03_原始数据'!C131-0.64*'03_原始数据'!B131-OtherCost</f>
        <v/>
      </c>
      <c r="V131" s="37">
        <f>'03_原始数据'!C131-0.645*'03_原始数据'!B131-OtherCost</f>
        <v/>
      </c>
      <c r="W131" s="37">
        <f>'03_原始数据'!C131-0.65*'03_原始数据'!B131-OtherCost</f>
        <v/>
      </c>
      <c r="X131" s="37">
        <f>'03_原始数据'!C131-0.655*'03_原始数据'!B131-OtherCost</f>
        <v/>
      </c>
      <c r="Y131" s="37">
        <f>'03_原始数据'!C131-0.66*'03_原始数据'!B131-OtherCost</f>
        <v/>
      </c>
      <c r="Z131" s="37">
        <f>'03_原始数据'!C131-0.665*'03_原始数据'!B131-OtherCost</f>
        <v/>
      </c>
      <c r="AA131" s="37">
        <f>'03_原始数据'!C131-0.67*'03_原始数据'!B131-OtherCost</f>
        <v/>
      </c>
      <c r="AB131" s="37">
        <f>'03_原始数据'!C131-0.675*'03_原始数据'!B131-OtherCost</f>
        <v/>
      </c>
      <c r="AC131" s="37">
        <f>'03_原始数据'!C131-0.68*'03_原始数据'!B131-OtherCost</f>
        <v/>
      </c>
      <c r="AD131" s="37">
        <f>'03_原始数据'!C131-0.685*'03_原始数据'!B131-OtherCost</f>
        <v/>
      </c>
      <c r="AE131" s="37">
        <f>'03_原始数据'!C131-0.69*'03_原始数据'!B131-OtherCost</f>
        <v/>
      </c>
      <c r="AF131" s="37">
        <f>'03_原始数据'!C131-0.695*'03_原始数据'!B131-OtherCost</f>
        <v/>
      </c>
      <c r="AG131" s="37">
        <f>'03_原始数据'!C131-0.7*'03_原始数据'!B131-OtherCost</f>
        <v/>
      </c>
    </row>
    <row r="132">
      <c r="M132" s="37">
        <f>'03_原始数据'!C132-0.6*'03_原始数据'!B132-OtherCost</f>
        <v/>
      </c>
      <c r="N132" s="37">
        <f>'03_原始数据'!C132-0.605*'03_原始数据'!B132-OtherCost</f>
        <v/>
      </c>
      <c r="O132" s="37">
        <f>'03_原始数据'!C132-0.61*'03_原始数据'!B132-OtherCost</f>
        <v/>
      </c>
      <c r="P132" s="37">
        <f>'03_原始数据'!C132-0.615*'03_原始数据'!B132-OtherCost</f>
        <v/>
      </c>
      <c r="Q132" s="37">
        <f>'03_原始数据'!C132-0.62*'03_原始数据'!B132-OtherCost</f>
        <v/>
      </c>
      <c r="R132" s="37">
        <f>'03_原始数据'!C132-0.625*'03_原始数据'!B132-OtherCost</f>
        <v/>
      </c>
      <c r="S132" s="37">
        <f>'03_原始数据'!C132-0.63*'03_原始数据'!B132-OtherCost</f>
        <v/>
      </c>
      <c r="T132" s="37">
        <f>'03_原始数据'!C132-0.635*'03_原始数据'!B132-OtherCost</f>
        <v/>
      </c>
      <c r="U132" s="37">
        <f>'03_原始数据'!C132-0.64*'03_原始数据'!B132-OtherCost</f>
        <v/>
      </c>
      <c r="V132" s="37">
        <f>'03_原始数据'!C132-0.645*'03_原始数据'!B132-OtherCost</f>
        <v/>
      </c>
      <c r="W132" s="37">
        <f>'03_原始数据'!C132-0.65*'03_原始数据'!B132-OtherCost</f>
        <v/>
      </c>
      <c r="X132" s="37">
        <f>'03_原始数据'!C132-0.655*'03_原始数据'!B132-OtherCost</f>
        <v/>
      </c>
      <c r="Y132" s="37">
        <f>'03_原始数据'!C132-0.66*'03_原始数据'!B132-OtherCost</f>
        <v/>
      </c>
      <c r="Z132" s="37">
        <f>'03_原始数据'!C132-0.665*'03_原始数据'!B132-OtherCost</f>
        <v/>
      </c>
      <c r="AA132" s="37">
        <f>'03_原始数据'!C132-0.67*'03_原始数据'!B132-OtherCost</f>
        <v/>
      </c>
      <c r="AB132" s="37">
        <f>'03_原始数据'!C132-0.675*'03_原始数据'!B132-OtherCost</f>
        <v/>
      </c>
      <c r="AC132" s="37">
        <f>'03_原始数据'!C132-0.68*'03_原始数据'!B132-OtherCost</f>
        <v/>
      </c>
      <c r="AD132" s="37">
        <f>'03_原始数据'!C132-0.685*'03_原始数据'!B132-OtherCost</f>
        <v/>
      </c>
      <c r="AE132" s="37">
        <f>'03_原始数据'!C132-0.69*'03_原始数据'!B132-OtherCost</f>
        <v/>
      </c>
      <c r="AF132" s="37">
        <f>'03_原始数据'!C132-0.695*'03_原始数据'!B132-OtherCost</f>
        <v/>
      </c>
      <c r="AG132" s="37">
        <f>'03_原始数据'!C132-0.7*'03_原始数据'!B132-OtherCost</f>
        <v/>
      </c>
    </row>
    <row r="133">
      <c r="M133" s="37">
        <f>'03_原始数据'!C133-0.6*'03_原始数据'!B133-OtherCost</f>
        <v/>
      </c>
      <c r="N133" s="37">
        <f>'03_原始数据'!C133-0.605*'03_原始数据'!B133-OtherCost</f>
        <v/>
      </c>
      <c r="O133" s="37">
        <f>'03_原始数据'!C133-0.61*'03_原始数据'!B133-OtherCost</f>
        <v/>
      </c>
      <c r="P133" s="37">
        <f>'03_原始数据'!C133-0.615*'03_原始数据'!B133-OtherCost</f>
        <v/>
      </c>
      <c r="Q133" s="37">
        <f>'03_原始数据'!C133-0.62*'03_原始数据'!B133-OtherCost</f>
        <v/>
      </c>
      <c r="R133" s="37">
        <f>'03_原始数据'!C133-0.625*'03_原始数据'!B133-OtherCost</f>
        <v/>
      </c>
      <c r="S133" s="37">
        <f>'03_原始数据'!C133-0.63*'03_原始数据'!B133-OtherCost</f>
        <v/>
      </c>
      <c r="T133" s="37">
        <f>'03_原始数据'!C133-0.635*'03_原始数据'!B133-OtherCost</f>
        <v/>
      </c>
      <c r="U133" s="37">
        <f>'03_原始数据'!C133-0.64*'03_原始数据'!B133-OtherCost</f>
        <v/>
      </c>
      <c r="V133" s="37">
        <f>'03_原始数据'!C133-0.645*'03_原始数据'!B133-OtherCost</f>
        <v/>
      </c>
      <c r="W133" s="37">
        <f>'03_原始数据'!C133-0.65*'03_原始数据'!B133-OtherCost</f>
        <v/>
      </c>
      <c r="X133" s="37">
        <f>'03_原始数据'!C133-0.655*'03_原始数据'!B133-OtherCost</f>
        <v/>
      </c>
      <c r="Y133" s="37">
        <f>'03_原始数据'!C133-0.66*'03_原始数据'!B133-OtherCost</f>
        <v/>
      </c>
      <c r="Z133" s="37">
        <f>'03_原始数据'!C133-0.665*'03_原始数据'!B133-OtherCost</f>
        <v/>
      </c>
      <c r="AA133" s="37">
        <f>'03_原始数据'!C133-0.67*'03_原始数据'!B133-OtherCost</f>
        <v/>
      </c>
      <c r="AB133" s="37">
        <f>'03_原始数据'!C133-0.675*'03_原始数据'!B133-OtherCost</f>
        <v/>
      </c>
      <c r="AC133" s="37">
        <f>'03_原始数据'!C133-0.68*'03_原始数据'!B133-OtherCost</f>
        <v/>
      </c>
      <c r="AD133" s="37">
        <f>'03_原始数据'!C133-0.685*'03_原始数据'!B133-OtherCost</f>
        <v/>
      </c>
      <c r="AE133" s="37">
        <f>'03_原始数据'!C133-0.69*'03_原始数据'!B133-OtherCost</f>
        <v/>
      </c>
      <c r="AF133" s="37">
        <f>'03_原始数据'!C133-0.695*'03_原始数据'!B133-OtherCost</f>
        <v/>
      </c>
      <c r="AG133" s="37">
        <f>'03_原始数据'!C133-0.7*'03_原始数据'!B133-OtherCost</f>
        <v/>
      </c>
    </row>
    <row r="134">
      <c r="M134" s="37">
        <f>'03_原始数据'!C134-0.6*'03_原始数据'!B134-OtherCost</f>
        <v/>
      </c>
      <c r="N134" s="37">
        <f>'03_原始数据'!C134-0.605*'03_原始数据'!B134-OtherCost</f>
        <v/>
      </c>
      <c r="O134" s="37">
        <f>'03_原始数据'!C134-0.61*'03_原始数据'!B134-OtherCost</f>
        <v/>
      </c>
      <c r="P134" s="37">
        <f>'03_原始数据'!C134-0.615*'03_原始数据'!B134-OtherCost</f>
        <v/>
      </c>
      <c r="Q134" s="37">
        <f>'03_原始数据'!C134-0.62*'03_原始数据'!B134-OtherCost</f>
        <v/>
      </c>
      <c r="R134" s="37">
        <f>'03_原始数据'!C134-0.625*'03_原始数据'!B134-OtherCost</f>
        <v/>
      </c>
      <c r="S134" s="37">
        <f>'03_原始数据'!C134-0.63*'03_原始数据'!B134-OtherCost</f>
        <v/>
      </c>
      <c r="T134" s="37">
        <f>'03_原始数据'!C134-0.635*'03_原始数据'!B134-OtherCost</f>
        <v/>
      </c>
      <c r="U134" s="37">
        <f>'03_原始数据'!C134-0.64*'03_原始数据'!B134-OtherCost</f>
        <v/>
      </c>
      <c r="V134" s="37">
        <f>'03_原始数据'!C134-0.645*'03_原始数据'!B134-OtherCost</f>
        <v/>
      </c>
      <c r="W134" s="37">
        <f>'03_原始数据'!C134-0.65*'03_原始数据'!B134-OtherCost</f>
        <v/>
      </c>
      <c r="X134" s="37">
        <f>'03_原始数据'!C134-0.655*'03_原始数据'!B134-OtherCost</f>
        <v/>
      </c>
      <c r="Y134" s="37">
        <f>'03_原始数据'!C134-0.66*'03_原始数据'!B134-OtherCost</f>
        <v/>
      </c>
      <c r="Z134" s="37">
        <f>'03_原始数据'!C134-0.665*'03_原始数据'!B134-OtherCost</f>
        <v/>
      </c>
      <c r="AA134" s="37">
        <f>'03_原始数据'!C134-0.67*'03_原始数据'!B134-OtherCost</f>
        <v/>
      </c>
      <c r="AB134" s="37">
        <f>'03_原始数据'!C134-0.675*'03_原始数据'!B134-OtherCost</f>
        <v/>
      </c>
      <c r="AC134" s="37">
        <f>'03_原始数据'!C134-0.68*'03_原始数据'!B134-OtherCost</f>
        <v/>
      </c>
      <c r="AD134" s="37">
        <f>'03_原始数据'!C134-0.685*'03_原始数据'!B134-OtherCost</f>
        <v/>
      </c>
      <c r="AE134" s="37">
        <f>'03_原始数据'!C134-0.69*'03_原始数据'!B134-OtherCost</f>
        <v/>
      </c>
      <c r="AF134" s="37">
        <f>'03_原始数据'!C134-0.695*'03_原始数据'!B134-OtherCost</f>
        <v/>
      </c>
      <c r="AG134" s="37">
        <f>'03_原始数据'!C134-0.7*'03_原始数据'!B134-OtherCost</f>
        <v/>
      </c>
    </row>
    <row r="135">
      <c r="M135" s="37">
        <f>'03_原始数据'!C135-0.6*'03_原始数据'!B135-OtherCost</f>
        <v/>
      </c>
      <c r="N135" s="37">
        <f>'03_原始数据'!C135-0.605*'03_原始数据'!B135-OtherCost</f>
        <v/>
      </c>
      <c r="O135" s="37">
        <f>'03_原始数据'!C135-0.61*'03_原始数据'!B135-OtherCost</f>
        <v/>
      </c>
      <c r="P135" s="37">
        <f>'03_原始数据'!C135-0.615*'03_原始数据'!B135-OtherCost</f>
        <v/>
      </c>
      <c r="Q135" s="37">
        <f>'03_原始数据'!C135-0.62*'03_原始数据'!B135-OtherCost</f>
        <v/>
      </c>
      <c r="R135" s="37">
        <f>'03_原始数据'!C135-0.625*'03_原始数据'!B135-OtherCost</f>
        <v/>
      </c>
      <c r="S135" s="37">
        <f>'03_原始数据'!C135-0.63*'03_原始数据'!B135-OtherCost</f>
        <v/>
      </c>
      <c r="T135" s="37">
        <f>'03_原始数据'!C135-0.635*'03_原始数据'!B135-OtherCost</f>
        <v/>
      </c>
      <c r="U135" s="37">
        <f>'03_原始数据'!C135-0.64*'03_原始数据'!B135-OtherCost</f>
        <v/>
      </c>
      <c r="V135" s="37">
        <f>'03_原始数据'!C135-0.645*'03_原始数据'!B135-OtherCost</f>
        <v/>
      </c>
      <c r="W135" s="37">
        <f>'03_原始数据'!C135-0.65*'03_原始数据'!B135-OtherCost</f>
        <v/>
      </c>
      <c r="X135" s="37">
        <f>'03_原始数据'!C135-0.655*'03_原始数据'!B135-OtherCost</f>
        <v/>
      </c>
      <c r="Y135" s="37">
        <f>'03_原始数据'!C135-0.66*'03_原始数据'!B135-OtherCost</f>
        <v/>
      </c>
      <c r="Z135" s="37">
        <f>'03_原始数据'!C135-0.665*'03_原始数据'!B135-OtherCost</f>
        <v/>
      </c>
      <c r="AA135" s="37">
        <f>'03_原始数据'!C135-0.67*'03_原始数据'!B135-OtherCost</f>
        <v/>
      </c>
      <c r="AB135" s="37">
        <f>'03_原始数据'!C135-0.675*'03_原始数据'!B135-OtherCost</f>
        <v/>
      </c>
      <c r="AC135" s="37">
        <f>'03_原始数据'!C135-0.68*'03_原始数据'!B135-OtherCost</f>
        <v/>
      </c>
      <c r="AD135" s="37">
        <f>'03_原始数据'!C135-0.685*'03_原始数据'!B135-OtherCost</f>
        <v/>
      </c>
      <c r="AE135" s="37">
        <f>'03_原始数据'!C135-0.69*'03_原始数据'!B135-OtherCost</f>
        <v/>
      </c>
      <c r="AF135" s="37">
        <f>'03_原始数据'!C135-0.695*'03_原始数据'!B135-OtherCost</f>
        <v/>
      </c>
      <c r="AG135" s="37">
        <f>'03_原始数据'!C135-0.7*'03_原始数据'!B135-OtherCost</f>
        <v/>
      </c>
    </row>
    <row r="136">
      <c r="M136" s="37">
        <f>'03_原始数据'!C136-0.6*'03_原始数据'!B136-OtherCost</f>
        <v/>
      </c>
      <c r="N136" s="37">
        <f>'03_原始数据'!C136-0.605*'03_原始数据'!B136-OtherCost</f>
        <v/>
      </c>
      <c r="O136" s="37">
        <f>'03_原始数据'!C136-0.61*'03_原始数据'!B136-OtherCost</f>
        <v/>
      </c>
      <c r="P136" s="37">
        <f>'03_原始数据'!C136-0.615*'03_原始数据'!B136-OtherCost</f>
        <v/>
      </c>
      <c r="Q136" s="37">
        <f>'03_原始数据'!C136-0.62*'03_原始数据'!B136-OtherCost</f>
        <v/>
      </c>
      <c r="R136" s="37">
        <f>'03_原始数据'!C136-0.625*'03_原始数据'!B136-OtherCost</f>
        <v/>
      </c>
      <c r="S136" s="37">
        <f>'03_原始数据'!C136-0.63*'03_原始数据'!B136-OtherCost</f>
        <v/>
      </c>
      <c r="T136" s="37">
        <f>'03_原始数据'!C136-0.635*'03_原始数据'!B136-OtherCost</f>
        <v/>
      </c>
      <c r="U136" s="37">
        <f>'03_原始数据'!C136-0.64*'03_原始数据'!B136-OtherCost</f>
        <v/>
      </c>
      <c r="V136" s="37">
        <f>'03_原始数据'!C136-0.645*'03_原始数据'!B136-OtherCost</f>
        <v/>
      </c>
      <c r="W136" s="37">
        <f>'03_原始数据'!C136-0.65*'03_原始数据'!B136-OtherCost</f>
        <v/>
      </c>
      <c r="X136" s="37">
        <f>'03_原始数据'!C136-0.655*'03_原始数据'!B136-OtherCost</f>
        <v/>
      </c>
      <c r="Y136" s="37">
        <f>'03_原始数据'!C136-0.66*'03_原始数据'!B136-OtherCost</f>
        <v/>
      </c>
      <c r="Z136" s="37">
        <f>'03_原始数据'!C136-0.665*'03_原始数据'!B136-OtherCost</f>
        <v/>
      </c>
      <c r="AA136" s="37">
        <f>'03_原始数据'!C136-0.67*'03_原始数据'!B136-OtherCost</f>
        <v/>
      </c>
      <c r="AB136" s="37">
        <f>'03_原始数据'!C136-0.675*'03_原始数据'!B136-OtherCost</f>
        <v/>
      </c>
      <c r="AC136" s="37">
        <f>'03_原始数据'!C136-0.68*'03_原始数据'!B136-OtherCost</f>
        <v/>
      </c>
      <c r="AD136" s="37">
        <f>'03_原始数据'!C136-0.685*'03_原始数据'!B136-OtherCost</f>
        <v/>
      </c>
      <c r="AE136" s="37">
        <f>'03_原始数据'!C136-0.69*'03_原始数据'!B136-OtherCost</f>
        <v/>
      </c>
      <c r="AF136" s="37">
        <f>'03_原始数据'!C136-0.695*'03_原始数据'!B136-OtherCost</f>
        <v/>
      </c>
      <c r="AG136" s="37">
        <f>'03_原始数据'!C136-0.7*'03_原始数据'!B136-OtherCost</f>
        <v/>
      </c>
    </row>
    <row r="137">
      <c r="M137" s="37">
        <f>'03_原始数据'!C137-0.6*'03_原始数据'!B137-OtherCost</f>
        <v/>
      </c>
      <c r="N137" s="37">
        <f>'03_原始数据'!C137-0.605*'03_原始数据'!B137-OtherCost</f>
        <v/>
      </c>
      <c r="O137" s="37">
        <f>'03_原始数据'!C137-0.61*'03_原始数据'!B137-OtherCost</f>
        <v/>
      </c>
      <c r="P137" s="37">
        <f>'03_原始数据'!C137-0.615*'03_原始数据'!B137-OtherCost</f>
        <v/>
      </c>
      <c r="Q137" s="37">
        <f>'03_原始数据'!C137-0.62*'03_原始数据'!B137-OtherCost</f>
        <v/>
      </c>
      <c r="R137" s="37">
        <f>'03_原始数据'!C137-0.625*'03_原始数据'!B137-OtherCost</f>
        <v/>
      </c>
      <c r="S137" s="37">
        <f>'03_原始数据'!C137-0.63*'03_原始数据'!B137-OtherCost</f>
        <v/>
      </c>
      <c r="T137" s="37">
        <f>'03_原始数据'!C137-0.635*'03_原始数据'!B137-OtherCost</f>
        <v/>
      </c>
      <c r="U137" s="37">
        <f>'03_原始数据'!C137-0.64*'03_原始数据'!B137-OtherCost</f>
        <v/>
      </c>
      <c r="V137" s="37">
        <f>'03_原始数据'!C137-0.645*'03_原始数据'!B137-OtherCost</f>
        <v/>
      </c>
      <c r="W137" s="37">
        <f>'03_原始数据'!C137-0.65*'03_原始数据'!B137-OtherCost</f>
        <v/>
      </c>
      <c r="X137" s="37">
        <f>'03_原始数据'!C137-0.655*'03_原始数据'!B137-OtherCost</f>
        <v/>
      </c>
      <c r="Y137" s="37">
        <f>'03_原始数据'!C137-0.66*'03_原始数据'!B137-OtherCost</f>
        <v/>
      </c>
      <c r="Z137" s="37">
        <f>'03_原始数据'!C137-0.665*'03_原始数据'!B137-OtherCost</f>
        <v/>
      </c>
      <c r="AA137" s="37">
        <f>'03_原始数据'!C137-0.67*'03_原始数据'!B137-OtherCost</f>
        <v/>
      </c>
      <c r="AB137" s="37">
        <f>'03_原始数据'!C137-0.675*'03_原始数据'!B137-OtherCost</f>
        <v/>
      </c>
      <c r="AC137" s="37">
        <f>'03_原始数据'!C137-0.68*'03_原始数据'!B137-OtherCost</f>
        <v/>
      </c>
      <c r="AD137" s="37">
        <f>'03_原始数据'!C137-0.685*'03_原始数据'!B137-OtherCost</f>
        <v/>
      </c>
      <c r="AE137" s="37">
        <f>'03_原始数据'!C137-0.69*'03_原始数据'!B137-OtherCost</f>
        <v/>
      </c>
      <c r="AF137" s="37">
        <f>'03_原始数据'!C137-0.695*'03_原始数据'!B137-OtherCost</f>
        <v/>
      </c>
      <c r="AG137" s="37">
        <f>'03_原始数据'!C137-0.7*'03_原始数据'!B137-OtherCost</f>
        <v/>
      </c>
    </row>
    <row r="138">
      <c r="M138" s="37">
        <f>'03_原始数据'!C138-0.6*'03_原始数据'!B138-OtherCost</f>
        <v/>
      </c>
      <c r="N138" s="37">
        <f>'03_原始数据'!C138-0.605*'03_原始数据'!B138-OtherCost</f>
        <v/>
      </c>
      <c r="O138" s="37">
        <f>'03_原始数据'!C138-0.61*'03_原始数据'!B138-OtherCost</f>
        <v/>
      </c>
      <c r="P138" s="37">
        <f>'03_原始数据'!C138-0.615*'03_原始数据'!B138-OtherCost</f>
        <v/>
      </c>
      <c r="Q138" s="37">
        <f>'03_原始数据'!C138-0.62*'03_原始数据'!B138-OtherCost</f>
        <v/>
      </c>
      <c r="R138" s="37">
        <f>'03_原始数据'!C138-0.625*'03_原始数据'!B138-OtherCost</f>
        <v/>
      </c>
      <c r="S138" s="37">
        <f>'03_原始数据'!C138-0.63*'03_原始数据'!B138-OtherCost</f>
        <v/>
      </c>
      <c r="T138" s="37">
        <f>'03_原始数据'!C138-0.635*'03_原始数据'!B138-OtherCost</f>
        <v/>
      </c>
      <c r="U138" s="37">
        <f>'03_原始数据'!C138-0.64*'03_原始数据'!B138-OtherCost</f>
        <v/>
      </c>
      <c r="V138" s="37">
        <f>'03_原始数据'!C138-0.645*'03_原始数据'!B138-OtherCost</f>
        <v/>
      </c>
      <c r="W138" s="37">
        <f>'03_原始数据'!C138-0.65*'03_原始数据'!B138-OtherCost</f>
        <v/>
      </c>
      <c r="X138" s="37">
        <f>'03_原始数据'!C138-0.655*'03_原始数据'!B138-OtherCost</f>
        <v/>
      </c>
      <c r="Y138" s="37">
        <f>'03_原始数据'!C138-0.66*'03_原始数据'!B138-OtherCost</f>
        <v/>
      </c>
      <c r="Z138" s="37">
        <f>'03_原始数据'!C138-0.665*'03_原始数据'!B138-OtherCost</f>
        <v/>
      </c>
      <c r="AA138" s="37">
        <f>'03_原始数据'!C138-0.67*'03_原始数据'!B138-OtherCost</f>
        <v/>
      </c>
      <c r="AB138" s="37">
        <f>'03_原始数据'!C138-0.675*'03_原始数据'!B138-OtherCost</f>
        <v/>
      </c>
      <c r="AC138" s="37">
        <f>'03_原始数据'!C138-0.68*'03_原始数据'!B138-OtherCost</f>
        <v/>
      </c>
      <c r="AD138" s="37">
        <f>'03_原始数据'!C138-0.685*'03_原始数据'!B138-OtherCost</f>
        <v/>
      </c>
      <c r="AE138" s="37">
        <f>'03_原始数据'!C138-0.69*'03_原始数据'!B138-OtherCost</f>
        <v/>
      </c>
      <c r="AF138" s="37">
        <f>'03_原始数据'!C138-0.695*'03_原始数据'!B138-OtherCost</f>
        <v/>
      </c>
      <c r="AG138" s="37">
        <f>'03_原始数据'!C138-0.7*'03_原始数据'!B138-OtherCost</f>
        <v/>
      </c>
    </row>
    <row r="139">
      <c r="M139" s="37">
        <f>'03_原始数据'!C139-0.6*'03_原始数据'!B139-OtherCost</f>
        <v/>
      </c>
      <c r="N139" s="37">
        <f>'03_原始数据'!C139-0.605*'03_原始数据'!B139-OtherCost</f>
        <v/>
      </c>
      <c r="O139" s="37">
        <f>'03_原始数据'!C139-0.61*'03_原始数据'!B139-OtherCost</f>
        <v/>
      </c>
      <c r="P139" s="37">
        <f>'03_原始数据'!C139-0.615*'03_原始数据'!B139-OtherCost</f>
        <v/>
      </c>
      <c r="Q139" s="37">
        <f>'03_原始数据'!C139-0.62*'03_原始数据'!B139-OtherCost</f>
        <v/>
      </c>
      <c r="R139" s="37">
        <f>'03_原始数据'!C139-0.625*'03_原始数据'!B139-OtherCost</f>
        <v/>
      </c>
      <c r="S139" s="37">
        <f>'03_原始数据'!C139-0.63*'03_原始数据'!B139-OtherCost</f>
        <v/>
      </c>
      <c r="T139" s="37">
        <f>'03_原始数据'!C139-0.635*'03_原始数据'!B139-OtherCost</f>
        <v/>
      </c>
      <c r="U139" s="37">
        <f>'03_原始数据'!C139-0.64*'03_原始数据'!B139-OtherCost</f>
        <v/>
      </c>
      <c r="V139" s="37">
        <f>'03_原始数据'!C139-0.645*'03_原始数据'!B139-OtherCost</f>
        <v/>
      </c>
      <c r="W139" s="37">
        <f>'03_原始数据'!C139-0.65*'03_原始数据'!B139-OtherCost</f>
        <v/>
      </c>
      <c r="X139" s="37">
        <f>'03_原始数据'!C139-0.655*'03_原始数据'!B139-OtherCost</f>
        <v/>
      </c>
      <c r="Y139" s="37">
        <f>'03_原始数据'!C139-0.66*'03_原始数据'!B139-OtherCost</f>
        <v/>
      </c>
      <c r="Z139" s="37">
        <f>'03_原始数据'!C139-0.665*'03_原始数据'!B139-OtherCost</f>
        <v/>
      </c>
      <c r="AA139" s="37">
        <f>'03_原始数据'!C139-0.67*'03_原始数据'!B139-OtherCost</f>
        <v/>
      </c>
      <c r="AB139" s="37">
        <f>'03_原始数据'!C139-0.675*'03_原始数据'!B139-OtherCost</f>
        <v/>
      </c>
      <c r="AC139" s="37">
        <f>'03_原始数据'!C139-0.68*'03_原始数据'!B139-OtherCost</f>
        <v/>
      </c>
      <c r="AD139" s="37">
        <f>'03_原始数据'!C139-0.685*'03_原始数据'!B139-OtherCost</f>
        <v/>
      </c>
      <c r="AE139" s="37">
        <f>'03_原始数据'!C139-0.69*'03_原始数据'!B139-OtherCost</f>
        <v/>
      </c>
      <c r="AF139" s="37">
        <f>'03_原始数据'!C139-0.695*'03_原始数据'!B139-OtherCost</f>
        <v/>
      </c>
      <c r="AG139" s="37">
        <f>'03_原始数据'!C139-0.7*'03_原始数据'!B139-OtherCost</f>
        <v/>
      </c>
    </row>
    <row r="140">
      <c r="M140" s="37">
        <f>'03_原始数据'!C140-0.6*'03_原始数据'!B140-OtherCost</f>
        <v/>
      </c>
      <c r="N140" s="37">
        <f>'03_原始数据'!C140-0.605*'03_原始数据'!B140-OtherCost</f>
        <v/>
      </c>
      <c r="O140" s="37">
        <f>'03_原始数据'!C140-0.61*'03_原始数据'!B140-OtherCost</f>
        <v/>
      </c>
      <c r="P140" s="37">
        <f>'03_原始数据'!C140-0.615*'03_原始数据'!B140-OtherCost</f>
        <v/>
      </c>
      <c r="Q140" s="37">
        <f>'03_原始数据'!C140-0.62*'03_原始数据'!B140-OtherCost</f>
        <v/>
      </c>
      <c r="R140" s="37">
        <f>'03_原始数据'!C140-0.625*'03_原始数据'!B140-OtherCost</f>
        <v/>
      </c>
      <c r="S140" s="37">
        <f>'03_原始数据'!C140-0.63*'03_原始数据'!B140-OtherCost</f>
        <v/>
      </c>
      <c r="T140" s="37">
        <f>'03_原始数据'!C140-0.635*'03_原始数据'!B140-OtherCost</f>
        <v/>
      </c>
      <c r="U140" s="37">
        <f>'03_原始数据'!C140-0.64*'03_原始数据'!B140-OtherCost</f>
        <v/>
      </c>
      <c r="V140" s="37">
        <f>'03_原始数据'!C140-0.645*'03_原始数据'!B140-OtherCost</f>
        <v/>
      </c>
      <c r="W140" s="37">
        <f>'03_原始数据'!C140-0.65*'03_原始数据'!B140-OtherCost</f>
        <v/>
      </c>
      <c r="X140" s="37">
        <f>'03_原始数据'!C140-0.655*'03_原始数据'!B140-OtherCost</f>
        <v/>
      </c>
      <c r="Y140" s="37">
        <f>'03_原始数据'!C140-0.66*'03_原始数据'!B140-OtherCost</f>
        <v/>
      </c>
      <c r="Z140" s="37">
        <f>'03_原始数据'!C140-0.665*'03_原始数据'!B140-OtherCost</f>
        <v/>
      </c>
      <c r="AA140" s="37">
        <f>'03_原始数据'!C140-0.67*'03_原始数据'!B140-OtherCost</f>
        <v/>
      </c>
      <c r="AB140" s="37">
        <f>'03_原始数据'!C140-0.675*'03_原始数据'!B140-OtherCost</f>
        <v/>
      </c>
      <c r="AC140" s="37">
        <f>'03_原始数据'!C140-0.68*'03_原始数据'!B140-OtherCost</f>
        <v/>
      </c>
      <c r="AD140" s="37">
        <f>'03_原始数据'!C140-0.685*'03_原始数据'!B140-OtherCost</f>
        <v/>
      </c>
      <c r="AE140" s="37">
        <f>'03_原始数据'!C140-0.69*'03_原始数据'!B140-OtherCost</f>
        <v/>
      </c>
      <c r="AF140" s="37">
        <f>'03_原始数据'!C140-0.695*'03_原始数据'!B140-OtherCost</f>
        <v/>
      </c>
      <c r="AG140" s="37">
        <f>'03_原始数据'!C140-0.7*'03_原始数据'!B140-OtherCost</f>
        <v/>
      </c>
    </row>
    <row r="141">
      <c r="M141" s="37">
        <f>'03_原始数据'!C141-0.6*'03_原始数据'!B141-OtherCost</f>
        <v/>
      </c>
      <c r="N141" s="37">
        <f>'03_原始数据'!C141-0.605*'03_原始数据'!B141-OtherCost</f>
        <v/>
      </c>
      <c r="O141" s="37">
        <f>'03_原始数据'!C141-0.61*'03_原始数据'!B141-OtherCost</f>
        <v/>
      </c>
      <c r="P141" s="37">
        <f>'03_原始数据'!C141-0.615*'03_原始数据'!B141-OtherCost</f>
        <v/>
      </c>
      <c r="Q141" s="37">
        <f>'03_原始数据'!C141-0.62*'03_原始数据'!B141-OtherCost</f>
        <v/>
      </c>
      <c r="R141" s="37">
        <f>'03_原始数据'!C141-0.625*'03_原始数据'!B141-OtherCost</f>
        <v/>
      </c>
      <c r="S141" s="37">
        <f>'03_原始数据'!C141-0.63*'03_原始数据'!B141-OtherCost</f>
        <v/>
      </c>
      <c r="T141" s="37">
        <f>'03_原始数据'!C141-0.635*'03_原始数据'!B141-OtherCost</f>
        <v/>
      </c>
      <c r="U141" s="37">
        <f>'03_原始数据'!C141-0.64*'03_原始数据'!B141-OtherCost</f>
        <v/>
      </c>
      <c r="V141" s="37">
        <f>'03_原始数据'!C141-0.645*'03_原始数据'!B141-OtherCost</f>
        <v/>
      </c>
      <c r="W141" s="37">
        <f>'03_原始数据'!C141-0.65*'03_原始数据'!B141-OtherCost</f>
        <v/>
      </c>
      <c r="X141" s="37">
        <f>'03_原始数据'!C141-0.655*'03_原始数据'!B141-OtherCost</f>
        <v/>
      </c>
      <c r="Y141" s="37">
        <f>'03_原始数据'!C141-0.66*'03_原始数据'!B141-OtherCost</f>
        <v/>
      </c>
      <c r="Z141" s="37">
        <f>'03_原始数据'!C141-0.665*'03_原始数据'!B141-OtherCost</f>
        <v/>
      </c>
      <c r="AA141" s="37">
        <f>'03_原始数据'!C141-0.67*'03_原始数据'!B141-OtherCost</f>
        <v/>
      </c>
      <c r="AB141" s="37">
        <f>'03_原始数据'!C141-0.675*'03_原始数据'!B141-OtherCost</f>
        <v/>
      </c>
      <c r="AC141" s="37">
        <f>'03_原始数据'!C141-0.68*'03_原始数据'!B141-OtherCost</f>
        <v/>
      </c>
      <c r="AD141" s="37">
        <f>'03_原始数据'!C141-0.685*'03_原始数据'!B141-OtherCost</f>
        <v/>
      </c>
      <c r="AE141" s="37">
        <f>'03_原始数据'!C141-0.69*'03_原始数据'!B141-OtherCost</f>
        <v/>
      </c>
      <c r="AF141" s="37">
        <f>'03_原始数据'!C141-0.695*'03_原始数据'!B141-OtherCost</f>
        <v/>
      </c>
      <c r="AG141" s="37">
        <f>'03_原始数据'!C141-0.7*'03_原始数据'!B141-OtherCost</f>
        <v/>
      </c>
    </row>
    <row r="142">
      <c r="M142" s="37">
        <f>'03_原始数据'!C142-0.6*'03_原始数据'!B142-OtherCost</f>
        <v/>
      </c>
      <c r="N142" s="37">
        <f>'03_原始数据'!C142-0.605*'03_原始数据'!B142-OtherCost</f>
        <v/>
      </c>
      <c r="O142" s="37">
        <f>'03_原始数据'!C142-0.61*'03_原始数据'!B142-OtherCost</f>
        <v/>
      </c>
      <c r="P142" s="37">
        <f>'03_原始数据'!C142-0.615*'03_原始数据'!B142-OtherCost</f>
        <v/>
      </c>
      <c r="Q142" s="37">
        <f>'03_原始数据'!C142-0.62*'03_原始数据'!B142-OtherCost</f>
        <v/>
      </c>
      <c r="R142" s="37">
        <f>'03_原始数据'!C142-0.625*'03_原始数据'!B142-OtherCost</f>
        <v/>
      </c>
      <c r="S142" s="37">
        <f>'03_原始数据'!C142-0.63*'03_原始数据'!B142-OtherCost</f>
        <v/>
      </c>
      <c r="T142" s="37">
        <f>'03_原始数据'!C142-0.635*'03_原始数据'!B142-OtherCost</f>
        <v/>
      </c>
      <c r="U142" s="37">
        <f>'03_原始数据'!C142-0.64*'03_原始数据'!B142-OtherCost</f>
        <v/>
      </c>
      <c r="V142" s="37">
        <f>'03_原始数据'!C142-0.645*'03_原始数据'!B142-OtherCost</f>
        <v/>
      </c>
      <c r="W142" s="37">
        <f>'03_原始数据'!C142-0.65*'03_原始数据'!B142-OtherCost</f>
        <v/>
      </c>
      <c r="X142" s="37">
        <f>'03_原始数据'!C142-0.655*'03_原始数据'!B142-OtherCost</f>
        <v/>
      </c>
      <c r="Y142" s="37">
        <f>'03_原始数据'!C142-0.66*'03_原始数据'!B142-OtherCost</f>
        <v/>
      </c>
      <c r="Z142" s="37">
        <f>'03_原始数据'!C142-0.665*'03_原始数据'!B142-OtherCost</f>
        <v/>
      </c>
      <c r="AA142" s="37">
        <f>'03_原始数据'!C142-0.67*'03_原始数据'!B142-OtherCost</f>
        <v/>
      </c>
      <c r="AB142" s="37">
        <f>'03_原始数据'!C142-0.675*'03_原始数据'!B142-OtherCost</f>
        <v/>
      </c>
      <c r="AC142" s="37">
        <f>'03_原始数据'!C142-0.68*'03_原始数据'!B142-OtherCost</f>
        <v/>
      </c>
      <c r="AD142" s="37">
        <f>'03_原始数据'!C142-0.685*'03_原始数据'!B142-OtherCost</f>
        <v/>
      </c>
      <c r="AE142" s="37">
        <f>'03_原始数据'!C142-0.69*'03_原始数据'!B142-OtherCost</f>
        <v/>
      </c>
      <c r="AF142" s="37">
        <f>'03_原始数据'!C142-0.695*'03_原始数据'!B142-OtherCost</f>
        <v/>
      </c>
      <c r="AG142" s="37">
        <f>'03_原始数据'!C142-0.7*'03_原始数据'!B142-OtherCost</f>
        <v/>
      </c>
    </row>
    <row r="143">
      <c r="M143" s="37">
        <f>'03_原始数据'!C143-0.6*'03_原始数据'!B143-OtherCost</f>
        <v/>
      </c>
      <c r="N143" s="37">
        <f>'03_原始数据'!C143-0.605*'03_原始数据'!B143-OtherCost</f>
        <v/>
      </c>
      <c r="O143" s="37">
        <f>'03_原始数据'!C143-0.61*'03_原始数据'!B143-OtherCost</f>
        <v/>
      </c>
      <c r="P143" s="37">
        <f>'03_原始数据'!C143-0.615*'03_原始数据'!B143-OtherCost</f>
        <v/>
      </c>
      <c r="Q143" s="37">
        <f>'03_原始数据'!C143-0.62*'03_原始数据'!B143-OtherCost</f>
        <v/>
      </c>
      <c r="R143" s="37">
        <f>'03_原始数据'!C143-0.625*'03_原始数据'!B143-OtherCost</f>
        <v/>
      </c>
      <c r="S143" s="37">
        <f>'03_原始数据'!C143-0.63*'03_原始数据'!B143-OtherCost</f>
        <v/>
      </c>
      <c r="T143" s="37">
        <f>'03_原始数据'!C143-0.635*'03_原始数据'!B143-OtherCost</f>
        <v/>
      </c>
      <c r="U143" s="37">
        <f>'03_原始数据'!C143-0.64*'03_原始数据'!B143-OtherCost</f>
        <v/>
      </c>
      <c r="V143" s="37">
        <f>'03_原始数据'!C143-0.645*'03_原始数据'!B143-OtherCost</f>
        <v/>
      </c>
      <c r="W143" s="37">
        <f>'03_原始数据'!C143-0.65*'03_原始数据'!B143-OtherCost</f>
        <v/>
      </c>
      <c r="X143" s="37">
        <f>'03_原始数据'!C143-0.655*'03_原始数据'!B143-OtherCost</f>
        <v/>
      </c>
      <c r="Y143" s="37">
        <f>'03_原始数据'!C143-0.66*'03_原始数据'!B143-OtherCost</f>
        <v/>
      </c>
      <c r="Z143" s="37">
        <f>'03_原始数据'!C143-0.665*'03_原始数据'!B143-OtherCost</f>
        <v/>
      </c>
      <c r="AA143" s="37">
        <f>'03_原始数据'!C143-0.67*'03_原始数据'!B143-OtherCost</f>
        <v/>
      </c>
      <c r="AB143" s="37">
        <f>'03_原始数据'!C143-0.675*'03_原始数据'!B143-OtherCost</f>
        <v/>
      </c>
      <c r="AC143" s="37">
        <f>'03_原始数据'!C143-0.68*'03_原始数据'!B143-OtherCost</f>
        <v/>
      </c>
      <c r="AD143" s="37">
        <f>'03_原始数据'!C143-0.685*'03_原始数据'!B143-OtherCost</f>
        <v/>
      </c>
      <c r="AE143" s="37">
        <f>'03_原始数据'!C143-0.69*'03_原始数据'!B143-OtherCost</f>
        <v/>
      </c>
      <c r="AF143" s="37">
        <f>'03_原始数据'!C143-0.695*'03_原始数据'!B143-OtherCost</f>
        <v/>
      </c>
      <c r="AG143" s="37">
        <f>'03_原始数据'!C143-0.7*'03_原始数据'!B143-OtherCost</f>
        <v/>
      </c>
    </row>
    <row r="144">
      <c r="M144" s="37">
        <f>'03_原始数据'!C144-0.6*'03_原始数据'!B144-OtherCost</f>
        <v/>
      </c>
      <c r="N144" s="37">
        <f>'03_原始数据'!C144-0.605*'03_原始数据'!B144-OtherCost</f>
        <v/>
      </c>
      <c r="O144" s="37">
        <f>'03_原始数据'!C144-0.61*'03_原始数据'!B144-OtherCost</f>
        <v/>
      </c>
      <c r="P144" s="37">
        <f>'03_原始数据'!C144-0.615*'03_原始数据'!B144-OtherCost</f>
        <v/>
      </c>
      <c r="Q144" s="37">
        <f>'03_原始数据'!C144-0.62*'03_原始数据'!B144-OtherCost</f>
        <v/>
      </c>
      <c r="R144" s="37">
        <f>'03_原始数据'!C144-0.625*'03_原始数据'!B144-OtherCost</f>
        <v/>
      </c>
      <c r="S144" s="37">
        <f>'03_原始数据'!C144-0.63*'03_原始数据'!B144-OtherCost</f>
        <v/>
      </c>
      <c r="T144" s="37">
        <f>'03_原始数据'!C144-0.635*'03_原始数据'!B144-OtherCost</f>
        <v/>
      </c>
      <c r="U144" s="37">
        <f>'03_原始数据'!C144-0.64*'03_原始数据'!B144-OtherCost</f>
        <v/>
      </c>
      <c r="V144" s="37">
        <f>'03_原始数据'!C144-0.645*'03_原始数据'!B144-OtherCost</f>
        <v/>
      </c>
      <c r="W144" s="37">
        <f>'03_原始数据'!C144-0.65*'03_原始数据'!B144-OtherCost</f>
        <v/>
      </c>
      <c r="X144" s="37">
        <f>'03_原始数据'!C144-0.655*'03_原始数据'!B144-OtherCost</f>
        <v/>
      </c>
      <c r="Y144" s="37">
        <f>'03_原始数据'!C144-0.66*'03_原始数据'!B144-OtherCost</f>
        <v/>
      </c>
      <c r="Z144" s="37">
        <f>'03_原始数据'!C144-0.665*'03_原始数据'!B144-OtherCost</f>
        <v/>
      </c>
      <c r="AA144" s="37">
        <f>'03_原始数据'!C144-0.67*'03_原始数据'!B144-OtherCost</f>
        <v/>
      </c>
      <c r="AB144" s="37">
        <f>'03_原始数据'!C144-0.675*'03_原始数据'!B144-OtherCost</f>
        <v/>
      </c>
      <c r="AC144" s="37">
        <f>'03_原始数据'!C144-0.68*'03_原始数据'!B144-OtherCost</f>
        <v/>
      </c>
      <c r="AD144" s="37">
        <f>'03_原始数据'!C144-0.685*'03_原始数据'!B144-OtherCost</f>
        <v/>
      </c>
      <c r="AE144" s="37">
        <f>'03_原始数据'!C144-0.69*'03_原始数据'!B144-OtherCost</f>
        <v/>
      </c>
      <c r="AF144" s="37">
        <f>'03_原始数据'!C144-0.695*'03_原始数据'!B144-OtherCost</f>
        <v/>
      </c>
      <c r="AG144" s="37">
        <f>'03_原始数据'!C144-0.7*'03_原始数据'!B144-OtherCost</f>
        <v/>
      </c>
    </row>
    <row r="145">
      <c r="M145" s="37">
        <f>'03_原始数据'!C145-0.6*'03_原始数据'!B145-OtherCost</f>
        <v/>
      </c>
      <c r="N145" s="37">
        <f>'03_原始数据'!C145-0.605*'03_原始数据'!B145-OtherCost</f>
        <v/>
      </c>
      <c r="O145" s="37">
        <f>'03_原始数据'!C145-0.61*'03_原始数据'!B145-OtherCost</f>
        <v/>
      </c>
      <c r="P145" s="37">
        <f>'03_原始数据'!C145-0.615*'03_原始数据'!B145-OtherCost</f>
        <v/>
      </c>
      <c r="Q145" s="37">
        <f>'03_原始数据'!C145-0.62*'03_原始数据'!B145-OtherCost</f>
        <v/>
      </c>
      <c r="R145" s="37">
        <f>'03_原始数据'!C145-0.625*'03_原始数据'!B145-OtherCost</f>
        <v/>
      </c>
      <c r="S145" s="37">
        <f>'03_原始数据'!C145-0.63*'03_原始数据'!B145-OtherCost</f>
        <v/>
      </c>
      <c r="T145" s="37">
        <f>'03_原始数据'!C145-0.635*'03_原始数据'!B145-OtherCost</f>
        <v/>
      </c>
      <c r="U145" s="37">
        <f>'03_原始数据'!C145-0.64*'03_原始数据'!B145-OtherCost</f>
        <v/>
      </c>
      <c r="V145" s="37">
        <f>'03_原始数据'!C145-0.645*'03_原始数据'!B145-OtherCost</f>
        <v/>
      </c>
      <c r="W145" s="37">
        <f>'03_原始数据'!C145-0.65*'03_原始数据'!B145-OtherCost</f>
        <v/>
      </c>
      <c r="X145" s="37">
        <f>'03_原始数据'!C145-0.655*'03_原始数据'!B145-OtherCost</f>
        <v/>
      </c>
      <c r="Y145" s="37">
        <f>'03_原始数据'!C145-0.66*'03_原始数据'!B145-OtherCost</f>
        <v/>
      </c>
      <c r="Z145" s="37">
        <f>'03_原始数据'!C145-0.665*'03_原始数据'!B145-OtherCost</f>
        <v/>
      </c>
      <c r="AA145" s="37">
        <f>'03_原始数据'!C145-0.67*'03_原始数据'!B145-OtherCost</f>
        <v/>
      </c>
      <c r="AB145" s="37">
        <f>'03_原始数据'!C145-0.675*'03_原始数据'!B145-OtherCost</f>
        <v/>
      </c>
      <c r="AC145" s="37">
        <f>'03_原始数据'!C145-0.68*'03_原始数据'!B145-OtherCost</f>
        <v/>
      </c>
      <c r="AD145" s="37">
        <f>'03_原始数据'!C145-0.685*'03_原始数据'!B145-OtherCost</f>
        <v/>
      </c>
      <c r="AE145" s="37">
        <f>'03_原始数据'!C145-0.69*'03_原始数据'!B145-OtherCost</f>
        <v/>
      </c>
      <c r="AF145" s="37">
        <f>'03_原始数据'!C145-0.695*'03_原始数据'!B145-OtherCost</f>
        <v/>
      </c>
      <c r="AG145" s="37">
        <f>'03_原始数据'!C145-0.7*'03_原始数据'!B145-OtherCost</f>
        <v/>
      </c>
    </row>
    <row r="146">
      <c r="M146" s="37">
        <f>'03_原始数据'!C146-0.6*'03_原始数据'!B146-OtherCost</f>
        <v/>
      </c>
      <c r="N146" s="37">
        <f>'03_原始数据'!C146-0.605*'03_原始数据'!B146-OtherCost</f>
        <v/>
      </c>
      <c r="O146" s="37">
        <f>'03_原始数据'!C146-0.61*'03_原始数据'!B146-OtherCost</f>
        <v/>
      </c>
      <c r="P146" s="37">
        <f>'03_原始数据'!C146-0.615*'03_原始数据'!B146-OtherCost</f>
        <v/>
      </c>
      <c r="Q146" s="37">
        <f>'03_原始数据'!C146-0.62*'03_原始数据'!B146-OtherCost</f>
        <v/>
      </c>
      <c r="R146" s="37">
        <f>'03_原始数据'!C146-0.625*'03_原始数据'!B146-OtherCost</f>
        <v/>
      </c>
      <c r="S146" s="37">
        <f>'03_原始数据'!C146-0.63*'03_原始数据'!B146-OtherCost</f>
        <v/>
      </c>
      <c r="T146" s="37">
        <f>'03_原始数据'!C146-0.635*'03_原始数据'!B146-OtherCost</f>
        <v/>
      </c>
      <c r="U146" s="37">
        <f>'03_原始数据'!C146-0.64*'03_原始数据'!B146-OtherCost</f>
        <v/>
      </c>
      <c r="V146" s="37">
        <f>'03_原始数据'!C146-0.645*'03_原始数据'!B146-OtherCost</f>
        <v/>
      </c>
      <c r="W146" s="37">
        <f>'03_原始数据'!C146-0.65*'03_原始数据'!B146-OtherCost</f>
        <v/>
      </c>
      <c r="X146" s="37">
        <f>'03_原始数据'!C146-0.655*'03_原始数据'!B146-OtherCost</f>
        <v/>
      </c>
      <c r="Y146" s="37">
        <f>'03_原始数据'!C146-0.66*'03_原始数据'!B146-OtherCost</f>
        <v/>
      </c>
      <c r="Z146" s="37">
        <f>'03_原始数据'!C146-0.665*'03_原始数据'!B146-OtherCost</f>
        <v/>
      </c>
      <c r="AA146" s="37">
        <f>'03_原始数据'!C146-0.67*'03_原始数据'!B146-OtherCost</f>
        <v/>
      </c>
      <c r="AB146" s="37">
        <f>'03_原始数据'!C146-0.675*'03_原始数据'!B146-OtherCost</f>
        <v/>
      </c>
      <c r="AC146" s="37">
        <f>'03_原始数据'!C146-0.68*'03_原始数据'!B146-OtherCost</f>
        <v/>
      </c>
      <c r="AD146" s="37">
        <f>'03_原始数据'!C146-0.685*'03_原始数据'!B146-OtherCost</f>
        <v/>
      </c>
      <c r="AE146" s="37">
        <f>'03_原始数据'!C146-0.69*'03_原始数据'!B146-OtherCost</f>
        <v/>
      </c>
      <c r="AF146" s="37">
        <f>'03_原始数据'!C146-0.695*'03_原始数据'!B146-OtherCost</f>
        <v/>
      </c>
      <c r="AG146" s="37">
        <f>'03_原始数据'!C146-0.7*'03_原始数据'!B146-OtherCost</f>
        <v/>
      </c>
    </row>
    <row r="147">
      <c r="M147" s="37">
        <f>'03_原始数据'!C147-0.6*'03_原始数据'!B147-OtherCost</f>
        <v/>
      </c>
      <c r="N147" s="37">
        <f>'03_原始数据'!C147-0.605*'03_原始数据'!B147-OtherCost</f>
        <v/>
      </c>
      <c r="O147" s="37">
        <f>'03_原始数据'!C147-0.61*'03_原始数据'!B147-OtherCost</f>
        <v/>
      </c>
      <c r="P147" s="37">
        <f>'03_原始数据'!C147-0.615*'03_原始数据'!B147-OtherCost</f>
        <v/>
      </c>
      <c r="Q147" s="37">
        <f>'03_原始数据'!C147-0.62*'03_原始数据'!B147-OtherCost</f>
        <v/>
      </c>
      <c r="R147" s="37">
        <f>'03_原始数据'!C147-0.625*'03_原始数据'!B147-OtherCost</f>
        <v/>
      </c>
      <c r="S147" s="37">
        <f>'03_原始数据'!C147-0.63*'03_原始数据'!B147-OtherCost</f>
        <v/>
      </c>
      <c r="T147" s="37">
        <f>'03_原始数据'!C147-0.635*'03_原始数据'!B147-OtherCost</f>
        <v/>
      </c>
      <c r="U147" s="37">
        <f>'03_原始数据'!C147-0.64*'03_原始数据'!B147-OtherCost</f>
        <v/>
      </c>
      <c r="V147" s="37">
        <f>'03_原始数据'!C147-0.645*'03_原始数据'!B147-OtherCost</f>
        <v/>
      </c>
      <c r="W147" s="37">
        <f>'03_原始数据'!C147-0.65*'03_原始数据'!B147-OtherCost</f>
        <v/>
      </c>
      <c r="X147" s="37">
        <f>'03_原始数据'!C147-0.655*'03_原始数据'!B147-OtherCost</f>
        <v/>
      </c>
      <c r="Y147" s="37">
        <f>'03_原始数据'!C147-0.66*'03_原始数据'!B147-OtherCost</f>
        <v/>
      </c>
      <c r="Z147" s="37">
        <f>'03_原始数据'!C147-0.665*'03_原始数据'!B147-OtherCost</f>
        <v/>
      </c>
      <c r="AA147" s="37">
        <f>'03_原始数据'!C147-0.67*'03_原始数据'!B147-OtherCost</f>
        <v/>
      </c>
      <c r="AB147" s="37">
        <f>'03_原始数据'!C147-0.675*'03_原始数据'!B147-OtherCost</f>
        <v/>
      </c>
      <c r="AC147" s="37">
        <f>'03_原始数据'!C147-0.68*'03_原始数据'!B147-OtherCost</f>
        <v/>
      </c>
      <c r="AD147" s="37">
        <f>'03_原始数据'!C147-0.685*'03_原始数据'!B147-OtherCost</f>
        <v/>
      </c>
      <c r="AE147" s="37">
        <f>'03_原始数据'!C147-0.69*'03_原始数据'!B147-OtherCost</f>
        <v/>
      </c>
      <c r="AF147" s="37">
        <f>'03_原始数据'!C147-0.695*'03_原始数据'!B147-OtherCost</f>
        <v/>
      </c>
      <c r="AG147" s="37">
        <f>'03_原始数据'!C147-0.7*'03_原始数据'!B147-OtherCost</f>
        <v/>
      </c>
    </row>
    <row r="148">
      <c r="M148" s="37">
        <f>'03_原始数据'!C148-0.6*'03_原始数据'!B148-OtherCost</f>
        <v/>
      </c>
      <c r="N148" s="37">
        <f>'03_原始数据'!C148-0.605*'03_原始数据'!B148-OtherCost</f>
        <v/>
      </c>
      <c r="O148" s="37">
        <f>'03_原始数据'!C148-0.61*'03_原始数据'!B148-OtherCost</f>
        <v/>
      </c>
      <c r="P148" s="37">
        <f>'03_原始数据'!C148-0.615*'03_原始数据'!B148-OtherCost</f>
        <v/>
      </c>
      <c r="Q148" s="37">
        <f>'03_原始数据'!C148-0.62*'03_原始数据'!B148-OtherCost</f>
        <v/>
      </c>
      <c r="R148" s="37">
        <f>'03_原始数据'!C148-0.625*'03_原始数据'!B148-OtherCost</f>
        <v/>
      </c>
      <c r="S148" s="37">
        <f>'03_原始数据'!C148-0.63*'03_原始数据'!B148-OtherCost</f>
        <v/>
      </c>
      <c r="T148" s="37">
        <f>'03_原始数据'!C148-0.635*'03_原始数据'!B148-OtherCost</f>
        <v/>
      </c>
      <c r="U148" s="37">
        <f>'03_原始数据'!C148-0.64*'03_原始数据'!B148-OtherCost</f>
        <v/>
      </c>
      <c r="V148" s="37">
        <f>'03_原始数据'!C148-0.645*'03_原始数据'!B148-OtherCost</f>
        <v/>
      </c>
      <c r="W148" s="37">
        <f>'03_原始数据'!C148-0.65*'03_原始数据'!B148-OtherCost</f>
        <v/>
      </c>
      <c r="X148" s="37">
        <f>'03_原始数据'!C148-0.655*'03_原始数据'!B148-OtherCost</f>
        <v/>
      </c>
      <c r="Y148" s="37">
        <f>'03_原始数据'!C148-0.66*'03_原始数据'!B148-OtherCost</f>
        <v/>
      </c>
      <c r="Z148" s="37">
        <f>'03_原始数据'!C148-0.665*'03_原始数据'!B148-OtherCost</f>
        <v/>
      </c>
      <c r="AA148" s="37">
        <f>'03_原始数据'!C148-0.67*'03_原始数据'!B148-OtherCost</f>
        <v/>
      </c>
      <c r="AB148" s="37">
        <f>'03_原始数据'!C148-0.675*'03_原始数据'!B148-OtherCost</f>
        <v/>
      </c>
      <c r="AC148" s="37">
        <f>'03_原始数据'!C148-0.68*'03_原始数据'!B148-OtherCost</f>
        <v/>
      </c>
      <c r="AD148" s="37">
        <f>'03_原始数据'!C148-0.685*'03_原始数据'!B148-OtherCost</f>
        <v/>
      </c>
      <c r="AE148" s="37">
        <f>'03_原始数据'!C148-0.69*'03_原始数据'!B148-OtherCost</f>
        <v/>
      </c>
      <c r="AF148" s="37">
        <f>'03_原始数据'!C148-0.695*'03_原始数据'!B148-OtherCost</f>
        <v/>
      </c>
      <c r="AG148" s="37">
        <f>'03_原始数据'!C148-0.7*'03_原始数据'!B148-OtherCost</f>
        <v/>
      </c>
    </row>
    <row r="149">
      <c r="M149" s="37">
        <f>'03_原始数据'!C149-0.6*'03_原始数据'!B149-OtherCost</f>
        <v/>
      </c>
      <c r="N149" s="37">
        <f>'03_原始数据'!C149-0.605*'03_原始数据'!B149-OtherCost</f>
        <v/>
      </c>
      <c r="O149" s="37">
        <f>'03_原始数据'!C149-0.61*'03_原始数据'!B149-OtherCost</f>
        <v/>
      </c>
      <c r="P149" s="37">
        <f>'03_原始数据'!C149-0.615*'03_原始数据'!B149-OtherCost</f>
        <v/>
      </c>
      <c r="Q149" s="37">
        <f>'03_原始数据'!C149-0.62*'03_原始数据'!B149-OtherCost</f>
        <v/>
      </c>
      <c r="R149" s="37">
        <f>'03_原始数据'!C149-0.625*'03_原始数据'!B149-OtherCost</f>
        <v/>
      </c>
      <c r="S149" s="37">
        <f>'03_原始数据'!C149-0.63*'03_原始数据'!B149-OtherCost</f>
        <v/>
      </c>
      <c r="T149" s="37">
        <f>'03_原始数据'!C149-0.635*'03_原始数据'!B149-OtherCost</f>
        <v/>
      </c>
      <c r="U149" s="37">
        <f>'03_原始数据'!C149-0.64*'03_原始数据'!B149-OtherCost</f>
        <v/>
      </c>
      <c r="V149" s="37">
        <f>'03_原始数据'!C149-0.645*'03_原始数据'!B149-OtherCost</f>
        <v/>
      </c>
      <c r="W149" s="37">
        <f>'03_原始数据'!C149-0.65*'03_原始数据'!B149-OtherCost</f>
        <v/>
      </c>
      <c r="X149" s="37">
        <f>'03_原始数据'!C149-0.655*'03_原始数据'!B149-OtherCost</f>
        <v/>
      </c>
      <c r="Y149" s="37">
        <f>'03_原始数据'!C149-0.66*'03_原始数据'!B149-OtherCost</f>
        <v/>
      </c>
      <c r="Z149" s="37">
        <f>'03_原始数据'!C149-0.665*'03_原始数据'!B149-OtherCost</f>
        <v/>
      </c>
      <c r="AA149" s="37">
        <f>'03_原始数据'!C149-0.67*'03_原始数据'!B149-OtherCost</f>
        <v/>
      </c>
      <c r="AB149" s="37">
        <f>'03_原始数据'!C149-0.675*'03_原始数据'!B149-OtherCost</f>
        <v/>
      </c>
      <c r="AC149" s="37">
        <f>'03_原始数据'!C149-0.68*'03_原始数据'!B149-OtherCost</f>
        <v/>
      </c>
      <c r="AD149" s="37">
        <f>'03_原始数据'!C149-0.685*'03_原始数据'!B149-OtherCost</f>
        <v/>
      </c>
      <c r="AE149" s="37">
        <f>'03_原始数据'!C149-0.69*'03_原始数据'!B149-OtherCost</f>
        <v/>
      </c>
      <c r="AF149" s="37">
        <f>'03_原始数据'!C149-0.695*'03_原始数据'!B149-OtherCost</f>
        <v/>
      </c>
      <c r="AG149" s="37">
        <f>'03_原始数据'!C149-0.7*'03_原始数据'!B149-OtherCost</f>
        <v/>
      </c>
    </row>
    <row r="150">
      <c r="M150" s="37">
        <f>'03_原始数据'!C150-0.6*'03_原始数据'!B150-OtherCost</f>
        <v/>
      </c>
      <c r="N150" s="37">
        <f>'03_原始数据'!C150-0.605*'03_原始数据'!B150-OtherCost</f>
        <v/>
      </c>
      <c r="O150" s="37">
        <f>'03_原始数据'!C150-0.61*'03_原始数据'!B150-OtherCost</f>
        <v/>
      </c>
      <c r="P150" s="37">
        <f>'03_原始数据'!C150-0.615*'03_原始数据'!B150-OtherCost</f>
        <v/>
      </c>
      <c r="Q150" s="37">
        <f>'03_原始数据'!C150-0.62*'03_原始数据'!B150-OtherCost</f>
        <v/>
      </c>
      <c r="R150" s="37">
        <f>'03_原始数据'!C150-0.625*'03_原始数据'!B150-OtherCost</f>
        <v/>
      </c>
      <c r="S150" s="37">
        <f>'03_原始数据'!C150-0.63*'03_原始数据'!B150-OtherCost</f>
        <v/>
      </c>
      <c r="T150" s="37">
        <f>'03_原始数据'!C150-0.635*'03_原始数据'!B150-OtherCost</f>
        <v/>
      </c>
      <c r="U150" s="37">
        <f>'03_原始数据'!C150-0.64*'03_原始数据'!B150-OtherCost</f>
        <v/>
      </c>
      <c r="V150" s="37">
        <f>'03_原始数据'!C150-0.645*'03_原始数据'!B150-OtherCost</f>
        <v/>
      </c>
      <c r="W150" s="37">
        <f>'03_原始数据'!C150-0.65*'03_原始数据'!B150-OtherCost</f>
        <v/>
      </c>
      <c r="X150" s="37">
        <f>'03_原始数据'!C150-0.655*'03_原始数据'!B150-OtherCost</f>
        <v/>
      </c>
      <c r="Y150" s="37">
        <f>'03_原始数据'!C150-0.66*'03_原始数据'!B150-OtherCost</f>
        <v/>
      </c>
      <c r="Z150" s="37">
        <f>'03_原始数据'!C150-0.665*'03_原始数据'!B150-OtherCost</f>
        <v/>
      </c>
      <c r="AA150" s="37">
        <f>'03_原始数据'!C150-0.67*'03_原始数据'!B150-OtherCost</f>
        <v/>
      </c>
      <c r="AB150" s="37">
        <f>'03_原始数据'!C150-0.675*'03_原始数据'!B150-OtherCost</f>
        <v/>
      </c>
      <c r="AC150" s="37">
        <f>'03_原始数据'!C150-0.68*'03_原始数据'!B150-OtherCost</f>
        <v/>
      </c>
      <c r="AD150" s="37">
        <f>'03_原始数据'!C150-0.685*'03_原始数据'!B150-OtherCost</f>
        <v/>
      </c>
      <c r="AE150" s="37">
        <f>'03_原始数据'!C150-0.69*'03_原始数据'!B150-OtherCost</f>
        <v/>
      </c>
      <c r="AF150" s="37">
        <f>'03_原始数据'!C150-0.695*'03_原始数据'!B150-OtherCost</f>
        <v/>
      </c>
      <c r="AG150" s="37">
        <f>'03_原始数据'!C150-0.7*'03_原始数据'!B150-OtherCost</f>
        <v/>
      </c>
    </row>
    <row r="151">
      <c r="M151" s="37">
        <f>'03_原始数据'!C151-0.6*'03_原始数据'!B151-OtherCost</f>
        <v/>
      </c>
      <c r="N151" s="37">
        <f>'03_原始数据'!C151-0.605*'03_原始数据'!B151-OtherCost</f>
        <v/>
      </c>
      <c r="O151" s="37">
        <f>'03_原始数据'!C151-0.61*'03_原始数据'!B151-OtherCost</f>
        <v/>
      </c>
      <c r="P151" s="37">
        <f>'03_原始数据'!C151-0.615*'03_原始数据'!B151-OtherCost</f>
        <v/>
      </c>
      <c r="Q151" s="37">
        <f>'03_原始数据'!C151-0.62*'03_原始数据'!B151-OtherCost</f>
        <v/>
      </c>
      <c r="R151" s="37">
        <f>'03_原始数据'!C151-0.625*'03_原始数据'!B151-OtherCost</f>
        <v/>
      </c>
      <c r="S151" s="37">
        <f>'03_原始数据'!C151-0.63*'03_原始数据'!B151-OtherCost</f>
        <v/>
      </c>
      <c r="T151" s="37">
        <f>'03_原始数据'!C151-0.635*'03_原始数据'!B151-OtherCost</f>
        <v/>
      </c>
      <c r="U151" s="37">
        <f>'03_原始数据'!C151-0.64*'03_原始数据'!B151-OtherCost</f>
        <v/>
      </c>
      <c r="V151" s="37">
        <f>'03_原始数据'!C151-0.645*'03_原始数据'!B151-OtherCost</f>
        <v/>
      </c>
      <c r="W151" s="37">
        <f>'03_原始数据'!C151-0.65*'03_原始数据'!B151-OtherCost</f>
        <v/>
      </c>
      <c r="X151" s="37">
        <f>'03_原始数据'!C151-0.655*'03_原始数据'!B151-OtherCost</f>
        <v/>
      </c>
      <c r="Y151" s="37">
        <f>'03_原始数据'!C151-0.66*'03_原始数据'!B151-OtherCost</f>
        <v/>
      </c>
      <c r="Z151" s="37">
        <f>'03_原始数据'!C151-0.665*'03_原始数据'!B151-OtherCost</f>
        <v/>
      </c>
      <c r="AA151" s="37">
        <f>'03_原始数据'!C151-0.67*'03_原始数据'!B151-OtherCost</f>
        <v/>
      </c>
      <c r="AB151" s="37">
        <f>'03_原始数据'!C151-0.675*'03_原始数据'!B151-OtherCost</f>
        <v/>
      </c>
      <c r="AC151" s="37">
        <f>'03_原始数据'!C151-0.68*'03_原始数据'!B151-OtherCost</f>
        <v/>
      </c>
      <c r="AD151" s="37">
        <f>'03_原始数据'!C151-0.685*'03_原始数据'!B151-OtherCost</f>
        <v/>
      </c>
      <c r="AE151" s="37">
        <f>'03_原始数据'!C151-0.69*'03_原始数据'!B151-OtherCost</f>
        <v/>
      </c>
      <c r="AF151" s="37">
        <f>'03_原始数据'!C151-0.695*'03_原始数据'!B151-OtherCost</f>
        <v/>
      </c>
      <c r="AG151" s="37">
        <f>'03_原始数据'!C151-0.7*'03_原始数据'!B151-OtherCost</f>
        <v/>
      </c>
    </row>
    <row r="152">
      <c r="M152" s="37">
        <f>'03_原始数据'!C152-0.6*'03_原始数据'!B152-OtherCost</f>
        <v/>
      </c>
      <c r="N152" s="37">
        <f>'03_原始数据'!C152-0.605*'03_原始数据'!B152-OtherCost</f>
        <v/>
      </c>
      <c r="O152" s="37">
        <f>'03_原始数据'!C152-0.61*'03_原始数据'!B152-OtherCost</f>
        <v/>
      </c>
      <c r="P152" s="37">
        <f>'03_原始数据'!C152-0.615*'03_原始数据'!B152-OtherCost</f>
        <v/>
      </c>
      <c r="Q152" s="37">
        <f>'03_原始数据'!C152-0.62*'03_原始数据'!B152-OtherCost</f>
        <v/>
      </c>
      <c r="R152" s="37">
        <f>'03_原始数据'!C152-0.625*'03_原始数据'!B152-OtherCost</f>
        <v/>
      </c>
      <c r="S152" s="37">
        <f>'03_原始数据'!C152-0.63*'03_原始数据'!B152-OtherCost</f>
        <v/>
      </c>
      <c r="T152" s="37">
        <f>'03_原始数据'!C152-0.635*'03_原始数据'!B152-OtherCost</f>
        <v/>
      </c>
      <c r="U152" s="37">
        <f>'03_原始数据'!C152-0.64*'03_原始数据'!B152-OtherCost</f>
        <v/>
      </c>
      <c r="V152" s="37">
        <f>'03_原始数据'!C152-0.645*'03_原始数据'!B152-OtherCost</f>
        <v/>
      </c>
      <c r="W152" s="37">
        <f>'03_原始数据'!C152-0.65*'03_原始数据'!B152-OtherCost</f>
        <v/>
      </c>
      <c r="X152" s="37">
        <f>'03_原始数据'!C152-0.655*'03_原始数据'!B152-OtherCost</f>
        <v/>
      </c>
      <c r="Y152" s="37">
        <f>'03_原始数据'!C152-0.66*'03_原始数据'!B152-OtherCost</f>
        <v/>
      </c>
      <c r="Z152" s="37">
        <f>'03_原始数据'!C152-0.665*'03_原始数据'!B152-OtherCost</f>
        <v/>
      </c>
      <c r="AA152" s="37">
        <f>'03_原始数据'!C152-0.67*'03_原始数据'!B152-OtherCost</f>
        <v/>
      </c>
      <c r="AB152" s="37">
        <f>'03_原始数据'!C152-0.675*'03_原始数据'!B152-OtherCost</f>
        <v/>
      </c>
      <c r="AC152" s="37">
        <f>'03_原始数据'!C152-0.68*'03_原始数据'!B152-OtherCost</f>
        <v/>
      </c>
      <c r="AD152" s="37">
        <f>'03_原始数据'!C152-0.685*'03_原始数据'!B152-OtherCost</f>
        <v/>
      </c>
      <c r="AE152" s="37">
        <f>'03_原始数据'!C152-0.69*'03_原始数据'!B152-OtherCost</f>
        <v/>
      </c>
      <c r="AF152" s="37">
        <f>'03_原始数据'!C152-0.695*'03_原始数据'!B152-OtherCost</f>
        <v/>
      </c>
      <c r="AG152" s="37">
        <f>'03_原始数据'!C152-0.7*'03_原始数据'!B152-OtherCost</f>
        <v/>
      </c>
    </row>
    <row r="153">
      <c r="M153" s="37">
        <f>'03_原始数据'!C153-0.6*'03_原始数据'!B153-OtherCost</f>
        <v/>
      </c>
      <c r="N153" s="37">
        <f>'03_原始数据'!C153-0.605*'03_原始数据'!B153-OtherCost</f>
        <v/>
      </c>
      <c r="O153" s="37">
        <f>'03_原始数据'!C153-0.61*'03_原始数据'!B153-OtherCost</f>
        <v/>
      </c>
      <c r="P153" s="37">
        <f>'03_原始数据'!C153-0.615*'03_原始数据'!B153-OtherCost</f>
        <v/>
      </c>
      <c r="Q153" s="37">
        <f>'03_原始数据'!C153-0.62*'03_原始数据'!B153-OtherCost</f>
        <v/>
      </c>
      <c r="R153" s="37">
        <f>'03_原始数据'!C153-0.625*'03_原始数据'!B153-OtherCost</f>
        <v/>
      </c>
      <c r="S153" s="37">
        <f>'03_原始数据'!C153-0.63*'03_原始数据'!B153-OtherCost</f>
        <v/>
      </c>
      <c r="T153" s="37">
        <f>'03_原始数据'!C153-0.635*'03_原始数据'!B153-OtherCost</f>
        <v/>
      </c>
      <c r="U153" s="37">
        <f>'03_原始数据'!C153-0.64*'03_原始数据'!B153-OtherCost</f>
        <v/>
      </c>
      <c r="V153" s="37">
        <f>'03_原始数据'!C153-0.645*'03_原始数据'!B153-OtherCost</f>
        <v/>
      </c>
      <c r="W153" s="37">
        <f>'03_原始数据'!C153-0.65*'03_原始数据'!B153-OtherCost</f>
        <v/>
      </c>
      <c r="X153" s="37">
        <f>'03_原始数据'!C153-0.655*'03_原始数据'!B153-OtherCost</f>
        <v/>
      </c>
      <c r="Y153" s="37">
        <f>'03_原始数据'!C153-0.66*'03_原始数据'!B153-OtherCost</f>
        <v/>
      </c>
      <c r="Z153" s="37">
        <f>'03_原始数据'!C153-0.665*'03_原始数据'!B153-OtherCost</f>
        <v/>
      </c>
      <c r="AA153" s="37">
        <f>'03_原始数据'!C153-0.67*'03_原始数据'!B153-OtherCost</f>
        <v/>
      </c>
      <c r="AB153" s="37">
        <f>'03_原始数据'!C153-0.675*'03_原始数据'!B153-OtherCost</f>
        <v/>
      </c>
      <c r="AC153" s="37">
        <f>'03_原始数据'!C153-0.68*'03_原始数据'!B153-OtherCost</f>
        <v/>
      </c>
      <c r="AD153" s="37">
        <f>'03_原始数据'!C153-0.685*'03_原始数据'!B153-OtherCost</f>
        <v/>
      </c>
      <c r="AE153" s="37">
        <f>'03_原始数据'!C153-0.69*'03_原始数据'!B153-OtherCost</f>
        <v/>
      </c>
      <c r="AF153" s="37">
        <f>'03_原始数据'!C153-0.695*'03_原始数据'!B153-OtherCost</f>
        <v/>
      </c>
      <c r="AG153" s="37">
        <f>'03_原始数据'!C153-0.7*'03_原始数据'!B153-OtherCost</f>
        <v/>
      </c>
    </row>
    <row r="154">
      <c r="M154" s="37">
        <f>'03_原始数据'!C154-0.6*'03_原始数据'!B154-OtherCost</f>
        <v/>
      </c>
      <c r="N154" s="37">
        <f>'03_原始数据'!C154-0.605*'03_原始数据'!B154-OtherCost</f>
        <v/>
      </c>
      <c r="O154" s="37">
        <f>'03_原始数据'!C154-0.61*'03_原始数据'!B154-OtherCost</f>
        <v/>
      </c>
      <c r="P154" s="37">
        <f>'03_原始数据'!C154-0.615*'03_原始数据'!B154-OtherCost</f>
        <v/>
      </c>
      <c r="Q154" s="37">
        <f>'03_原始数据'!C154-0.62*'03_原始数据'!B154-OtherCost</f>
        <v/>
      </c>
      <c r="R154" s="37">
        <f>'03_原始数据'!C154-0.625*'03_原始数据'!B154-OtherCost</f>
        <v/>
      </c>
      <c r="S154" s="37">
        <f>'03_原始数据'!C154-0.63*'03_原始数据'!B154-OtherCost</f>
        <v/>
      </c>
      <c r="T154" s="37">
        <f>'03_原始数据'!C154-0.635*'03_原始数据'!B154-OtherCost</f>
        <v/>
      </c>
      <c r="U154" s="37">
        <f>'03_原始数据'!C154-0.64*'03_原始数据'!B154-OtherCost</f>
        <v/>
      </c>
      <c r="V154" s="37">
        <f>'03_原始数据'!C154-0.645*'03_原始数据'!B154-OtherCost</f>
        <v/>
      </c>
      <c r="W154" s="37">
        <f>'03_原始数据'!C154-0.65*'03_原始数据'!B154-OtherCost</f>
        <v/>
      </c>
      <c r="X154" s="37">
        <f>'03_原始数据'!C154-0.655*'03_原始数据'!B154-OtherCost</f>
        <v/>
      </c>
      <c r="Y154" s="37">
        <f>'03_原始数据'!C154-0.66*'03_原始数据'!B154-OtherCost</f>
        <v/>
      </c>
      <c r="Z154" s="37">
        <f>'03_原始数据'!C154-0.665*'03_原始数据'!B154-OtherCost</f>
        <v/>
      </c>
      <c r="AA154" s="37">
        <f>'03_原始数据'!C154-0.67*'03_原始数据'!B154-OtherCost</f>
        <v/>
      </c>
      <c r="AB154" s="37">
        <f>'03_原始数据'!C154-0.675*'03_原始数据'!B154-OtherCost</f>
        <v/>
      </c>
      <c r="AC154" s="37">
        <f>'03_原始数据'!C154-0.68*'03_原始数据'!B154-OtherCost</f>
        <v/>
      </c>
      <c r="AD154" s="37">
        <f>'03_原始数据'!C154-0.685*'03_原始数据'!B154-OtherCost</f>
        <v/>
      </c>
      <c r="AE154" s="37">
        <f>'03_原始数据'!C154-0.69*'03_原始数据'!B154-OtherCost</f>
        <v/>
      </c>
      <c r="AF154" s="37">
        <f>'03_原始数据'!C154-0.695*'03_原始数据'!B154-OtherCost</f>
        <v/>
      </c>
      <c r="AG154" s="37">
        <f>'03_原始数据'!C154-0.7*'03_原始数据'!B154-OtherCost</f>
        <v/>
      </c>
    </row>
    <row r="155">
      <c r="M155" s="37">
        <f>'03_原始数据'!C155-0.6*'03_原始数据'!B155-OtherCost</f>
        <v/>
      </c>
      <c r="N155" s="37">
        <f>'03_原始数据'!C155-0.605*'03_原始数据'!B155-OtherCost</f>
        <v/>
      </c>
      <c r="O155" s="37">
        <f>'03_原始数据'!C155-0.61*'03_原始数据'!B155-OtherCost</f>
        <v/>
      </c>
      <c r="P155" s="37">
        <f>'03_原始数据'!C155-0.615*'03_原始数据'!B155-OtherCost</f>
        <v/>
      </c>
      <c r="Q155" s="37">
        <f>'03_原始数据'!C155-0.62*'03_原始数据'!B155-OtherCost</f>
        <v/>
      </c>
      <c r="R155" s="37">
        <f>'03_原始数据'!C155-0.625*'03_原始数据'!B155-OtherCost</f>
        <v/>
      </c>
      <c r="S155" s="37">
        <f>'03_原始数据'!C155-0.63*'03_原始数据'!B155-OtherCost</f>
        <v/>
      </c>
      <c r="T155" s="37">
        <f>'03_原始数据'!C155-0.635*'03_原始数据'!B155-OtherCost</f>
        <v/>
      </c>
      <c r="U155" s="37">
        <f>'03_原始数据'!C155-0.64*'03_原始数据'!B155-OtherCost</f>
        <v/>
      </c>
      <c r="V155" s="37">
        <f>'03_原始数据'!C155-0.645*'03_原始数据'!B155-OtherCost</f>
        <v/>
      </c>
      <c r="W155" s="37">
        <f>'03_原始数据'!C155-0.65*'03_原始数据'!B155-OtherCost</f>
        <v/>
      </c>
      <c r="X155" s="37">
        <f>'03_原始数据'!C155-0.655*'03_原始数据'!B155-OtherCost</f>
        <v/>
      </c>
      <c r="Y155" s="37">
        <f>'03_原始数据'!C155-0.66*'03_原始数据'!B155-OtherCost</f>
        <v/>
      </c>
      <c r="Z155" s="37">
        <f>'03_原始数据'!C155-0.665*'03_原始数据'!B155-OtherCost</f>
        <v/>
      </c>
      <c r="AA155" s="37">
        <f>'03_原始数据'!C155-0.67*'03_原始数据'!B155-OtherCost</f>
        <v/>
      </c>
      <c r="AB155" s="37">
        <f>'03_原始数据'!C155-0.675*'03_原始数据'!B155-OtherCost</f>
        <v/>
      </c>
      <c r="AC155" s="37">
        <f>'03_原始数据'!C155-0.68*'03_原始数据'!B155-OtherCost</f>
        <v/>
      </c>
      <c r="AD155" s="37">
        <f>'03_原始数据'!C155-0.685*'03_原始数据'!B155-OtherCost</f>
        <v/>
      </c>
      <c r="AE155" s="37">
        <f>'03_原始数据'!C155-0.69*'03_原始数据'!B155-OtherCost</f>
        <v/>
      </c>
      <c r="AF155" s="37">
        <f>'03_原始数据'!C155-0.695*'03_原始数据'!B155-OtherCost</f>
        <v/>
      </c>
      <c r="AG155" s="37">
        <f>'03_原始数据'!C155-0.7*'03_原始数据'!B155-OtherCost</f>
        <v/>
      </c>
    </row>
    <row r="156">
      <c r="M156" s="37">
        <f>'03_原始数据'!C156-0.6*'03_原始数据'!B156-OtherCost</f>
        <v/>
      </c>
      <c r="N156" s="37">
        <f>'03_原始数据'!C156-0.605*'03_原始数据'!B156-OtherCost</f>
        <v/>
      </c>
      <c r="O156" s="37">
        <f>'03_原始数据'!C156-0.61*'03_原始数据'!B156-OtherCost</f>
        <v/>
      </c>
      <c r="P156" s="37">
        <f>'03_原始数据'!C156-0.615*'03_原始数据'!B156-OtherCost</f>
        <v/>
      </c>
      <c r="Q156" s="37">
        <f>'03_原始数据'!C156-0.62*'03_原始数据'!B156-OtherCost</f>
        <v/>
      </c>
      <c r="R156" s="37">
        <f>'03_原始数据'!C156-0.625*'03_原始数据'!B156-OtherCost</f>
        <v/>
      </c>
      <c r="S156" s="37">
        <f>'03_原始数据'!C156-0.63*'03_原始数据'!B156-OtherCost</f>
        <v/>
      </c>
      <c r="T156" s="37">
        <f>'03_原始数据'!C156-0.635*'03_原始数据'!B156-OtherCost</f>
        <v/>
      </c>
      <c r="U156" s="37">
        <f>'03_原始数据'!C156-0.64*'03_原始数据'!B156-OtherCost</f>
        <v/>
      </c>
      <c r="V156" s="37">
        <f>'03_原始数据'!C156-0.645*'03_原始数据'!B156-OtherCost</f>
        <v/>
      </c>
      <c r="W156" s="37">
        <f>'03_原始数据'!C156-0.65*'03_原始数据'!B156-OtherCost</f>
        <v/>
      </c>
      <c r="X156" s="37">
        <f>'03_原始数据'!C156-0.655*'03_原始数据'!B156-OtherCost</f>
        <v/>
      </c>
      <c r="Y156" s="37">
        <f>'03_原始数据'!C156-0.66*'03_原始数据'!B156-OtherCost</f>
        <v/>
      </c>
      <c r="Z156" s="37">
        <f>'03_原始数据'!C156-0.665*'03_原始数据'!B156-OtherCost</f>
        <v/>
      </c>
      <c r="AA156" s="37">
        <f>'03_原始数据'!C156-0.67*'03_原始数据'!B156-OtherCost</f>
        <v/>
      </c>
      <c r="AB156" s="37">
        <f>'03_原始数据'!C156-0.675*'03_原始数据'!B156-OtherCost</f>
        <v/>
      </c>
      <c r="AC156" s="37">
        <f>'03_原始数据'!C156-0.68*'03_原始数据'!B156-OtherCost</f>
        <v/>
      </c>
      <c r="AD156" s="37">
        <f>'03_原始数据'!C156-0.685*'03_原始数据'!B156-OtherCost</f>
        <v/>
      </c>
      <c r="AE156" s="37">
        <f>'03_原始数据'!C156-0.69*'03_原始数据'!B156-OtherCost</f>
        <v/>
      </c>
      <c r="AF156" s="37">
        <f>'03_原始数据'!C156-0.695*'03_原始数据'!B156-OtherCost</f>
        <v/>
      </c>
      <c r="AG156" s="37">
        <f>'03_原始数据'!C156-0.7*'03_原始数据'!B156-OtherCost</f>
        <v/>
      </c>
    </row>
    <row r="157">
      <c r="M157" s="37">
        <f>'03_原始数据'!C157-0.6*'03_原始数据'!B157-OtherCost</f>
        <v/>
      </c>
      <c r="N157" s="37">
        <f>'03_原始数据'!C157-0.605*'03_原始数据'!B157-OtherCost</f>
        <v/>
      </c>
      <c r="O157" s="37">
        <f>'03_原始数据'!C157-0.61*'03_原始数据'!B157-OtherCost</f>
        <v/>
      </c>
      <c r="P157" s="37">
        <f>'03_原始数据'!C157-0.615*'03_原始数据'!B157-OtherCost</f>
        <v/>
      </c>
      <c r="Q157" s="37">
        <f>'03_原始数据'!C157-0.62*'03_原始数据'!B157-OtherCost</f>
        <v/>
      </c>
      <c r="R157" s="37">
        <f>'03_原始数据'!C157-0.625*'03_原始数据'!B157-OtherCost</f>
        <v/>
      </c>
      <c r="S157" s="37">
        <f>'03_原始数据'!C157-0.63*'03_原始数据'!B157-OtherCost</f>
        <v/>
      </c>
      <c r="T157" s="37">
        <f>'03_原始数据'!C157-0.635*'03_原始数据'!B157-OtherCost</f>
        <v/>
      </c>
      <c r="U157" s="37">
        <f>'03_原始数据'!C157-0.64*'03_原始数据'!B157-OtherCost</f>
        <v/>
      </c>
      <c r="V157" s="37">
        <f>'03_原始数据'!C157-0.645*'03_原始数据'!B157-OtherCost</f>
        <v/>
      </c>
      <c r="W157" s="37">
        <f>'03_原始数据'!C157-0.65*'03_原始数据'!B157-OtherCost</f>
        <v/>
      </c>
      <c r="X157" s="37">
        <f>'03_原始数据'!C157-0.655*'03_原始数据'!B157-OtherCost</f>
        <v/>
      </c>
      <c r="Y157" s="37">
        <f>'03_原始数据'!C157-0.66*'03_原始数据'!B157-OtherCost</f>
        <v/>
      </c>
      <c r="Z157" s="37">
        <f>'03_原始数据'!C157-0.665*'03_原始数据'!B157-OtherCost</f>
        <v/>
      </c>
      <c r="AA157" s="37">
        <f>'03_原始数据'!C157-0.67*'03_原始数据'!B157-OtherCost</f>
        <v/>
      </c>
      <c r="AB157" s="37">
        <f>'03_原始数据'!C157-0.675*'03_原始数据'!B157-OtherCost</f>
        <v/>
      </c>
      <c r="AC157" s="37">
        <f>'03_原始数据'!C157-0.68*'03_原始数据'!B157-OtherCost</f>
        <v/>
      </c>
      <c r="AD157" s="37">
        <f>'03_原始数据'!C157-0.685*'03_原始数据'!B157-OtherCost</f>
        <v/>
      </c>
      <c r="AE157" s="37">
        <f>'03_原始数据'!C157-0.69*'03_原始数据'!B157-OtherCost</f>
        <v/>
      </c>
      <c r="AF157" s="37">
        <f>'03_原始数据'!C157-0.695*'03_原始数据'!B157-OtherCost</f>
        <v/>
      </c>
      <c r="AG157" s="37">
        <f>'03_原始数据'!C157-0.7*'03_原始数据'!B157-OtherCost</f>
        <v/>
      </c>
    </row>
    <row r="158">
      <c r="M158" s="37">
        <f>'03_原始数据'!C158-0.6*'03_原始数据'!B158-OtherCost</f>
        <v/>
      </c>
      <c r="N158" s="37">
        <f>'03_原始数据'!C158-0.605*'03_原始数据'!B158-OtherCost</f>
        <v/>
      </c>
      <c r="O158" s="37">
        <f>'03_原始数据'!C158-0.61*'03_原始数据'!B158-OtherCost</f>
        <v/>
      </c>
      <c r="P158" s="37">
        <f>'03_原始数据'!C158-0.615*'03_原始数据'!B158-OtherCost</f>
        <v/>
      </c>
      <c r="Q158" s="37">
        <f>'03_原始数据'!C158-0.62*'03_原始数据'!B158-OtherCost</f>
        <v/>
      </c>
      <c r="R158" s="37">
        <f>'03_原始数据'!C158-0.625*'03_原始数据'!B158-OtherCost</f>
        <v/>
      </c>
      <c r="S158" s="37">
        <f>'03_原始数据'!C158-0.63*'03_原始数据'!B158-OtherCost</f>
        <v/>
      </c>
      <c r="T158" s="37">
        <f>'03_原始数据'!C158-0.635*'03_原始数据'!B158-OtherCost</f>
        <v/>
      </c>
      <c r="U158" s="37">
        <f>'03_原始数据'!C158-0.64*'03_原始数据'!B158-OtherCost</f>
        <v/>
      </c>
      <c r="V158" s="37">
        <f>'03_原始数据'!C158-0.645*'03_原始数据'!B158-OtherCost</f>
        <v/>
      </c>
      <c r="W158" s="37">
        <f>'03_原始数据'!C158-0.65*'03_原始数据'!B158-OtherCost</f>
        <v/>
      </c>
      <c r="X158" s="37">
        <f>'03_原始数据'!C158-0.655*'03_原始数据'!B158-OtherCost</f>
        <v/>
      </c>
      <c r="Y158" s="37">
        <f>'03_原始数据'!C158-0.66*'03_原始数据'!B158-OtherCost</f>
        <v/>
      </c>
      <c r="Z158" s="37">
        <f>'03_原始数据'!C158-0.665*'03_原始数据'!B158-OtherCost</f>
        <v/>
      </c>
      <c r="AA158" s="37">
        <f>'03_原始数据'!C158-0.67*'03_原始数据'!B158-OtherCost</f>
        <v/>
      </c>
      <c r="AB158" s="37">
        <f>'03_原始数据'!C158-0.675*'03_原始数据'!B158-OtherCost</f>
        <v/>
      </c>
      <c r="AC158" s="37">
        <f>'03_原始数据'!C158-0.68*'03_原始数据'!B158-OtherCost</f>
        <v/>
      </c>
      <c r="AD158" s="37">
        <f>'03_原始数据'!C158-0.685*'03_原始数据'!B158-OtherCost</f>
        <v/>
      </c>
      <c r="AE158" s="37">
        <f>'03_原始数据'!C158-0.69*'03_原始数据'!B158-OtherCost</f>
        <v/>
      </c>
      <c r="AF158" s="37">
        <f>'03_原始数据'!C158-0.695*'03_原始数据'!B158-OtherCost</f>
        <v/>
      </c>
      <c r="AG158" s="37">
        <f>'03_原始数据'!C158-0.7*'03_原始数据'!B158-OtherCost</f>
        <v/>
      </c>
    </row>
    <row r="159">
      <c r="M159" s="37">
        <f>'03_原始数据'!C159-0.6*'03_原始数据'!B159-OtherCost</f>
        <v/>
      </c>
      <c r="N159" s="37">
        <f>'03_原始数据'!C159-0.605*'03_原始数据'!B159-OtherCost</f>
        <v/>
      </c>
      <c r="O159" s="37">
        <f>'03_原始数据'!C159-0.61*'03_原始数据'!B159-OtherCost</f>
        <v/>
      </c>
      <c r="P159" s="37">
        <f>'03_原始数据'!C159-0.615*'03_原始数据'!B159-OtherCost</f>
        <v/>
      </c>
      <c r="Q159" s="37">
        <f>'03_原始数据'!C159-0.62*'03_原始数据'!B159-OtherCost</f>
        <v/>
      </c>
      <c r="R159" s="37">
        <f>'03_原始数据'!C159-0.625*'03_原始数据'!B159-OtherCost</f>
        <v/>
      </c>
      <c r="S159" s="37">
        <f>'03_原始数据'!C159-0.63*'03_原始数据'!B159-OtherCost</f>
        <v/>
      </c>
      <c r="T159" s="37">
        <f>'03_原始数据'!C159-0.635*'03_原始数据'!B159-OtherCost</f>
        <v/>
      </c>
      <c r="U159" s="37">
        <f>'03_原始数据'!C159-0.64*'03_原始数据'!B159-OtherCost</f>
        <v/>
      </c>
      <c r="V159" s="37">
        <f>'03_原始数据'!C159-0.645*'03_原始数据'!B159-OtherCost</f>
        <v/>
      </c>
      <c r="W159" s="37">
        <f>'03_原始数据'!C159-0.65*'03_原始数据'!B159-OtherCost</f>
        <v/>
      </c>
      <c r="X159" s="37">
        <f>'03_原始数据'!C159-0.655*'03_原始数据'!B159-OtherCost</f>
        <v/>
      </c>
      <c r="Y159" s="37">
        <f>'03_原始数据'!C159-0.66*'03_原始数据'!B159-OtherCost</f>
        <v/>
      </c>
      <c r="Z159" s="37">
        <f>'03_原始数据'!C159-0.665*'03_原始数据'!B159-OtherCost</f>
        <v/>
      </c>
      <c r="AA159" s="37">
        <f>'03_原始数据'!C159-0.67*'03_原始数据'!B159-OtherCost</f>
        <v/>
      </c>
      <c r="AB159" s="37">
        <f>'03_原始数据'!C159-0.675*'03_原始数据'!B159-OtherCost</f>
        <v/>
      </c>
      <c r="AC159" s="37">
        <f>'03_原始数据'!C159-0.68*'03_原始数据'!B159-OtherCost</f>
        <v/>
      </c>
      <c r="AD159" s="37">
        <f>'03_原始数据'!C159-0.685*'03_原始数据'!B159-OtherCost</f>
        <v/>
      </c>
      <c r="AE159" s="37">
        <f>'03_原始数据'!C159-0.69*'03_原始数据'!B159-OtherCost</f>
        <v/>
      </c>
      <c r="AF159" s="37">
        <f>'03_原始数据'!C159-0.695*'03_原始数据'!B159-OtherCost</f>
        <v/>
      </c>
      <c r="AG159" s="37">
        <f>'03_原始数据'!C159-0.7*'03_原始数据'!B159-OtherCost</f>
        <v/>
      </c>
    </row>
    <row r="160">
      <c r="M160" s="37">
        <f>'03_原始数据'!C160-0.6*'03_原始数据'!B160-OtherCost</f>
        <v/>
      </c>
      <c r="N160" s="37">
        <f>'03_原始数据'!C160-0.605*'03_原始数据'!B160-OtherCost</f>
        <v/>
      </c>
      <c r="O160" s="37">
        <f>'03_原始数据'!C160-0.61*'03_原始数据'!B160-OtherCost</f>
        <v/>
      </c>
      <c r="P160" s="37">
        <f>'03_原始数据'!C160-0.615*'03_原始数据'!B160-OtherCost</f>
        <v/>
      </c>
      <c r="Q160" s="37">
        <f>'03_原始数据'!C160-0.62*'03_原始数据'!B160-OtherCost</f>
        <v/>
      </c>
      <c r="R160" s="37">
        <f>'03_原始数据'!C160-0.625*'03_原始数据'!B160-OtherCost</f>
        <v/>
      </c>
      <c r="S160" s="37">
        <f>'03_原始数据'!C160-0.63*'03_原始数据'!B160-OtherCost</f>
        <v/>
      </c>
      <c r="T160" s="37">
        <f>'03_原始数据'!C160-0.635*'03_原始数据'!B160-OtherCost</f>
        <v/>
      </c>
      <c r="U160" s="37">
        <f>'03_原始数据'!C160-0.64*'03_原始数据'!B160-OtherCost</f>
        <v/>
      </c>
      <c r="V160" s="37">
        <f>'03_原始数据'!C160-0.645*'03_原始数据'!B160-OtherCost</f>
        <v/>
      </c>
      <c r="W160" s="37">
        <f>'03_原始数据'!C160-0.65*'03_原始数据'!B160-OtherCost</f>
        <v/>
      </c>
      <c r="X160" s="37">
        <f>'03_原始数据'!C160-0.655*'03_原始数据'!B160-OtherCost</f>
        <v/>
      </c>
      <c r="Y160" s="37">
        <f>'03_原始数据'!C160-0.66*'03_原始数据'!B160-OtherCost</f>
        <v/>
      </c>
      <c r="Z160" s="37">
        <f>'03_原始数据'!C160-0.665*'03_原始数据'!B160-OtherCost</f>
        <v/>
      </c>
      <c r="AA160" s="37">
        <f>'03_原始数据'!C160-0.67*'03_原始数据'!B160-OtherCost</f>
        <v/>
      </c>
      <c r="AB160" s="37">
        <f>'03_原始数据'!C160-0.675*'03_原始数据'!B160-OtherCost</f>
        <v/>
      </c>
      <c r="AC160" s="37">
        <f>'03_原始数据'!C160-0.68*'03_原始数据'!B160-OtherCost</f>
        <v/>
      </c>
      <c r="AD160" s="37">
        <f>'03_原始数据'!C160-0.685*'03_原始数据'!B160-OtherCost</f>
        <v/>
      </c>
      <c r="AE160" s="37">
        <f>'03_原始数据'!C160-0.69*'03_原始数据'!B160-OtherCost</f>
        <v/>
      </c>
      <c r="AF160" s="37">
        <f>'03_原始数据'!C160-0.695*'03_原始数据'!B160-OtherCost</f>
        <v/>
      </c>
      <c r="AG160" s="37">
        <f>'03_原始数据'!C160-0.7*'03_原始数据'!B160-OtherCost</f>
        <v/>
      </c>
    </row>
    <row r="161">
      <c r="M161" s="37">
        <f>'03_原始数据'!C161-0.6*'03_原始数据'!B161-OtherCost</f>
        <v/>
      </c>
      <c r="N161" s="37">
        <f>'03_原始数据'!C161-0.605*'03_原始数据'!B161-OtherCost</f>
        <v/>
      </c>
      <c r="O161" s="37">
        <f>'03_原始数据'!C161-0.61*'03_原始数据'!B161-OtherCost</f>
        <v/>
      </c>
      <c r="P161" s="37">
        <f>'03_原始数据'!C161-0.615*'03_原始数据'!B161-OtherCost</f>
        <v/>
      </c>
      <c r="Q161" s="37">
        <f>'03_原始数据'!C161-0.62*'03_原始数据'!B161-OtherCost</f>
        <v/>
      </c>
      <c r="R161" s="37">
        <f>'03_原始数据'!C161-0.625*'03_原始数据'!B161-OtherCost</f>
        <v/>
      </c>
      <c r="S161" s="37">
        <f>'03_原始数据'!C161-0.63*'03_原始数据'!B161-OtherCost</f>
        <v/>
      </c>
      <c r="T161" s="37">
        <f>'03_原始数据'!C161-0.635*'03_原始数据'!B161-OtherCost</f>
        <v/>
      </c>
      <c r="U161" s="37">
        <f>'03_原始数据'!C161-0.64*'03_原始数据'!B161-OtherCost</f>
        <v/>
      </c>
      <c r="V161" s="37">
        <f>'03_原始数据'!C161-0.645*'03_原始数据'!B161-OtherCost</f>
        <v/>
      </c>
      <c r="W161" s="37">
        <f>'03_原始数据'!C161-0.65*'03_原始数据'!B161-OtherCost</f>
        <v/>
      </c>
      <c r="X161" s="37">
        <f>'03_原始数据'!C161-0.655*'03_原始数据'!B161-OtherCost</f>
        <v/>
      </c>
      <c r="Y161" s="37">
        <f>'03_原始数据'!C161-0.66*'03_原始数据'!B161-OtherCost</f>
        <v/>
      </c>
      <c r="Z161" s="37">
        <f>'03_原始数据'!C161-0.665*'03_原始数据'!B161-OtherCost</f>
        <v/>
      </c>
      <c r="AA161" s="37">
        <f>'03_原始数据'!C161-0.67*'03_原始数据'!B161-OtherCost</f>
        <v/>
      </c>
      <c r="AB161" s="37">
        <f>'03_原始数据'!C161-0.675*'03_原始数据'!B161-OtherCost</f>
        <v/>
      </c>
      <c r="AC161" s="37">
        <f>'03_原始数据'!C161-0.68*'03_原始数据'!B161-OtherCost</f>
        <v/>
      </c>
      <c r="AD161" s="37">
        <f>'03_原始数据'!C161-0.685*'03_原始数据'!B161-OtherCost</f>
        <v/>
      </c>
      <c r="AE161" s="37">
        <f>'03_原始数据'!C161-0.69*'03_原始数据'!B161-OtherCost</f>
        <v/>
      </c>
      <c r="AF161" s="37">
        <f>'03_原始数据'!C161-0.695*'03_原始数据'!B161-OtherCost</f>
        <v/>
      </c>
      <c r="AG161" s="37">
        <f>'03_原始数据'!C161-0.7*'03_原始数据'!B161-OtherCost</f>
        <v/>
      </c>
    </row>
    <row r="162">
      <c r="M162" s="37">
        <f>'03_原始数据'!C162-0.6*'03_原始数据'!B162-OtherCost</f>
        <v/>
      </c>
      <c r="N162" s="37">
        <f>'03_原始数据'!C162-0.605*'03_原始数据'!B162-OtherCost</f>
        <v/>
      </c>
      <c r="O162" s="37">
        <f>'03_原始数据'!C162-0.61*'03_原始数据'!B162-OtherCost</f>
        <v/>
      </c>
      <c r="P162" s="37">
        <f>'03_原始数据'!C162-0.615*'03_原始数据'!B162-OtherCost</f>
        <v/>
      </c>
      <c r="Q162" s="37">
        <f>'03_原始数据'!C162-0.62*'03_原始数据'!B162-OtherCost</f>
        <v/>
      </c>
      <c r="R162" s="37">
        <f>'03_原始数据'!C162-0.625*'03_原始数据'!B162-OtherCost</f>
        <v/>
      </c>
      <c r="S162" s="37">
        <f>'03_原始数据'!C162-0.63*'03_原始数据'!B162-OtherCost</f>
        <v/>
      </c>
      <c r="T162" s="37">
        <f>'03_原始数据'!C162-0.635*'03_原始数据'!B162-OtherCost</f>
        <v/>
      </c>
      <c r="U162" s="37">
        <f>'03_原始数据'!C162-0.64*'03_原始数据'!B162-OtherCost</f>
        <v/>
      </c>
      <c r="V162" s="37">
        <f>'03_原始数据'!C162-0.645*'03_原始数据'!B162-OtherCost</f>
        <v/>
      </c>
      <c r="W162" s="37">
        <f>'03_原始数据'!C162-0.65*'03_原始数据'!B162-OtherCost</f>
        <v/>
      </c>
      <c r="X162" s="37">
        <f>'03_原始数据'!C162-0.655*'03_原始数据'!B162-OtherCost</f>
        <v/>
      </c>
      <c r="Y162" s="37">
        <f>'03_原始数据'!C162-0.66*'03_原始数据'!B162-OtherCost</f>
        <v/>
      </c>
      <c r="Z162" s="37">
        <f>'03_原始数据'!C162-0.665*'03_原始数据'!B162-OtherCost</f>
        <v/>
      </c>
      <c r="AA162" s="37">
        <f>'03_原始数据'!C162-0.67*'03_原始数据'!B162-OtherCost</f>
        <v/>
      </c>
      <c r="AB162" s="37">
        <f>'03_原始数据'!C162-0.675*'03_原始数据'!B162-OtherCost</f>
        <v/>
      </c>
      <c r="AC162" s="37">
        <f>'03_原始数据'!C162-0.68*'03_原始数据'!B162-OtherCost</f>
        <v/>
      </c>
      <c r="AD162" s="37">
        <f>'03_原始数据'!C162-0.685*'03_原始数据'!B162-OtherCost</f>
        <v/>
      </c>
      <c r="AE162" s="37">
        <f>'03_原始数据'!C162-0.69*'03_原始数据'!B162-OtherCost</f>
        <v/>
      </c>
      <c r="AF162" s="37">
        <f>'03_原始数据'!C162-0.695*'03_原始数据'!B162-OtherCost</f>
        <v/>
      </c>
      <c r="AG162" s="37">
        <f>'03_原始数据'!C162-0.7*'03_原始数据'!B162-OtherCost</f>
        <v/>
      </c>
    </row>
    <row r="163">
      <c r="M163" s="37">
        <f>'03_原始数据'!C163-0.6*'03_原始数据'!B163-OtherCost</f>
        <v/>
      </c>
      <c r="N163" s="37">
        <f>'03_原始数据'!C163-0.605*'03_原始数据'!B163-OtherCost</f>
        <v/>
      </c>
      <c r="O163" s="37">
        <f>'03_原始数据'!C163-0.61*'03_原始数据'!B163-OtherCost</f>
        <v/>
      </c>
      <c r="P163" s="37">
        <f>'03_原始数据'!C163-0.615*'03_原始数据'!B163-OtherCost</f>
        <v/>
      </c>
      <c r="Q163" s="37">
        <f>'03_原始数据'!C163-0.62*'03_原始数据'!B163-OtherCost</f>
        <v/>
      </c>
      <c r="R163" s="37">
        <f>'03_原始数据'!C163-0.625*'03_原始数据'!B163-OtherCost</f>
        <v/>
      </c>
      <c r="S163" s="37">
        <f>'03_原始数据'!C163-0.63*'03_原始数据'!B163-OtherCost</f>
        <v/>
      </c>
      <c r="T163" s="37">
        <f>'03_原始数据'!C163-0.635*'03_原始数据'!B163-OtherCost</f>
        <v/>
      </c>
      <c r="U163" s="37">
        <f>'03_原始数据'!C163-0.64*'03_原始数据'!B163-OtherCost</f>
        <v/>
      </c>
      <c r="V163" s="37">
        <f>'03_原始数据'!C163-0.645*'03_原始数据'!B163-OtherCost</f>
        <v/>
      </c>
      <c r="W163" s="37">
        <f>'03_原始数据'!C163-0.65*'03_原始数据'!B163-OtherCost</f>
        <v/>
      </c>
      <c r="X163" s="37">
        <f>'03_原始数据'!C163-0.655*'03_原始数据'!B163-OtherCost</f>
        <v/>
      </c>
      <c r="Y163" s="37">
        <f>'03_原始数据'!C163-0.66*'03_原始数据'!B163-OtherCost</f>
        <v/>
      </c>
      <c r="Z163" s="37">
        <f>'03_原始数据'!C163-0.665*'03_原始数据'!B163-OtherCost</f>
        <v/>
      </c>
      <c r="AA163" s="37">
        <f>'03_原始数据'!C163-0.67*'03_原始数据'!B163-OtherCost</f>
        <v/>
      </c>
      <c r="AB163" s="37">
        <f>'03_原始数据'!C163-0.675*'03_原始数据'!B163-OtherCost</f>
        <v/>
      </c>
      <c r="AC163" s="37">
        <f>'03_原始数据'!C163-0.68*'03_原始数据'!B163-OtherCost</f>
        <v/>
      </c>
      <c r="AD163" s="37">
        <f>'03_原始数据'!C163-0.685*'03_原始数据'!B163-OtherCost</f>
        <v/>
      </c>
      <c r="AE163" s="37">
        <f>'03_原始数据'!C163-0.69*'03_原始数据'!B163-OtherCost</f>
        <v/>
      </c>
      <c r="AF163" s="37">
        <f>'03_原始数据'!C163-0.695*'03_原始数据'!B163-OtherCost</f>
        <v/>
      </c>
      <c r="AG163" s="37">
        <f>'03_原始数据'!C163-0.7*'03_原始数据'!B163-OtherCost</f>
        <v/>
      </c>
    </row>
    <row r="164">
      <c r="M164" s="37">
        <f>'03_原始数据'!C164-0.6*'03_原始数据'!B164-OtherCost</f>
        <v/>
      </c>
      <c r="N164" s="37">
        <f>'03_原始数据'!C164-0.605*'03_原始数据'!B164-OtherCost</f>
        <v/>
      </c>
      <c r="O164" s="37">
        <f>'03_原始数据'!C164-0.61*'03_原始数据'!B164-OtherCost</f>
        <v/>
      </c>
      <c r="P164" s="37">
        <f>'03_原始数据'!C164-0.615*'03_原始数据'!B164-OtherCost</f>
        <v/>
      </c>
      <c r="Q164" s="37">
        <f>'03_原始数据'!C164-0.62*'03_原始数据'!B164-OtherCost</f>
        <v/>
      </c>
      <c r="R164" s="37">
        <f>'03_原始数据'!C164-0.625*'03_原始数据'!B164-OtherCost</f>
        <v/>
      </c>
      <c r="S164" s="37">
        <f>'03_原始数据'!C164-0.63*'03_原始数据'!B164-OtherCost</f>
        <v/>
      </c>
      <c r="T164" s="37">
        <f>'03_原始数据'!C164-0.635*'03_原始数据'!B164-OtherCost</f>
        <v/>
      </c>
      <c r="U164" s="37">
        <f>'03_原始数据'!C164-0.64*'03_原始数据'!B164-OtherCost</f>
        <v/>
      </c>
      <c r="V164" s="37">
        <f>'03_原始数据'!C164-0.645*'03_原始数据'!B164-OtherCost</f>
        <v/>
      </c>
      <c r="W164" s="37">
        <f>'03_原始数据'!C164-0.65*'03_原始数据'!B164-OtherCost</f>
        <v/>
      </c>
      <c r="X164" s="37">
        <f>'03_原始数据'!C164-0.655*'03_原始数据'!B164-OtherCost</f>
        <v/>
      </c>
      <c r="Y164" s="37">
        <f>'03_原始数据'!C164-0.66*'03_原始数据'!B164-OtherCost</f>
        <v/>
      </c>
      <c r="Z164" s="37">
        <f>'03_原始数据'!C164-0.665*'03_原始数据'!B164-OtherCost</f>
        <v/>
      </c>
      <c r="AA164" s="37">
        <f>'03_原始数据'!C164-0.67*'03_原始数据'!B164-OtherCost</f>
        <v/>
      </c>
      <c r="AB164" s="37">
        <f>'03_原始数据'!C164-0.675*'03_原始数据'!B164-OtherCost</f>
        <v/>
      </c>
      <c r="AC164" s="37">
        <f>'03_原始数据'!C164-0.68*'03_原始数据'!B164-OtherCost</f>
        <v/>
      </c>
      <c r="AD164" s="37">
        <f>'03_原始数据'!C164-0.685*'03_原始数据'!B164-OtherCost</f>
        <v/>
      </c>
      <c r="AE164" s="37">
        <f>'03_原始数据'!C164-0.69*'03_原始数据'!B164-OtherCost</f>
        <v/>
      </c>
      <c r="AF164" s="37">
        <f>'03_原始数据'!C164-0.695*'03_原始数据'!B164-OtherCost</f>
        <v/>
      </c>
      <c r="AG164" s="37">
        <f>'03_原始数据'!C164-0.7*'03_原始数据'!B164-OtherCost</f>
        <v/>
      </c>
    </row>
    <row r="165">
      <c r="M165" s="37">
        <f>'03_原始数据'!C165-0.6*'03_原始数据'!B165-OtherCost</f>
        <v/>
      </c>
      <c r="N165" s="37">
        <f>'03_原始数据'!C165-0.605*'03_原始数据'!B165-OtherCost</f>
        <v/>
      </c>
      <c r="O165" s="37">
        <f>'03_原始数据'!C165-0.61*'03_原始数据'!B165-OtherCost</f>
        <v/>
      </c>
      <c r="P165" s="37">
        <f>'03_原始数据'!C165-0.615*'03_原始数据'!B165-OtherCost</f>
        <v/>
      </c>
      <c r="Q165" s="37">
        <f>'03_原始数据'!C165-0.62*'03_原始数据'!B165-OtherCost</f>
        <v/>
      </c>
      <c r="R165" s="37">
        <f>'03_原始数据'!C165-0.625*'03_原始数据'!B165-OtherCost</f>
        <v/>
      </c>
      <c r="S165" s="37">
        <f>'03_原始数据'!C165-0.63*'03_原始数据'!B165-OtherCost</f>
        <v/>
      </c>
      <c r="T165" s="37">
        <f>'03_原始数据'!C165-0.635*'03_原始数据'!B165-OtherCost</f>
        <v/>
      </c>
      <c r="U165" s="37">
        <f>'03_原始数据'!C165-0.64*'03_原始数据'!B165-OtherCost</f>
        <v/>
      </c>
      <c r="V165" s="37">
        <f>'03_原始数据'!C165-0.645*'03_原始数据'!B165-OtherCost</f>
        <v/>
      </c>
      <c r="W165" s="37">
        <f>'03_原始数据'!C165-0.65*'03_原始数据'!B165-OtherCost</f>
        <v/>
      </c>
      <c r="X165" s="37">
        <f>'03_原始数据'!C165-0.655*'03_原始数据'!B165-OtherCost</f>
        <v/>
      </c>
      <c r="Y165" s="37">
        <f>'03_原始数据'!C165-0.66*'03_原始数据'!B165-OtherCost</f>
        <v/>
      </c>
      <c r="Z165" s="37">
        <f>'03_原始数据'!C165-0.665*'03_原始数据'!B165-OtherCost</f>
        <v/>
      </c>
      <c r="AA165" s="37">
        <f>'03_原始数据'!C165-0.67*'03_原始数据'!B165-OtherCost</f>
        <v/>
      </c>
      <c r="AB165" s="37">
        <f>'03_原始数据'!C165-0.675*'03_原始数据'!B165-OtherCost</f>
        <v/>
      </c>
      <c r="AC165" s="37">
        <f>'03_原始数据'!C165-0.68*'03_原始数据'!B165-OtherCost</f>
        <v/>
      </c>
      <c r="AD165" s="37">
        <f>'03_原始数据'!C165-0.685*'03_原始数据'!B165-OtherCost</f>
        <v/>
      </c>
      <c r="AE165" s="37">
        <f>'03_原始数据'!C165-0.69*'03_原始数据'!B165-OtherCost</f>
        <v/>
      </c>
      <c r="AF165" s="37">
        <f>'03_原始数据'!C165-0.695*'03_原始数据'!B165-OtherCost</f>
        <v/>
      </c>
      <c r="AG165" s="37">
        <f>'03_原始数据'!C165-0.7*'03_原始数据'!B165-OtherCost</f>
        <v/>
      </c>
    </row>
    <row r="166">
      <c r="M166" s="37">
        <f>'03_原始数据'!C166-0.6*'03_原始数据'!B166-OtherCost</f>
        <v/>
      </c>
      <c r="N166" s="37">
        <f>'03_原始数据'!C166-0.605*'03_原始数据'!B166-OtherCost</f>
        <v/>
      </c>
      <c r="O166" s="37">
        <f>'03_原始数据'!C166-0.61*'03_原始数据'!B166-OtherCost</f>
        <v/>
      </c>
      <c r="P166" s="37">
        <f>'03_原始数据'!C166-0.615*'03_原始数据'!B166-OtherCost</f>
        <v/>
      </c>
      <c r="Q166" s="37">
        <f>'03_原始数据'!C166-0.62*'03_原始数据'!B166-OtherCost</f>
        <v/>
      </c>
      <c r="R166" s="37">
        <f>'03_原始数据'!C166-0.625*'03_原始数据'!B166-OtherCost</f>
        <v/>
      </c>
      <c r="S166" s="37">
        <f>'03_原始数据'!C166-0.63*'03_原始数据'!B166-OtherCost</f>
        <v/>
      </c>
      <c r="T166" s="37">
        <f>'03_原始数据'!C166-0.635*'03_原始数据'!B166-OtherCost</f>
        <v/>
      </c>
      <c r="U166" s="37">
        <f>'03_原始数据'!C166-0.64*'03_原始数据'!B166-OtherCost</f>
        <v/>
      </c>
      <c r="V166" s="37">
        <f>'03_原始数据'!C166-0.645*'03_原始数据'!B166-OtherCost</f>
        <v/>
      </c>
      <c r="W166" s="37">
        <f>'03_原始数据'!C166-0.65*'03_原始数据'!B166-OtherCost</f>
        <v/>
      </c>
      <c r="X166" s="37">
        <f>'03_原始数据'!C166-0.655*'03_原始数据'!B166-OtherCost</f>
        <v/>
      </c>
      <c r="Y166" s="37">
        <f>'03_原始数据'!C166-0.66*'03_原始数据'!B166-OtherCost</f>
        <v/>
      </c>
      <c r="Z166" s="37">
        <f>'03_原始数据'!C166-0.665*'03_原始数据'!B166-OtherCost</f>
        <v/>
      </c>
      <c r="AA166" s="37">
        <f>'03_原始数据'!C166-0.67*'03_原始数据'!B166-OtherCost</f>
        <v/>
      </c>
      <c r="AB166" s="37">
        <f>'03_原始数据'!C166-0.675*'03_原始数据'!B166-OtherCost</f>
        <v/>
      </c>
      <c r="AC166" s="37">
        <f>'03_原始数据'!C166-0.68*'03_原始数据'!B166-OtherCost</f>
        <v/>
      </c>
      <c r="AD166" s="37">
        <f>'03_原始数据'!C166-0.685*'03_原始数据'!B166-OtherCost</f>
        <v/>
      </c>
      <c r="AE166" s="37">
        <f>'03_原始数据'!C166-0.69*'03_原始数据'!B166-OtherCost</f>
        <v/>
      </c>
      <c r="AF166" s="37">
        <f>'03_原始数据'!C166-0.695*'03_原始数据'!B166-OtherCost</f>
        <v/>
      </c>
      <c r="AG166" s="37">
        <f>'03_原始数据'!C166-0.7*'03_原始数据'!B166-OtherCost</f>
        <v/>
      </c>
    </row>
    <row r="167">
      <c r="M167" s="37">
        <f>'03_原始数据'!C167-0.6*'03_原始数据'!B167-OtherCost</f>
        <v/>
      </c>
      <c r="N167" s="37">
        <f>'03_原始数据'!C167-0.605*'03_原始数据'!B167-OtherCost</f>
        <v/>
      </c>
      <c r="O167" s="37">
        <f>'03_原始数据'!C167-0.61*'03_原始数据'!B167-OtherCost</f>
        <v/>
      </c>
      <c r="P167" s="37">
        <f>'03_原始数据'!C167-0.615*'03_原始数据'!B167-OtherCost</f>
        <v/>
      </c>
      <c r="Q167" s="37">
        <f>'03_原始数据'!C167-0.62*'03_原始数据'!B167-OtherCost</f>
        <v/>
      </c>
      <c r="R167" s="37">
        <f>'03_原始数据'!C167-0.625*'03_原始数据'!B167-OtherCost</f>
        <v/>
      </c>
      <c r="S167" s="37">
        <f>'03_原始数据'!C167-0.63*'03_原始数据'!B167-OtherCost</f>
        <v/>
      </c>
      <c r="T167" s="37">
        <f>'03_原始数据'!C167-0.635*'03_原始数据'!B167-OtherCost</f>
        <v/>
      </c>
      <c r="U167" s="37">
        <f>'03_原始数据'!C167-0.64*'03_原始数据'!B167-OtherCost</f>
        <v/>
      </c>
      <c r="V167" s="37">
        <f>'03_原始数据'!C167-0.645*'03_原始数据'!B167-OtherCost</f>
        <v/>
      </c>
      <c r="W167" s="37">
        <f>'03_原始数据'!C167-0.65*'03_原始数据'!B167-OtherCost</f>
        <v/>
      </c>
      <c r="X167" s="37">
        <f>'03_原始数据'!C167-0.655*'03_原始数据'!B167-OtherCost</f>
        <v/>
      </c>
      <c r="Y167" s="37">
        <f>'03_原始数据'!C167-0.66*'03_原始数据'!B167-OtherCost</f>
        <v/>
      </c>
      <c r="Z167" s="37">
        <f>'03_原始数据'!C167-0.665*'03_原始数据'!B167-OtherCost</f>
        <v/>
      </c>
      <c r="AA167" s="37">
        <f>'03_原始数据'!C167-0.67*'03_原始数据'!B167-OtherCost</f>
        <v/>
      </c>
      <c r="AB167" s="37">
        <f>'03_原始数据'!C167-0.675*'03_原始数据'!B167-OtherCost</f>
        <v/>
      </c>
      <c r="AC167" s="37">
        <f>'03_原始数据'!C167-0.68*'03_原始数据'!B167-OtherCost</f>
        <v/>
      </c>
      <c r="AD167" s="37">
        <f>'03_原始数据'!C167-0.685*'03_原始数据'!B167-OtherCost</f>
        <v/>
      </c>
      <c r="AE167" s="37">
        <f>'03_原始数据'!C167-0.69*'03_原始数据'!B167-OtherCost</f>
        <v/>
      </c>
      <c r="AF167" s="37">
        <f>'03_原始数据'!C167-0.695*'03_原始数据'!B167-OtherCost</f>
        <v/>
      </c>
      <c r="AG167" s="37">
        <f>'03_原始数据'!C167-0.7*'03_原始数据'!B167-OtherCost</f>
        <v/>
      </c>
    </row>
    <row r="168">
      <c r="M168" s="37">
        <f>'03_原始数据'!C168-0.6*'03_原始数据'!B168-OtherCost</f>
        <v/>
      </c>
      <c r="N168" s="37">
        <f>'03_原始数据'!C168-0.605*'03_原始数据'!B168-OtherCost</f>
        <v/>
      </c>
      <c r="O168" s="37">
        <f>'03_原始数据'!C168-0.61*'03_原始数据'!B168-OtherCost</f>
        <v/>
      </c>
      <c r="P168" s="37">
        <f>'03_原始数据'!C168-0.615*'03_原始数据'!B168-OtherCost</f>
        <v/>
      </c>
      <c r="Q168" s="37">
        <f>'03_原始数据'!C168-0.62*'03_原始数据'!B168-OtherCost</f>
        <v/>
      </c>
      <c r="R168" s="37">
        <f>'03_原始数据'!C168-0.625*'03_原始数据'!B168-OtherCost</f>
        <v/>
      </c>
      <c r="S168" s="37">
        <f>'03_原始数据'!C168-0.63*'03_原始数据'!B168-OtherCost</f>
        <v/>
      </c>
      <c r="T168" s="37">
        <f>'03_原始数据'!C168-0.635*'03_原始数据'!B168-OtherCost</f>
        <v/>
      </c>
      <c r="U168" s="37">
        <f>'03_原始数据'!C168-0.64*'03_原始数据'!B168-OtherCost</f>
        <v/>
      </c>
      <c r="V168" s="37">
        <f>'03_原始数据'!C168-0.645*'03_原始数据'!B168-OtherCost</f>
        <v/>
      </c>
      <c r="W168" s="37">
        <f>'03_原始数据'!C168-0.65*'03_原始数据'!B168-OtherCost</f>
        <v/>
      </c>
      <c r="X168" s="37">
        <f>'03_原始数据'!C168-0.655*'03_原始数据'!B168-OtherCost</f>
        <v/>
      </c>
      <c r="Y168" s="37">
        <f>'03_原始数据'!C168-0.66*'03_原始数据'!B168-OtherCost</f>
        <v/>
      </c>
      <c r="Z168" s="37">
        <f>'03_原始数据'!C168-0.665*'03_原始数据'!B168-OtherCost</f>
        <v/>
      </c>
      <c r="AA168" s="37">
        <f>'03_原始数据'!C168-0.67*'03_原始数据'!B168-OtherCost</f>
        <v/>
      </c>
      <c r="AB168" s="37">
        <f>'03_原始数据'!C168-0.675*'03_原始数据'!B168-OtherCost</f>
        <v/>
      </c>
      <c r="AC168" s="37">
        <f>'03_原始数据'!C168-0.68*'03_原始数据'!B168-OtherCost</f>
        <v/>
      </c>
      <c r="AD168" s="37">
        <f>'03_原始数据'!C168-0.685*'03_原始数据'!B168-OtherCost</f>
        <v/>
      </c>
      <c r="AE168" s="37">
        <f>'03_原始数据'!C168-0.69*'03_原始数据'!B168-OtherCost</f>
        <v/>
      </c>
      <c r="AF168" s="37">
        <f>'03_原始数据'!C168-0.695*'03_原始数据'!B168-OtherCost</f>
        <v/>
      </c>
      <c r="AG168" s="37">
        <f>'03_原始数据'!C168-0.7*'03_原始数据'!B168-OtherCost</f>
        <v/>
      </c>
    </row>
    <row r="169">
      <c r="M169" s="37">
        <f>'03_原始数据'!C169-0.6*'03_原始数据'!B169-OtherCost</f>
        <v/>
      </c>
      <c r="N169" s="37">
        <f>'03_原始数据'!C169-0.605*'03_原始数据'!B169-OtherCost</f>
        <v/>
      </c>
      <c r="O169" s="37">
        <f>'03_原始数据'!C169-0.61*'03_原始数据'!B169-OtherCost</f>
        <v/>
      </c>
      <c r="P169" s="37">
        <f>'03_原始数据'!C169-0.615*'03_原始数据'!B169-OtherCost</f>
        <v/>
      </c>
      <c r="Q169" s="37">
        <f>'03_原始数据'!C169-0.62*'03_原始数据'!B169-OtherCost</f>
        <v/>
      </c>
      <c r="R169" s="37">
        <f>'03_原始数据'!C169-0.625*'03_原始数据'!B169-OtherCost</f>
        <v/>
      </c>
      <c r="S169" s="37">
        <f>'03_原始数据'!C169-0.63*'03_原始数据'!B169-OtherCost</f>
        <v/>
      </c>
      <c r="T169" s="37">
        <f>'03_原始数据'!C169-0.635*'03_原始数据'!B169-OtherCost</f>
        <v/>
      </c>
      <c r="U169" s="37">
        <f>'03_原始数据'!C169-0.64*'03_原始数据'!B169-OtherCost</f>
        <v/>
      </c>
      <c r="V169" s="37">
        <f>'03_原始数据'!C169-0.645*'03_原始数据'!B169-OtherCost</f>
        <v/>
      </c>
      <c r="W169" s="37">
        <f>'03_原始数据'!C169-0.65*'03_原始数据'!B169-OtherCost</f>
        <v/>
      </c>
      <c r="X169" s="37">
        <f>'03_原始数据'!C169-0.655*'03_原始数据'!B169-OtherCost</f>
        <v/>
      </c>
      <c r="Y169" s="37">
        <f>'03_原始数据'!C169-0.66*'03_原始数据'!B169-OtherCost</f>
        <v/>
      </c>
      <c r="Z169" s="37">
        <f>'03_原始数据'!C169-0.665*'03_原始数据'!B169-OtherCost</f>
        <v/>
      </c>
      <c r="AA169" s="37">
        <f>'03_原始数据'!C169-0.67*'03_原始数据'!B169-OtherCost</f>
        <v/>
      </c>
      <c r="AB169" s="37">
        <f>'03_原始数据'!C169-0.675*'03_原始数据'!B169-OtherCost</f>
        <v/>
      </c>
      <c r="AC169" s="37">
        <f>'03_原始数据'!C169-0.68*'03_原始数据'!B169-OtherCost</f>
        <v/>
      </c>
      <c r="AD169" s="37">
        <f>'03_原始数据'!C169-0.685*'03_原始数据'!B169-OtherCost</f>
        <v/>
      </c>
      <c r="AE169" s="37">
        <f>'03_原始数据'!C169-0.69*'03_原始数据'!B169-OtherCost</f>
        <v/>
      </c>
      <c r="AF169" s="37">
        <f>'03_原始数据'!C169-0.695*'03_原始数据'!B169-OtherCost</f>
        <v/>
      </c>
      <c r="AG169" s="37">
        <f>'03_原始数据'!C169-0.7*'03_原始数据'!B169-OtherCost</f>
        <v/>
      </c>
    </row>
    <row r="170">
      <c r="M170" s="37">
        <f>'03_原始数据'!C170-0.6*'03_原始数据'!B170-OtherCost</f>
        <v/>
      </c>
      <c r="N170" s="37">
        <f>'03_原始数据'!C170-0.605*'03_原始数据'!B170-OtherCost</f>
        <v/>
      </c>
      <c r="O170" s="37">
        <f>'03_原始数据'!C170-0.61*'03_原始数据'!B170-OtherCost</f>
        <v/>
      </c>
      <c r="P170" s="37">
        <f>'03_原始数据'!C170-0.615*'03_原始数据'!B170-OtherCost</f>
        <v/>
      </c>
      <c r="Q170" s="37">
        <f>'03_原始数据'!C170-0.62*'03_原始数据'!B170-OtherCost</f>
        <v/>
      </c>
      <c r="R170" s="37">
        <f>'03_原始数据'!C170-0.625*'03_原始数据'!B170-OtherCost</f>
        <v/>
      </c>
      <c r="S170" s="37">
        <f>'03_原始数据'!C170-0.63*'03_原始数据'!B170-OtherCost</f>
        <v/>
      </c>
      <c r="T170" s="37">
        <f>'03_原始数据'!C170-0.635*'03_原始数据'!B170-OtherCost</f>
        <v/>
      </c>
      <c r="U170" s="37">
        <f>'03_原始数据'!C170-0.64*'03_原始数据'!B170-OtherCost</f>
        <v/>
      </c>
      <c r="V170" s="37">
        <f>'03_原始数据'!C170-0.645*'03_原始数据'!B170-OtherCost</f>
        <v/>
      </c>
      <c r="W170" s="37">
        <f>'03_原始数据'!C170-0.65*'03_原始数据'!B170-OtherCost</f>
        <v/>
      </c>
      <c r="X170" s="37">
        <f>'03_原始数据'!C170-0.655*'03_原始数据'!B170-OtherCost</f>
        <v/>
      </c>
      <c r="Y170" s="37">
        <f>'03_原始数据'!C170-0.66*'03_原始数据'!B170-OtherCost</f>
        <v/>
      </c>
      <c r="Z170" s="37">
        <f>'03_原始数据'!C170-0.665*'03_原始数据'!B170-OtherCost</f>
        <v/>
      </c>
      <c r="AA170" s="37">
        <f>'03_原始数据'!C170-0.67*'03_原始数据'!B170-OtherCost</f>
        <v/>
      </c>
      <c r="AB170" s="37">
        <f>'03_原始数据'!C170-0.675*'03_原始数据'!B170-OtherCost</f>
        <v/>
      </c>
      <c r="AC170" s="37">
        <f>'03_原始数据'!C170-0.68*'03_原始数据'!B170-OtherCost</f>
        <v/>
      </c>
      <c r="AD170" s="37">
        <f>'03_原始数据'!C170-0.685*'03_原始数据'!B170-OtherCost</f>
        <v/>
      </c>
      <c r="AE170" s="37">
        <f>'03_原始数据'!C170-0.69*'03_原始数据'!B170-OtherCost</f>
        <v/>
      </c>
      <c r="AF170" s="37">
        <f>'03_原始数据'!C170-0.695*'03_原始数据'!B170-OtherCost</f>
        <v/>
      </c>
      <c r="AG170" s="37">
        <f>'03_原始数据'!C170-0.7*'03_原始数据'!B170-OtherCost</f>
        <v/>
      </c>
    </row>
    <row r="171">
      <c r="M171" s="37">
        <f>'03_原始数据'!C171-0.6*'03_原始数据'!B171-OtherCost</f>
        <v/>
      </c>
      <c r="N171" s="37">
        <f>'03_原始数据'!C171-0.605*'03_原始数据'!B171-OtherCost</f>
        <v/>
      </c>
      <c r="O171" s="37">
        <f>'03_原始数据'!C171-0.61*'03_原始数据'!B171-OtherCost</f>
        <v/>
      </c>
      <c r="P171" s="37">
        <f>'03_原始数据'!C171-0.615*'03_原始数据'!B171-OtherCost</f>
        <v/>
      </c>
      <c r="Q171" s="37">
        <f>'03_原始数据'!C171-0.62*'03_原始数据'!B171-OtherCost</f>
        <v/>
      </c>
      <c r="R171" s="37">
        <f>'03_原始数据'!C171-0.625*'03_原始数据'!B171-OtherCost</f>
        <v/>
      </c>
      <c r="S171" s="37">
        <f>'03_原始数据'!C171-0.63*'03_原始数据'!B171-OtherCost</f>
        <v/>
      </c>
      <c r="T171" s="37">
        <f>'03_原始数据'!C171-0.635*'03_原始数据'!B171-OtherCost</f>
        <v/>
      </c>
      <c r="U171" s="37">
        <f>'03_原始数据'!C171-0.64*'03_原始数据'!B171-OtherCost</f>
        <v/>
      </c>
      <c r="V171" s="37">
        <f>'03_原始数据'!C171-0.645*'03_原始数据'!B171-OtherCost</f>
        <v/>
      </c>
      <c r="W171" s="37">
        <f>'03_原始数据'!C171-0.65*'03_原始数据'!B171-OtherCost</f>
        <v/>
      </c>
      <c r="X171" s="37">
        <f>'03_原始数据'!C171-0.655*'03_原始数据'!B171-OtherCost</f>
        <v/>
      </c>
      <c r="Y171" s="37">
        <f>'03_原始数据'!C171-0.66*'03_原始数据'!B171-OtherCost</f>
        <v/>
      </c>
      <c r="Z171" s="37">
        <f>'03_原始数据'!C171-0.665*'03_原始数据'!B171-OtherCost</f>
        <v/>
      </c>
      <c r="AA171" s="37">
        <f>'03_原始数据'!C171-0.67*'03_原始数据'!B171-OtherCost</f>
        <v/>
      </c>
      <c r="AB171" s="37">
        <f>'03_原始数据'!C171-0.675*'03_原始数据'!B171-OtherCost</f>
        <v/>
      </c>
      <c r="AC171" s="37">
        <f>'03_原始数据'!C171-0.68*'03_原始数据'!B171-OtherCost</f>
        <v/>
      </c>
      <c r="AD171" s="37">
        <f>'03_原始数据'!C171-0.685*'03_原始数据'!B171-OtherCost</f>
        <v/>
      </c>
      <c r="AE171" s="37">
        <f>'03_原始数据'!C171-0.69*'03_原始数据'!B171-OtherCost</f>
        <v/>
      </c>
      <c r="AF171" s="37">
        <f>'03_原始数据'!C171-0.695*'03_原始数据'!B171-OtherCost</f>
        <v/>
      </c>
      <c r="AG171" s="37">
        <f>'03_原始数据'!C171-0.7*'03_原始数据'!B171-OtherCost</f>
        <v/>
      </c>
    </row>
    <row r="172">
      <c r="M172" s="37">
        <f>'03_原始数据'!C172-0.6*'03_原始数据'!B172-OtherCost</f>
        <v/>
      </c>
      <c r="N172" s="37">
        <f>'03_原始数据'!C172-0.605*'03_原始数据'!B172-OtherCost</f>
        <v/>
      </c>
      <c r="O172" s="37">
        <f>'03_原始数据'!C172-0.61*'03_原始数据'!B172-OtherCost</f>
        <v/>
      </c>
      <c r="P172" s="37">
        <f>'03_原始数据'!C172-0.615*'03_原始数据'!B172-OtherCost</f>
        <v/>
      </c>
      <c r="Q172" s="37">
        <f>'03_原始数据'!C172-0.62*'03_原始数据'!B172-OtherCost</f>
        <v/>
      </c>
      <c r="R172" s="37">
        <f>'03_原始数据'!C172-0.625*'03_原始数据'!B172-OtherCost</f>
        <v/>
      </c>
      <c r="S172" s="37">
        <f>'03_原始数据'!C172-0.63*'03_原始数据'!B172-OtherCost</f>
        <v/>
      </c>
      <c r="T172" s="37">
        <f>'03_原始数据'!C172-0.635*'03_原始数据'!B172-OtherCost</f>
        <v/>
      </c>
      <c r="U172" s="37">
        <f>'03_原始数据'!C172-0.64*'03_原始数据'!B172-OtherCost</f>
        <v/>
      </c>
      <c r="V172" s="37">
        <f>'03_原始数据'!C172-0.645*'03_原始数据'!B172-OtherCost</f>
        <v/>
      </c>
      <c r="W172" s="37">
        <f>'03_原始数据'!C172-0.65*'03_原始数据'!B172-OtherCost</f>
        <v/>
      </c>
      <c r="X172" s="37">
        <f>'03_原始数据'!C172-0.655*'03_原始数据'!B172-OtherCost</f>
        <v/>
      </c>
      <c r="Y172" s="37">
        <f>'03_原始数据'!C172-0.66*'03_原始数据'!B172-OtherCost</f>
        <v/>
      </c>
      <c r="Z172" s="37">
        <f>'03_原始数据'!C172-0.665*'03_原始数据'!B172-OtherCost</f>
        <v/>
      </c>
      <c r="AA172" s="37">
        <f>'03_原始数据'!C172-0.67*'03_原始数据'!B172-OtherCost</f>
        <v/>
      </c>
      <c r="AB172" s="37">
        <f>'03_原始数据'!C172-0.675*'03_原始数据'!B172-OtherCost</f>
        <v/>
      </c>
      <c r="AC172" s="37">
        <f>'03_原始数据'!C172-0.68*'03_原始数据'!B172-OtherCost</f>
        <v/>
      </c>
      <c r="AD172" s="37">
        <f>'03_原始数据'!C172-0.685*'03_原始数据'!B172-OtherCost</f>
        <v/>
      </c>
      <c r="AE172" s="37">
        <f>'03_原始数据'!C172-0.69*'03_原始数据'!B172-OtherCost</f>
        <v/>
      </c>
      <c r="AF172" s="37">
        <f>'03_原始数据'!C172-0.695*'03_原始数据'!B172-OtherCost</f>
        <v/>
      </c>
      <c r="AG172" s="37">
        <f>'03_原始数据'!C172-0.7*'03_原始数据'!B172-OtherCost</f>
        <v/>
      </c>
    </row>
    <row r="173">
      <c r="M173" s="37">
        <f>'03_原始数据'!C173-0.6*'03_原始数据'!B173-OtherCost</f>
        <v/>
      </c>
      <c r="N173" s="37">
        <f>'03_原始数据'!C173-0.605*'03_原始数据'!B173-OtherCost</f>
        <v/>
      </c>
      <c r="O173" s="37">
        <f>'03_原始数据'!C173-0.61*'03_原始数据'!B173-OtherCost</f>
        <v/>
      </c>
      <c r="P173" s="37">
        <f>'03_原始数据'!C173-0.615*'03_原始数据'!B173-OtherCost</f>
        <v/>
      </c>
      <c r="Q173" s="37">
        <f>'03_原始数据'!C173-0.62*'03_原始数据'!B173-OtherCost</f>
        <v/>
      </c>
      <c r="R173" s="37">
        <f>'03_原始数据'!C173-0.625*'03_原始数据'!B173-OtherCost</f>
        <v/>
      </c>
      <c r="S173" s="37">
        <f>'03_原始数据'!C173-0.63*'03_原始数据'!B173-OtherCost</f>
        <v/>
      </c>
      <c r="T173" s="37">
        <f>'03_原始数据'!C173-0.635*'03_原始数据'!B173-OtherCost</f>
        <v/>
      </c>
      <c r="U173" s="37">
        <f>'03_原始数据'!C173-0.64*'03_原始数据'!B173-OtherCost</f>
        <v/>
      </c>
      <c r="V173" s="37">
        <f>'03_原始数据'!C173-0.645*'03_原始数据'!B173-OtherCost</f>
        <v/>
      </c>
      <c r="W173" s="37">
        <f>'03_原始数据'!C173-0.65*'03_原始数据'!B173-OtherCost</f>
        <v/>
      </c>
      <c r="X173" s="37">
        <f>'03_原始数据'!C173-0.655*'03_原始数据'!B173-OtherCost</f>
        <v/>
      </c>
      <c r="Y173" s="37">
        <f>'03_原始数据'!C173-0.66*'03_原始数据'!B173-OtherCost</f>
        <v/>
      </c>
      <c r="Z173" s="37">
        <f>'03_原始数据'!C173-0.665*'03_原始数据'!B173-OtherCost</f>
        <v/>
      </c>
      <c r="AA173" s="37">
        <f>'03_原始数据'!C173-0.67*'03_原始数据'!B173-OtherCost</f>
        <v/>
      </c>
      <c r="AB173" s="37">
        <f>'03_原始数据'!C173-0.675*'03_原始数据'!B173-OtherCost</f>
        <v/>
      </c>
      <c r="AC173" s="37">
        <f>'03_原始数据'!C173-0.68*'03_原始数据'!B173-OtherCost</f>
        <v/>
      </c>
      <c r="AD173" s="37">
        <f>'03_原始数据'!C173-0.685*'03_原始数据'!B173-OtherCost</f>
        <v/>
      </c>
      <c r="AE173" s="37">
        <f>'03_原始数据'!C173-0.69*'03_原始数据'!B173-OtherCost</f>
        <v/>
      </c>
      <c r="AF173" s="37">
        <f>'03_原始数据'!C173-0.695*'03_原始数据'!B173-OtherCost</f>
        <v/>
      </c>
      <c r="AG173" s="37">
        <f>'03_原始数据'!C173-0.7*'03_原始数据'!B173-OtherCost</f>
        <v/>
      </c>
    </row>
    <row r="174">
      <c r="M174" s="37">
        <f>'03_原始数据'!C174-0.6*'03_原始数据'!B174-OtherCost</f>
        <v/>
      </c>
      <c r="N174" s="37">
        <f>'03_原始数据'!C174-0.605*'03_原始数据'!B174-OtherCost</f>
        <v/>
      </c>
      <c r="O174" s="37">
        <f>'03_原始数据'!C174-0.61*'03_原始数据'!B174-OtherCost</f>
        <v/>
      </c>
      <c r="P174" s="37">
        <f>'03_原始数据'!C174-0.615*'03_原始数据'!B174-OtherCost</f>
        <v/>
      </c>
      <c r="Q174" s="37">
        <f>'03_原始数据'!C174-0.62*'03_原始数据'!B174-OtherCost</f>
        <v/>
      </c>
      <c r="R174" s="37">
        <f>'03_原始数据'!C174-0.625*'03_原始数据'!B174-OtherCost</f>
        <v/>
      </c>
      <c r="S174" s="37">
        <f>'03_原始数据'!C174-0.63*'03_原始数据'!B174-OtherCost</f>
        <v/>
      </c>
      <c r="T174" s="37">
        <f>'03_原始数据'!C174-0.635*'03_原始数据'!B174-OtherCost</f>
        <v/>
      </c>
      <c r="U174" s="37">
        <f>'03_原始数据'!C174-0.64*'03_原始数据'!B174-OtherCost</f>
        <v/>
      </c>
      <c r="V174" s="37">
        <f>'03_原始数据'!C174-0.645*'03_原始数据'!B174-OtherCost</f>
        <v/>
      </c>
      <c r="W174" s="37">
        <f>'03_原始数据'!C174-0.65*'03_原始数据'!B174-OtherCost</f>
        <v/>
      </c>
      <c r="X174" s="37">
        <f>'03_原始数据'!C174-0.655*'03_原始数据'!B174-OtherCost</f>
        <v/>
      </c>
      <c r="Y174" s="37">
        <f>'03_原始数据'!C174-0.66*'03_原始数据'!B174-OtherCost</f>
        <v/>
      </c>
      <c r="Z174" s="37">
        <f>'03_原始数据'!C174-0.665*'03_原始数据'!B174-OtherCost</f>
        <v/>
      </c>
      <c r="AA174" s="37">
        <f>'03_原始数据'!C174-0.67*'03_原始数据'!B174-OtherCost</f>
        <v/>
      </c>
      <c r="AB174" s="37">
        <f>'03_原始数据'!C174-0.675*'03_原始数据'!B174-OtherCost</f>
        <v/>
      </c>
      <c r="AC174" s="37">
        <f>'03_原始数据'!C174-0.68*'03_原始数据'!B174-OtherCost</f>
        <v/>
      </c>
      <c r="AD174" s="37">
        <f>'03_原始数据'!C174-0.685*'03_原始数据'!B174-OtherCost</f>
        <v/>
      </c>
      <c r="AE174" s="37">
        <f>'03_原始数据'!C174-0.69*'03_原始数据'!B174-OtherCost</f>
        <v/>
      </c>
      <c r="AF174" s="37">
        <f>'03_原始数据'!C174-0.695*'03_原始数据'!B174-OtherCost</f>
        <v/>
      </c>
      <c r="AG174" s="37">
        <f>'03_原始数据'!C174-0.7*'03_原始数据'!B174-OtherCost</f>
        <v/>
      </c>
    </row>
    <row r="175">
      <c r="M175" s="37">
        <f>'03_原始数据'!C175-0.6*'03_原始数据'!B175-OtherCost</f>
        <v/>
      </c>
      <c r="N175" s="37">
        <f>'03_原始数据'!C175-0.605*'03_原始数据'!B175-OtherCost</f>
        <v/>
      </c>
      <c r="O175" s="37">
        <f>'03_原始数据'!C175-0.61*'03_原始数据'!B175-OtherCost</f>
        <v/>
      </c>
      <c r="P175" s="37">
        <f>'03_原始数据'!C175-0.615*'03_原始数据'!B175-OtherCost</f>
        <v/>
      </c>
      <c r="Q175" s="37">
        <f>'03_原始数据'!C175-0.62*'03_原始数据'!B175-OtherCost</f>
        <v/>
      </c>
      <c r="R175" s="37">
        <f>'03_原始数据'!C175-0.625*'03_原始数据'!B175-OtherCost</f>
        <v/>
      </c>
      <c r="S175" s="37">
        <f>'03_原始数据'!C175-0.63*'03_原始数据'!B175-OtherCost</f>
        <v/>
      </c>
      <c r="T175" s="37">
        <f>'03_原始数据'!C175-0.635*'03_原始数据'!B175-OtherCost</f>
        <v/>
      </c>
      <c r="U175" s="37">
        <f>'03_原始数据'!C175-0.64*'03_原始数据'!B175-OtherCost</f>
        <v/>
      </c>
      <c r="V175" s="37">
        <f>'03_原始数据'!C175-0.645*'03_原始数据'!B175-OtherCost</f>
        <v/>
      </c>
      <c r="W175" s="37">
        <f>'03_原始数据'!C175-0.65*'03_原始数据'!B175-OtherCost</f>
        <v/>
      </c>
      <c r="X175" s="37">
        <f>'03_原始数据'!C175-0.655*'03_原始数据'!B175-OtherCost</f>
        <v/>
      </c>
      <c r="Y175" s="37">
        <f>'03_原始数据'!C175-0.66*'03_原始数据'!B175-OtherCost</f>
        <v/>
      </c>
      <c r="Z175" s="37">
        <f>'03_原始数据'!C175-0.665*'03_原始数据'!B175-OtherCost</f>
        <v/>
      </c>
      <c r="AA175" s="37">
        <f>'03_原始数据'!C175-0.67*'03_原始数据'!B175-OtherCost</f>
        <v/>
      </c>
      <c r="AB175" s="37">
        <f>'03_原始数据'!C175-0.675*'03_原始数据'!B175-OtherCost</f>
        <v/>
      </c>
      <c r="AC175" s="37">
        <f>'03_原始数据'!C175-0.68*'03_原始数据'!B175-OtherCost</f>
        <v/>
      </c>
      <c r="AD175" s="37">
        <f>'03_原始数据'!C175-0.685*'03_原始数据'!B175-OtherCost</f>
        <v/>
      </c>
      <c r="AE175" s="37">
        <f>'03_原始数据'!C175-0.69*'03_原始数据'!B175-OtherCost</f>
        <v/>
      </c>
      <c r="AF175" s="37">
        <f>'03_原始数据'!C175-0.695*'03_原始数据'!B175-OtherCost</f>
        <v/>
      </c>
      <c r="AG175" s="37">
        <f>'03_原始数据'!C175-0.7*'03_原始数据'!B175-OtherCost</f>
        <v/>
      </c>
    </row>
    <row r="176">
      <c r="M176" s="37">
        <f>'03_原始数据'!C176-0.6*'03_原始数据'!B176-OtherCost</f>
        <v/>
      </c>
      <c r="N176" s="37">
        <f>'03_原始数据'!C176-0.605*'03_原始数据'!B176-OtherCost</f>
        <v/>
      </c>
      <c r="O176" s="37">
        <f>'03_原始数据'!C176-0.61*'03_原始数据'!B176-OtherCost</f>
        <v/>
      </c>
      <c r="P176" s="37">
        <f>'03_原始数据'!C176-0.615*'03_原始数据'!B176-OtherCost</f>
        <v/>
      </c>
      <c r="Q176" s="37">
        <f>'03_原始数据'!C176-0.62*'03_原始数据'!B176-OtherCost</f>
        <v/>
      </c>
      <c r="R176" s="37">
        <f>'03_原始数据'!C176-0.625*'03_原始数据'!B176-OtherCost</f>
        <v/>
      </c>
      <c r="S176" s="37">
        <f>'03_原始数据'!C176-0.63*'03_原始数据'!B176-OtherCost</f>
        <v/>
      </c>
      <c r="T176" s="37">
        <f>'03_原始数据'!C176-0.635*'03_原始数据'!B176-OtherCost</f>
        <v/>
      </c>
      <c r="U176" s="37">
        <f>'03_原始数据'!C176-0.64*'03_原始数据'!B176-OtherCost</f>
        <v/>
      </c>
      <c r="V176" s="37">
        <f>'03_原始数据'!C176-0.645*'03_原始数据'!B176-OtherCost</f>
        <v/>
      </c>
      <c r="W176" s="37">
        <f>'03_原始数据'!C176-0.65*'03_原始数据'!B176-OtherCost</f>
        <v/>
      </c>
      <c r="X176" s="37">
        <f>'03_原始数据'!C176-0.655*'03_原始数据'!B176-OtherCost</f>
        <v/>
      </c>
      <c r="Y176" s="37">
        <f>'03_原始数据'!C176-0.66*'03_原始数据'!B176-OtherCost</f>
        <v/>
      </c>
      <c r="Z176" s="37">
        <f>'03_原始数据'!C176-0.665*'03_原始数据'!B176-OtherCost</f>
        <v/>
      </c>
      <c r="AA176" s="37">
        <f>'03_原始数据'!C176-0.67*'03_原始数据'!B176-OtherCost</f>
        <v/>
      </c>
      <c r="AB176" s="37">
        <f>'03_原始数据'!C176-0.675*'03_原始数据'!B176-OtherCost</f>
        <v/>
      </c>
      <c r="AC176" s="37">
        <f>'03_原始数据'!C176-0.68*'03_原始数据'!B176-OtherCost</f>
        <v/>
      </c>
      <c r="AD176" s="37">
        <f>'03_原始数据'!C176-0.685*'03_原始数据'!B176-OtherCost</f>
        <v/>
      </c>
      <c r="AE176" s="37">
        <f>'03_原始数据'!C176-0.69*'03_原始数据'!B176-OtherCost</f>
        <v/>
      </c>
      <c r="AF176" s="37">
        <f>'03_原始数据'!C176-0.695*'03_原始数据'!B176-OtherCost</f>
        <v/>
      </c>
      <c r="AG176" s="37">
        <f>'03_原始数据'!C176-0.7*'03_原始数据'!B176-OtherCost</f>
        <v/>
      </c>
    </row>
    <row r="177">
      <c r="M177" s="37">
        <f>'03_原始数据'!C177-0.6*'03_原始数据'!B177-OtherCost</f>
        <v/>
      </c>
      <c r="N177" s="37">
        <f>'03_原始数据'!C177-0.605*'03_原始数据'!B177-OtherCost</f>
        <v/>
      </c>
      <c r="O177" s="37">
        <f>'03_原始数据'!C177-0.61*'03_原始数据'!B177-OtherCost</f>
        <v/>
      </c>
      <c r="P177" s="37">
        <f>'03_原始数据'!C177-0.615*'03_原始数据'!B177-OtherCost</f>
        <v/>
      </c>
      <c r="Q177" s="37">
        <f>'03_原始数据'!C177-0.62*'03_原始数据'!B177-OtherCost</f>
        <v/>
      </c>
      <c r="R177" s="37">
        <f>'03_原始数据'!C177-0.625*'03_原始数据'!B177-OtherCost</f>
        <v/>
      </c>
      <c r="S177" s="37">
        <f>'03_原始数据'!C177-0.63*'03_原始数据'!B177-OtherCost</f>
        <v/>
      </c>
      <c r="T177" s="37">
        <f>'03_原始数据'!C177-0.635*'03_原始数据'!B177-OtherCost</f>
        <v/>
      </c>
      <c r="U177" s="37">
        <f>'03_原始数据'!C177-0.64*'03_原始数据'!B177-OtherCost</f>
        <v/>
      </c>
      <c r="V177" s="37">
        <f>'03_原始数据'!C177-0.645*'03_原始数据'!B177-OtherCost</f>
        <v/>
      </c>
      <c r="W177" s="37">
        <f>'03_原始数据'!C177-0.65*'03_原始数据'!B177-OtherCost</f>
        <v/>
      </c>
      <c r="X177" s="37">
        <f>'03_原始数据'!C177-0.655*'03_原始数据'!B177-OtherCost</f>
        <v/>
      </c>
      <c r="Y177" s="37">
        <f>'03_原始数据'!C177-0.66*'03_原始数据'!B177-OtherCost</f>
        <v/>
      </c>
      <c r="Z177" s="37">
        <f>'03_原始数据'!C177-0.665*'03_原始数据'!B177-OtherCost</f>
        <v/>
      </c>
      <c r="AA177" s="37">
        <f>'03_原始数据'!C177-0.67*'03_原始数据'!B177-OtherCost</f>
        <v/>
      </c>
      <c r="AB177" s="37">
        <f>'03_原始数据'!C177-0.675*'03_原始数据'!B177-OtherCost</f>
        <v/>
      </c>
      <c r="AC177" s="37">
        <f>'03_原始数据'!C177-0.68*'03_原始数据'!B177-OtherCost</f>
        <v/>
      </c>
      <c r="AD177" s="37">
        <f>'03_原始数据'!C177-0.685*'03_原始数据'!B177-OtherCost</f>
        <v/>
      </c>
      <c r="AE177" s="37">
        <f>'03_原始数据'!C177-0.69*'03_原始数据'!B177-OtherCost</f>
        <v/>
      </c>
      <c r="AF177" s="37">
        <f>'03_原始数据'!C177-0.695*'03_原始数据'!B177-OtherCost</f>
        <v/>
      </c>
      <c r="AG177" s="37">
        <f>'03_原始数据'!C177-0.7*'03_原始数据'!B177-OtherCost</f>
        <v/>
      </c>
    </row>
    <row r="178">
      <c r="M178" s="37">
        <f>'03_原始数据'!C178-0.6*'03_原始数据'!B178-OtherCost</f>
        <v/>
      </c>
      <c r="N178" s="37">
        <f>'03_原始数据'!C178-0.605*'03_原始数据'!B178-OtherCost</f>
        <v/>
      </c>
      <c r="O178" s="37">
        <f>'03_原始数据'!C178-0.61*'03_原始数据'!B178-OtherCost</f>
        <v/>
      </c>
      <c r="P178" s="37">
        <f>'03_原始数据'!C178-0.615*'03_原始数据'!B178-OtherCost</f>
        <v/>
      </c>
      <c r="Q178" s="37">
        <f>'03_原始数据'!C178-0.62*'03_原始数据'!B178-OtherCost</f>
        <v/>
      </c>
      <c r="R178" s="37">
        <f>'03_原始数据'!C178-0.625*'03_原始数据'!B178-OtherCost</f>
        <v/>
      </c>
      <c r="S178" s="37">
        <f>'03_原始数据'!C178-0.63*'03_原始数据'!B178-OtherCost</f>
        <v/>
      </c>
      <c r="T178" s="37">
        <f>'03_原始数据'!C178-0.635*'03_原始数据'!B178-OtherCost</f>
        <v/>
      </c>
      <c r="U178" s="37">
        <f>'03_原始数据'!C178-0.64*'03_原始数据'!B178-OtherCost</f>
        <v/>
      </c>
      <c r="V178" s="37">
        <f>'03_原始数据'!C178-0.645*'03_原始数据'!B178-OtherCost</f>
        <v/>
      </c>
      <c r="W178" s="37">
        <f>'03_原始数据'!C178-0.65*'03_原始数据'!B178-OtherCost</f>
        <v/>
      </c>
      <c r="X178" s="37">
        <f>'03_原始数据'!C178-0.655*'03_原始数据'!B178-OtherCost</f>
        <v/>
      </c>
      <c r="Y178" s="37">
        <f>'03_原始数据'!C178-0.66*'03_原始数据'!B178-OtherCost</f>
        <v/>
      </c>
      <c r="Z178" s="37">
        <f>'03_原始数据'!C178-0.665*'03_原始数据'!B178-OtherCost</f>
        <v/>
      </c>
      <c r="AA178" s="37">
        <f>'03_原始数据'!C178-0.67*'03_原始数据'!B178-OtherCost</f>
        <v/>
      </c>
      <c r="AB178" s="37">
        <f>'03_原始数据'!C178-0.675*'03_原始数据'!B178-OtherCost</f>
        <v/>
      </c>
      <c r="AC178" s="37">
        <f>'03_原始数据'!C178-0.68*'03_原始数据'!B178-OtherCost</f>
        <v/>
      </c>
      <c r="AD178" s="37">
        <f>'03_原始数据'!C178-0.685*'03_原始数据'!B178-OtherCost</f>
        <v/>
      </c>
      <c r="AE178" s="37">
        <f>'03_原始数据'!C178-0.69*'03_原始数据'!B178-OtherCost</f>
        <v/>
      </c>
      <c r="AF178" s="37">
        <f>'03_原始数据'!C178-0.695*'03_原始数据'!B178-OtherCost</f>
        <v/>
      </c>
      <c r="AG178" s="37">
        <f>'03_原始数据'!C178-0.7*'03_原始数据'!B178-OtherCost</f>
        <v/>
      </c>
    </row>
    <row r="179">
      <c r="M179" s="37">
        <f>'03_原始数据'!C179-0.6*'03_原始数据'!B179-OtherCost</f>
        <v/>
      </c>
      <c r="N179" s="37">
        <f>'03_原始数据'!C179-0.605*'03_原始数据'!B179-OtherCost</f>
        <v/>
      </c>
      <c r="O179" s="37">
        <f>'03_原始数据'!C179-0.61*'03_原始数据'!B179-OtherCost</f>
        <v/>
      </c>
      <c r="P179" s="37">
        <f>'03_原始数据'!C179-0.615*'03_原始数据'!B179-OtherCost</f>
        <v/>
      </c>
      <c r="Q179" s="37">
        <f>'03_原始数据'!C179-0.62*'03_原始数据'!B179-OtherCost</f>
        <v/>
      </c>
      <c r="R179" s="37">
        <f>'03_原始数据'!C179-0.625*'03_原始数据'!B179-OtherCost</f>
        <v/>
      </c>
      <c r="S179" s="37">
        <f>'03_原始数据'!C179-0.63*'03_原始数据'!B179-OtherCost</f>
        <v/>
      </c>
      <c r="T179" s="37">
        <f>'03_原始数据'!C179-0.635*'03_原始数据'!B179-OtherCost</f>
        <v/>
      </c>
      <c r="U179" s="37">
        <f>'03_原始数据'!C179-0.64*'03_原始数据'!B179-OtherCost</f>
        <v/>
      </c>
      <c r="V179" s="37">
        <f>'03_原始数据'!C179-0.645*'03_原始数据'!B179-OtherCost</f>
        <v/>
      </c>
      <c r="W179" s="37">
        <f>'03_原始数据'!C179-0.65*'03_原始数据'!B179-OtherCost</f>
        <v/>
      </c>
      <c r="X179" s="37">
        <f>'03_原始数据'!C179-0.655*'03_原始数据'!B179-OtherCost</f>
        <v/>
      </c>
      <c r="Y179" s="37">
        <f>'03_原始数据'!C179-0.66*'03_原始数据'!B179-OtherCost</f>
        <v/>
      </c>
      <c r="Z179" s="37">
        <f>'03_原始数据'!C179-0.665*'03_原始数据'!B179-OtherCost</f>
        <v/>
      </c>
      <c r="AA179" s="37">
        <f>'03_原始数据'!C179-0.67*'03_原始数据'!B179-OtherCost</f>
        <v/>
      </c>
      <c r="AB179" s="37">
        <f>'03_原始数据'!C179-0.675*'03_原始数据'!B179-OtherCost</f>
        <v/>
      </c>
      <c r="AC179" s="37">
        <f>'03_原始数据'!C179-0.68*'03_原始数据'!B179-OtherCost</f>
        <v/>
      </c>
      <c r="AD179" s="37">
        <f>'03_原始数据'!C179-0.685*'03_原始数据'!B179-OtherCost</f>
        <v/>
      </c>
      <c r="AE179" s="37">
        <f>'03_原始数据'!C179-0.69*'03_原始数据'!B179-OtherCost</f>
        <v/>
      </c>
      <c r="AF179" s="37">
        <f>'03_原始数据'!C179-0.695*'03_原始数据'!B179-OtherCost</f>
        <v/>
      </c>
      <c r="AG179" s="37">
        <f>'03_原始数据'!C179-0.7*'03_原始数据'!B179-OtherCost</f>
        <v/>
      </c>
    </row>
    <row r="180">
      <c r="M180" s="37">
        <f>'03_原始数据'!C180-0.6*'03_原始数据'!B180-OtherCost</f>
        <v/>
      </c>
      <c r="N180" s="37">
        <f>'03_原始数据'!C180-0.605*'03_原始数据'!B180-OtherCost</f>
        <v/>
      </c>
      <c r="O180" s="37">
        <f>'03_原始数据'!C180-0.61*'03_原始数据'!B180-OtherCost</f>
        <v/>
      </c>
      <c r="P180" s="37">
        <f>'03_原始数据'!C180-0.615*'03_原始数据'!B180-OtherCost</f>
        <v/>
      </c>
      <c r="Q180" s="37">
        <f>'03_原始数据'!C180-0.62*'03_原始数据'!B180-OtherCost</f>
        <v/>
      </c>
      <c r="R180" s="37">
        <f>'03_原始数据'!C180-0.625*'03_原始数据'!B180-OtherCost</f>
        <v/>
      </c>
      <c r="S180" s="37">
        <f>'03_原始数据'!C180-0.63*'03_原始数据'!B180-OtherCost</f>
        <v/>
      </c>
      <c r="T180" s="37">
        <f>'03_原始数据'!C180-0.635*'03_原始数据'!B180-OtherCost</f>
        <v/>
      </c>
      <c r="U180" s="37">
        <f>'03_原始数据'!C180-0.64*'03_原始数据'!B180-OtherCost</f>
        <v/>
      </c>
      <c r="V180" s="37">
        <f>'03_原始数据'!C180-0.645*'03_原始数据'!B180-OtherCost</f>
        <v/>
      </c>
      <c r="W180" s="37">
        <f>'03_原始数据'!C180-0.65*'03_原始数据'!B180-OtherCost</f>
        <v/>
      </c>
      <c r="X180" s="37">
        <f>'03_原始数据'!C180-0.655*'03_原始数据'!B180-OtherCost</f>
        <v/>
      </c>
      <c r="Y180" s="37">
        <f>'03_原始数据'!C180-0.66*'03_原始数据'!B180-OtherCost</f>
        <v/>
      </c>
      <c r="Z180" s="37">
        <f>'03_原始数据'!C180-0.665*'03_原始数据'!B180-OtherCost</f>
        <v/>
      </c>
      <c r="AA180" s="37">
        <f>'03_原始数据'!C180-0.67*'03_原始数据'!B180-OtherCost</f>
        <v/>
      </c>
      <c r="AB180" s="37">
        <f>'03_原始数据'!C180-0.675*'03_原始数据'!B180-OtherCost</f>
        <v/>
      </c>
      <c r="AC180" s="37">
        <f>'03_原始数据'!C180-0.68*'03_原始数据'!B180-OtherCost</f>
        <v/>
      </c>
      <c r="AD180" s="37">
        <f>'03_原始数据'!C180-0.685*'03_原始数据'!B180-OtherCost</f>
        <v/>
      </c>
      <c r="AE180" s="37">
        <f>'03_原始数据'!C180-0.69*'03_原始数据'!B180-OtherCost</f>
        <v/>
      </c>
      <c r="AF180" s="37">
        <f>'03_原始数据'!C180-0.695*'03_原始数据'!B180-OtherCost</f>
        <v/>
      </c>
      <c r="AG180" s="37">
        <f>'03_原始数据'!C180-0.7*'03_原始数据'!B180-OtherCost</f>
        <v/>
      </c>
    </row>
    <row r="181">
      <c r="M181" s="37">
        <f>'03_原始数据'!C181-0.6*'03_原始数据'!B181-OtherCost</f>
        <v/>
      </c>
      <c r="N181" s="37">
        <f>'03_原始数据'!C181-0.605*'03_原始数据'!B181-OtherCost</f>
        <v/>
      </c>
      <c r="O181" s="37">
        <f>'03_原始数据'!C181-0.61*'03_原始数据'!B181-OtherCost</f>
        <v/>
      </c>
      <c r="P181" s="37">
        <f>'03_原始数据'!C181-0.615*'03_原始数据'!B181-OtherCost</f>
        <v/>
      </c>
      <c r="Q181" s="37">
        <f>'03_原始数据'!C181-0.62*'03_原始数据'!B181-OtherCost</f>
        <v/>
      </c>
      <c r="R181" s="37">
        <f>'03_原始数据'!C181-0.625*'03_原始数据'!B181-OtherCost</f>
        <v/>
      </c>
      <c r="S181" s="37">
        <f>'03_原始数据'!C181-0.63*'03_原始数据'!B181-OtherCost</f>
        <v/>
      </c>
      <c r="T181" s="37">
        <f>'03_原始数据'!C181-0.635*'03_原始数据'!B181-OtherCost</f>
        <v/>
      </c>
      <c r="U181" s="37">
        <f>'03_原始数据'!C181-0.64*'03_原始数据'!B181-OtherCost</f>
        <v/>
      </c>
      <c r="V181" s="37">
        <f>'03_原始数据'!C181-0.645*'03_原始数据'!B181-OtherCost</f>
        <v/>
      </c>
      <c r="W181" s="37">
        <f>'03_原始数据'!C181-0.65*'03_原始数据'!B181-OtherCost</f>
        <v/>
      </c>
      <c r="X181" s="37">
        <f>'03_原始数据'!C181-0.655*'03_原始数据'!B181-OtherCost</f>
        <v/>
      </c>
      <c r="Y181" s="37">
        <f>'03_原始数据'!C181-0.66*'03_原始数据'!B181-OtherCost</f>
        <v/>
      </c>
      <c r="Z181" s="37">
        <f>'03_原始数据'!C181-0.665*'03_原始数据'!B181-OtherCost</f>
        <v/>
      </c>
      <c r="AA181" s="37">
        <f>'03_原始数据'!C181-0.67*'03_原始数据'!B181-OtherCost</f>
        <v/>
      </c>
      <c r="AB181" s="37">
        <f>'03_原始数据'!C181-0.675*'03_原始数据'!B181-OtherCost</f>
        <v/>
      </c>
      <c r="AC181" s="37">
        <f>'03_原始数据'!C181-0.68*'03_原始数据'!B181-OtherCost</f>
        <v/>
      </c>
      <c r="AD181" s="37">
        <f>'03_原始数据'!C181-0.685*'03_原始数据'!B181-OtherCost</f>
        <v/>
      </c>
      <c r="AE181" s="37">
        <f>'03_原始数据'!C181-0.69*'03_原始数据'!B181-OtherCost</f>
        <v/>
      </c>
      <c r="AF181" s="37">
        <f>'03_原始数据'!C181-0.695*'03_原始数据'!B181-OtherCost</f>
        <v/>
      </c>
      <c r="AG181" s="37">
        <f>'03_原始数据'!C181-0.7*'03_原始数据'!B181-OtherCost</f>
        <v/>
      </c>
    </row>
    <row r="182">
      <c r="M182" s="37">
        <f>'03_原始数据'!C182-0.6*'03_原始数据'!B182-OtherCost</f>
        <v/>
      </c>
      <c r="N182" s="37">
        <f>'03_原始数据'!C182-0.605*'03_原始数据'!B182-OtherCost</f>
        <v/>
      </c>
      <c r="O182" s="37">
        <f>'03_原始数据'!C182-0.61*'03_原始数据'!B182-OtherCost</f>
        <v/>
      </c>
      <c r="P182" s="37">
        <f>'03_原始数据'!C182-0.615*'03_原始数据'!B182-OtherCost</f>
        <v/>
      </c>
      <c r="Q182" s="37">
        <f>'03_原始数据'!C182-0.62*'03_原始数据'!B182-OtherCost</f>
        <v/>
      </c>
      <c r="R182" s="37">
        <f>'03_原始数据'!C182-0.625*'03_原始数据'!B182-OtherCost</f>
        <v/>
      </c>
      <c r="S182" s="37">
        <f>'03_原始数据'!C182-0.63*'03_原始数据'!B182-OtherCost</f>
        <v/>
      </c>
      <c r="T182" s="37">
        <f>'03_原始数据'!C182-0.635*'03_原始数据'!B182-OtherCost</f>
        <v/>
      </c>
      <c r="U182" s="37">
        <f>'03_原始数据'!C182-0.64*'03_原始数据'!B182-OtherCost</f>
        <v/>
      </c>
      <c r="V182" s="37">
        <f>'03_原始数据'!C182-0.645*'03_原始数据'!B182-OtherCost</f>
        <v/>
      </c>
      <c r="W182" s="37">
        <f>'03_原始数据'!C182-0.65*'03_原始数据'!B182-OtherCost</f>
        <v/>
      </c>
      <c r="X182" s="37">
        <f>'03_原始数据'!C182-0.655*'03_原始数据'!B182-OtherCost</f>
        <v/>
      </c>
      <c r="Y182" s="37">
        <f>'03_原始数据'!C182-0.66*'03_原始数据'!B182-OtherCost</f>
        <v/>
      </c>
      <c r="Z182" s="37">
        <f>'03_原始数据'!C182-0.665*'03_原始数据'!B182-OtherCost</f>
        <v/>
      </c>
      <c r="AA182" s="37">
        <f>'03_原始数据'!C182-0.67*'03_原始数据'!B182-OtherCost</f>
        <v/>
      </c>
      <c r="AB182" s="37">
        <f>'03_原始数据'!C182-0.675*'03_原始数据'!B182-OtherCost</f>
        <v/>
      </c>
      <c r="AC182" s="37">
        <f>'03_原始数据'!C182-0.68*'03_原始数据'!B182-OtherCost</f>
        <v/>
      </c>
      <c r="AD182" s="37">
        <f>'03_原始数据'!C182-0.685*'03_原始数据'!B182-OtherCost</f>
        <v/>
      </c>
      <c r="AE182" s="37">
        <f>'03_原始数据'!C182-0.69*'03_原始数据'!B182-OtherCost</f>
        <v/>
      </c>
      <c r="AF182" s="37">
        <f>'03_原始数据'!C182-0.695*'03_原始数据'!B182-OtherCost</f>
        <v/>
      </c>
      <c r="AG182" s="37">
        <f>'03_原始数据'!C182-0.7*'03_原始数据'!B182-OtherCost</f>
        <v/>
      </c>
    </row>
    <row r="183">
      <c r="M183" s="37">
        <f>'03_原始数据'!C183-0.6*'03_原始数据'!B183-OtherCost</f>
        <v/>
      </c>
      <c r="N183" s="37">
        <f>'03_原始数据'!C183-0.605*'03_原始数据'!B183-OtherCost</f>
        <v/>
      </c>
      <c r="O183" s="37">
        <f>'03_原始数据'!C183-0.61*'03_原始数据'!B183-OtherCost</f>
        <v/>
      </c>
      <c r="P183" s="37">
        <f>'03_原始数据'!C183-0.615*'03_原始数据'!B183-OtherCost</f>
        <v/>
      </c>
      <c r="Q183" s="37">
        <f>'03_原始数据'!C183-0.62*'03_原始数据'!B183-OtherCost</f>
        <v/>
      </c>
      <c r="R183" s="37">
        <f>'03_原始数据'!C183-0.625*'03_原始数据'!B183-OtherCost</f>
        <v/>
      </c>
      <c r="S183" s="37">
        <f>'03_原始数据'!C183-0.63*'03_原始数据'!B183-OtherCost</f>
        <v/>
      </c>
      <c r="T183" s="37">
        <f>'03_原始数据'!C183-0.635*'03_原始数据'!B183-OtherCost</f>
        <v/>
      </c>
      <c r="U183" s="37">
        <f>'03_原始数据'!C183-0.64*'03_原始数据'!B183-OtherCost</f>
        <v/>
      </c>
      <c r="V183" s="37">
        <f>'03_原始数据'!C183-0.645*'03_原始数据'!B183-OtherCost</f>
        <v/>
      </c>
      <c r="W183" s="37">
        <f>'03_原始数据'!C183-0.65*'03_原始数据'!B183-OtherCost</f>
        <v/>
      </c>
      <c r="X183" s="37">
        <f>'03_原始数据'!C183-0.655*'03_原始数据'!B183-OtherCost</f>
        <v/>
      </c>
      <c r="Y183" s="37">
        <f>'03_原始数据'!C183-0.66*'03_原始数据'!B183-OtherCost</f>
        <v/>
      </c>
      <c r="Z183" s="37">
        <f>'03_原始数据'!C183-0.665*'03_原始数据'!B183-OtherCost</f>
        <v/>
      </c>
      <c r="AA183" s="37">
        <f>'03_原始数据'!C183-0.67*'03_原始数据'!B183-OtherCost</f>
        <v/>
      </c>
      <c r="AB183" s="37">
        <f>'03_原始数据'!C183-0.675*'03_原始数据'!B183-OtherCost</f>
        <v/>
      </c>
      <c r="AC183" s="37">
        <f>'03_原始数据'!C183-0.68*'03_原始数据'!B183-OtherCost</f>
        <v/>
      </c>
      <c r="AD183" s="37">
        <f>'03_原始数据'!C183-0.685*'03_原始数据'!B183-OtherCost</f>
        <v/>
      </c>
      <c r="AE183" s="37">
        <f>'03_原始数据'!C183-0.69*'03_原始数据'!B183-OtherCost</f>
        <v/>
      </c>
      <c r="AF183" s="37">
        <f>'03_原始数据'!C183-0.695*'03_原始数据'!B183-OtherCost</f>
        <v/>
      </c>
      <c r="AG183" s="37">
        <f>'03_原始数据'!C183-0.7*'03_原始数据'!B183-OtherCost</f>
        <v/>
      </c>
    </row>
    <row r="184">
      <c r="M184" s="37">
        <f>'03_原始数据'!C184-0.6*'03_原始数据'!B184-OtherCost</f>
        <v/>
      </c>
      <c r="N184" s="37">
        <f>'03_原始数据'!C184-0.605*'03_原始数据'!B184-OtherCost</f>
        <v/>
      </c>
      <c r="O184" s="37">
        <f>'03_原始数据'!C184-0.61*'03_原始数据'!B184-OtherCost</f>
        <v/>
      </c>
      <c r="P184" s="37">
        <f>'03_原始数据'!C184-0.615*'03_原始数据'!B184-OtherCost</f>
        <v/>
      </c>
      <c r="Q184" s="37">
        <f>'03_原始数据'!C184-0.62*'03_原始数据'!B184-OtherCost</f>
        <v/>
      </c>
      <c r="R184" s="37">
        <f>'03_原始数据'!C184-0.625*'03_原始数据'!B184-OtherCost</f>
        <v/>
      </c>
      <c r="S184" s="37">
        <f>'03_原始数据'!C184-0.63*'03_原始数据'!B184-OtherCost</f>
        <v/>
      </c>
      <c r="T184" s="37">
        <f>'03_原始数据'!C184-0.635*'03_原始数据'!B184-OtherCost</f>
        <v/>
      </c>
      <c r="U184" s="37">
        <f>'03_原始数据'!C184-0.64*'03_原始数据'!B184-OtherCost</f>
        <v/>
      </c>
      <c r="V184" s="37">
        <f>'03_原始数据'!C184-0.645*'03_原始数据'!B184-OtherCost</f>
        <v/>
      </c>
      <c r="W184" s="37">
        <f>'03_原始数据'!C184-0.65*'03_原始数据'!B184-OtherCost</f>
        <v/>
      </c>
      <c r="X184" s="37">
        <f>'03_原始数据'!C184-0.655*'03_原始数据'!B184-OtherCost</f>
        <v/>
      </c>
      <c r="Y184" s="37">
        <f>'03_原始数据'!C184-0.66*'03_原始数据'!B184-OtherCost</f>
        <v/>
      </c>
      <c r="Z184" s="37">
        <f>'03_原始数据'!C184-0.665*'03_原始数据'!B184-OtherCost</f>
        <v/>
      </c>
      <c r="AA184" s="37">
        <f>'03_原始数据'!C184-0.67*'03_原始数据'!B184-OtherCost</f>
        <v/>
      </c>
      <c r="AB184" s="37">
        <f>'03_原始数据'!C184-0.675*'03_原始数据'!B184-OtherCost</f>
        <v/>
      </c>
      <c r="AC184" s="37">
        <f>'03_原始数据'!C184-0.68*'03_原始数据'!B184-OtherCost</f>
        <v/>
      </c>
      <c r="AD184" s="37">
        <f>'03_原始数据'!C184-0.685*'03_原始数据'!B184-OtherCost</f>
        <v/>
      </c>
      <c r="AE184" s="37">
        <f>'03_原始数据'!C184-0.69*'03_原始数据'!B184-OtherCost</f>
        <v/>
      </c>
      <c r="AF184" s="37">
        <f>'03_原始数据'!C184-0.695*'03_原始数据'!B184-OtherCost</f>
        <v/>
      </c>
      <c r="AG184" s="37">
        <f>'03_原始数据'!C184-0.7*'03_原始数据'!B184-OtherCost</f>
        <v/>
      </c>
    </row>
    <row r="185">
      <c r="M185" s="37">
        <f>'03_原始数据'!C185-0.6*'03_原始数据'!B185-OtherCost</f>
        <v/>
      </c>
      <c r="N185" s="37">
        <f>'03_原始数据'!C185-0.605*'03_原始数据'!B185-OtherCost</f>
        <v/>
      </c>
      <c r="O185" s="37">
        <f>'03_原始数据'!C185-0.61*'03_原始数据'!B185-OtherCost</f>
        <v/>
      </c>
      <c r="P185" s="37">
        <f>'03_原始数据'!C185-0.615*'03_原始数据'!B185-OtherCost</f>
        <v/>
      </c>
      <c r="Q185" s="37">
        <f>'03_原始数据'!C185-0.62*'03_原始数据'!B185-OtherCost</f>
        <v/>
      </c>
      <c r="R185" s="37">
        <f>'03_原始数据'!C185-0.625*'03_原始数据'!B185-OtherCost</f>
        <v/>
      </c>
      <c r="S185" s="37">
        <f>'03_原始数据'!C185-0.63*'03_原始数据'!B185-OtherCost</f>
        <v/>
      </c>
      <c r="T185" s="37">
        <f>'03_原始数据'!C185-0.635*'03_原始数据'!B185-OtherCost</f>
        <v/>
      </c>
      <c r="U185" s="37">
        <f>'03_原始数据'!C185-0.64*'03_原始数据'!B185-OtherCost</f>
        <v/>
      </c>
      <c r="V185" s="37">
        <f>'03_原始数据'!C185-0.645*'03_原始数据'!B185-OtherCost</f>
        <v/>
      </c>
      <c r="W185" s="37">
        <f>'03_原始数据'!C185-0.65*'03_原始数据'!B185-OtherCost</f>
        <v/>
      </c>
      <c r="X185" s="37">
        <f>'03_原始数据'!C185-0.655*'03_原始数据'!B185-OtherCost</f>
        <v/>
      </c>
      <c r="Y185" s="37">
        <f>'03_原始数据'!C185-0.66*'03_原始数据'!B185-OtherCost</f>
        <v/>
      </c>
      <c r="Z185" s="37">
        <f>'03_原始数据'!C185-0.665*'03_原始数据'!B185-OtherCost</f>
        <v/>
      </c>
      <c r="AA185" s="37">
        <f>'03_原始数据'!C185-0.67*'03_原始数据'!B185-OtherCost</f>
        <v/>
      </c>
      <c r="AB185" s="37">
        <f>'03_原始数据'!C185-0.675*'03_原始数据'!B185-OtherCost</f>
        <v/>
      </c>
      <c r="AC185" s="37">
        <f>'03_原始数据'!C185-0.68*'03_原始数据'!B185-OtherCost</f>
        <v/>
      </c>
      <c r="AD185" s="37">
        <f>'03_原始数据'!C185-0.685*'03_原始数据'!B185-OtherCost</f>
        <v/>
      </c>
      <c r="AE185" s="37">
        <f>'03_原始数据'!C185-0.69*'03_原始数据'!B185-OtherCost</f>
        <v/>
      </c>
      <c r="AF185" s="37">
        <f>'03_原始数据'!C185-0.695*'03_原始数据'!B185-OtherCost</f>
        <v/>
      </c>
      <c r="AG185" s="37">
        <f>'03_原始数据'!C185-0.7*'03_原始数据'!B185-OtherCost</f>
        <v/>
      </c>
    </row>
    <row r="186">
      <c r="M186" s="37">
        <f>'03_原始数据'!C186-0.6*'03_原始数据'!B186-OtherCost</f>
        <v/>
      </c>
      <c r="N186" s="37">
        <f>'03_原始数据'!C186-0.605*'03_原始数据'!B186-OtherCost</f>
        <v/>
      </c>
      <c r="O186" s="37">
        <f>'03_原始数据'!C186-0.61*'03_原始数据'!B186-OtherCost</f>
        <v/>
      </c>
      <c r="P186" s="37">
        <f>'03_原始数据'!C186-0.615*'03_原始数据'!B186-OtherCost</f>
        <v/>
      </c>
      <c r="Q186" s="37">
        <f>'03_原始数据'!C186-0.62*'03_原始数据'!B186-OtherCost</f>
        <v/>
      </c>
      <c r="R186" s="37">
        <f>'03_原始数据'!C186-0.625*'03_原始数据'!B186-OtherCost</f>
        <v/>
      </c>
      <c r="S186" s="37">
        <f>'03_原始数据'!C186-0.63*'03_原始数据'!B186-OtherCost</f>
        <v/>
      </c>
      <c r="T186" s="37">
        <f>'03_原始数据'!C186-0.635*'03_原始数据'!B186-OtherCost</f>
        <v/>
      </c>
      <c r="U186" s="37">
        <f>'03_原始数据'!C186-0.64*'03_原始数据'!B186-OtherCost</f>
        <v/>
      </c>
      <c r="V186" s="37">
        <f>'03_原始数据'!C186-0.645*'03_原始数据'!B186-OtherCost</f>
        <v/>
      </c>
      <c r="W186" s="37">
        <f>'03_原始数据'!C186-0.65*'03_原始数据'!B186-OtherCost</f>
        <v/>
      </c>
      <c r="X186" s="37">
        <f>'03_原始数据'!C186-0.655*'03_原始数据'!B186-OtherCost</f>
        <v/>
      </c>
      <c r="Y186" s="37">
        <f>'03_原始数据'!C186-0.66*'03_原始数据'!B186-OtherCost</f>
        <v/>
      </c>
      <c r="Z186" s="37">
        <f>'03_原始数据'!C186-0.665*'03_原始数据'!B186-OtherCost</f>
        <v/>
      </c>
      <c r="AA186" s="37">
        <f>'03_原始数据'!C186-0.67*'03_原始数据'!B186-OtherCost</f>
        <v/>
      </c>
      <c r="AB186" s="37">
        <f>'03_原始数据'!C186-0.675*'03_原始数据'!B186-OtherCost</f>
        <v/>
      </c>
      <c r="AC186" s="37">
        <f>'03_原始数据'!C186-0.68*'03_原始数据'!B186-OtherCost</f>
        <v/>
      </c>
      <c r="AD186" s="37">
        <f>'03_原始数据'!C186-0.685*'03_原始数据'!B186-OtherCost</f>
        <v/>
      </c>
      <c r="AE186" s="37">
        <f>'03_原始数据'!C186-0.69*'03_原始数据'!B186-OtherCost</f>
        <v/>
      </c>
      <c r="AF186" s="37">
        <f>'03_原始数据'!C186-0.695*'03_原始数据'!B186-OtherCost</f>
        <v/>
      </c>
      <c r="AG186" s="37">
        <f>'03_原始数据'!C186-0.7*'03_原始数据'!B186-OtherCost</f>
        <v/>
      </c>
    </row>
    <row r="187">
      <c r="M187" s="37">
        <f>'03_原始数据'!C187-0.6*'03_原始数据'!B187-OtherCost</f>
        <v/>
      </c>
      <c r="N187" s="37">
        <f>'03_原始数据'!C187-0.605*'03_原始数据'!B187-OtherCost</f>
        <v/>
      </c>
      <c r="O187" s="37">
        <f>'03_原始数据'!C187-0.61*'03_原始数据'!B187-OtherCost</f>
        <v/>
      </c>
      <c r="P187" s="37">
        <f>'03_原始数据'!C187-0.615*'03_原始数据'!B187-OtherCost</f>
        <v/>
      </c>
      <c r="Q187" s="37">
        <f>'03_原始数据'!C187-0.62*'03_原始数据'!B187-OtherCost</f>
        <v/>
      </c>
      <c r="R187" s="37">
        <f>'03_原始数据'!C187-0.625*'03_原始数据'!B187-OtherCost</f>
        <v/>
      </c>
      <c r="S187" s="37">
        <f>'03_原始数据'!C187-0.63*'03_原始数据'!B187-OtherCost</f>
        <v/>
      </c>
      <c r="T187" s="37">
        <f>'03_原始数据'!C187-0.635*'03_原始数据'!B187-OtherCost</f>
        <v/>
      </c>
      <c r="U187" s="37">
        <f>'03_原始数据'!C187-0.64*'03_原始数据'!B187-OtherCost</f>
        <v/>
      </c>
      <c r="V187" s="37">
        <f>'03_原始数据'!C187-0.645*'03_原始数据'!B187-OtherCost</f>
        <v/>
      </c>
      <c r="W187" s="37">
        <f>'03_原始数据'!C187-0.65*'03_原始数据'!B187-OtherCost</f>
        <v/>
      </c>
      <c r="X187" s="37">
        <f>'03_原始数据'!C187-0.655*'03_原始数据'!B187-OtherCost</f>
        <v/>
      </c>
      <c r="Y187" s="37">
        <f>'03_原始数据'!C187-0.66*'03_原始数据'!B187-OtherCost</f>
        <v/>
      </c>
      <c r="Z187" s="37">
        <f>'03_原始数据'!C187-0.665*'03_原始数据'!B187-OtherCost</f>
        <v/>
      </c>
      <c r="AA187" s="37">
        <f>'03_原始数据'!C187-0.67*'03_原始数据'!B187-OtherCost</f>
        <v/>
      </c>
      <c r="AB187" s="37">
        <f>'03_原始数据'!C187-0.675*'03_原始数据'!B187-OtherCost</f>
        <v/>
      </c>
      <c r="AC187" s="37">
        <f>'03_原始数据'!C187-0.68*'03_原始数据'!B187-OtherCost</f>
        <v/>
      </c>
      <c r="AD187" s="37">
        <f>'03_原始数据'!C187-0.685*'03_原始数据'!B187-OtherCost</f>
        <v/>
      </c>
      <c r="AE187" s="37">
        <f>'03_原始数据'!C187-0.69*'03_原始数据'!B187-OtherCost</f>
        <v/>
      </c>
      <c r="AF187" s="37">
        <f>'03_原始数据'!C187-0.695*'03_原始数据'!B187-OtherCost</f>
        <v/>
      </c>
      <c r="AG187" s="37">
        <f>'03_原始数据'!C187-0.7*'03_原始数据'!B187-OtherCost</f>
        <v/>
      </c>
    </row>
    <row r="188">
      <c r="M188" s="37">
        <f>'03_原始数据'!C188-0.6*'03_原始数据'!B188-OtherCost</f>
        <v/>
      </c>
      <c r="N188" s="37">
        <f>'03_原始数据'!C188-0.605*'03_原始数据'!B188-OtherCost</f>
        <v/>
      </c>
      <c r="O188" s="37">
        <f>'03_原始数据'!C188-0.61*'03_原始数据'!B188-OtherCost</f>
        <v/>
      </c>
      <c r="P188" s="37">
        <f>'03_原始数据'!C188-0.615*'03_原始数据'!B188-OtherCost</f>
        <v/>
      </c>
      <c r="Q188" s="37">
        <f>'03_原始数据'!C188-0.62*'03_原始数据'!B188-OtherCost</f>
        <v/>
      </c>
      <c r="R188" s="37">
        <f>'03_原始数据'!C188-0.625*'03_原始数据'!B188-OtherCost</f>
        <v/>
      </c>
      <c r="S188" s="37">
        <f>'03_原始数据'!C188-0.63*'03_原始数据'!B188-OtherCost</f>
        <v/>
      </c>
      <c r="T188" s="37">
        <f>'03_原始数据'!C188-0.635*'03_原始数据'!B188-OtherCost</f>
        <v/>
      </c>
      <c r="U188" s="37">
        <f>'03_原始数据'!C188-0.64*'03_原始数据'!B188-OtherCost</f>
        <v/>
      </c>
      <c r="V188" s="37">
        <f>'03_原始数据'!C188-0.645*'03_原始数据'!B188-OtherCost</f>
        <v/>
      </c>
      <c r="W188" s="37">
        <f>'03_原始数据'!C188-0.65*'03_原始数据'!B188-OtherCost</f>
        <v/>
      </c>
      <c r="X188" s="37">
        <f>'03_原始数据'!C188-0.655*'03_原始数据'!B188-OtherCost</f>
        <v/>
      </c>
      <c r="Y188" s="37">
        <f>'03_原始数据'!C188-0.66*'03_原始数据'!B188-OtherCost</f>
        <v/>
      </c>
      <c r="Z188" s="37">
        <f>'03_原始数据'!C188-0.665*'03_原始数据'!B188-OtherCost</f>
        <v/>
      </c>
      <c r="AA188" s="37">
        <f>'03_原始数据'!C188-0.67*'03_原始数据'!B188-OtherCost</f>
        <v/>
      </c>
      <c r="AB188" s="37">
        <f>'03_原始数据'!C188-0.675*'03_原始数据'!B188-OtherCost</f>
        <v/>
      </c>
      <c r="AC188" s="37">
        <f>'03_原始数据'!C188-0.68*'03_原始数据'!B188-OtherCost</f>
        <v/>
      </c>
      <c r="AD188" s="37">
        <f>'03_原始数据'!C188-0.685*'03_原始数据'!B188-OtherCost</f>
        <v/>
      </c>
      <c r="AE188" s="37">
        <f>'03_原始数据'!C188-0.69*'03_原始数据'!B188-OtherCost</f>
        <v/>
      </c>
      <c r="AF188" s="37">
        <f>'03_原始数据'!C188-0.695*'03_原始数据'!B188-OtherCost</f>
        <v/>
      </c>
      <c r="AG188" s="37">
        <f>'03_原始数据'!C188-0.7*'03_原始数据'!B188-OtherCost</f>
        <v/>
      </c>
    </row>
    <row r="189">
      <c r="M189" s="37">
        <f>'03_原始数据'!C189-0.6*'03_原始数据'!B189-OtherCost</f>
        <v/>
      </c>
      <c r="N189" s="37">
        <f>'03_原始数据'!C189-0.605*'03_原始数据'!B189-OtherCost</f>
        <v/>
      </c>
      <c r="O189" s="37">
        <f>'03_原始数据'!C189-0.61*'03_原始数据'!B189-OtherCost</f>
        <v/>
      </c>
      <c r="P189" s="37">
        <f>'03_原始数据'!C189-0.615*'03_原始数据'!B189-OtherCost</f>
        <v/>
      </c>
      <c r="Q189" s="37">
        <f>'03_原始数据'!C189-0.62*'03_原始数据'!B189-OtherCost</f>
        <v/>
      </c>
      <c r="R189" s="37">
        <f>'03_原始数据'!C189-0.625*'03_原始数据'!B189-OtherCost</f>
        <v/>
      </c>
      <c r="S189" s="37">
        <f>'03_原始数据'!C189-0.63*'03_原始数据'!B189-OtherCost</f>
        <v/>
      </c>
      <c r="T189" s="37">
        <f>'03_原始数据'!C189-0.635*'03_原始数据'!B189-OtherCost</f>
        <v/>
      </c>
      <c r="U189" s="37">
        <f>'03_原始数据'!C189-0.64*'03_原始数据'!B189-OtherCost</f>
        <v/>
      </c>
      <c r="V189" s="37">
        <f>'03_原始数据'!C189-0.645*'03_原始数据'!B189-OtherCost</f>
        <v/>
      </c>
      <c r="W189" s="37">
        <f>'03_原始数据'!C189-0.65*'03_原始数据'!B189-OtherCost</f>
        <v/>
      </c>
      <c r="X189" s="37">
        <f>'03_原始数据'!C189-0.655*'03_原始数据'!B189-OtherCost</f>
        <v/>
      </c>
      <c r="Y189" s="37">
        <f>'03_原始数据'!C189-0.66*'03_原始数据'!B189-OtherCost</f>
        <v/>
      </c>
      <c r="Z189" s="37">
        <f>'03_原始数据'!C189-0.665*'03_原始数据'!B189-OtherCost</f>
        <v/>
      </c>
      <c r="AA189" s="37">
        <f>'03_原始数据'!C189-0.67*'03_原始数据'!B189-OtherCost</f>
        <v/>
      </c>
      <c r="AB189" s="37">
        <f>'03_原始数据'!C189-0.675*'03_原始数据'!B189-OtherCost</f>
        <v/>
      </c>
      <c r="AC189" s="37">
        <f>'03_原始数据'!C189-0.68*'03_原始数据'!B189-OtherCost</f>
        <v/>
      </c>
      <c r="AD189" s="37">
        <f>'03_原始数据'!C189-0.685*'03_原始数据'!B189-OtherCost</f>
        <v/>
      </c>
      <c r="AE189" s="37">
        <f>'03_原始数据'!C189-0.69*'03_原始数据'!B189-OtherCost</f>
        <v/>
      </c>
      <c r="AF189" s="37">
        <f>'03_原始数据'!C189-0.695*'03_原始数据'!B189-OtherCost</f>
        <v/>
      </c>
      <c r="AG189" s="37">
        <f>'03_原始数据'!C189-0.7*'03_原始数据'!B189-OtherCost</f>
        <v/>
      </c>
    </row>
    <row r="190">
      <c r="M190" s="37">
        <f>'03_原始数据'!C190-0.6*'03_原始数据'!B190-OtherCost</f>
        <v/>
      </c>
      <c r="N190" s="37">
        <f>'03_原始数据'!C190-0.605*'03_原始数据'!B190-OtherCost</f>
        <v/>
      </c>
      <c r="O190" s="37">
        <f>'03_原始数据'!C190-0.61*'03_原始数据'!B190-OtherCost</f>
        <v/>
      </c>
      <c r="P190" s="37">
        <f>'03_原始数据'!C190-0.615*'03_原始数据'!B190-OtherCost</f>
        <v/>
      </c>
      <c r="Q190" s="37">
        <f>'03_原始数据'!C190-0.62*'03_原始数据'!B190-OtherCost</f>
        <v/>
      </c>
      <c r="R190" s="37">
        <f>'03_原始数据'!C190-0.625*'03_原始数据'!B190-OtherCost</f>
        <v/>
      </c>
      <c r="S190" s="37">
        <f>'03_原始数据'!C190-0.63*'03_原始数据'!B190-OtherCost</f>
        <v/>
      </c>
      <c r="T190" s="37">
        <f>'03_原始数据'!C190-0.635*'03_原始数据'!B190-OtherCost</f>
        <v/>
      </c>
      <c r="U190" s="37">
        <f>'03_原始数据'!C190-0.64*'03_原始数据'!B190-OtherCost</f>
        <v/>
      </c>
      <c r="V190" s="37">
        <f>'03_原始数据'!C190-0.645*'03_原始数据'!B190-OtherCost</f>
        <v/>
      </c>
      <c r="W190" s="37">
        <f>'03_原始数据'!C190-0.65*'03_原始数据'!B190-OtherCost</f>
        <v/>
      </c>
      <c r="X190" s="37">
        <f>'03_原始数据'!C190-0.655*'03_原始数据'!B190-OtherCost</f>
        <v/>
      </c>
      <c r="Y190" s="37">
        <f>'03_原始数据'!C190-0.66*'03_原始数据'!B190-OtherCost</f>
        <v/>
      </c>
      <c r="Z190" s="37">
        <f>'03_原始数据'!C190-0.665*'03_原始数据'!B190-OtherCost</f>
        <v/>
      </c>
      <c r="AA190" s="37">
        <f>'03_原始数据'!C190-0.67*'03_原始数据'!B190-OtherCost</f>
        <v/>
      </c>
      <c r="AB190" s="37">
        <f>'03_原始数据'!C190-0.675*'03_原始数据'!B190-OtherCost</f>
        <v/>
      </c>
      <c r="AC190" s="37">
        <f>'03_原始数据'!C190-0.68*'03_原始数据'!B190-OtherCost</f>
        <v/>
      </c>
      <c r="AD190" s="37">
        <f>'03_原始数据'!C190-0.685*'03_原始数据'!B190-OtherCost</f>
        <v/>
      </c>
      <c r="AE190" s="37">
        <f>'03_原始数据'!C190-0.69*'03_原始数据'!B190-OtherCost</f>
        <v/>
      </c>
      <c r="AF190" s="37">
        <f>'03_原始数据'!C190-0.695*'03_原始数据'!B190-OtherCost</f>
        <v/>
      </c>
      <c r="AG190" s="37">
        <f>'03_原始数据'!C190-0.7*'03_原始数据'!B190-OtherCost</f>
        <v/>
      </c>
    </row>
    <row r="191">
      <c r="M191" s="37">
        <f>'03_原始数据'!C191-0.6*'03_原始数据'!B191-OtherCost</f>
        <v/>
      </c>
      <c r="N191" s="37">
        <f>'03_原始数据'!C191-0.605*'03_原始数据'!B191-OtherCost</f>
        <v/>
      </c>
      <c r="O191" s="37">
        <f>'03_原始数据'!C191-0.61*'03_原始数据'!B191-OtherCost</f>
        <v/>
      </c>
      <c r="P191" s="37">
        <f>'03_原始数据'!C191-0.615*'03_原始数据'!B191-OtherCost</f>
        <v/>
      </c>
      <c r="Q191" s="37">
        <f>'03_原始数据'!C191-0.62*'03_原始数据'!B191-OtherCost</f>
        <v/>
      </c>
      <c r="R191" s="37">
        <f>'03_原始数据'!C191-0.625*'03_原始数据'!B191-OtherCost</f>
        <v/>
      </c>
      <c r="S191" s="37">
        <f>'03_原始数据'!C191-0.63*'03_原始数据'!B191-OtherCost</f>
        <v/>
      </c>
      <c r="T191" s="37">
        <f>'03_原始数据'!C191-0.635*'03_原始数据'!B191-OtherCost</f>
        <v/>
      </c>
      <c r="U191" s="37">
        <f>'03_原始数据'!C191-0.64*'03_原始数据'!B191-OtherCost</f>
        <v/>
      </c>
      <c r="V191" s="37">
        <f>'03_原始数据'!C191-0.645*'03_原始数据'!B191-OtherCost</f>
        <v/>
      </c>
      <c r="W191" s="37">
        <f>'03_原始数据'!C191-0.65*'03_原始数据'!B191-OtherCost</f>
        <v/>
      </c>
      <c r="X191" s="37">
        <f>'03_原始数据'!C191-0.655*'03_原始数据'!B191-OtherCost</f>
        <v/>
      </c>
      <c r="Y191" s="37">
        <f>'03_原始数据'!C191-0.66*'03_原始数据'!B191-OtherCost</f>
        <v/>
      </c>
      <c r="Z191" s="37">
        <f>'03_原始数据'!C191-0.665*'03_原始数据'!B191-OtherCost</f>
        <v/>
      </c>
      <c r="AA191" s="37">
        <f>'03_原始数据'!C191-0.67*'03_原始数据'!B191-OtherCost</f>
        <v/>
      </c>
      <c r="AB191" s="37">
        <f>'03_原始数据'!C191-0.675*'03_原始数据'!B191-OtherCost</f>
        <v/>
      </c>
      <c r="AC191" s="37">
        <f>'03_原始数据'!C191-0.68*'03_原始数据'!B191-OtherCost</f>
        <v/>
      </c>
      <c r="AD191" s="37">
        <f>'03_原始数据'!C191-0.685*'03_原始数据'!B191-OtherCost</f>
        <v/>
      </c>
      <c r="AE191" s="37">
        <f>'03_原始数据'!C191-0.69*'03_原始数据'!B191-OtherCost</f>
        <v/>
      </c>
      <c r="AF191" s="37">
        <f>'03_原始数据'!C191-0.695*'03_原始数据'!B191-OtherCost</f>
        <v/>
      </c>
      <c r="AG191" s="37">
        <f>'03_原始数据'!C191-0.7*'03_原始数据'!B191-OtherCost</f>
        <v/>
      </c>
    </row>
    <row r="192">
      <c r="M192" s="37">
        <f>'03_原始数据'!C192-0.6*'03_原始数据'!B192-OtherCost</f>
        <v/>
      </c>
      <c r="N192" s="37">
        <f>'03_原始数据'!C192-0.605*'03_原始数据'!B192-OtherCost</f>
        <v/>
      </c>
      <c r="O192" s="37">
        <f>'03_原始数据'!C192-0.61*'03_原始数据'!B192-OtherCost</f>
        <v/>
      </c>
      <c r="P192" s="37">
        <f>'03_原始数据'!C192-0.615*'03_原始数据'!B192-OtherCost</f>
        <v/>
      </c>
      <c r="Q192" s="37">
        <f>'03_原始数据'!C192-0.62*'03_原始数据'!B192-OtherCost</f>
        <v/>
      </c>
      <c r="R192" s="37">
        <f>'03_原始数据'!C192-0.625*'03_原始数据'!B192-OtherCost</f>
        <v/>
      </c>
      <c r="S192" s="37">
        <f>'03_原始数据'!C192-0.63*'03_原始数据'!B192-OtherCost</f>
        <v/>
      </c>
      <c r="T192" s="37">
        <f>'03_原始数据'!C192-0.635*'03_原始数据'!B192-OtherCost</f>
        <v/>
      </c>
      <c r="U192" s="37">
        <f>'03_原始数据'!C192-0.64*'03_原始数据'!B192-OtherCost</f>
        <v/>
      </c>
      <c r="V192" s="37">
        <f>'03_原始数据'!C192-0.645*'03_原始数据'!B192-OtherCost</f>
        <v/>
      </c>
      <c r="W192" s="37">
        <f>'03_原始数据'!C192-0.65*'03_原始数据'!B192-OtherCost</f>
        <v/>
      </c>
      <c r="X192" s="37">
        <f>'03_原始数据'!C192-0.655*'03_原始数据'!B192-OtherCost</f>
        <v/>
      </c>
      <c r="Y192" s="37">
        <f>'03_原始数据'!C192-0.66*'03_原始数据'!B192-OtherCost</f>
        <v/>
      </c>
      <c r="Z192" s="37">
        <f>'03_原始数据'!C192-0.665*'03_原始数据'!B192-OtherCost</f>
        <v/>
      </c>
      <c r="AA192" s="37">
        <f>'03_原始数据'!C192-0.67*'03_原始数据'!B192-OtherCost</f>
        <v/>
      </c>
      <c r="AB192" s="37">
        <f>'03_原始数据'!C192-0.675*'03_原始数据'!B192-OtherCost</f>
        <v/>
      </c>
      <c r="AC192" s="37">
        <f>'03_原始数据'!C192-0.68*'03_原始数据'!B192-OtherCost</f>
        <v/>
      </c>
      <c r="AD192" s="37">
        <f>'03_原始数据'!C192-0.685*'03_原始数据'!B192-OtherCost</f>
        <v/>
      </c>
      <c r="AE192" s="37">
        <f>'03_原始数据'!C192-0.69*'03_原始数据'!B192-OtherCost</f>
        <v/>
      </c>
      <c r="AF192" s="37">
        <f>'03_原始数据'!C192-0.695*'03_原始数据'!B192-OtherCost</f>
        <v/>
      </c>
      <c r="AG192" s="37">
        <f>'03_原始数据'!C192-0.7*'03_原始数据'!B192-OtherCost</f>
        <v/>
      </c>
    </row>
    <row r="193">
      <c r="M193" s="37">
        <f>'03_原始数据'!C193-0.6*'03_原始数据'!B193-OtherCost</f>
        <v/>
      </c>
      <c r="N193" s="37">
        <f>'03_原始数据'!C193-0.605*'03_原始数据'!B193-OtherCost</f>
        <v/>
      </c>
      <c r="O193" s="37">
        <f>'03_原始数据'!C193-0.61*'03_原始数据'!B193-OtherCost</f>
        <v/>
      </c>
      <c r="P193" s="37">
        <f>'03_原始数据'!C193-0.615*'03_原始数据'!B193-OtherCost</f>
        <v/>
      </c>
      <c r="Q193" s="37">
        <f>'03_原始数据'!C193-0.62*'03_原始数据'!B193-OtherCost</f>
        <v/>
      </c>
      <c r="R193" s="37">
        <f>'03_原始数据'!C193-0.625*'03_原始数据'!B193-OtherCost</f>
        <v/>
      </c>
      <c r="S193" s="37">
        <f>'03_原始数据'!C193-0.63*'03_原始数据'!B193-OtherCost</f>
        <v/>
      </c>
      <c r="T193" s="37">
        <f>'03_原始数据'!C193-0.635*'03_原始数据'!B193-OtherCost</f>
        <v/>
      </c>
      <c r="U193" s="37">
        <f>'03_原始数据'!C193-0.64*'03_原始数据'!B193-OtherCost</f>
        <v/>
      </c>
      <c r="V193" s="37">
        <f>'03_原始数据'!C193-0.645*'03_原始数据'!B193-OtherCost</f>
        <v/>
      </c>
      <c r="W193" s="37">
        <f>'03_原始数据'!C193-0.65*'03_原始数据'!B193-OtherCost</f>
        <v/>
      </c>
      <c r="X193" s="37">
        <f>'03_原始数据'!C193-0.655*'03_原始数据'!B193-OtherCost</f>
        <v/>
      </c>
      <c r="Y193" s="37">
        <f>'03_原始数据'!C193-0.66*'03_原始数据'!B193-OtherCost</f>
        <v/>
      </c>
      <c r="Z193" s="37">
        <f>'03_原始数据'!C193-0.665*'03_原始数据'!B193-OtherCost</f>
        <v/>
      </c>
      <c r="AA193" s="37">
        <f>'03_原始数据'!C193-0.67*'03_原始数据'!B193-OtherCost</f>
        <v/>
      </c>
      <c r="AB193" s="37">
        <f>'03_原始数据'!C193-0.675*'03_原始数据'!B193-OtherCost</f>
        <v/>
      </c>
      <c r="AC193" s="37">
        <f>'03_原始数据'!C193-0.68*'03_原始数据'!B193-OtherCost</f>
        <v/>
      </c>
      <c r="AD193" s="37">
        <f>'03_原始数据'!C193-0.685*'03_原始数据'!B193-OtherCost</f>
        <v/>
      </c>
      <c r="AE193" s="37">
        <f>'03_原始数据'!C193-0.69*'03_原始数据'!B193-OtherCost</f>
        <v/>
      </c>
      <c r="AF193" s="37">
        <f>'03_原始数据'!C193-0.695*'03_原始数据'!B193-OtherCost</f>
        <v/>
      </c>
      <c r="AG193" s="37">
        <f>'03_原始数据'!C193-0.7*'03_原始数据'!B193-OtherCost</f>
        <v/>
      </c>
    </row>
    <row r="194">
      <c r="M194" s="37">
        <f>'03_原始数据'!C194-0.6*'03_原始数据'!B194-OtherCost</f>
        <v/>
      </c>
      <c r="N194" s="37">
        <f>'03_原始数据'!C194-0.605*'03_原始数据'!B194-OtherCost</f>
        <v/>
      </c>
      <c r="O194" s="37">
        <f>'03_原始数据'!C194-0.61*'03_原始数据'!B194-OtherCost</f>
        <v/>
      </c>
      <c r="P194" s="37">
        <f>'03_原始数据'!C194-0.615*'03_原始数据'!B194-OtherCost</f>
        <v/>
      </c>
      <c r="Q194" s="37">
        <f>'03_原始数据'!C194-0.62*'03_原始数据'!B194-OtherCost</f>
        <v/>
      </c>
      <c r="R194" s="37">
        <f>'03_原始数据'!C194-0.625*'03_原始数据'!B194-OtherCost</f>
        <v/>
      </c>
      <c r="S194" s="37">
        <f>'03_原始数据'!C194-0.63*'03_原始数据'!B194-OtherCost</f>
        <v/>
      </c>
      <c r="T194" s="37">
        <f>'03_原始数据'!C194-0.635*'03_原始数据'!B194-OtherCost</f>
        <v/>
      </c>
      <c r="U194" s="37">
        <f>'03_原始数据'!C194-0.64*'03_原始数据'!B194-OtherCost</f>
        <v/>
      </c>
      <c r="V194" s="37">
        <f>'03_原始数据'!C194-0.645*'03_原始数据'!B194-OtherCost</f>
        <v/>
      </c>
      <c r="W194" s="37">
        <f>'03_原始数据'!C194-0.65*'03_原始数据'!B194-OtherCost</f>
        <v/>
      </c>
      <c r="X194" s="37">
        <f>'03_原始数据'!C194-0.655*'03_原始数据'!B194-OtherCost</f>
        <v/>
      </c>
      <c r="Y194" s="37">
        <f>'03_原始数据'!C194-0.66*'03_原始数据'!B194-OtherCost</f>
        <v/>
      </c>
      <c r="Z194" s="37">
        <f>'03_原始数据'!C194-0.665*'03_原始数据'!B194-OtherCost</f>
        <v/>
      </c>
      <c r="AA194" s="37">
        <f>'03_原始数据'!C194-0.67*'03_原始数据'!B194-OtherCost</f>
        <v/>
      </c>
      <c r="AB194" s="37">
        <f>'03_原始数据'!C194-0.675*'03_原始数据'!B194-OtherCost</f>
        <v/>
      </c>
      <c r="AC194" s="37">
        <f>'03_原始数据'!C194-0.68*'03_原始数据'!B194-OtherCost</f>
        <v/>
      </c>
      <c r="AD194" s="37">
        <f>'03_原始数据'!C194-0.685*'03_原始数据'!B194-OtherCost</f>
        <v/>
      </c>
      <c r="AE194" s="37">
        <f>'03_原始数据'!C194-0.69*'03_原始数据'!B194-OtherCost</f>
        <v/>
      </c>
      <c r="AF194" s="37">
        <f>'03_原始数据'!C194-0.695*'03_原始数据'!B194-OtherCost</f>
        <v/>
      </c>
      <c r="AG194" s="37">
        <f>'03_原始数据'!C194-0.7*'03_原始数据'!B194-OtherCost</f>
        <v/>
      </c>
    </row>
    <row r="195">
      <c r="M195" s="37">
        <f>'03_原始数据'!C195-0.6*'03_原始数据'!B195-OtherCost</f>
        <v/>
      </c>
      <c r="N195" s="37">
        <f>'03_原始数据'!C195-0.605*'03_原始数据'!B195-OtherCost</f>
        <v/>
      </c>
      <c r="O195" s="37">
        <f>'03_原始数据'!C195-0.61*'03_原始数据'!B195-OtherCost</f>
        <v/>
      </c>
      <c r="P195" s="37">
        <f>'03_原始数据'!C195-0.615*'03_原始数据'!B195-OtherCost</f>
        <v/>
      </c>
      <c r="Q195" s="37">
        <f>'03_原始数据'!C195-0.62*'03_原始数据'!B195-OtherCost</f>
        <v/>
      </c>
      <c r="R195" s="37">
        <f>'03_原始数据'!C195-0.625*'03_原始数据'!B195-OtherCost</f>
        <v/>
      </c>
      <c r="S195" s="37">
        <f>'03_原始数据'!C195-0.63*'03_原始数据'!B195-OtherCost</f>
        <v/>
      </c>
      <c r="T195" s="37">
        <f>'03_原始数据'!C195-0.635*'03_原始数据'!B195-OtherCost</f>
        <v/>
      </c>
      <c r="U195" s="37">
        <f>'03_原始数据'!C195-0.64*'03_原始数据'!B195-OtherCost</f>
        <v/>
      </c>
      <c r="V195" s="37">
        <f>'03_原始数据'!C195-0.645*'03_原始数据'!B195-OtherCost</f>
        <v/>
      </c>
      <c r="W195" s="37">
        <f>'03_原始数据'!C195-0.65*'03_原始数据'!B195-OtherCost</f>
        <v/>
      </c>
      <c r="X195" s="37">
        <f>'03_原始数据'!C195-0.655*'03_原始数据'!B195-OtherCost</f>
        <v/>
      </c>
      <c r="Y195" s="37">
        <f>'03_原始数据'!C195-0.66*'03_原始数据'!B195-OtherCost</f>
        <v/>
      </c>
      <c r="Z195" s="37">
        <f>'03_原始数据'!C195-0.665*'03_原始数据'!B195-OtherCost</f>
        <v/>
      </c>
      <c r="AA195" s="37">
        <f>'03_原始数据'!C195-0.67*'03_原始数据'!B195-OtherCost</f>
        <v/>
      </c>
      <c r="AB195" s="37">
        <f>'03_原始数据'!C195-0.675*'03_原始数据'!B195-OtherCost</f>
        <v/>
      </c>
      <c r="AC195" s="37">
        <f>'03_原始数据'!C195-0.68*'03_原始数据'!B195-OtherCost</f>
        <v/>
      </c>
      <c r="AD195" s="37">
        <f>'03_原始数据'!C195-0.685*'03_原始数据'!B195-OtherCost</f>
        <v/>
      </c>
      <c r="AE195" s="37">
        <f>'03_原始数据'!C195-0.69*'03_原始数据'!B195-OtherCost</f>
        <v/>
      </c>
      <c r="AF195" s="37">
        <f>'03_原始数据'!C195-0.695*'03_原始数据'!B195-OtherCost</f>
        <v/>
      </c>
      <c r="AG195" s="37">
        <f>'03_原始数据'!C195-0.7*'03_原始数据'!B195-OtherCost</f>
        <v/>
      </c>
    </row>
    <row r="196">
      <c r="M196" s="37">
        <f>'03_原始数据'!C196-0.6*'03_原始数据'!B196-OtherCost</f>
        <v/>
      </c>
      <c r="N196" s="37">
        <f>'03_原始数据'!C196-0.605*'03_原始数据'!B196-OtherCost</f>
        <v/>
      </c>
      <c r="O196" s="37">
        <f>'03_原始数据'!C196-0.61*'03_原始数据'!B196-OtherCost</f>
        <v/>
      </c>
      <c r="P196" s="37">
        <f>'03_原始数据'!C196-0.615*'03_原始数据'!B196-OtherCost</f>
        <v/>
      </c>
      <c r="Q196" s="37">
        <f>'03_原始数据'!C196-0.62*'03_原始数据'!B196-OtherCost</f>
        <v/>
      </c>
      <c r="R196" s="37">
        <f>'03_原始数据'!C196-0.625*'03_原始数据'!B196-OtherCost</f>
        <v/>
      </c>
      <c r="S196" s="37">
        <f>'03_原始数据'!C196-0.63*'03_原始数据'!B196-OtherCost</f>
        <v/>
      </c>
      <c r="T196" s="37">
        <f>'03_原始数据'!C196-0.635*'03_原始数据'!B196-OtherCost</f>
        <v/>
      </c>
      <c r="U196" s="37">
        <f>'03_原始数据'!C196-0.64*'03_原始数据'!B196-OtherCost</f>
        <v/>
      </c>
      <c r="V196" s="37">
        <f>'03_原始数据'!C196-0.645*'03_原始数据'!B196-OtherCost</f>
        <v/>
      </c>
      <c r="W196" s="37">
        <f>'03_原始数据'!C196-0.65*'03_原始数据'!B196-OtherCost</f>
        <v/>
      </c>
      <c r="X196" s="37">
        <f>'03_原始数据'!C196-0.655*'03_原始数据'!B196-OtherCost</f>
        <v/>
      </c>
      <c r="Y196" s="37">
        <f>'03_原始数据'!C196-0.66*'03_原始数据'!B196-OtherCost</f>
        <v/>
      </c>
      <c r="Z196" s="37">
        <f>'03_原始数据'!C196-0.665*'03_原始数据'!B196-OtherCost</f>
        <v/>
      </c>
      <c r="AA196" s="37">
        <f>'03_原始数据'!C196-0.67*'03_原始数据'!B196-OtherCost</f>
        <v/>
      </c>
      <c r="AB196" s="37">
        <f>'03_原始数据'!C196-0.675*'03_原始数据'!B196-OtherCost</f>
        <v/>
      </c>
      <c r="AC196" s="37">
        <f>'03_原始数据'!C196-0.68*'03_原始数据'!B196-OtherCost</f>
        <v/>
      </c>
      <c r="AD196" s="37">
        <f>'03_原始数据'!C196-0.685*'03_原始数据'!B196-OtherCost</f>
        <v/>
      </c>
      <c r="AE196" s="37">
        <f>'03_原始数据'!C196-0.69*'03_原始数据'!B196-OtherCost</f>
        <v/>
      </c>
      <c r="AF196" s="37">
        <f>'03_原始数据'!C196-0.695*'03_原始数据'!B196-OtherCost</f>
        <v/>
      </c>
      <c r="AG196" s="37">
        <f>'03_原始数据'!C196-0.7*'03_原始数据'!B196-OtherCost</f>
        <v/>
      </c>
    </row>
    <row r="197">
      <c r="M197" s="37">
        <f>'03_原始数据'!C197-0.6*'03_原始数据'!B197-OtherCost</f>
        <v/>
      </c>
      <c r="N197" s="37">
        <f>'03_原始数据'!C197-0.605*'03_原始数据'!B197-OtherCost</f>
        <v/>
      </c>
      <c r="O197" s="37">
        <f>'03_原始数据'!C197-0.61*'03_原始数据'!B197-OtherCost</f>
        <v/>
      </c>
      <c r="P197" s="37">
        <f>'03_原始数据'!C197-0.615*'03_原始数据'!B197-OtherCost</f>
        <v/>
      </c>
      <c r="Q197" s="37">
        <f>'03_原始数据'!C197-0.62*'03_原始数据'!B197-OtherCost</f>
        <v/>
      </c>
      <c r="R197" s="37">
        <f>'03_原始数据'!C197-0.625*'03_原始数据'!B197-OtherCost</f>
        <v/>
      </c>
      <c r="S197" s="37">
        <f>'03_原始数据'!C197-0.63*'03_原始数据'!B197-OtherCost</f>
        <v/>
      </c>
      <c r="T197" s="37">
        <f>'03_原始数据'!C197-0.635*'03_原始数据'!B197-OtherCost</f>
        <v/>
      </c>
      <c r="U197" s="37">
        <f>'03_原始数据'!C197-0.64*'03_原始数据'!B197-OtherCost</f>
        <v/>
      </c>
      <c r="V197" s="37">
        <f>'03_原始数据'!C197-0.645*'03_原始数据'!B197-OtherCost</f>
        <v/>
      </c>
      <c r="W197" s="37">
        <f>'03_原始数据'!C197-0.65*'03_原始数据'!B197-OtherCost</f>
        <v/>
      </c>
      <c r="X197" s="37">
        <f>'03_原始数据'!C197-0.655*'03_原始数据'!B197-OtherCost</f>
        <v/>
      </c>
      <c r="Y197" s="37">
        <f>'03_原始数据'!C197-0.66*'03_原始数据'!B197-OtherCost</f>
        <v/>
      </c>
      <c r="Z197" s="37">
        <f>'03_原始数据'!C197-0.665*'03_原始数据'!B197-OtherCost</f>
        <v/>
      </c>
      <c r="AA197" s="37">
        <f>'03_原始数据'!C197-0.67*'03_原始数据'!B197-OtherCost</f>
        <v/>
      </c>
      <c r="AB197" s="37">
        <f>'03_原始数据'!C197-0.675*'03_原始数据'!B197-OtherCost</f>
        <v/>
      </c>
      <c r="AC197" s="37">
        <f>'03_原始数据'!C197-0.68*'03_原始数据'!B197-OtherCost</f>
        <v/>
      </c>
      <c r="AD197" s="37">
        <f>'03_原始数据'!C197-0.685*'03_原始数据'!B197-OtherCost</f>
        <v/>
      </c>
      <c r="AE197" s="37">
        <f>'03_原始数据'!C197-0.69*'03_原始数据'!B197-OtherCost</f>
        <v/>
      </c>
      <c r="AF197" s="37">
        <f>'03_原始数据'!C197-0.695*'03_原始数据'!B197-OtherCost</f>
        <v/>
      </c>
      <c r="AG197" s="37">
        <f>'03_原始数据'!C197-0.7*'03_原始数据'!B197-OtherCost</f>
        <v/>
      </c>
    </row>
    <row r="198">
      <c r="M198" s="37">
        <f>'03_原始数据'!C198-0.6*'03_原始数据'!B198-OtherCost</f>
        <v/>
      </c>
      <c r="N198" s="37">
        <f>'03_原始数据'!C198-0.605*'03_原始数据'!B198-OtherCost</f>
        <v/>
      </c>
      <c r="O198" s="37">
        <f>'03_原始数据'!C198-0.61*'03_原始数据'!B198-OtherCost</f>
        <v/>
      </c>
      <c r="P198" s="37">
        <f>'03_原始数据'!C198-0.615*'03_原始数据'!B198-OtherCost</f>
        <v/>
      </c>
      <c r="Q198" s="37">
        <f>'03_原始数据'!C198-0.62*'03_原始数据'!B198-OtherCost</f>
        <v/>
      </c>
      <c r="R198" s="37">
        <f>'03_原始数据'!C198-0.625*'03_原始数据'!B198-OtherCost</f>
        <v/>
      </c>
      <c r="S198" s="37">
        <f>'03_原始数据'!C198-0.63*'03_原始数据'!B198-OtherCost</f>
        <v/>
      </c>
      <c r="T198" s="37">
        <f>'03_原始数据'!C198-0.635*'03_原始数据'!B198-OtherCost</f>
        <v/>
      </c>
      <c r="U198" s="37">
        <f>'03_原始数据'!C198-0.64*'03_原始数据'!B198-OtherCost</f>
        <v/>
      </c>
      <c r="V198" s="37">
        <f>'03_原始数据'!C198-0.645*'03_原始数据'!B198-OtherCost</f>
        <v/>
      </c>
      <c r="W198" s="37">
        <f>'03_原始数据'!C198-0.65*'03_原始数据'!B198-OtherCost</f>
        <v/>
      </c>
      <c r="X198" s="37">
        <f>'03_原始数据'!C198-0.655*'03_原始数据'!B198-OtherCost</f>
        <v/>
      </c>
      <c r="Y198" s="37">
        <f>'03_原始数据'!C198-0.66*'03_原始数据'!B198-OtherCost</f>
        <v/>
      </c>
      <c r="Z198" s="37">
        <f>'03_原始数据'!C198-0.665*'03_原始数据'!B198-OtherCost</f>
        <v/>
      </c>
      <c r="AA198" s="37">
        <f>'03_原始数据'!C198-0.67*'03_原始数据'!B198-OtherCost</f>
        <v/>
      </c>
      <c r="AB198" s="37">
        <f>'03_原始数据'!C198-0.675*'03_原始数据'!B198-OtherCost</f>
        <v/>
      </c>
      <c r="AC198" s="37">
        <f>'03_原始数据'!C198-0.68*'03_原始数据'!B198-OtherCost</f>
        <v/>
      </c>
      <c r="AD198" s="37">
        <f>'03_原始数据'!C198-0.685*'03_原始数据'!B198-OtherCost</f>
        <v/>
      </c>
      <c r="AE198" s="37">
        <f>'03_原始数据'!C198-0.69*'03_原始数据'!B198-OtherCost</f>
        <v/>
      </c>
      <c r="AF198" s="37">
        <f>'03_原始数据'!C198-0.695*'03_原始数据'!B198-OtherCost</f>
        <v/>
      </c>
      <c r="AG198" s="37">
        <f>'03_原始数据'!C198-0.7*'03_原始数据'!B198-OtherCost</f>
        <v/>
      </c>
    </row>
    <row r="199">
      <c r="M199" s="37">
        <f>'03_原始数据'!C199-0.6*'03_原始数据'!B199-OtherCost</f>
        <v/>
      </c>
      <c r="N199" s="37">
        <f>'03_原始数据'!C199-0.605*'03_原始数据'!B199-OtherCost</f>
        <v/>
      </c>
      <c r="O199" s="37">
        <f>'03_原始数据'!C199-0.61*'03_原始数据'!B199-OtherCost</f>
        <v/>
      </c>
      <c r="P199" s="37">
        <f>'03_原始数据'!C199-0.615*'03_原始数据'!B199-OtherCost</f>
        <v/>
      </c>
      <c r="Q199" s="37">
        <f>'03_原始数据'!C199-0.62*'03_原始数据'!B199-OtherCost</f>
        <v/>
      </c>
      <c r="R199" s="37">
        <f>'03_原始数据'!C199-0.625*'03_原始数据'!B199-OtherCost</f>
        <v/>
      </c>
      <c r="S199" s="37">
        <f>'03_原始数据'!C199-0.63*'03_原始数据'!B199-OtherCost</f>
        <v/>
      </c>
      <c r="T199" s="37">
        <f>'03_原始数据'!C199-0.635*'03_原始数据'!B199-OtherCost</f>
        <v/>
      </c>
      <c r="U199" s="37">
        <f>'03_原始数据'!C199-0.64*'03_原始数据'!B199-OtherCost</f>
        <v/>
      </c>
      <c r="V199" s="37">
        <f>'03_原始数据'!C199-0.645*'03_原始数据'!B199-OtherCost</f>
        <v/>
      </c>
      <c r="W199" s="37">
        <f>'03_原始数据'!C199-0.65*'03_原始数据'!B199-OtherCost</f>
        <v/>
      </c>
      <c r="X199" s="37">
        <f>'03_原始数据'!C199-0.655*'03_原始数据'!B199-OtherCost</f>
        <v/>
      </c>
      <c r="Y199" s="37">
        <f>'03_原始数据'!C199-0.66*'03_原始数据'!B199-OtherCost</f>
        <v/>
      </c>
      <c r="Z199" s="37">
        <f>'03_原始数据'!C199-0.665*'03_原始数据'!B199-OtherCost</f>
        <v/>
      </c>
      <c r="AA199" s="37">
        <f>'03_原始数据'!C199-0.67*'03_原始数据'!B199-OtherCost</f>
        <v/>
      </c>
      <c r="AB199" s="37">
        <f>'03_原始数据'!C199-0.675*'03_原始数据'!B199-OtherCost</f>
        <v/>
      </c>
      <c r="AC199" s="37">
        <f>'03_原始数据'!C199-0.68*'03_原始数据'!B199-OtherCost</f>
        <v/>
      </c>
      <c r="AD199" s="37">
        <f>'03_原始数据'!C199-0.685*'03_原始数据'!B199-OtherCost</f>
        <v/>
      </c>
      <c r="AE199" s="37">
        <f>'03_原始数据'!C199-0.69*'03_原始数据'!B199-OtherCost</f>
        <v/>
      </c>
      <c r="AF199" s="37">
        <f>'03_原始数据'!C199-0.695*'03_原始数据'!B199-OtherCost</f>
        <v/>
      </c>
      <c r="AG199" s="37">
        <f>'03_原始数据'!C199-0.7*'03_原始数据'!B199-OtherCost</f>
        <v/>
      </c>
    </row>
    <row r="200">
      <c r="M200" s="37">
        <f>'03_原始数据'!C200-0.6*'03_原始数据'!B200-OtherCost</f>
        <v/>
      </c>
      <c r="N200" s="37">
        <f>'03_原始数据'!C200-0.605*'03_原始数据'!B200-OtherCost</f>
        <v/>
      </c>
      <c r="O200" s="37">
        <f>'03_原始数据'!C200-0.61*'03_原始数据'!B200-OtherCost</f>
        <v/>
      </c>
      <c r="P200" s="37">
        <f>'03_原始数据'!C200-0.615*'03_原始数据'!B200-OtherCost</f>
        <v/>
      </c>
      <c r="Q200" s="37">
        <f>'03_原始数据'!C200-0.62*'03_原始数据'!B200-OtherCost</f>
        <v/>
      </c>
      <c r="R200" s="37">
        <f>'03_原始数据'!C200-0.625*'03_原始数据'!B200-OtherCost</f>
        <v/>
      </c>
      <c r="S200" s="37">
        <f>'03_原始数据'!C200-0.63*'03_原始数据'!B200-OtherCost</f>
        <v/>
      </c>
      <c r="T200" s="37">
        <f>'03_原始数据'!C200-0.635*'03_原始数据'!B200-OtherCost</f>
        <v/>
      </c>
      <c r="U200" s="37">
        <f>'03_原始数据'!C200-0.64*'03_原始数据'!B200-OtherCost</f>
        <v/>
      </c>
      <c r="V200" s="37">
        <f>'03_原始数据'!C200-0.645*'03_原始数据'!B200-OtherCost</f>
        <v/>
      </c>
      <c r="W200" s="37">
        <f>'03_原始数据'!C200-0.65*'03_原始数据'!B200-OtherCost</f>
        <v/>
      </c>
      <c r="X200" s="37">
        <f>'03_原始数据'!C200-0.655*'03_原始数据'!B200-OtherCost</f>
        <v/>
      </c>
      <c r="Y200" s="37">
        <f>'03_原始数据'!C200-0.66*'03_原始数据'!B200-OtherCost</f>
        <v/>
      </c>
      <c r="Z200" s="37">
        <f>'03_原始数据'!C200-0.665*'03_原始数据'!B200-OtherCost</f>
        <v/>
      </c>
      <c r="AA200" s="37">
        <f>'03_原始数据'!C200-0.67*'03_原始数据'!B200-OtherCost</f>
        <v/>
      </c>
      <c r="AB200" s="37">
        <f>'03_原始数据'!C200-0.675*'03_原始数据'!B200-OtherCost</f>
        <v/>
      </c>
      <c r="AC200" s="37">
        <f>'03_原始数据'!C200-0.68*'03_原始数据'!B200-OtherCost</f>
        <v/>
      </c>
      <c r="AD200" s="37">
        <f>'03_原始数据'!C200-0.685*'03_原始数据'!B200-OtherCost</f>
        <v/>
      </c>
      <c r="AE200" s="37">
        <f>'03_原始数据'!C200-0.69*'03_原始数据'!B200-OtherCost</f>
        <v/>
      </c>
      <c r="AF200" s="37">
        <f>'03_原始数据'!C200-0.695*'03_原始数据'!B200-OtherCost</f>
        <v/>
      </c>
      <c r="AG200" s="37">
        <f>'03_原始数据'!C200-0.7*'03_原始数据'!B200-OtherCost</f>
        <v/>
      </c>
    </row>
    <row r="201">
      <c r="M201" s="37">
        <f>'03_原始数据'!C201-0.6*'03_原始数据'!B201-OtherCost</f>
        <v/>
      </c>
      <c r="N201" s="37">
        <f>'03_原始数据'!C201-0.605*'03_原始数据'!B201-OtherCost</f>
        <v/>
      </c>
      <c r="O201" s="37">
        <f>'03_原始数据'!C201-0.61*'03_原始数据'!B201-OtherCost</f>
        <v/>
      </c>
      <c r="P201" s="37">
        <f>'03_原始数据'!C201-0.615*'03_原始数据'!B201-OtherCost</f>
        <v/>
      </c>
      <c r="Q201" s="37">
        <f>'03_原始数据'!C201-0.62*'03_原始数据'!B201-OtherCost</f>
        <v/>
      </c>
      <c r="R201" s="37">
        <f>'03_原始数据'!C201-0.625*'03_原始数据'!B201-OtherCost</f>
        <v/>
      </c>
      <c r="S201" s="37">
        <f>'03_原始数据'!C201-0.63*'03_原始数据'!B201-OtherCost</f>
        <v/>
      </c>
      <c r="T201" s="37">
        <f>'03_原始数据'!C201-0.635*'03_原始数据'!B201-OtherCost</f>
        <v/>
      </c>
      <c r="U201" s="37">
        <f>'03_原始数据'!C201-0.64*'03_原始数据'!B201-OtherCost</f>
        <v/>
      </c>
      <c r="V201" s="37">
        <f>'03_原始数据'!C201-0.645*'03_原始数据'!B201-OtherCost</f>
        <v/>
      </c>
      <c r="W201" s="37">
        <f>'03_原始数据'!C201-0.65*'03_原始数据'!B201-OtherCost</f>
        <v/>
      </c>
      <c r="X201" s="37">
        <f>'03_原始数据'!C201-0.655*'03_原始数据'!B201-OtherCost</f>
        <v/>
      </c>
      <c r="Y201" s="37">
        <f>'03_原始数据'!C201-0.66*'03_原始数据'!B201-OtherCost</f>
        <v/>
      </c>
      <c r="Z201" s="37">
        <f>'03_原始数据'!C201-0.665*'03_原始数据'!B201-OtherCost</f>
        <v/>
      </c>
      <c r="AA201" s="37">
        <f>'03_原始数据'!C201-0.67*'03_原始数据'!B201-OtherCost</f>
        <v/>
      </c>
      <c r="AB201" s="37">
        <f>'03_原始数据'!C201-0.675*'03_原始数据'!B201-OtherCost</f>
        <v/>
      </c>
      <c r="AC201" s="37">
        <f>'03_原始数据'!C201-0.68*'03_原始数据'!B201-OtherCost</f>
        <v/>
      </c>
      <c r="AD201" s="37">
        <f>'03_原始数据'!C201-0.685*'03_原始数据'!B201-OtherCost</f>
        <v/>
      </c>
      <c r="AE201" s="37">
        <f>'03_原始数据'!C201-0.69*'03_原始数据'!B201-OtherCost</f>
        <v/>
      </c>
      <c r="AF201" s="37">
        <f>'03_原始数据'!C201-0.695*'03_原始数据'!B201-OtherCost</f>
        <v/>
      </c>
      <c r="AG201" s="37">
        <f>'03_原始数据'!C201-0.7*'03_原始数据'!B201-OtherCost</f>
        <v/>
      </c>
    </row>
    <row r="202">
      <c r="M202" s="37">
        <f>'03_原始数据'!C202-0.6*'03_原始数据'!B202-OtherCost</f>
        <v/>
      </c>
      <c r="N202" s="37">
        <f>'03_原始数据'!C202-0.605*'03_原始数据'!B202-OtherCost</f>
        <v/>
      </c>
      <c r="O202" s="37">
        <f>'03_原始数据'!C202-0.61*'03_原始数据'!B202-OtherCost</f>
        <v/>
      </c>
      <c r="P202" s="37">
        <f>'03_原始数据'!C202-0.615*'03_原始数据'!B202-OtherCost</f>
        <v/>
      </c>
      <c r="Q202" s="37">
        <f>'03_原始数据'!C202-0.62*'03_原始数据'!B202-OtherCost</f>
        <v/>
      </c>
      <c r="R202" s="37">
        <f>'03_原始数据'!C202-0.625*'03_原始数据'!B202-OtherCost</f>
        <v/>
      </c>
      <c r="S202" s="37">
        <f>'03_原始数据'!C202-0.63*'03_原始数据'!B202-OtherCost</f>
        <v/>
      </c>
      <c r="T202" s="37">
        <f>'03_原始数据'!C202-0.635*'03_原始数据'!B202-OtherCost</f>
        <v/>
      </c>
      <c r="U202" s="37">
        <f>'03_原始数据'!C202-0.64*'03_原始数据'!B202-OtherCost</f>
        <v/>
      </c>
      <c r="V202" s="37">
        <f>'03_原始数据'!C202-0.645*'03_原始数据'!B202-OtherCost</f>
        <v/>
      </c>
      <c r="W202" s="37">
        <f>'03_原始数据'!C202-0.65*'03_原始数据'!B202-OtherCost</f>
        <v/>
      </c>
      <c r="X202" s="37">
        <f>'03_原始数据'!C202-0.655*'03_原始数据'!B202-OtherCost</f>
        <v/>
      </c>
      <c r="Y202" s="37">
        <f>'03_原始数据'!C202-0.66*'03_原始数据'!B202-OtherCost</f>
        <v/>
      </c>
      <c r="Z202" s="37">
        <f>'03_原始数据'!C202-0.665*'03_原始数据'!B202-OtherCost</f>
        <v/>
      </c>
      <c r="AA202" s="37">
        <f>'03_原始数据'!C202-0.67*'03_原始数据'!B202-OtherCost</f>
        <v/>
      </c>
      <c r="AB202" s="37">
        <f>'03_原始数据'!C202-0.675*'03_原始数据'!B202-OtherCost</f>
        <v/>
      </c>
      <c r="AC202" s="37">
        <f>'03_原始数据'!C202-0.68*'03_原始数据'!B202-OtherCost</f>
        <v/>
      </c>
      <c r="AD202" s="37">
        <f>'03_原始数据'!C202-0.685*'03_原始数据'!B202-OtherCost</f>
        <v/>
      </c>
      <c r="AE202" s="37">
        <f>'03_原始数据'!C202-0.69*'03_原始数据'!B202-OtherCost</f>
        <v/>
      </c>
      <c r="AF202" s="37">
        <f>'03_原始数据'!C202-0.695*'03_原始数据'!B202-OtherCost</f>
        <v/>
      </c>
      <c r="AG202" s="37">
        <f>'03_原始数据'!C202-0.7*'03_原始数据'!B202-OtherCost</f>
        <v/>
      </c>
    </row>
    <row r="203">
      <c r="M203" s="37">
        <f>'03_原始数据'!C203-0.6*'03_原始数据'!B203-OtherCost</f>
        <v/>
      </c>
      <c r="N203" s="37">
        <f>'03_原始数据'!C203-0.605*'03_原始数据'!B203-OtherCost</f>
        <v/>
      </c>
      <c r="O203" s="37">
        <f>'03_原始数据'!C203-0.61*'03_原始数据'!B203-OtherCost</f>
        <v/>
      </c>
      <c r="P203" s="37">
        <f>'03_原始数据'!C203-0.615*'03_原始数据'!B203-OtherCost</f>
        <v/>
      </c>
      <c r="Q203" s="37">
        <f>'03_原始数据'!C203-0.62*'03_原始数据'!B203-OtherCost</f>
        <v/>
      </c>
      <c r="R203" s="37">
        <f>'03_原始数据'!C203-0.625*'03_原始数据'!B203-OtherCost</f>
        <v/>
      </c>
      <c r="S203" s="37">
        <f>'03_原始数据'!C203-0.63*'03_原始数据'!B203-OtherCost</f>
        <v/>
      </c>
      <c r="T203" s="37">
        <f>'03_原始数据'!C203-0.635*'03_原始数据'!B203-OtherCost</f>
        <v/>
      </c>
      <c r="U203" s="37">
        <f>'03_原始数据'!C203-0.64*'03_原始数据'!B203-OtherCost</f>
        <v/>
      </c>
      <c r="V203" s="37">
        <f>'03_原始数据'!C203-0.645*'03_原始数据'!B203-OtherCost</f>
        <v/>
      </c>
      <c r="W203" s="37">
        <f>'03_原始数据'!C203-0.65*'03_原始数据'!B203-OtherCost</f>
        <v/>
      </c>
      <c r="X203" s="37">
        <f>'03_原始数据'!C203-0.655*'03_原始数据'!B203-OtherCost</f>
        <v/>
      </c>
      <c r="Y203" s="37">
        <f>'03_原始数据'!C203-0.66*'03_原始数据'!B203-OtherCost</f>
        <v/>
      </c>
      <c r="Z203" s="37">
        <f>'03_原始数据'!C203-0.665*'03_原始数据'!B203-OtherCost</f>
        <v/>
      </c>
      <c r="AA203" s="37">
        <f>'03_原始数据'!C203-0.67*'03_原始数据'!B203-OtherCost</f>
        <v/>
      </c>
      <c r="AB203" s="37">
        <f>'03_原始数据'!C203-0.675*'03_原始数据'!B203-OtherCost</f>
        <v/>
      </c>
      <c r="AC203" s="37">
        <f>'03_原始数据'!C203-0.68*'03_原始数据'!B203-OtherCost</f>
        <v/>
      </c>
      <c r="AD203" s="37">
        <f>'03_原始数据'!C203-0.685*'03_原始数据'!B203-OtherCost</f>
        <v/>
      </c>
      <c r="AE203" s="37">
        <f>'03_原始数据'!C203-0.69*'03_原始数据'!B203-OtherCost</f>
        <v/>
      </c>
      <c r="AF203" s="37">
        <f>'03_原始数据'!C203-0.695*'03_原始数据'!B203-OtherCost</f>
        <v/>
      </c>
      <c r="AG203" s="37">
        <f>'03_原始数据'!C203-0.7*'03_原始数据'!B203-OtherCost</f>
        <v/>
      </c>
    </row>
    <row r="204">
      <c r="M204" s="37">
        <f>'03_原始数据'!C204-0.6*'03_原始数据'!B204-OtherCost</f>
        <v/>
      </c>
      <c r="N204" s="37">
        <f>'03_原始数据'!C204-0.605*'03_原始数据'!B204-OtherCost</f>
        <v/>
      </c>
      <c r="O204" s="37">
        <f>'03_原始数据'!C204-0.61*'03_原始数据'!B204-OtherCost</f>
        <v/>
      </c>
      <c r="P204" s="37">
        <f>'03_原始数据'!C204-0.615*'03_原始数据'!B204-OtherCost</f>
        <v/>
      </c>
      <c r="Q204" s="37">
        <f>'03_原始数据'!C204-0.62*'03_原始数据'!B204-OtherCost</f>
        <v/>
      </c>
      <c r="R204" s="37">
        <f>'03_原始数据'!C204-0.625*'03_原始数据'!B204-OtherCost</f>
        <v/>
      </c>
      <c r="S204" s="37">
        <f>'03_原始数据'!C204-0.63*'03_原始数据'!B204-OtherCost</f>
        <v/>
      </c>
      <c r="T204" s="37">
        <f>'03_原始数据'!C204-0.635*'03_原始数据'!B204-OtherCost</f>
        <v/>
      </c>
      <c r="U204" s="37">
        <f>'03_原始数据'!C204-0.64*'03_原始数据'!B204-OtherCost</f>
        <v/>
      </c>
      <c r="V204" s="37">
        <f>'03_原始数据'!C204-0.645*'03_原始数据'!B204-OtherCost</f>
        <v/>
      </c>
      <c r="W204" s="37">
        <f>'03_原始数据'!C204-0.65*'03_原始数据'!B204-OtherCost</f>
        <v/>
      </c>
      <c r="X204" s="37">
        <f>'03_原始数据'!C204-0.655*'03_原始数据'!B204-OtherCost</f>
        <v/>
      </c>
      <c r="Y204" s="37">
        <f>'03_原始数据'!C204-0.66*'03_原始数据'!B204-OtherCost</f>
        <v/>
      </c>
      <c r="Z204" s="37">
        <f>'03_原始数据'!C204-0.665*'03_原始数据'!B204-OtherCost</f>
        <v/>
      </c>
      <c r="AA204" s="37">
        <f>'03_原始数据'!C204-0.67*'03_原始数据'!B204-OtherCost</f>
        <v/>
      </c>
      <c r="AB204" s="37">
        <f>'03_原始数据'!C204-0.675*'03_原始数据'!B204-OtherCost</f>
        <v/>
      </c>
      <c r="AC204" s="37">
        <f>'03_原始数据'!C204-0.68*'03_原始数据'!B204-OtherCost</f>
        <v/>
      </c>
      <c r="AD204" s="37">
        <f>'03_原始数据'!C204-0.685*'03_原始数据'!B204-OtherCost</f>
        <v/>
      </c>
      <c r="AE204" s="37">
        <f>'03_原始数据'!C204-0.69*'03_原始数据'!B204-OtherCost</f>
        <v/>
      </c>
      <c r="AF204" s="37">
        <f>'03_原始数据'!C204-0.695*'03_原始数据'!B204-OtherCost</f>
        <v/>
      </c>
      <c r="AG204" s="37">
        <f>'03_原始数据'!C204-0.7*'03_原始数据'!B204-OtherCost</f>
        <v/>
      </c>
    </row>
    <row r="205">
      <c r="M205" s="37">
        <f>'03_原始数据'!C205-0.6*'03_原始数据'!B205-OtherCost</f>
        <v/>
      </c>
      <c r="N205" s="37">
        <f>'03_原始数据'!C205-0.605*'03_原始数据'!B205-OtherCost</f>
        <v/>
      </c>
      <c r="O205" s="37">
        <f>'03_原始数据'!C205-0.61*'03_原始数据'!B205-OtherCost</f>
        <v/>
      </c>
      <c r="P205" s="37">
        <f>'03_原始数据'!C205-0.615*'03_原始数据'!B205-OtherCost</f>
        <v/>
      </c>
      <c r="Q205" s="37">
        <f>'03_原始数据'!C205-0.62*'03_原始数据'!B205-OtherCost</f>
        <v/>
      </c>
      <c r="R205" s="37">
        <f>'03_原始数据'!C205-0.625*'03_原始数据'!B205-OtherCost</f>
        <v/>
      </c>
      <c r="S205" s="37">
        <f>'03_原始数据'!C205-0.63*'03_原始数据'!B205-OtherCost</f>
        <v/>
      </c>
      <c r="T205" s="37">
        <f>'03_原始数据'!C205-0.635*'03_原始数据'!B205-OtherCost</f>
        <v/>
      </c>
      <c r="U205" s="37">
        <f>'03_原始数据'!C205-0.64*'03_原始数据'!B205-OtherCost</f>
        <v/>
      </c>
      <c r="V205" s="37">
        <f>'03_原始数据'!C205-0.645*'03_原始数据'!B205-OtherCost</f>
        <v/>
      </c>
      <c r="W205" s="37">
        <f>'03_原始数据'!C205-0.65*'03_原始数据'!B205-OtherCost</f>
        <v/>
      </c>
      <c r="X205" s="37">
        <f>'03_原始数据'!C205-0.655*'03_原始数据'!B205-OtherCost</f>
        <v/>
      </c>
      <c r="Y205" s="37">
        <f>'03_原始数据'!C205-0.66*'03_原始数据'!B205-OtherCost</f>
        <v/>
      </c>
      <c r="Z205" s="37">
        <f>'03_原始数据'!C205-0.665*'03_原始数据'!B205-OtherCost</f>
        <v/>
      </c>
      <c r="AA205" s="37">
        <f>'03_原始数据'!C205-0.67*'03_原始数据'!B205-OtherCost</f>
        <v/>
      </c>
      <c r="AB205" s="37">
        <f>'03_原始数据'!C205-0.675*'03_原始数据'!B205-OtherCost</f>
        <v/>
      </c>
      <c r="AC205" s="37">
        <f>'03_原始数据'!C205-0.68*'03_原始数据'!B205-OtherCost</f>
        <v/>
      </c>
      <c r="AD205" s="37">
        <f>'03_原始数据'!C205-0.685*'03_原始数据'!B205-OtherCost</f>
        <v/>
      </c>
      <c r="AE205" s="37">
        <f>'03_原始数据'!C205-0.69*'03_原始数据'!B205-OtherCost</f>
        <v/>
      </c>
      <c r="AF205" s="37">
        <f>'03_原始数据'!C205-0.695*'03_原始数据'!B205-OtherCost</f>
        <v/>
      </c>
      <c r="AG205" s="37">
        <f>'03_原始数据'!C205-0.7*'03_原始数据'!B205-OtherCost</f>
        <v/>
      </c>
    </row>
    <row r="206">
      <c r="M206" s="37">
        <f>'03_原始数据'!C206-0.6*'03_原始数据'!B206-OtherCost</f>
        <v/>
      </c>
      <c r="N206" s="37">
        <f>'03_原始数据'!C206-0.605*'03_原始数据'!B206-OtherCost</f>
        <v/>
      </c>
      <c r="O206" s="37">
        <f>'03_原始数据'!C206-0.61*'03_原始数据'!B206-OtherCost</f>
        <v/>
      </c>
      <c r="P206" s="37">
        <f>'03_原始数据'!C206-0.615*'03_原始数据'!B206-OtherCost</f>
        <v/>
      </c>
      <c r="Q206" s="37">
        <f>'03_原始数据'!C206-0.62*'03_原始数据'!B206-OtherCost</f>
        <v/>
      </c>
      <c r="R206" s="37">
        <f>'03_原始数据'!C206-0.625*'03_原始数据'!B206-OtherCost</f>
        <v/>
      </c>
      <c r="S206" s="37">
        <f>'03_原始数据'!C206-0.63*'03_原始数据'!B206-OtherCost</f>
        <v/>
      </c>
      <c r="T206" s="37">
        <f>'03_原始数据'!C206-0.635*'03_原始数据'!B206-OtherCost</f>
        <v/>
      </c>
      <c r="U206" s="37">
        <f>'03_原始数据'!C206-0.64*'03_原始数据'!B206-OtherCost</f>
        <v/>
      </c>
      <c r="V206" s="37">
        <f>'03_原始数据'!C206-0.645*'03_原始数据'!B206-OtherCost</f>
        <v/>
      </c>
      <c r="W206" s="37">
        <f>'03_原始数据'!C206-0.65*'03_原始数据'!B206-OtherCost</f>
        <v/>
      </c>
      <c r="X206" s="37">
        <f>'03_原始数据'!C206-0.655*'03_原始数据'!B206-OtherCost</f>
        <v/>
      </c>
      <c r="Y206" s="37">
        <f>'03_原始数据'!C206-0.66*'03_原始数据'!B206-OtherCost</f>
        <v/>
      </c>
      <c r="Z206" s="37">
        <f>'03_原始数据'!C206-0.665*'03_原始数据'!B206-OtherCost</f>
        <v/>
      </c>
      <c r="AA206" s="37">
        <f>'03_原始数据'!C206-0.67*'03_原始数据'!B206-OtherCost</f>
        <v/>
      </c>
      <c r="AB206" s="37">
        <f>'03_原始数据'!C206-0.675*'03_原始数据'!B206-OtherCost</f>
        <v/>
      </c>
      <c r="AC206" s="37">
        <f>'03_原始数据'!C206-0.68*'03_原始数据'!B206-OtherCost</f>
        <v/>
      </c>
      <c r="AD206" s="37">
        <f>'03_原始数据'!C206-0.685*'03_原始数据'!B206-OtherCost</f>
        <v/>
      </c>
      <c r="AE206" s="37">
        <f>'03_原始数据'!C206-0.69*'03_原始数据'!B206-OtherCost</f>
        <v/>
      </c>
      <c r="AF206" s="37">
        <f>'03_原始数据'!C206-0.695*'03_原始数据'!B206-OtherCost</f>
        <v/>
      </c>
      <c r="AG206" s="37">
        <f>'03_原始数据'!C206-0.7*'03_原始数据'!B206-OtherCost</f>
        <v/>
      </c>
    </row>
    <row r="207">
      <c r="M207" s="37">
        <f>'03_原始数据'!C207-0.6*'03_原始数据'!B207-OtherCost</f>
        <v/>
      </c>
      <c r="N207" s="37">
        <f>'03_原始数据'!C207-0.605*'03_原始数据'!B207-OtherCost</f>
        <v/>
      </c>
      <c r="O207" s="37">
        <f>'03_原始数据'!C207-0.61*'03_原始数据'!B207-OtherCost</f>
        <v/>
      </c>
      <c r="P207" s="37">
        <f>'03_原始数据'!C207-0.615*'03_原始数据'!B207-OtherCost</f>
        <v/>
      </c>
      <c r="Q207" s="37">
        <f>'03_原始数据'!C207-0.62*'03_原始数据'!B207-OtherCost</f>
        <v/>
      </c>
      <c r="R207" s="37">
        <f>'03_原始数据'!C207-0.625*'03_原始数据'!B207-OtherCost</f>
        <v/>
      </c>
      <c r="S207" s="37">
        <f>'03_原始数据'!C207-0.63*'03_原始数据'!B207-OtherCost</f>
        <v/>
      </c>
      <c r="T207" s="37">
        <f>'03_原始数据'!C207-0.635*'03_原始数据'!B207-OtherCost</f>
        <v/>
      </c>
      <c r="U207" s="37">
        <f>'03_原始数据'!C207-0.64*'03_原始数据'!B207-OtherCost</f>
        <v/>
      </c>
      <c r="V207" s="37">
        <f>'03_原始数据'!C207-0.645*'03_原始数据'!B207-OtherCost</f>
        <v/>
      </c>
      <c r="W207" s="37">
        <f>'03_原始数据'!C207-0.65*'03_原始数据'!B207-OtherCost</f>
        <v/>
      </c>
      <c r="X207" s="37">
        <f>'03_原始数据'!C207-0.655*'03_原始数据'!B207-OtherCost</f>
        <v/>
      </c>
      <c r="Y207" s="37">
        <f>'03_原始数据'!C207-0.66*'03_原始数据'!B207-OtherCost</f>
        <v/>
      </c>
      <c r="Z207" s="37">
        <f>'03_原始数据'!C207-0.665*'03_原始数据'!B207-OtherCost</f>
        <v/>
      </c>
      <c r="AA207" s="37">
        <f>'03_原始数据'!C207-0.67*'03_原始数据'!B207-OtherCost</f>
        <v/>
      </c>
      <c r="AB207" s="37">
        <f>'03_原始数据'!C207-0.675*'03_原始数据'!B207-OtherCost</f>
        <v/>
      </c>
      <c r="AC207" s="37">
        <f>'03_原始数据'!C207-0.68*'03_原始数据'!B207-OtherCost</f>
        <v/>
      </c>
      <c r="AD207" s="37">
        <f>'03_原始数据'!C207-0.685*'03_原始数据'!B207-OtherCost</f>
        <v/>
      </c>
      <c r="AE207" s="37">
        <f>'03_原始数据'!C207-0.69*'03_原始数据'!B207-OtherCost</f>
        <v/>
      </c>
      <c r="AF207" s="37">
        <f>'03_原始数据'!C207-0.695*'03_原始数据'!B207-OtherCost</f>
        <v/>
      </c>
      <c r="AG207" s="37">
        <f>'03_原始数据'!C207-0.7*'03_原始数据'!B207-OtherCost</f>
        <v/>
      </c>
    </row>
    <row r="208">
      <c r="M208" s="37">
        <f>'03_原始数据'!C208-0.6*'03_原始数据'!B208-OtherCost</f>
        <v/>
      </c>
      <c r="N208" s="37">
        <f>'03_原始数据'!C208-0.605*'03_原始数据'!B208-OtherCost</f>
        <v/>
      </c>
      <c r="O208" s="37">
        <f>'03_原始数据'!C208-0.61*'03_原始数据'!B208-OtherCost</f>
        <v/>
      </c>
      <c r="P208" s="37">
        <f>'03_原始数据'!C208-0.615*'03_原始数据'!B208-OtherCost</f>
        <v/>
      </c>
      <c r="Q208" s="37">
        <f>'03_原始数据'!C208-0.62*'03_原始数据'!B208-OtherCost</f>
        <v/>
      </c>
      <c r="R208" s="37">
        <f>'03_原始数据'!C208-0.625*'03_原始数据'!B208-OtherCost</f>
        <v/>
      </c>
      <c r="S208" s="37">
        <f>'03_原始数据'!C208-0.63*'03_原始数据'!B208-OtherCost</f>
        <v/>
      </c>
      <c r="T208" s="37">
        <f>'03_原始数据'!C208-0.635*'03_原始数据'!B208-OtherCost</f>
        <v/>
      </c>
      <c r="U208" s="37">
        <f>'03_原始数据'!C208-0.64*'03_原始数据'!B208-OtherCost</f>
        <v/>
      </c>
      <c r="V208" s="37">
        <f>'03_原始数据'!C208-0.645*'03_原始数据'!B208-OtherCost</f>
        <v/>
      </c>
      <c r="W208" s="37">
        <f>'03_原始数据'!C208-0.65*'03_原始数据'!B208-OtherCost</f>
        <v/>
      </c>
      <c r="X208" s="37">
        <f>'03_原始数据'!C208-0.655*'03_原始数据'!B208-OtherCost</f>
        <v/>
      </c>
      <c r="Y208" s="37">
        <f>'03_原始数据'!C208-0.66*'03_原始数据'!B208-OtherCost</f>
        <v/>
      </c>
      <c r="Z208" s="37">
        <f>'03_原始数据'!C208-0.665*'03_原始数据'!B208-OtherCost</f>
        <v/>
      </c>
      <c r="AA208" s="37">
        <f>'03_原始数据'!C208-0.67*'03_原始数据'!B208-OtherCost</f>
        <v/>
      </c>
      <c r="AB208" s="37">
        <f>'03_原始数据'!C208-0.675*'03_原始数据'!B208-OtherCost</f>
        <v/>
      </c>
      <c r="AC208" s="37">
        <f>'03_原始数据'!C208-0.68*'03_原始数据'!B208-OtherCost</f>
        <v/>
      </c>
      <c r="AD208" s="37">
        <f>'03_原始数据'!C208-0.685*'03_原始数据'!B208-OtherCost</f>
        <v/>
      </c>
      <c r="AE208" s="37">
        <f>'03_原始数据'!C208-0.69*'03_原始数据'!B208-OtherCost</f>
        <v/>
      </c>
      <c r="AF208" s="37">
        <f>'03_原始数据'!C208-0.695*'03_原始数据'!B208-OtherCost</f>
        <v/>
      </c>
      <c r="AG208" s="37">
        <f>'03_原始数据'!C208-0.7*'03_原始数据'!B208-OtherCost</f>
        <v/>
      </c>
    </row>
    <row r="209">
      <c r="M209" s="37">
        <f>'03_原始数据'!C209-0.6*'03_原始数据'!B209-OtherCost</f>
        <v/>
      </c>
      <c r="N209" s="37">
        <f>'03_原始数据'!C209-0.605*'03_原始数据'!B209-OtherCost</f>
        <v/>
      </c>
      <c r="O209" s="37">
        <f>'03_原始数据'!C209-0.61*'03_原始数据'!B209-OtherCost</f>
        <v/>
      </c>
      <c r="P209" s="37">
        <f>'03_原始数据'!C209-0.615*'03_原始数据'!B209-OtherCost</f>
        <v/>
      </c>
      <c r="Q209" s="37">
        <f>'03_原始数据'!C209-0.62*'03_原始数据'!B209-OtherCost</f>
        <v/>
      </c>
      <c r="R209" s="37">
        <f>'03_原始数据'!C209-0.625*'03_原始数据'!B209-OtherCost</f>
        <v/>
      </c>
      <c r="S209" s="37">
        <f>'03_原始数据'!C209-0.63*'03_原始数据'!B209-OtherCost</f>
        <v/>
      </c>
      <c r="T209" s="37">
        <f>'03_原始数据'!C209-0.635*'03_原始数据'!B209-OtherCost</f>
        <v/>
      </c>
      <c r="U209" s="37">
        <f>'03_原始数据'!C209-0.64*'03_原始数据'!B209-OtherCost</f>
        <v/>
      </c>
      <c r="V209" s="37">
        <f>'03_原始数据'!C209-0.645*'03_原始数据'!B209-OtherCost</f>
        <v/>
      </c>
      <c r="W209" s="37">
        <f>'03_原始数据'!C209-0.65*'03_原始数据'!B209-OtherCost</f>
        <v/>
      </c>
      <c r="X209" s="37">
        <f>'03_原始数据'!C209-0.655*'03_原始数据'!B209-OtherCost</f>
        <v/>
      </c>
      <c r="Y209" s="37">
        <f>'03_原始数据'!C209-0.66*'03_原始数据'!B209-OtherCost</f>
        <v/>
      </c>
      <c r="Z209" s="37">
        <f>'03_原始数据'!C209-0.665*'03_原始数据'!B209-OtherCost</f>
        <v/>
      </c>
      <c r="AA209" s="37">
        <f>'03_原始数据'!C209-0.67*'03_原始数据'!B209-OtherCost</f>
        <v/>
      </c>
      <c r="AB209" s="37">
        <f>'03_原始数据'!C209-0.675*'03_原始数据'!B209-OtherCost</f>
        <v/>
      </c>
      <c r="AC209" s="37">
        <f>'03_原始数据'!C209-0.68*'03_原始数据'!B209-OtherCost</f>
        <v/>
      </c>
      <c r="AD209" s="37">
        <f>'03_原始数据'!C209-0.685*'03_原始数据'!B209-OtherCost</f>
        <v/>
      </c>
      <c r="AE209" s="37">
        <f>'03_原始数据'!C209-0.69*'03_原始数据'!B209-OtherCost</f>
        <v/>
      </c>
      <c r="AF209" s="37">
        <f>'03_原始数据'!C209-0.695*'03_原始数据'!B209-OtherCost</f>
        <v/>
      </c>
      <c r="AG209" s="37">
        <f>'03_原始数据'!C209-0.7*'03_原始数据'!B209-OtherCost</f>
        <v/>
      </c>
    </row>
    <row r="210">
      <c r="M210" s="37">
        <f>'03_原始数据'!C210-0.6*'03_原始数据'!B210-OtherCost</f>
        <v/>
      </c>
      <c r="N210" s="37">
        <f>'03_原始数据'!C210-0.605*'03_原始数据'!B210-OtherCost</f>
        <v/>
      </c>
      <c r="O210" s="37">
        <f>'03_原始数据'!C210-0.61*'03_原始数据'!B210-OtherCost</f>
        <v/>
      </c>
      <c r="P210" s="37">
        <f>'03_原始数据'!C210-0.615*'03_原始数据'!B210-OtherCost</f>
        <v/>
      </c>
      <c r="Q210" s="37">
        <f>'03_原始数据'!C210-0.62*'03_原始数据'!B210-OtherCost</f>
        <v/>
      </c>
      <c r="R210" s="37">
        <f>'03_原始数据'!C210-0.625*'03_原始数据'!B210-OtherCost</f>
        <v/>
      </c>
      <c r="S210" s="37">
        <f>'03_原始数据'!C210-0.63*'03_原始数据'!B210-OtherCost</f>
        <v/>
      </c>
      <c r="T210" s="37">
        <f>'03_原始数据'!C210-0.635*'03_原始数据'!B210-OtherCost</f>
        <v/>
      </c>
      <c r="U210" s="37">
        <f>'03_原始数据'!C210-0.64*'03_原始数据'!B210-OtherCost</f>
        <v/>
      </c>
      <c r="V210" s="37">
        <f>'03_原始数据'!C210-0.645*'03_原始数据'!B210-OtherCost</f>
        <v/>
      </c>
      <c r="W210" s="37">
        <f>'03_原始数据'!C210-0.65*'03_原始数据'!B210-OtherCost</f>
        <v/>
      </c>
      <c r="X210" s="37">
        <f>'03_原始数据'!C210-0.655*'03_原始数据'!B210-OtherCost</f>
        <v/>
      </c>
      <c r="Y210" s="37">
        <f>'03_原始数据'!C210-0.66*'03_原始数据'!B210-OtherCost</f>
        <v/>
      </c>
      <c r="Z210" s="37">
        <f>'03_原始数据'!C210-0.665*'03_原始数据'!B210-OtherCost</f>
        <v/>
      </c>
      <c r="AA210" s="37">
        <f>'03_原始数据'!C210-0.67*'03_原始数据'!B210-OtherCost</f>
        <v/>
      </c>
      <c r="AB210" s="37">
        <f>'03_原始数据'!C210-0.675*'03_原始数据'!B210-OtherCost</f>
        <v/>
      </c>
      <c r="AC210" s="37">
        <f>'03_原始数据'!C210-0.68*'03_原始数据'!B210-OtherCost</f>
        <v/>
      </c>
      <c r="AD210" s="37">
        <f>'03_原始数据'!C210-0.685*'03_原始数据'!B210-OtherCost</f>
        <v/>
      </c>
      <c r="AE210" s="37">
        <f>'03_原始数据'!C210-0.69*'03_原始数据'!B210-OtherCost</f>
        <v/>
      </c>
      <c r="AF210" s="37">
        <f>'03_原始数据'!C210-0.695*'03_原始数据'!B210-OtherCost</f>
        <v/>
      </c>
      <c r="AG210" s="37">
        <f>'03_原始数据'!C210-0.7*'03_原始数据'!B210-OtherCost</f>
        <v/>
      </c>
    </row>
    <row r="211">
      <c r="M211" s="37">
        <f>'03_原始数据'!C211-0.6*'03_原始数据'!B211-OtherCost</f>
        <v/>
      </c>
      <c r="N211" s="37">
        <f>'03_原始数据'!C211-0.605*'03_原始数据'!B211-OtherCost</f>
        <v/>
      </c>
      <c r="O211" s="37">
        <f>'03_原始数据'!C211-0.61*'03_原始数据'!B211-OtherCost</f>
        <v/>
      </c>
      <c r="P211" s="37">
        <f>'03_原始数据'!C211-0.615*'03_原始数据'!B211-OtherCost</f>
        <v/>
      </c>
      <c r="Q211" s="37">
        <f>'03_原始数据'!C211-0.62*'03_原始数据'!B211-OtherCost</f>
        <v/>
      </c>
      <c r="R211" s="37">
        <f>'03_原始数据'!C211-0.625*'03_原始数据'!B211-OtherCost</f>
        <v/>
      </c>
      <c r="S211" s="37">
        <f>'03_原始数据'!C211-0.63*'03_原始数据'!B211-OtherCost</f>
        <v/>
      </c>
      <c r="T211" s="37">
        <f>'03_原始数据'!C211-0.635*'03_原始数据'!B211-OtherCost</f>
        <v/>
      </c>
      <c r="U211" s="37">
        <f>'03_原始数据'!C211-0.64*'03_原始数据'!B211-OtherCost</f>
        <v/>
      </c>
      <c r="V211" s="37">
        <f>'03_原始数据'!C211-0.645*'03_原始数据'!B211-OtherCost</f>
        <v/>
      </c>
      <c r="W211" s="37">
        <f>'03_原始数据'!C211-0.65*'03_原始数据'!B211-OtherCost</f>
        <v/>
      </c>
      <c r="X211" s="37">
        <f>'03_原始数据'!C211-0.655*'03_原始数据'!B211-OtherCost</f>
        <v/>
      </c>
      <c r="Y211" s="37">
        <f>'03_原始数据'!C211-0.66*'03_原始数据'!B211-OtherCost</f>
        <v/>
      </c>
      <c r="Z211" s="37">
        <f>'03_原始数据'!C211-0.665*'03_原始数据'!B211-OtherCost</f>
        <v/>
      </c>
      <c r="AA211" s="37">
        <f>'03_原始数据'!C211-0.67*'03_原始数据'!B211-OtherCost</f>
        <v/>
      </c>
      <c r="AB211" s="37">
        <f>'03_原始数据'!C211-0.675*'03_原始数据'!B211-OtherCost</f>
        <v/>
      </c>
      <c r="AC211" s="37">
        <f>'03_原始数据'!C211-0.68*'03_原始数据'!B211-OtherCost</f>
        <v/>
      </c>
      <c r="AD211" s="37">
        <f>'03_原始数据'!C211-0.685*'03_原始数据'!B211-OtherCost</f>
        <v/>
      </c>
      <c r="AE211" s="37">
        <f>'03_原始数据'!C211-0.69*'03_原始数据'!B211-OtherCost</f>
        <v/>
      </c>
      <c r="AF211" s="37">
        <f>'03_原始数据'!C211-0.695*'03_原始数据'!B211-OtherCost</f>
        <v/>
      </c>
      <c r="AG211" s="37">
        <f>'03_原始数据'!C211-0.7*'03_原始数据'!B211-OtherCost</f>
        <v/>
      </c>
    </row>
    <row r="212">
      <c r="M212" s="37">
        <f>'03_原始数据'!C212-0.6*'03_原始数据'!B212-OtherCost</f>
        <v/>
      </c>
      <c r="N212" s="37">
        <f>'03_原始数据'!C212-0.605*'03_原始数据'!B212-OtherCost</f>
        <v/>
      </c>
      <c r="O212" s="37">
        <f>'03_原始数据'!C212-0.61*'03_原始数据'!B212-OtherCost</f>
        <v/>
      </c>
      <c r="P212" s="37">
        <f>'03_原始数据'!C212-0.615*'03_原始数据'!B212-OtherCost</f>
        <v/>
      </c>
      <c r="Q212" s="37">
        <f>'03_原始数据'!C212-0.62*'03_原始数据'!B212-OtherCost</f>
        <v/>
      </c>
      <c r="R212" s="37">
        <f>'03_原始数据'!C212-0.625*'03_原始数据'!B212-OtherCost</f>
        <v/>
      </c>
      <c r="S212" s="37">
        <f>'03_原始数据'!C212-0.63*'03_原始数据'!B212-OtherCost</f>
        <v/>
      </c>
      <c r="T212" s="37">
        <f>'03_原始数据'!C212-0.635*'03_原始数据'!B212-OtherCost</f>
        <v/>
      </c>
      <c r="U212" s="37">
        <f>'03_原始数据'!C212-0.64*'03_原始数据'!B212-OtherCost</f>
        <v/>
      </c>
      <c r="V212" s="37">
        <f>'03_原始数据'!C212-0.645*'03_原始数据'!B212-OtherCost</f>
        <v/>
      </c>
      <c r="W212" s="37">
        <f>'03_原始数据'!C212-0.65*'03_原始数据'!B212-OtherCost</f>
        <v/>
      </c>
      <c r="X212" s="37">
        <f>'03_原始数据'!C212-0.655*'03_原始数据'!B212-OtherCost</f>
        <v/>
      </c>
      <c r="Y212" s="37">
        <f>'03_原始数据'!C212-0.66*'03_原始数据'!B212-OtherCost</f>
        <v/>
      </c>
      <c r="Z212" s="37">
        <f>'03_原始数据'!C212-0.665*'03_原始数据'!B212-OtherCost</f>
        <v/>
      </c>
      <c r="AA212" s="37">
        <f>'03_原始数据'!C212-0.67*'03_原始数据'!B212-OtherCost</f>
        <v/>
      </c>
      <c r="AB212" s="37">
        <f>'03_原始数据'!C212-0.675*'03_原始数据'!B212-OtherCost</f>
        <v/>
      </c>
      <c r="AC212" s="37">
        <f>'03_原始数据'!C212-0.68*'03_原始数据'!B212-OtherCost</f>
        <v/>
      </c>
      <c r="AD212" s="37">
        <f>'03_原始数据'!C212-0.685*'03_原始数据'!B212-OtherCost</f>
        <v/>
      </c>
      <c r="AE212" s="37">
        <f>'03_原始数据'!C212-0.69*'03_原始数据'!B212-OtherCost</f>
        <v/>
      </c>
      <c r="AF212" s="37">
        <f>'03_原始数据'!C212-0.695*'03_原始数据'!B212-OtherCost</f>
        <v/>
      </c>
      <c r="AG212" s="37">
        <f>'03_原始数据'!C212-0.7*'03_原始数据'!B212-OtherCost</f>
        <v/>
      </c>
    </row>
    <row r="213">
      <c r="M213" s="37">
        <f>'03_原始数据'!C213-0.6*'03_原始数据'!B213-OtherCost</f>
        <v/>
      </c>
      <c r="N213" s="37">
        <f>'03_原始数据'!C213-0.605*'03_原始数据'!B213-OtherCost</f>
        <v/>
      </c>
      <c r="O213" s="37">
        <f>'03_原始数据'!C213-0.61*'03_原始数据'!B213-OtherCost</f>
        <v/>
      </c>
      <c r="P213" s="37">
        <f>'03_原始数据'!C213-0.615*'03_原始数据'!B213-OtherCost</f>
        <v/>
      </c>
      <c r="Q213" s="37">
        <f>'03_原始数据'!C213-0.62*'03_原始数据'!B213-OtherCost</f>
        <v/>
      </c>
      <c r="R213" s="37">
        <f>'03_原始数据'!C213-0.625*'03_原始数据'!B213-OtherCost</f>
        <v/>
      </c>
      <c r="S213" s="37">
        <f>'03_原始数据'!C213-0.63*'03_原始数据'!B213-OtherCost</f>
        <v/>
      </c>
      <c r="T213" s="37">
        <f>'03_原始数据'!C213-0.635*'03_原始数据'!B213-OtherCost</f>
        <v/>
      </c>
      <c r="U213" s="37">
        <f>'03_原始数据'!C213-0.64*'03_原始数据'!B213-OtherCost</f>
        <v/>
      </c>
      <c r="V213" s="37">
        <f>'03_原始数据'!C213-0.645*'03_原始数据'!B213-OtherCost</f>
        <v/>
      </c>
      <c r="W213" s="37">
        <f>'03_原始数据'!C213-0.65*'03_原始数据'!B213-OtherCost</f>
        <v/>
      </c>
      <c r="X213" s="37">
        <f>'03_原始数据'!C213-0.655*'03_原始数据'!B213-OtherCost</f>
        <v/>
      </c>
      <c r="Y213" s="37">
        <f>'03_原始数据'!C213-0.66*'03_原始数据'!B213-OtherCost</f>
        <v/>
      </c>
      <c r="Z213" s="37">
        <f>'03_原始数据'!C213-0.665*'03_原始数据'!B213-OtherCost</f>
        <v/>
      </c>
      <c r="AA213" s="37">
        <f>'03_原始数据'!C213-0.67*'03_原始数据'!B213-OtherCost</f>
        <v/>
      </c>
      <c r="AB213" s="37">
        <f>'03_原始数据'!C213-0.675*'03_原始数据'!B213-OtherCost</f>
        <v/>
      </c>
      <c r="AC213" s="37">
        <f>'03_原始数据'!C213-0.68*'03_原始数据'!B213-OtherCost</f>
        <v/>
      </c>
      <c r="AD213" s="37">
        <f>'03_原始数据'!C213-0.685*'03_原始数据'!B213-OtherCost</f>
        <v/>
      </c>
      <c r="AE213" s="37">
        <f>'03_原始数据'!C213-0.69*'03_原始数据'!B213-OtherCost</f>
        <v/>
      </c>
      <c r="AF213" s="37">
        <f>'03_原始数据'!C213-0.695*'03_原始数据'!B213-OtherCost</f>
        <v/>
      </c>
      <c r="AG213" s="37">
        <f>'03_原始数据'!C213-0.7*'03_原始数据'!B213-OtherCost</f>
        <v/>
      </c>
    </row>
    <row r="214">
      <c r="M214" s="37">
        <f>'03_原始数据'!C214-0.6*'03_原始数据'!B214-OtherCost</f>
        <v/>
      </c>
      <c r="N214" s="37">
        <f>'03_原始数据'!C214-0.605*'03_原始数据'!B214-OtherCost</f>
        <v/>
      </c>
      <c r="O214" s="37">
        <f>'03_原始数据'!C214-0.61*'03_原始数据'!B214-OtherCost</f>
        <v/>
      </c>
      <c r="P214" s="37">
        <f>'03_原始数据'!C214-0.615*'03_原始数据'!B214-OtherCost</f>
        <v/>
      </c>
      <c r="Q214" s="37">
        <f>'03_原始数据'!C214-0.62*'03_原始数据'!B214-OtherCost</f>
        <v/>
      </c>
      <c r="R214" s="37">
        <f>'03_原始数据'!C214-0.625*'03_原始数据'!B214-OtherCost</f>
        <v/>
      </c>
      <c r="S214" s="37">
        <f>'03_原始数据'!C214-0.63*'03_原始数据'!B214-OtherCost</f>
        <v/>
      </c>
      <c r="T214" s="37">
        <f>'03_原始数据'!C214-0.635*'03_原始数据'!B214-OtherCost</f>
        <v/>
      </c>
      <c r="U214" s="37">
        <f>'03_原始数据'!C214-0.64*'03_原始数据'!B214-OtherCost</f>
        <v/>
      </c>
      <c r="V214" s="37">
        <f>'03_原始数据'!C214-0.645*'03_原始数据'!B214-OtherCost</f>
        <v/>
      </c>
      <c r="W214" s="37">
        <f>'03_原始数据'!C214-0.65*'03_原始数据'!B214-OtherCost</f>
        <v/>
      </c>
      <c r="X214" s="37">
        <f>'03_原始数据'!C214-0.655*'03_原始数据'!B214-OtherCost</f>
        <v/>
      </c>
      <c r="Y214" s="37">
        <f>'03_原始数据'!C214-0.66*'03_原始数据'!B214-OtherCost</f>
        <v/>
      </c>
      <c r="Z214" s="37">
        <f>'03_原始数据'!C214-0.665*'03_原始数据'!B214-OtherCost</f>
        <v/>
      </c>
      <c r="AA214" s="37">
        <f>'03_原始数据'!C214-0.67*'03_原始数据'!B214-OtherCost</f>
        <v/>
      </c>
      <c r="AB214" s="37">
        <f>'03_原始数据'!C214-0.675*'03_原始数据'!B214-OtherCost</f>
        <v/>
      </c>
      <c r="AC214" s="37">
        <f>'03_原始数据'!C214-0.68*'03_原始数据'!B214-OtherCost</f>
        <v/>
      </c>
      <c r="AD214" s="37">
        <f>'03_原始数据'!C214-0.685*'03_原始数据'!B214-OtherCost</f>
        <v/>
      </c>
      <c r="AE214" s="37">
        <f>'03_原始数据'!C214-0.69*'03_原始数据'!B214-OtherCost</f>
        <v/>
      </c>
      <c r="AF214" s="37">
        <f>'03_原始数据'!C214-0.695*'03_原始数据'!B214-OtherCost</f>
        <v/>
      </c>
      <c r="AG214" s="37">
        <f>'03_原始数据'!C214-0.7*'03_原始数据'!B214-OtherCost</f>
        <v/>
      </c>
    </row>
    <row r="215">
      <c r="M215" s="37">
        <f>'03_原始数据'!C215-0.6*'03_原始数据'!B215-OtherCost</f>
        <v/>
      </c>
      <c r="N215" s="37">
        <f>'03_原始数据'!C215-0.605*'03_原始数据'!B215-OtherCost</f>
        <v/>
      </c>
      <c r="O215" s="37">
        <f>'03_原始数据'!C215-0.61*'03_原始数据'!B215-OtherCost</f>
        <v/>
      </c>
      <c r="P215" s="37">
        <f>'03_原始数据'!C215-0.615*'03_原始数据'!B215-OtherCost</f>
        <v/>
      </c>
      <c r="Q215" s="37">
        <f>'03_原始数据'!C215-0.62*'03_原始数据'!B215-OtherCost</f>
        <v/>
      </c>
      <c r="R215" s="37">
        <f>'03_原始数据'!C215-0.625*'03_原始数据'!B215-OtherCost</f>
        <v/>
      </c>
      <c r="S215" s="37">
        <f>'03_原始数据'!C215-0.63*'03_原始数据'!B215-OtherCost</f>
        <v/>
      </c>
      <c r="T215" s="37">
        <f>'03_原始数据'!C215-0.635*'03_原始数据'!B215-OtherCost</f>
        <v/>
      </c>
      <c r="U215" s="37">
        <f>'03_原始数据'!C215-0.64*'03_原始数据'!B215-OtherCost</f>
        <v/>
      </c>
      <c r="V215" s="37">
        <f>'03_原始数据'!C215-0.645*'03_原始数据'!B215-OtherCost</f>
        <v/>
      </c>
      <c r="W215" s="37">
        <f>'03_原始数据'!C215-0.65*'03_原始数据'!B215-OtherCost</f>
        <v/>
      </c>
      <c r="X215" s="37">
        <f>'03_原始数据'!C215-0.655*'03_原始数据'!B215-OtherCost</f>
        <v/>
      </c>
      <c r="Y215" s="37">
        <f>'03_原始数据'!C215-0.66*'03_原始数据'!B215-OtherCost</f>
        <v/>
      </c>
      <c r="Z215" s="37">
        <f>'03_原始数据'!C215-0.665*'03_原始数据'!B215-OtherCost</f>
        <v/>
      </c>
      <c r="AA215" s="37">
        <f>'03_原始数据'!C215-0.67*'03_原始数据'!B215-OtherCost</f>
        <v/>
      </c>
      <c r="AB215" s="37">
        <f>'03_原始数据'!C215-0.675*'03_原始数据'!B215-OtherCost</f>
        <v/>
      </c>
      <c r="AC215" s="37">
        <f>'03_原始数据'!C215-0.68*'03_原始数据'!B215-OtherCost</f>
        <v/>
      </c>
      <c r="AD215" s="37">
        <f>'03_原始数据'!C215-0.685*'03_原始数据'!B215-OtherCost</f>
        <v/>
      </c>
      <c r="AE215" s="37">
        <f>'03_原始数据'!C215-0.69*'03_原始数据'!B215-OtherCost</f>
        <v/>
      </c>
      <c r="AF215" s="37">
        <f>'03_原始数据'!C215-0.695*'03_原始数据'!B215-OtherCost</f>
        <v/>
      </c>
      <c r="AG215" s="37">
        <f>'03_原始数据'!C215-0.7*'03_原始数据'!B215-OtherCost</f>
        <v/>
      </c>
    </row>
    <row r="216">
      <c r="M216" s="37">
        <f>'03_原始数据'!C216-0.6*'03_原始数据'!B216-OtherCost</f>
        <v/>
      </c>
      <c r="N216" s="37">
        <f>'03_原始数据'!C216-0.605*'03_原始数据'!B216-OtherCost</f>
        <v/>
      </c>
      <c r="O216" s="37">
        <f>'03_原始数据'!C216-0.61*'03_原始数据'!B216-OtherCost</f>
        <v/>
      </c>
      <c r="P216" s="37">
        <f>'03_原始数据'!C216-0.615*'03_原始数据'!B216-OtherCost</f>
        <v/>
      </c>
      <c r="Q216" s="37">
        <f>'03_原始数据'!C216-0.62*'03_原始数据'!B216-OtherCost</f>
        <v/>
      </c>
      <c r="R216" s="37">
        <f>'03_原始数据'!C216-0.625*'03_原始数据'!B216-OtherCost</f>
        <v/>
      </c>
      <c r="S216" s="37">
        <f>'03_原始数据'!C216-0.63*'03_原始数据'!B216-OtherCost</f>
        <v/>
      </c>
      <c r="T216" s="37">
        <f>'03_原始数据'!C216-0.635*'03_原始数据'!B216-OtherCost</f>
        <v/>
      </c>
      <c r="U216" s="37">
        <f>'03_原始数据'!C216-0.64*'03_原始数据'!B216-OtherCost</f>
        <v/>
      </c>
      <c r="V216" s="37">
        <f>'03_原始数据'!C216-0.645*'03_原始数据'!B216-OtherCost</f>
        <v/>
      </c>
      <c r="W216" s="37">
        <f>'03_原始数据'!C216-0.65*'03_原始数据'!B216-OtherCost</f>
        <v/>
      </c>
      <c r="X216" s="37">
        <f>'03_原始数据'!C216-0.655*'03_原始数据'!B216-OtherCost</f>
        <v/>
      </c>
      <c r="Y216" s="37">
        <f>'03_原始数据'!C216-0.66*'03_原始数据'!B216-OtherCost</f>
        <v/>
      </c>
      <c r="Z216" s="37">
        <f>'03_原始数据'!C216-0.665*'03_原始数据'!B216-OtherCost</f>
        <v/>
      </c>
      <c r="AA216" s="37">
        <f>'03_原始数据'!C216-0.67*'03_原始数据'!B216-OtherCost</f>
        <v/>
      </c>
      <c r="AB216" s="37">
        <f>'03_原始数据'!C216-0.675*'03_原始数据'!B216-OtherCost</f>
        <v/>
      </c>
      <c r="AC216" s="37">
        <f>'03_原始数据'!C216-0.68*'03_原始数据'!B216-OtherCost</f>
        <v/>
      </c>
      <c r="AD216" s="37">
        <f>'03_原始数据'!C216-0.685*'03_原始数据'!B216-OtherCost</f>
        <v/>
      </c>
      <c r="AE216" s="37">
        <f>'03_原始数据'!C216-0.69*'03_原始数据'!B216-OtherCost</f>
        <v/>
      </c>
      <c r="AF216" s="37">
        <f>'03_原始数据'!C216-0.695*'03_原始数据'!B216-OtherCost</f>
        <v/>
      </c>
      <c r="AG216" s="37">
        <f>'03_原始数据'!C216-0.7*'03_原始数据'!B216-OtherCost</f>
        <v/>
      </c>
    </row>
    <row r="217">
      <c r="M217" s="37">
        <f>'03_原始数据'!C217-0.6*'03_原始数据'!B217-OtherCost</f>
        <v/>
      </c>
      <c r="N217" s="37">
        <f>'03_原始数据'!C217-0.605*'03_原始数据'!B217-OtherCost</f>
        <v/>
      </c>
      <c r="O217" s="37">
        <f>'03_原始数据'!C217-0.61*'03_原始数据'!B217-OtherCost</f>
        <v/>
      </c>
      <c r="P217" s="37">
        <f>'03_原始数据'!C217-0.615*'03_原始数据'!B217-OtherCost</f>
        <v/>
      </c>
      <c r="Q217" s="37">
        <f>'03_原始数据'!C217-0.62*'03_原始数据'!B217-OtherCost</f>
        <v/>
      </c>
      <c r="R217" s="37">
        <f>'03_原始数据'!C217-0.625*'03_原始数据'!B217-OtherCost</f>
        <v/>
      </c>
      <c r="S217" s="37">
        <f>'03_原始数据'!C217-0.63*'03_原始数据'!B217-OtherCost</f>
        <v/>
      </c>
      <c r="T217" s="37">
        <f>'03_原始数据'!C217-0.635*'03_原始数据'!B217-OtherCost</f>
        <v/>
      </c>
      <c r="U217" s="37">
        <f>'03_原始数据'!C217-0.64*'03_原始数据'!B217-OtherCost</f>
        <v/>
      </c>
      <c r="V217" s="37">
        <f>'03_原始数据'!C217-0.645*'03_原始数据'!B217-OtherCost</f>
        <v/>
      </c>
      <c r="W217" s="37">
        <f>'03_原始数据'!C217-0.65*'03_原始数据'!B217-OtherCost</f>
        <v/>
      </c>
      <c r="X217" s="37">
        <f>'03_原始数据'!C217-0.655*'03_原始数据'!B217-OtherCost</f>
        <v/>
      </c>
      <c r="Y217" s="37">
        <f>'03_原始数据'!C217-0.66*'03_原始数据'!B217-OtherCost</f>
        <v/>
      </c>
      <c r="Z217" s="37">
        <f>'03_原始数据'!C217-0.665*'03_原始数据'!B217-OtherCost</f>
        <v/>
      </c>
      <c r="AA217" s="37">
        <f>'03_原始数据'!C217-0.67*'03_原始数据'!B217-OtherCost</f>
        <v/>
      </c>
      <c r="AB217" s="37">
        <f>'03_原始数据'!C217-0.675*'03_原始数据'!B217-OtherCost</f>
        <v/>
      </c>
      <c r="AC217" s="37">
        <f>'03_原始数据'!C217-0.68*'03_原始数据'!B217-OtherCost</f>
        <v/>
      </c>
      <c r="AD217" s="37">
        <f>'03_原始数据'!C217-0.685*'03_原始数据'!B217-OtherCost</f>
        <v/>
      </c>
      <c r="AE217" s="37">
        <f>'03_原始数据'!C217-0.69*'03_原始数据'!B217-OtherCost</f>
        <v/>
      </c>
      <c r="AF217" s="37">
        <f>'03_原始数据'!C217-0.695*'03_原始数据'!B217-OtherCost</f>
        <v/>
      </c>
      <c r="AG217" s="37">
        <f>'03_原始数据'!C217-0.7*'03_原始数据'!B217-OtherCost</f>
        <v/>
      </c>
    </row>
    <row r="218">
      <c r="M218" s="37">
        <f>'03_原始数据'!C218-0.6*'03_原始数据'!B218-OtherCost</f>
        <v/>
      </c>
      <c r="N218" s="37">
        <f>'03_原始数据'!C218-0.605*'03_原始数据'!B218-OtherCost</f>
        <v/>
      </c>
      <c r="O218" s="37">
        <f>'03_原始数据'!C218-0.61*'03_原始数据'!B218-OtherCost</f>
        <v/>
      </c>
      <c r="P218" s="37">
        <f>'03_原始数据'!C218-0.615*'03_原始数据'!B218-OtherCost</f>
        <v/>
      </c>
      <c r="Q218" s="37">
        <f>'03_原始数据'!C218-0.62*'03_原始数据'!B218-OtherCost</f>
        <v/>
      </c>
      <c r="R218" s="37">
        <f>'03_原始数据'!C218-0.625*'03_原始数据'!B218-OtherCost</f>
        <v/>
      </c>
      <c r="S218" s="37">
        <f>'03_原始数据'!C218-0.63*'03_原始数据'!B218-OtherCost</f>
        <v/>
      </c>
      <c r="T218" s="37">
        <f>'03_原始数据'!C218-0.635*'03_原始数据'!B218-OtherCost</f>
        <v/>
      </c>
      <c r="U218" s="37">
        <f>'03_原始数据'!C218-0.64*'03_原始数据'!B218-OtherCost</f>
        <v/>
      </c>
      <c r="V218" s="37">
        <f>'03_原始数据'!C218-0.645*'03_原始数据'!B218-OtherCost</f>
        <v/>
      </c>
      <c r="W218" s="37">
        <f>'03_原始数据'!C218-0.65*'03_原始数据'!B218-OtherCost</f>
        <v/>
      </c>
      <c r="X218" s="37">
        <f>'03_原始数据'!C218-0.655*'03_原始数据'!B218-OtherCost</f>
        <v/>
      </c>
      <c r="Y218" s="37">
        <f>'03_原始数据'!C218-0.66*'03_原始数据'!B218-OtherCost</f>
        <v/>
      </c>
      <c r="Z218" s="37">
        <f>'03_原始数据'!C218-0.665*'03_原始数据'!B218-OtherCost</f>
        <v/>
      </c>
      <c r="AA218" s="37">
        <f>'03_原始数据'!C218-0.67*'03_原始数据'!B218-OtherCost</f>
        <v/>
      </c>
      <c r="AB218" s="37">
        <f>'03_原始数据'!C218-0.675*'03_原始数据'!B218-OtherCost</f>
        <v/>
      </c>
      <c r="AC218" s="37">
        <f>'03_原始数据'!C218-0.68*'03_原始数据'!B218-OtherCost</f>
        <v/>
      </c>
      <c r="AD218" s="37">
        <f>'03_原始数据'!C218-0.685*'03_原始数据'!B218-OtherCost</f>
        <v/>
      </c>
      <c r="AE218" s="37">
        <f>'03_原始数据'!C218-0.69*'03_原始数据'!B218-OtherCost</f>
        <v/>
      </c>
      <c r="AF218" s="37">
        <f>'03_原始数据'!C218-0.695*'03_原始数据'!B218-OtherCost</f>
        <v/>
      </c>
      <c r="AG218" s="37">
        <f>'03_原始数据'!C218-0.7*'03_原始数据'!B218-OtherCost</f>
        <v/>
      </c>
    </row>
    <row r="219">
      <c r="M219" s="37">
        <f>'03_原始数据'!C219-0.6*'03_原始数据'!B219-OtherCost</f>
        <v/>
      </c>
      <c r="N219" s="37">
        <f>'03_原始数据'!C219-0.605*'03_原始数据'!B219-OtherCost</f>
        <v/>
      </c>
      <c r="O219" s="37">
        <f>'03_原始数据'!C219-0.61*'03_原始数据'!B219-OtherCost</f>
        <v/>
      </c>
      <c r="P219" s="37">
        <f>'03_原始数据'!C219-0.615*'03_原始数据'!B219-OtherCost</f>
        <v/>
      </c>
      <c r="Q219" s="37">
        <f>'03_原始数据'!C219-0.62*'03_原始数据'!B219-OtherCost</f>
        <v/>
      </c>
      <c r="R219" s="37">
        <f>'03_原始数据'!C219-0.625*'03_原始数据'!B219-OtherCost</f>
        <v/>
      </c>
      <c r="S219" s="37">
        <f>'03_原始数据'!C219-0.63*'03_原始数据'!B219-OtherCost</f>
        <v/>
      </c>
      <c r="T219" s="37">
        <f>'03_原始数据'!C219-0.635*'03_原始数据'!B219-OtherCost</f>
        <v/>
      </c>
      <c r="U219" s="37">
        <f>'03_原始数据'!C219-0.64*'03_原始数据'!B219-OtherCost</f>
        <v/>
      </c>
      <c r="V219" s="37">
        <f>'03_原始数据'!C219-0.645*'03_原始数据'!B219-OtherCost</f>
        <v/>
      </c>
      <c r="W219" s="37">
        <f>'03_原始数据'!C219-0.65*'03_原始数据'!B219-OtherCost</f>
        <v/>
      </c>
      <c r="X219" s="37">
        <f>'03_原始数据'!C219-0.655*'03_原始数据'!B219-OtherCost</f>
        <v/>
      </c>
      <c r="Y219" s="37">
        <f>'03_原始数据'!C219-0.66*'03_原始数据'!B219-OtherCost</f>
        <v/>
      </c>
      <c r="Z219" s="37">
        <f>'03_原始数据'!C219-0.665*'03_原始数据'!B219-OtherCost</f>
        <v/>
      </c>
      <c r="AA219" s="37">
        <f>'03_原始数据'!C219-0.67*'03_原始数据'!B219-OtherCost</f>
        <v/>
      </c>
      <c r="AB219" s="37">
        <f>'03_原始数据'!C219-0.675*'03_原始数据'!B219-OtherCost</f>
        <v/>
      </c>
      <c r="AC219" s="37">
        <f>'03_原始数据'!C219-0.68*'03_原始数据'!B219-OtherCost</f>
        <v/>
      </c>
      <c r="AD219" s="37">
        <f>'03_原始数据'!C219-0.685*'03_原始数据'!B219-OtherCost</f>
        <v/>
      </c>
      <c r="AE219" s="37">
        <f>'03_原始数据'!C219-0.69*'03_原始数据'!B219-OtherCost</f>
        <v/>
      </c>
      <c r="AF219" s="37">
        <f>'03_原始数据'!C219-0.695*'03_原始数据'!B219-OtherCost</f>
        <v/>
      </c>
      <c r="AG219" s="37">
        <f>'03_原始数据'!C219-0.7*'03_原始数据'!B219-OtherCost</f>
        <v/>
      </c>
    </row>
    <row r="220">
      <c r="M220" s="37">
        <f>'03_原始数据'!C220-0.6*'03_原始数据'!B220-OtherCost</f>
        <v/>
      </c>
      <c r="N220" s="37">
        <f>'03_原始数据'!C220-0.605*'03_原始数据'!B220-OtherCost</f>
        <v/>
      </c>
      <c r="O220" s="37">
        <f>'03_原始数据'!C220-0.61*'03_原始数据'!B220-OtherCost</f>
        <v/>
      </c>
      <c r="P220" s="37">
        <f>'03_原始数据'!C220-0.615*'03_原始数据'!B220-OtherCost</f>
        <v/>
      </c>
      <c r="Q220" s="37">
        <f>'03_原始数据'!C220-0.62*'03_原始数据'!B220-OtherCost</f>
        <v/>
      </c>
      <c r="R220" s="37">
        <f>'03_原始数据'!C220-0.625*'03_原始数据'!B220-OtherCost</f>
        <v/>
      </c>
      <c r="S220" s="37">
        <f>'03_原始数据'!C220-0.63*'03_原始数据'!B220-OtherCost</f>
        <v/>
      </c>
      <c r="T220" s="37">
        <f>'03_原始数据'!C220-0.635*'03_原始数据'!B220-OtherCost</f>
        <v/>
      </c>
      <c r="U220" s="37">
        <f>'03_原始数据'!C220-0.64*'03_原始数据'!B220-OtherCost</f>
        <v/>
      </c>
      <c r="V220" s="37">
        <f>'03_原始数据'!C220-0.645*'03_原始数据'!B220-OtherCost</f>
        <v/>
      </c>
      <c r="W220" s="37">
        <f>'03_原始数据'!C220-0.65*'03_原始数据'!B220-OtherCost</f>
        <v/>
      </c>
      <c r="X220" s="37">
        <f>'03_原始数据'!C220-0.655*'03_原始数据'!B220-OtherCost</f>
        <v/>
      </c>
      <c r="Y220" s="37">
        <f>'03_原始数据'!C220-0.66*'03_原始数据'!B220-OtherCost</f>
        <v/>
      </c>
      <c r="Z220" s="37">
        <f>'03_原始数据'!C220-0.665*'03_原始数据'!B220-OtherCost</f>
        <v/>
      </c>
      <c r="AA220" s="37">
        <f>'03_原始数据'!C220-0.67*'03_原始数据'!B220-OtherCost</f>
        <v/>
      </c>
      <c r="AB220" s="37">
        <f>'03_原始数据'!C220-0.675*'03_原始数据'!B220-OtherCost</f>
        <v/>
      </c>
      <c r="AC220" s="37">
        <f>'03_原始数据'!C220-0.68*'03_原始数据'!B220-OtherCost</f>
        <v/>
      </c>
      <c r="AD220" s="37">
        <f>'03_原始数据'!C220-0.685*'03_原始数据'!B220-OtherCost</f>
        <v/>
      </c>
      <c r="AE220" s="37">
        <f>'03_原始数据'!C220-0.69*'03_原始数据'!B220-OtherCost</f>
        <v/>
      </c>
      <c r="AF220" s="37">
        <f>'03_原始数据'!C220-0.695*'03_原始数据'!B220-OtherCost</f>
        <v/>
      </c>
      <c r="AG220" s="37">
        <f>'03_原始数据'!C220-0.7*'03_原始数据'!B220-OtherCost</f>
        <v/>
      </c>
    </row>
    <row r="221">
      <c r="M221" s="37">
        <f>'03_原始数据'!C221-0.6*'03_原始数据'!B221-OtherCost</f>
        <v/>
      </c>
      <c r="N221" s="37">
        <f>'03_原始数据'!C221-0.605*'03_原始数据'!B221-OtherCost</f>
        <v/>
      </c>
      <c r="O221" s="37">
        <f>'03_原始数据'!C221-0.61*'03_原始数据'!B221-OtherCost</f>
        <v/>
      </c>
      <c r="P221" s="37">
        <f>'03_原始数据'!C221-0.615*'03_原始数据'!B221-OtherCost</f>
        <v/>
      </c>
      <c r="Q221" s="37">
        <f>'03_原始数据'!C221-0.62*'03_原始数据'!B221-OtherCost</f>
        <v/>
      </c>
      <c r="R221" s="37">
        <f>'03_原始数据'!C221-0.625*'03_原始数据'!B221-OtherCost</f>
        <v/>
      </c>
      <c r="S221" s="37">
        <f>'03_原始数据'!C221-0.63*'03_原始数据'!B221-OtherCost</f>
        <v/>
      </c>
      <c r="T221" s="37">
        <f>'03_原始数据'!C221-0.635*'03_原始数据'!B221-OtherCost</f>
        <v/>
      </c>
      <c r="U221" s="37">
        <f>'03_原始数据'!C221-0.64*'03_原始数据'!B221-OtherCost</f>
        <v/>
      </c>
      <c r="V221" s="37">
        <f>'03_原始数据'!C221-0.645*'03_原始数据'!B221-OtherCost</f>
        <v/>
      </c>
      <c r="W221" s="37">
        <f>'03_原始数据'!C221-0.65*'03_原始数据'!B221-OtherCost</f>
        <v/>
      </c>
      <c r="X221" s="37">
        <f>'03_原始数据'!C221-0.655*'03_原始数据'!B221-OtherCost</f>
        <v/>
      </c>
      <c r="Y221" s="37">
        <f>'03_原始数据'!C221-0.66*'03_原始数据'!B221-OtherCost</f>
        <v/>
      </c>
      <c r="Z221" s="37">
        <f>'03_原始数据'!C221-0.665*'03_原始数据'!B221-OtherCost</f>
        <v/>
      </c>
      <c r="AA221" s="37">
        <f>'03_原始数据'!C221-0.67*'03_原始数据'!B221-OtherCost</f>
        <v/>
      </c>
      <c r="AB221" s="37">
        <f>'03_原始数据'!C221-0.675*'03_原始数据'!B221-OtherCost</f>
        <v/>
      </c>
      <c r="AC221" s="37">
        <f>'03_原始数据'!C221-0.68*'03_原始数据'!B221-OtherCost</f>
        <v/>
      </c>
      <c r="AD221" s="37">
        <f>'03_原始数据'!C221-0.685*'03_原始数据'!B221-OtherCost</f>
        <v/>
      </c>
      <c r="AE221" s="37">
        <f>'03_原始数据'!C221-0.69*'03_原始数据'!B221-OtherCost</f>
        <v/>
      </c>
      <c r="AF221" s="37">
        <f>'03_原始数据'!C221-0.695*'03_原始数据'!B221-OtherCost</f>
        <v/>
      </c>
      <c r="AG221" s="37">
        <f>'03_原始数据'!C221-0.7*'03_原始数据'!B221-OtherCost</f>
        <v/>
      </c>
    </row>
    <row r="222">
      <c r="M222" s="37">
        <f>'03_原始数据'!C222-0.6*'03_原始数据'!B222-OtherCost</f>
        <v/>
      </c>
      <c r="N222" s="37">
        <f>'03_原始数据'!C222-0.605*'03_原始数据'!B222-OtherCost</f>
        <v/>
      </c>
      <c r="O222" s="37">
        <f>'03_原始数据'!C222-0.61*'03_原始数据'!B222-OtherCost</f>
        <v/>
      </c>
      <c r="P222" s="37">
        <f>'03_原始数据'!C222-0.615*'03_原始数据'!B222-OtherCost</f>
        <v/>
      </c>
      <c r="Q222" s="37">
        <f>'03_原始数据'!C222-0.62*'03_原始数据'!B222-OtherCost</f>
        <v/>
      </c>
      <c r="R222" s="37">
        <f>'03_原始数据'!C222-0.625*'03_原始数据'!B222-OtherCost</f>
        <v/>
      </c>
      <c r="S222" s="37">
        <f>'03_原始数据'!C222-0.63*'03_原始数据'!B222-OtherCost</f>
        <v/>
      </c>
      <c r="T222" s="37">
        <f>'03_原始数据'!C222-0.635*'03_原始数据'!B222-OtherCost</f>
        <v/>
      </c>
      <c r="U222" s="37">
        <f>'03_原始数据'!C222-0.64*'03_原始数据'!B222-OtherCost</f>
        <v/>
      </c>
      <c r="V222" s="37">
        <f>'03_原始数据'!C222-0.645*'03_原始数据'!B222-OtherCost</f>
        <v/>
      </c>
      <c r="W222" s="37">
        <f>'03_原始数据'!C222-0.65*'03_原始数据'!B222-OtherCost</f>
        <v/>
      </c>
      <c r="X222" s="37">
        <f>'03_原始数据'!C222-0.655*'03_原始数据'!B222-OtherCost</f>
        <v/>
      </c>
      <c r="Y222" s="37">
        <f>'03_原始数据'!C222-0.66*'03_原始数据'!B222-OtherCost</f>
        <v/>
      </c>
      <c r="Z222" s="37">
        <f>'03_原始数据'!C222-0.665*'03_原始数据'!B222-OtherCost</f>
        <v/>
      </c>
      <c r="AA222" s="37">
        <f>'03_原始数据'!C222-0.67*'03_原始数据'!B222-OtherCost</f>
        <v/>
      </c>
      <c r="AB222" s="37">
        <f>'03_原始数据'!C222-0.675*'03_原始数据'!B222-OtherCost</f>
        <v/>
      </c>
      <c r="AC222" s="37">
        <f>'03_原始数据'!C222-0.68*'03_原始数据'!B222-OtherCost</f>
        <v/>
      </c>
      <c r="AD222" s="37">
        <f>'03_原始数据'!C222-0.685*'03_原始数据'!B222-OtherCost</f>
        <v/>
      </c>
      <c r="AE222" s="37">
        <f>'03_原始数据'!C222-0.69*'03_原始数据'!B222-OtherCost</f>
        <v/>
      </c>
      <c r="AF222" s="37">
        <f>'03_原始数据'!C222-0.695*'03_原始数据'!B222-OtherCost</f>
        <v/>
      </c>
      <c r="AG222" s="37">
        <f>'03_原始数据'!C222-0.7*'03_原始数据'!B222-OtherCost</f>
        <v/>
      </c>
    </row>
    <row r="223">
      <c r="M223" s="37">
        <f>'03_原始数据'!C223-0.6*'03_原始数据'!B223-OtherCost</f>
        <v/>
      </c>
      <c r="N223" s="37">
        <f>'03_原始数据'!C223-0.605*'03_原始数据'!B223-OtherCost</f>
        <v/>
      </c>
      <c r="O223" s="37">
        <f>'03_原始数据'!C223-0.61*'03_原始数据'!B223-OtherCost</f>
        <v/>
      </c>
      <c r="P223" s="37">
        <f>'03_原始数据'!C223-0.615*'03_原始数据'!B223-OtherCost</f>
        <v/>
      </c>
      <c r="Q223" s="37">
        <f>'03_原始数据'!C223-0.62*'03_原始数据'!B223-OtherCost</f>
        <v/>
      </c>
      <c r="R223" s="37">
        <f>'03_原始数据'!C223-0.625*'03_原始数据'!B223-OtherCost</f>
        <v/>
      </c>
      <c r="S223" s="37">
        <f>'03_原始数据'!C223-0.63*'03_原始数据'!B223-OtherCost</f>
        <v/>
      </c>
      <c r="T223" s="37">
        <f>'03_原始数据'!C223-0.635*'03_原始数据'!B223-OtherCost</f>
        <v/>
      </c>
      <c r="U223" s="37">
        <f>'03_原始数据'!C223-0.64*'03_原始数据'!B223-OtherCost</f>
        <v/>
      </c>
      <c r="V223" s="37">
        <f>'03_原始数据'!C223-0.645*'03_原始数据'!B223-OtherCost</f>
        <v/>
      </c>
      <c r="W223" s="37">
        <f>'03_原始数据'!C223-0.65*'03_原始数据'!B223-OtherCost</f>
        <v/>
      </c>
      <c r="X223" s="37">
        <f>'03_原始数据'!C223-0.655*'03_原始数据'!B223-OtherCost</f>
        <v/>
      </c>
      <c r="Y223" s="37">
        <f>'03_原始数据'!C223-0.66*'03_原始数据'!B223-OtherCost</f>
        <v/>
      </c>
      <c r="Z223" s="37">
        <f>'03_原始数据'!C223-0.665*'03_原始数据'!B223-OtherCost</f>
        <v/>
      </c>
      <c r="AA223" s="37">
        <f>'03_原始数据'!C223-0.67*'03_原始数据'!B223-OtherCost</f>
        <v/>
      </c>
      <c r="AB223" s="37">
        <f>'03_原始数据'!C223-0.675*'03_原始数据'!B223-OtherCost</f>
        <v/>
      </c>
      <c r="AC223" s="37">
        <f>'03_原始数据'!C223-0.68*'03_原始数据'!B223-OtherCost</f>
        <v/>
      </c>
      <c r="AD223" s="37">
        <f>'03_原始数据'!C223-0.685*'03_原始数据'!B223-OtherCost</f>
        <v/>
      </c>
      <c r="AE223" s="37">
        <f>'03_原始数据'!C223-0.69*'03_原始数据'!B223-OtherCost</f>
        <v/>
      </c>
      <c r="AF223" s="37">
        <f>'03_原始数据'!C223-0.695*'03_原始数据'!B223-OtherCost</f>
        <v/>
      </c>
      <c r="AG223" s="37">
        <f>'03_原始数据'!C223-0.7*'03_原始数据'!B223-OtherCost</f>
        <v/>
      </c>
    </row>
    <row r="224">
      <c r="M224" s="37">
        <f>'03_原始数据'!C224-0.6*'03_原始数据'!B224-OtherCost</f>
        <v/>
      </c>
      <c r="N224" s="37">
        <f>'03_原始数据'!C224-0.605*'03_原始数据'!B224-OtherCost</f>
        <v/>
      </c>
      <c r="O224" s="37">
        <f>'03_原始数据'!C224-0.61*'03_原始数据'!B224-OtherCost</f>
        <v/>
      </c>
      <c r="P224" s="37">
        <f>'03_原始数据'!C224-0.615*'03_原始数据'!B224-OtherCost</f>
        <v/>
      </c>
      <c r="Q224" s="37">
        <f>'03_原始数据'!C224-0.62*'03_原始数据'!B224-OtherCost</f>
        <v/>
      </c>
      <c r="R224" s="37">
        <f>'03_原始数据'!C224-0.625*'03_原始数据'!B224-OtherCost</f>
        <v/>
      </c>
      <c r="S224" s="37">
        <f>'03_原始数据'!C224-0.63*'03_原始数据'!B224-OtherCost</f>
        <v/>
      </c>
      <c r="T224" s="37">
        <f>'03_原始数据'!C224-0.635*'03_原始数据'!B224-OtherCost</f>
        <v/>
      </c>
      <c r="U224" s="37">
        <f>'03_原始数据'!C224-0.64*'03_原始数据'!B224-OtherCost</f>
        <v/>
      </c>
      <c r="V224" s="37">
        <f>'03_原始数据'!C224-0.645*'03_原始数据'!B224-OtherCost</f>
        <v/>
      </c>
      <c r="W224" s="37">
        <f>'03_原始数据'!C224-0.65*'03_原始数据'!B224-OtherCost</f>
        <v/>
      </c>
      <c r="X224" s="37">
        <f>'03_原始数据'!C224-0.655*'03_原始数据'!B224-OtherCost</f>
        <v/>
      </c>
      <c r="Y224" s="37">
        <f>'03_原始数据'!C224-0.66*'03_原始数据'!B224-OtherCost</f>
        <v/>
      </c>
      <c r="Z224" s="37">
        <f>'03_原始数据'!C224-0.665*'03_原始数据'!B224-OtherCost</f>
        <v/>
      </c>
      <c r="AA224" s="37">
        <f>'03_原始数据'!C224-0.67*'03_原始数据'!B224-OtherCost</f>
        <v/>
      </c>
      <c r="AB224" s="37">
        <f>'03_原始数据'!C224-0.675*'03_原始数据'!B224-OtherCost</f>
        <v/>
      </c>
      <c r="AC224" s="37">
        <f>'03_原始数据'!C224-0.68*'03_原始数据'!B224-OtherCost</f>
        <v/>
      </c>
      <c r="AD224" s="37">
        <f>'03_原始数据'!C224-0.685*'03_原始数据'!B224-OtherCost</f>
        <v/>
      </c>
      <c r="AE224" s="37">
        <f>'03_原始数据'!C224-0.69*'03_原始数据'!B224-OtherCost</f>
        <v/>
      </c>
      <c r="AF224" s="37">
        <f>'03_原始数据'!C224-0.695*'03_原始数据'!B224-OtherCost</f>
        <v/>
      </c>
      <c r="AG224" s="37">
        <f>'03_原始数据'!C224-0.7*'03_原始数据'!B224-OtherCost</f>
        <v/>
      </c>
    </row>
    <row r="225">
      <c r="M225" s="37">
        <f>'03_原始数据'!C225-0.6*'03_原始数据'!B225-OtherCost</f>
        <v/>
      </c>
      <c r="N225" s="37">
        <f>'03_原始数据'!C225-0.605*'03_原始数据'!B225-OtherCost</f>
        <v/>
      </c>
      <c r="O225" s="37">
        <f>'03_原始数据'!C225-0.61*'03_原始数据'!B225-OtherCost</f>
        <v/>
      </c>
      <c r="P225" s="37">
        <f>'03_原始数据'!C225-0.615*'03_原始数据'!B225-OtherCost</f>
        <v/>
      </c>
      <c r="Q225" s="37">
        <f>'03_原始数据'!C225-0.62*'03_原始数据'!B225-OtherCost</f>
        <v/>
      </c>
      <c r="R225" s="37">
        <f>'03_原始数据'!C225-0.625*'03_原始数据'!B225-OtherCost</f>
        <v/>
      </c>
      <c r="S225" s="37">
        <f>'03_原始数据'!C225-0.63*'03_原始数据'!B225-OtherCost</f>
        <v/>
      </c>
      <c r="T225" s="37">
        <f>'03_原始数据'!C225-0.635*'03_原始数据'!B225-OtherCost</f>
        <v/>
      </c>
      <c r="U225" s="37">
        <f>'03_原始数据'!C225-0.64*'03_原始数据'!B225-OtherCost</f>
        <v/>
      </c>
      <c r="V225" s="37">
        <f>'03_原始数据'!C225-0.645*'03_原始数据'!B225-OtherCost</f>
        <v/>
      </c>
      <c r="W225" s="37">
        <f>'03_原始数据'!C225-0.65*'03_原始数据'!B225-OtherCost</f>
        <v/>
      </c>
      <c r="X225" s="37">
        <f>'03_原始数据'!C225-0.655*'03_原始数据'!B225-OtherCost</f>
        <v/>
      </c>
      <c r="Y225" s="37">
        <f>'03_原始数据'!C225-0.66*'03_原始数据'!B225-OtherCost</f>
        <v/>
      </c>
      <c r="Z225" s="37">
        <f>'03_原始数据'!C225-0.665*'03_原始数据'!B225-OtherCost</f>
        <v/>
      </c>
      <c r="AA225" s="37">
        <f>'03_原始数据'!C225-0.67*'03_原始数据'!B225-OtherCost</f>
        <v/>
      </c>
      <c r="AB225" s="37">
        <f>'03_原始数据'!C225-0.675*'03_原始数据'!B225-OtherCost</f>
        <v/>
      </c>
      <c r="AC225" s="37">
        <f>'03_原始数据'!C225-0.68*'03_原始数据'!B225-OtherCost</f>
        <v/>
      </c>
      <c r="AD225" s="37">
        <f>'03_原始数据'!C225-0.685*'03_原始数据'!B225-OtherCost</f>
        <v/>
      </c>
      <c r="AE225" s="37">
        <f>'03_原始数据'!C225-0.69*'03_原始数据'!B225-OtherCost</f>
        <v/>
      </c>
      <c r="AF225" s="37">
        <f>'03_原始数据'!C225-0.695*'03_原始数据'!B225-OtherCost</f>
        <v/>
      </c>
      <c r="AG225" s="37">
        <f>'03_原始数据'!C225-0.7*'03_原始数据'!B225-OtherCost</f>
        <v/>
      </c>
    </row>
    <row r="226">
      <c r="M226" s="37">
        <f>'03_原始数据'!C226-0.6*'03_原始数据'!B226-OtherCost</f>
        <v/>
      </c>
      <c r="N226" s="37">
        <f>'03_原始数据'!C226-0.605*'03_原始数据'!B226-OtherCost</f>
        <v/>
      </c>
      <c r="O226" s="37">
        <f>'03_原始数据'!C226-0.61*'03_原始数据'!B226-OtherCost</f>
        <v/>
      </c>
      <c r="P226" s="37">
        <f>'03_原始数据'!C226-0.615*'03_原始数据'!B226-OtherCost</f>
        <v/>
      </c>
      <c r="Q226" s="37">
        <f>'03_原始数据'!C226-0.62*'03_原始数据'!B226-OtherCost</f>
        <v/>
      </c>
      <c r="R226" s="37">
        <f>'03_原始数据'!C226-0.625*'03_原始数据'!B226-OtherCost</f>
        <v/>
      </c>
      <c r="S226" s="37">
        <f>'03_原始数据'!C226-0.63*'03_原始数据'!B226-OtherCost</f>
        <v/>
      </c>
      <c r="T226" s="37">
        <f>'03_原始数据'!C226-0.635*'03_原始数据'!B226-OtherCost</f>
        <v/>
      </c>
      <c r="U226" s="37">
        <f>'03_原始数据'!C226-0.64*'03_原始数据'!B226-OtherCost</f>
        <v/>
      </c>
      <c r="V226" s="37">
        <f>'03_原始数据'!C226-0.645*'03_原始数据'!B226-OtherCost</f>
        <v/>
      </c>
      <c r="W226" s="37">
        <f>'03_原始数据'!C226-0.65*'03_原始数据'!B226-OtherCost</f>
        <v/>
      </c>
      <c r="X226" s="37">
        <f>'03_原始数据'!C226-0.655*'03_原始数据'!B226-OtherCost</f>
        <v/>
      </c>
      <c r="Y226" s="37">
        <f>'03_原始数据'!C226-0.66*'03_原始数据'!B226-OtherCost</f>
        <v/>
      </c>
      <c r="Z226" s="37">
        <f>'03_原始数据'!C226-0.665*'03_原始数据'!B226-OtherCost</f>
        <v/>
      </c>
      <c r="AA226" s="37">
        <f>'03_原始数据'!C226-0.67*'03_原始数据'!B226-OtherCost</f>
        <v/>
      </c>
      <c r="AB226" s="37">
        <f>'03_原始数据'!C226-0.675*'03_原始数据'!B226-OtherCost</f>
        <v/>
      </c>
      <c r="AC226" s="37">
        <f>'03_原始数据'!C226-0.68*'03_原始数据'!B226-OtherCost</f>
        <v/>
      </c>
      <c r="AD226" s="37">
        <f>'03_原始数据'!C226-0.685*'03_原始数据'!B226-OtherCost</f>
        <v/>
      </c>
      <c r="AE226" s="37">
        <f>'03_原始数据'!C226-0.69*'03_原始数据'!B226-OtherCost</f>
        <v/>
      </c>
      <c r="AF226" s="37">
        <f>'03_原始数据'!C226-0.695*'03_原始数据'!B226-OtherCost</f>
        <v/>
      </c>
      <c r="AG226" s="37">
        <f>'03_原始数据'!C226-0.7*'03_原始数据'!B226-OtherCost</f>
        <v/>
      </c>
    </row>
    <row r="227">
      <c r="M227" s="37">
        <f>'03_原始数据'!C227-0.6*'03_原始数据'!B227-OtherCost</f>
        <v/>
      </c>
      <c r="N227" s="37">
        <f>'03_原始数据'!C227-0.605*'03_原始数据'!B227-OtherCost</f>
        <v/>
      </c>
      <c r="O227" s="37">
        <f>'03_原始数据'!C227-0.61*'03_原始数据'!B227-OtherCost</f>
        <v/>
      </c>
      <c r="P227" s="37">
        <f>'03_原始数据'!C227-0.615*'03_原始数据'!B227-OtherCost</f>
        <v/>
      </c>
      <c r="Q227" s="37">
        <f>'03_原始数据'!C227-0.62*'03_原始数据'!B227-OtherCost</f>
        <v/>
      </c>
      <c r="R227" s="37">
        <f>'03_原始数据'!C227-0.625*'03_原始数据'!B227-OtherCost</f>
        <v/>
      </c>
      <c r="S227" s="37">
        <f>'03_原始数据'!C227-0.63*'03_原始数据'!B227-OtherCost</f>
        <v/>
      </c>
      <c r="T227" s="37">
        <f>'03_原始数据'!C227-0.635*'03_原始数据'!B227-OtherCost</f>
        <v/>
      </c>
      <c r="U227" s="37">
        <f>'03_原始数据'!C227-0.64*'03_原始数据'!B227-OtherCost</f>
        <v/>
      </c>
      <c r="V227" s="37">
        <f>'03_原始数据'!C227-0.645*'03_原始数据'!B227-OtherCost</f>
        <v/>
      </c>
      <c r="W227" s="37">
        <f>'03_原始数据'!C227-0.65*'03_原始数据'!B227-OtherCost</f>
        <v/>
      </c>
      <c r="X227" s="37">
        <f>'03_原始数据'!C227-0.655*'03_原始数据'!B227-OtherCost</f>
        <v/>
      </c>
      <c r="Y227" s="37">
        <f>'03_原始数据'!C227-0.66*'03_原始数据'!B227-OtherCost</f>
        <v/>
      </c>
      <c r="Z227" s="37">
        <f>'03_原始数据'!C227-0.665*'03_原始数据'!B227-OtherCost</f>
        <v/>
      </c>
      <c r="AA227" s="37">
        <f>'03_原始数据'!C227-0.67*'03_原始数据'!B227-OtherCost</f>
        <v/>
      </c>
      <c r="AB227" s="37">
        <f>'03_原始数据'!C227-0.675*'03_原始数据'!B227-OtherCost</f>
        <v/>
      </c>
      <c r="AC227" s="37">
        <f>'03_原始数据'!C227-0.68*'03_原始数据'!B227-OtherCost</f>
        <v/>
      </c>
      <c r="AD227" s="37">
        <f>'03_原始数据'!C227-0.685*'03_原始数据'!B227-OtherCost</f>
        <v/>
      </c>
      <c r="AE227" s="37">
        <f>'03_原始数据'!C227-0.69*'03_原始数据'!B227-OtherCost</f>
        <v/>
      </c>
      <c r="AF227" s="37">
        <f>'03_原始数据'!C227-0.695*'03_原始数据'!B227-OtherCost</f>
        <v/>
      </c>
      <c r="AG227" s="37">
        <f>'03_原始数据'!C227-0.7*'03_原始数据'!B227-OtherCost</f>
        <v/>
      </c>
    </row>
    <row r="228">
      <c r="M228" s="37">
        <f>'03_原始数据'!C228-0.6*'03_原始数据'!B228-OtherCost</f>
        <v/>
      </c>
      <c r="N228" s="37">
        <f>'03_原始数据'!C228-0.605*'03_原始数据'!B228-OtherCost</f>
        <v/>
      </c>
      <c r="O228" s="37">
        <f>'03_原始数据'!C228-0.61*'03_原始数据'!B228-OtherCost</f>
        <v/>
      </c>
      <c r="P228" s="37">
        <f>'03_原始数据'!C228-0.615*'03_原始数据'!B228-OtherCost</f>
        <v/>
      </c>
      <c r="Q228" s="37">
        <f>'03_原始数据'!C228-0.62*'03_原始数据'!B228-OtherCost</f>
        <v/>
      </c>
      <c r="R228" s="37">
        <f>'03_原始数据'!C228-0.625*'03_原始数据'!B228-OtherCost</f>
        <v/>
      </c>
      <c r="S228" s="37">
        <f>'03_原始数据'!C228-0.63*'03_原始数据'!B228-OtherCost</f>
        <v/>
      </c>
      <c r="T228" s="37">
        <f>'03_原始数据'!C228-0.635*'03_原始数据'!B228-OtherCost</f>
        <v/>
      </c>
      <c r="U228" s="37">
        <f>'03_原始数据'!C228-0.64*'03_原始数据'!B228-OtherCost</f>
        <v/>
      </c>
      <c r="V228" s="37">
        <f>'03_原始数据'!C228-0.645*'03_原始数据'!B228-OtherCost</f>
        <v/>
      </c>
      <c r="W228" s="37">
        <f>'03_原始数据'!C228-0.65*'03_原始数据'!B228-OtherCost</f>
        <v/>
      </c>
      <c r="X228" s="37">
        <f>'03_原始数据'!C228-0.655*'03_原始数据'!B228-OtherCost</f>
        <v/>
      </c>
      <c r="Y228" s="37">
        <f>'03_原始数据'!C228-0.66*'03_原始数据'!B228-OtherCost</f>
        <v/>
      </c>
      <c r="Z228" s="37">
        <f>'03_原始数据'!C228-0.665*'03_原始数据'!B228-OtherCost</f>
        <v/>
      </c>
      <c r="AA228" s="37">
        <f>'03_原始数据'!C228-0.67*'03_原始数据'!B228-OtherCost</f>
        <v/>
      </c>
      <c r="AB228" s="37">
        <f>'03_原始数据'!C228-0.675*'03_原始数据'!B228-OtherCost</f>
        <v/>
      </c>
      <c r="AC228" s="37">
        <f>'03_原始数据'!C228-0.68*'03_原始数据'!B228-OtherCost</f>
        <v/>
      </c>
      <c r="AD228" s="37">
        <f>'03_原始数据'!C228-0.685*'03_原始数据'!B228-OtherCost</f>
        <v/>
      </c>
      <c r="AE228" s="37">
        <f>'03_原始数据'!C228-0.69*'03_原始数据'!B228-OtherCost</f>
        <v/>
      </c>
      <c r="AF228" s="37">
        <f>'03_原始数据'!C228-0.695*'03_原始数据'!B228-OtherCost</f>
        <v/>
      </c>
      <c r="AG228" s="37">
        <f>'03_原始数据'!C228-0.7*'03_原始数据'!B228-OtherCost</f>
        <v/>
      </c>
    </row>
    <row r="229">
      <c r="M229" s="37">
        <f>'03_原始数据'!C229-0.6*'03_原始数据'!B229-OtherCost</f>
        <v/>
      </c>
      <c r="N229" s="37">
        <f>'03_原始数据'!C229-0.605*'03_原始数据'!B229-OtherCost</f>
        <v/>
      </c>
      <c r="O229" s="37">
        <f>'03_原始数据'!C229-0.61*'03_原始数据'!B229-OtherCost</f>
        <v/>
      </c>
      <c r="P229" s="37">
        <f>'03_原始数据'!C229-0.615*'03_原始数据'!B229-OtherCost</f>
        <v/>
      </c>
      <c r="Q229" s="37">
        <f>'03_原始数据'!C229-0.62*'03_原始数据'!B229-OtherCost</f>
        <v/>
      </c>
      <c r="R229" s="37">
        <f>'03_原始数据'!C229-0.625*'03_原始数据'!B229-OtherCost</f>
        <v/>
      </c>
      <c r="S229" s="37">
        <f>'03_原始数据'!C229-0.63*'03_原始数据'!B229-OtherCost</f>
        <v/>
      </c>
      <c r="T229" s="37">
        <f>'03_原始数据'!C229-0.635*'03_原始数据'!B229-OtherCost</f>
        <v/>
      </c>
      <c r="U229" s="37">
        <f>'03_原始数据'!C229-0.64*'03_原始数据'!B229-OtherCost</f>
        <v/>
      </c>
      <c r="V229" s="37">
        <f>'03_原始数据'!C229-0.645*'03_原始数据'!B229-OtherCost</f>
        <v/>
      </c>
      <c r="W229" s="37">
        <f>'03_原始数据'!C229-0.65*'03_原始数据'!B229-OtherCost</f>
        <v/>
      </c>
      <c r="X229" s="37">
        <f>'03_原始数据'!C229-0.655*'03_原始数据'!B229-OtherCost</f>
        <v/>
      </c>
      <c r="Y229" s="37">
        <f>'03_原始数据'!C229-0.66*'03_原始数据'!B229-OtherCost</f>
        <v/>
      </c>
      <c r="Z229" s="37">
        <f>'03_原始数据'!C229-0.665*'03_原始数据'!B229-OtherCost</f>
        <v/>
      </c>
      <c r="AA229" s="37">
        <f>'03_原始数据'!C229-0.67*'03_原始数据'!B229-OtherCost</f>
        <v/>
      </c>
      <c r="AB229" s="37">
        <f>'03_原始数据'!C229-0.675*'03_原始数据'!B229-OtherCost</f>
        <v/>
      </c>
      <c r="AC229" s="37">
        <f>'03_原始数据'!C229-0.68*'03_原始数据'!B229-OtherCost</f>
        <v/>
      </c>
      <c r="AD229" s="37">
        <f>'03_原始数据'!C229-0.685*'03_原始数据'!B229-OtherCost</f>
        <v/>
      </c>
      <c r="AE229" s="37">
        <f>'03_原始数据'!C229-0.69*'03_原始数据'!B229-OtherCost</f>
        <v/>
      </c>
      <c r="AF229" s="37">
        <f>'03_原始数据'!C229-0.695*'03_原始数据'!B229-OtherCost</f>
        <v/>
      </c>
      <c r="AG229" s="37">
        <f>'03_原始数据'!C229-0.7*'03_原始数据'!B229-OtherCost</f>
        <v/>
      </c>
    </row>
    <row r="230">
      <c r="M230" s="37">
        <f>'03_原始数据'!C230-0.6*'03_原始数据'!B230-OtherCost</f>
        <v/>
      </c>
      <c r="N230" s="37">
        <f>'03_原始数据'!C230-0.605*'03_原始数据'!B230-OtherCost</f>
        <v/>
      </c>
      <c r="O230" s="37">
        <f>'03_原始数据'!C230-0.61*'03_原始数据'!B230-OtherCost</f>
        <v/>
      </c>
      <c r="P230" s="37">
        <f>'03_原始数据'!C230-0.615*'03_原始数据'!B230-OtherCost</f>
        <v/>
      </c>
      <c r="Q230" s="37">
        <f>'03_原始数据'!C230-0.62*'03_原始数据'!B230-OtherCost</f>
        <v/>
      </c>
      <c r="R230" s="37">
        <f>'03_原始数据'!C230-0.625*'03_原始数据'!B230-OtherCost</f>
        <v/>
      </c>
      <c r="S230" s="37">
        <f>'03_原始数据'!C230-0.63*'03_原始数据'!B230-OtherCost</f>
        <v/>
      </c>
      <c r="T230" s="37">
        <f>'03_原始数据'!C230-0.635*'03_原始数据'!B230-OtherCost</f>
        <v/>
      </c>
      <c r="U230" s="37">
        <f>'03_原始数据'!C230-0.64*'03_原始数据'!B230-OtherCost</f>
        <v/>
      </c>
      <c r="V230" s="37">
        <f>'03_原始数据'!C230-0.645*'03_原始数据'!B230-OtherCost</f>
        <v/>
      </c>
      <c r="W230" s="37">
        <f>'03_原始数据'!C230-0.65*'03_原始数据'!B230-OtherCost</f>
        <v/>
      </c>
      <c r="X230" s="37">
        <f>'03_原始数据'!C230-0.655*'03_原始数据'!B230-OtherCost</f>
        <v/>
      </c>
      <c r="Y230" s="37">
        <f>'03_原始数据'!C230-0.66*'03_原始数据'!B230-OtherCost</f>
        <v/>
      </c>
      <c r="Z230" s="37">
        <f>'03_原始数据'!C230-0.665*'03_原始数据'!B230-OtherCost</f>
        <v/>
      </c>
      <c r="AA230" s="37">
        <f>'03_原始数据'!C230-0.67*'03_原始数据'!B230-OtherCost</f>
        <v/>
      </c>
      <c r="AB230" s="37">
        <f>'03_原始数据'!C230-0.675*'03_原始数据'!B230-OtherCost</f>
        <v/>
      </c>
      <c r="AC230" s="37">
        <f>'03_原始数据'!C230-0.68*'03_原始数据'!B230-OtherCost</f>
        <v/>
      </c>
      <c r="AD230" s="37">
        <f>'03_原始数据'!C230-0.685*'03_原始数据'!B230-OtherCost</f>
        <v/>
      </c>
      <c r="AE230" s="37">
        <f>'03_原始数据'!C230-0.69*'03_原始数据'!B230-OtherCost</f>
        <v/>
      </c>
      <c r="AF230" s="37">
        <f>'03_原始数据'!C230-0.695*'03_原始数据'!B230-OtherCost</f>
        <v/>
      </c>
      <c r="AG230" s="37">
        <f>'03_原始数据'!C230-0.7*'03_原始数据'!B230-OtherCost</f>
        <v/>
      </c>
    </row>
    <row r="231">
      <c r="M231" s="37">
        <f>'03_原始数据'!C231-0.6*'03_原始数据'!B231-OtherCost</f>
        <v/>
      </c>
      <c r="N231" s="37">
        <f>'03_原始数据'!C231-0.605*'03_原始数据'!B231-OtherCost</f>
        <v/>
      </c>
      <c r="O231" s="37">
        <f>'03_原始数据'!C231-0.61*'03_原始数据'!B231-OtherCost</f>
        <v/>
      </c>
      <c r="P231" s="37">
        <f>'03_原始数据'!C231-0.615*'03_原始数据'!B231-OtherCost</f>
        <v/>
      </c>
      <c r="Q231" s="37">
        <f>'03_原始数据'!C231-0.62*'03_原始数据'!B231-OtherCost</f>
        <v/>
      </c>
      <c r="R231" s="37">
        <f>'03_原始数据'!C231-0.625*'03_原始数据'!B231-OtherCost</f>
        <v/>
      </c>
      <c r="S231" s="37">
        <f>'03_原始数据'!C231-0.63*'03_原始数据'!B231-OtherCost</f>
        <v/>
      </c>
      <c r="T231" s="37">
        <f>'03_原始数据'!C231-0.635*'03_原始数据'!B231-OtherCost</f>
        <v/>
      </c>
      <c r="U231" s="37">
        <f>'03_原始数据'!C231-0.64*'03_原始数据'!B231-OtherCost</f>
        <v/>
      </c>
      <c r="V231" s="37">
        <f>'03_原始数据'!C231-0.645*'03_原始数据'!B231-OtherCost</f>
        <v/>
      </c>
      <c r="W231" s="37">
        <f>'03_原始数据'!C231-0.65*'03_原始数据'!B231-OtherCost</f>
        <v/>
      </c>
      <c r="X231" s="37">
        <f>'03_原始数据'!C231-0.655*'03_原始数据'!B231-OtherCost</f>
        <v/>
      </c>
      <c r="Y231" s="37">
        <f>'03_原始数据'!C231-0.66*'03_原始数据'!B231-OtherCost</f>
        <v/>
      </c>
      <c r="Z231" s="37">
        <f>'03_原始数据'!C231-0.665*'03_原始数据'!B231-OtherCost</f>
        <v/>
      </c>
      <c r="AA231" s="37">
        <f>'03_原始数据'!C231-0.67*'03_原始数据'!B231-OtherCost</f>
        <v/>
      </c>
      <c r="AB231" s="37">
        <f>'03_原始数据'!C231-0.675*'03_原始数据'!B231-OtherCost</f>
        <v/>
      </c>
      <c r="AC231" s="37">
        <f>'03_原始数据'!C231-0.68*'03_原始数据'!B231-OtherCost</f>
        <v/>
      </c>
      <c r="AD231" s="37">
        <f>'03_原始数据'!C231-0.685*'03_原始数据'!B231-OtherCost</f>
        <v/>
      </c>
      <c r="AE231" s="37">
        <f>'03_原始数据'!C231-0.69*'03_原始数据'!B231-OtherCost</f>
        <v/>
      </c>
      <c r="AF231" s="37">
        <f>'03_原始数据'!C231-0.695*'03_原始数据'!B231-OtherCost</f>
        <v/>
      </c>
      <c r="AG231" s="37">
        <f>'03_原始数据'!C231-0.7*'03_原始数据'!B231-OtherCost</f>
        <v/>
      </c>
    </row>
    <row r="232">
      <c r="M232" s="37">
        <f>'03_原始数据'!C232-0.6*'03_原始数据'!B232-OtherCost</f>
        <v/>
      </c>
      <c r="N232" s="37">
        <f>'03_原始数据'!C232-0.605*'03_原始数据'!B232-OtherCost</f>
        <v/>
      </c>
      <c r="O232" s="37">
        <f>'03_原始数据'!C232-0.61*'03_原始数据'!B232-OtherCost</f>
        <v/>
      </c>
      <c r="P232" s="37">
        <f>'03_原始数据'!C232-0.615*'03_原始数据'!B232-OtherCost</f>
        <v/>
      </c>
      <c r="Q232" s="37">
        <f>'03_原始数据'!C232-0.62*'03_原始数据'!B232-OtherCost</f>
        <v/>
      </c>
      <c r="R232" s="37">
        <f>'03_原始数据'!C232-0.625*'03_原始数据'!B232-OtherCost</f>
        <v/>
      </c>
      <c r="S232" s="37">
        <f>'03_原始数据'!C232-0.63*'03_原始数据'!B232-OtherCost</f>
        <v/>
      </c>
      <c r="T232" s="37">
        <f>'03_原始数据'!C232-0.635*'03_原始数据'!B232-OtherCost</f>
        <v/>
      </c>
      <c r="U232" s="37">
        <f>'03_原始数据'!C232-0.64*'03_原始数据'!B232-OtherCost</f>
        <v/>
      </c>
      <c r="V232" s="37">
        <f>'03_原始数据'!C232-0.645*'03_原始数据'!B232-OtherCost</f>
        <v/>
      </c>
      <c r="W232" s="37">
        <f>'03_原始数据'!C232-0.65*'03_原始数据'!B232-OtherCost</f>
        <v/>
      </c>
      <c r="X232" s="37">
        <f>'03_原始数据'!C232-0.655*'03_原始数据'!B232-OtherCost</f>
        <v/>
      </c>
      <c r="Y232" s="37">
        <f>'03_原始数据'!C232-0.66*'03_原始数据'!B232-OtherCost</f>
        <v/>
      </c>
      <c r="Z232" s="37">
        <f>'03_原始数据'!C232-0.665*'03_原始数据'!B232-OtherCost</f>
        <v/>
      </c>
      <c r="AA232" s="37">
        <f>'03_原始数据'!C232-0.67*'03_原始数据'!B232-OtherCost</f>
        <v/>
      </c>
      <c r="AB232" s="37">
        <f>'03_原始数据'!C232-0.675*'03_原始数据'!B232-OtherCost</f>
        <v/>
      </c>
      <c r="AC232" s="37">
        <f>'03_原始数据'!C232-0.68*'03_原始数据'!B232-OtherCost</f>
        <v/>
      </c>
      <c r="AD232" s="37">
        <f>'03_原始数据'!C232-0.685*'03_原始数据'!B232-OtherCost</f>
        <v/>
      </c>
      <c r="AE232" s="37">
        <f>'03_原始数据'!C232-0.69*'03_原始数据'!B232-OtherCost</f>
        <v/>
      </c>
      <c r="AF232" s="37">
        <f>'03_原始数据'!C232-0.695*'03_原始数据'!B232-OtherCost</f>
        <v/>
      </c>
      <c r="AG232" s="37">
        <f>'03_原始数据'!C232-0.7*'03_原始数据'!B232-OtherCost</f>
        <v/>
      </c>
    </row>
    <row r="233">
      <c r="M233" s="37">
        <f>'03_原始数据'!C233-0.6*'03_原始数据'!B233-OtherCost</f>
        <v/>
      </c>
      <c r="N233" s="37">
        <f>'03_原始数据'!C233-0.605*'03_原始数据'!B233-OtherCost</f>
        <v/>
      </c>
      <c r="O233" s="37">
        <f>'03_原始数据'!C233-0.61*'03_原始数据'!B233-OtherCost</f>
        <v/>
      </c>
      <c r="P233" s="37">
        <f>'03_原始数据'!C233-0.615*'03_原始数据'!B233-OtherCost</f>
        <v/>
      </c>
      <c r="Q233" s="37">
        <f>'03_原始数据'!C233-0.62*'03_原始数据'!B233-OtherCost</f>
        <v/>
      </c>
      <c r="R233" s="37">
        <f>'03_原始数据'!C233-0.625*'03_原始数据'!B233-OtherCost</f>
        <v/>
      </c>
      <c r="S233" s="37">
        <f>'03_原始数据'!C233-0.63*'03_原始数据'!B233-OtherCost</f>
        <v/>
      </c>
      <c r="T233" s="37">
        <f>'03_原始数据'!C233-0.635*'03_原始数据'!B233-OtherCost</f>
        <v/>
      </c>
      <c r="U233" s="37">
        <f>'03_原始数据'!C233-0.64*'03_原始数据'!B233-OtherCost</f>
        <v/>
      </c>
      <c r="V233" s="37">
        <f>'03_原始数据'!C233-0.645*'03_原始数据'!B233-OtherCost</f>
        <v/>
      </c>
      <c r="W233" s="37">
        <f>'03_原始数据'!C233-0.65*'03_原始数据'!B233-OtherCost</f>
        <v/>
      </c>
      <c r="X233" s="37">
        <f>'03_原始数据'!C233-0.655*'03_原始数据'!B233-OtherCost</f>
        <v/>
      </c>
      <c r="Y233" s="37">
        <f>'03_原始数据'!C233-0.66*'03_原始数据'!B233-OtherCost</f>
        <v/>
      </c>
      <c r="Z233" s="37">
        <f>'03_原始数据'!C233-0.665*'03_原始数据'!B233-OtherCost</f>
        <v/>
      </c>
      <c r="AA233" s="37">
        <f>'03_原始数据'!C233-0.67*'03_原始数据'!B233-OtherCost</f>
        <v/>
      </c>
      <c r="AB233" s="37">
        <f>'03_原始数据'!C233-0.675*'03_原始数据'!B233-OtherCost</f>
        <v/>
      </c>
      <c r="AC233" s="37">
        <f>'03_原始数据'!C233-0.68*'03_原始数据'!B233-OtherCost</f>
        <v/>
      </c>
      <c r="AD233" s="37">
        <f>'03_原始数据'!C233-0.685*'03_原始数据'!B233-OtherCost</f>
        <v/>
      </c>
      <c r="AE233" s="37">
        <f>'03_原始数据'!C233-0.69*'03_原始数据'!B233-OtherCost</f>
        <v/>
      </c>
      <c r="AF233" s="37">
        <f>'03_原始数据'!C233-0.695*'03_原始数据'!B233-OtherCost</f>
        <v/>
      </c>
      <c r="AG233" s="37">
        <f>'03_原始数据'!C233-0.7*'03_原始数据'!B233-OtherCost</f>
        <v/>
      </c>
    </row>
    <row r="234">
      <c r="M234" s="37">
        <f>'03_原始数据'!C234-0.6*'03_原始数据'!B234-OtherCost</f>
        <v/>
      </c>
      <c r="N234" s="37">
        <f>'03_原始数据'!C234-0.605*'03_原始数据'!B234-OtherCost</f>
        <v/>
      </c>
      <c r="O234" s="37">
        <f>'03_原始数据'!C234-0.61*'03_原始数据'!B234-OtherCost</f>
        <v/>
      </c>
      <c r="P234" s="37">
        <f>'03_原始数据'!C234-0.615*'03_原始数据'!B234-OtherCost</f>
        <v/>
      </c>
      <c r="Q234" s="37">
        <f>'03_原始数据'!C234-0.62*'03_原始数据'!B234-OtherCost</f>
        <v/>
      </c>
      <c r="R234" s="37">
        <f>'03_原始数据'!C234-0.625*'03_原始数据'!B234-OtherCost</f>
        <v/>
      </c>
      <c r="S234" s="37">
        <f>'03_原始数据'!C234-0.63*'03_原始数据'!B234-OtherCost</f>
        <v/>
      </c>
      <c r="T234" s="37">
        <f>'03_原始数据'!C234-0.635*'03_原始数据'!B234-OtherCost</f>
        <v/>
      </c>
      <c r="U234" s="37">
        <f>'03_原始数据'!C234-0.64*'03_原始数据'!B234-OtherCost</f>
        <v/>
      </c>
      <c r="V234" s="37">
        <f>'03_原始数据'!C234-0.645*'03_原始数据'!B234-OtherCost</f>
        <v/>
      </c>
      <c r="W234" s="37">
        <f>'03_原始数据'!C234-0.65*'03_原始数据'!B234-OtherCost</f>
        <v/>
      </c>
      <c r="X234" s="37">
        <f>'03_原始数据'!C234-0.655*'03_原始数据'!B234-OtherCost</f>
        <v/>
      </c>
      <c r="Y234" s="37">
        <f>'03_原始数据'!C234-0.66*'03_原始数据'!B234-OtherCost</f>
        <v/>
      </c>
      <c r="Z234" s="37">
        <f>'03_原始数据'!C234-0.665*'03_原始数据'!B234-OtherCost</f>
        <v/>
      </c>
      <c r="AA234" s="37">
        <f>'03_原始数据'!C234-0.67*'03_原始数据'!B234-OtherCost</f>
        <v/>
      </c>
      <c r="AB234" s="37">
        <f>'03_原始数据'!C234-0.675*'03_原始数据'!B234-OtherCost</f>
        <v/>
      </c>
      <c r="AC234" s="37">
        <f>'03_原始数据'!C234-0.68*'03_原始数据'!B234-OtherCost</f>
        <v/>
      </c>
      <c r="AD234" s="37">
        <f>'03_原始数据'!C234-0.685*'03_原始数据'!B234-OtherCost</f>
        <v/>
      </c>
      <c r="AE234" s="37">
        <f>'03_原始数据'!C234-0.69*'03_原始数据'!B234-OtherCost</f>
        <v/>
      </c>
      <c r="AF234" s="37">
        <f>'03_原始数据'!C234-0.695*'03_原始数据'!B234-OtherCost</f>
        <v/>
      </c>
      <c r="AG234" s="37">
        <f>'03_原始数据'!C234-0.7*'03_原始数据'!B234-OtherCost</f>
        <v/>
      </c>
    </row>
    <row r="235">
      <c r="M235" s="37">
        <f>'03_原始数据'!C235-0.6*'03_原始数据'!B235-OtherCost</f>
        <v/>
      </c>
      <c r="N235" s="37">
        <f>'03_原始数据'!C235-0.605*'03_原始数据'!B235-OtherCost</f>
        <v/>
      </c>
      <c r="O235" s="37">
        <f>'03_原始数据'!C235-0.61*'03_原始数据'!B235-OtherCost</f>
        <v/>
      </c>
      <c r="P235" s="37">
        <f>'03_原始数据'!C235-0.615*'03_原始数据'!B235-OtherCost</f>
        <v/>
      </c>
      <c r="Q235" s="37">
        <f>'03_原始数据'!C235-0.62*'03_原始数据'!B235-OtherCost</f>
        <v/>
      </c>
      <c r="R235" s="37">
        <f>'03_原始数据'!C235-0.625*'03_原始数据'!B235-OtherCost</f>
        <v/>
      </c>
      <c r="S235" s="37">
        <f>'03_原始数据'!C235-0.63*'03_原始数据'!B235-OtherCost</f>
        <v/>
      </c>
      <c r="T235" s="37">
        <f>'03_原始数据'!C235-0.635*'03_原始数据'!B235-OtherCost</f>
        <v/>
      </c>
      <c r="U235" s="37">
        <f>'03_原始数据'!C235-0.64*'03_原始数据'!B235-OtherCost</f>
        <v/>
      </c>
      <c r="V235" s="37">
        <f>'03_原始数据'!C235-0.645*'03_原始数据'!B235-OtherCost</f>
        <v/>
      </c>
      <c r="W235" s="37">
        <f>'03_原始数据'!C235-0.65*'03_原始数据'!B235-OtherCost</f>
        <v/>
      </c>
      <c r="X235" s="37">
        <f>'03_原始数据'!C235-0.655*'03_原始数据'!B235-OtherCost</f>
        <v/>
      </c>
      <c r="Y235" s="37">
        <f>'03_原始数据'!C235-0.66*'03_原始数据'!B235-OtherCost</f>
        <v/>
      </c>
      <c r="Z235" s="37">
        <f>'03_原始数据'!C235-0.665*'03_原始数据'!B235-OtherCost</f>
        <v/>
      </c>
      <c r="AA235" s="37">
        <f>'03_原始数据'!C235-0.67*'03_原始数据'!B235-OtherCost</f>
        <v/>
      </c>
      <c r="AB235" s="37">
        <f>'03_原始数据'!C235-0.675*'03_原始数据'!B235-OtherCost</f>
        <v/>
      </c>
      <c r="AC235" s="37">
        <f>'03_原始数据'!C235-0.68*'03_原始数据'!B235-OtherCost</f>
        <v/>
      </c>
      <c r="AD235" s="37">
        <f>'03_原始数据'!C235-0.685*'03_原始数据'!B235-OtherCost</f>
        <v/>
      </c>
      <c r="AE235" s="37">
        <f>'03_原始数据'!C235-0.69*'03_原始数据'!B235-OtherCost</f>
        <v/>
      </c>
      <c r="AF235" s="37">
        <f>'03_原始数据'!C235-0.695*'03_原始数据'!B235-OtherCost</f>
        <v/>
      </c>
      <c r="AG235" s="37">
        <f>'03_原始数据'!C235-0.7*'03_原始数据'!B235-OtherCost</f>
        <v/>
      </c>
    </row>
    <row r="236">
      <c r="M236" s="37">
        <f>'03_原始数据'!C236-0.6*'03_原始数据'!B236-OtherCost</f>
        <v/>
      </c>
      <c r="N236" s="37">
        <f>'03_原始数据'!C236-0.605*'03_原始数据'!B236-OtherCost</f>
        <v/>
      </c>
      <c r="O236" s="37">
        <f>'03_原始数据'!C236-0.61*'03_原始数据'!B236-OtherCost</f>
        <v/>
      </c>
      <c r="P236" s="37">
        <f>'03_原始数据'!C236-0.615*'03_原始数据'!B236-OtherCost</f>
        <v/>
      </c>
      <c r="Q236" s="37">
        <f>'03_原始数据'!C236-0.62*'03_原始数据'!B236-OtherCost</f>
        <v/>
      </c>
      <c r="R236" s="37">
        <f>'03_原始数据'!C236-0.625*'03_原始数据'!B236-OtherCost</f>
        <v/>
      </c>
      <c r="S236" s="37">
        <f>'03_原始数据'!C236-0.63*'03_原始数据'!B236-OtherCost</f>
        <v/>
      </c>
      <c r="T236" s="37">
        <f>'03_原始数据'!C236-0.635*'03_原始数据'!B236-OtherCost</f>
        <v/>
      </c>
      <c r="U236" s="37">
        <f>'03_原始数据'!C236-0.64*'03_原始数据'!B236-OtherCost</f>
        <v/>
      </c>
      <c r="V236" s="37">
        <f>'03_原始数据'!C236-0.645*'03_原始数据'!B236-OtherCost</f>
        <v/>
      </c>
      <c r="W236" s="37">
        <f>'03_原始数据'!C236-0.65*'03_原始数据'!B236-OtherCost</f>
        <v/>
      </c>
      <c r="X236" s="37">
        <f>'03_原始数据'!C236-0.655*'03_原始数据'!B236-OtherCost</f>
        <v/>
      </c>
      <c r="Y236" s="37">
        <f>'03_原始数据'!C236-0.66*'03_原始数据'!B236-OtherCost</f>
        <v/>
      </c>
      <c r="Z236" s="37">
        <f>'03_原始数据'!C236-0.665*'03_原始数据'!B236-OtherCost</f>
        <v/>
      </c>
      <c r="AA236" s="37">
        <f>'03_原始数据'!C236-0.67*'03_原始数据'!B236-OtherCost</f>
        <v/>
      </c>
      <c r="AB236" s="37">
        <f>'03_原始数据'!C236-0.675*'03_原始数据'!B236-OtherCost</f>
        <v/>
      </c>
      <c r="AC236" s="37">
        <f>'03_原始数据'!C236-0.68*'03_原始数据'!B236-OtherCost</f>
        <v/>
      </c>
      <c r="AD236" s="37">
        <f>'03_原始数据'!C236-0.685*'03_原始数据'!B236-OtherCost</f>
        <v/>
      </c>
      <c r="AE236" s="37">
        <f>'03_原始数据'!C236-0.69*'03_原始数据'!B236-OtherCost</f>
        <v/>
      </c>
      <c r="AF236" s="37">
        <f>'03_原始数据'!C236-0.695*'03_原始数据'!B236-OtherCost</f>
        <v/>
      </c>
      <c r="AG236" s="37">
        <f>'03_原始数据'!C236-0.7*'03_原始数据'!B236-OtherCost</f>
        <v/>
      </c>
    </row>
    <row r="237">
      <c r="M237" s="37">
        <f>'03_原始数据'!C237-0.6*'03_原始数据'!B237-OtherCost</f>
        <v/>
      </c>
      <c r="N237" s="37">
        <f>'03_原始数据'!C237-0.605*'03_原始数据'!B237-OtherCost</f>
        <v/>
      </c>
      <c r="O237" s="37">
        <f>'03_原始数据'!C237-0.61*'03_原始数据'!B237-OtherCost</f>
        <v/>
      </c>
      <c r="P237" s="37">
        <f>'03_原始数据'!C237-0.615*'03_原始数据'!B237-OtherCost</f>
        <v/>
      </c>
      <c r="Q237" s="37">
        <f>'03_原始数据'!C237-0.62*'03_原始数据'!B237-OtherCost</f>
        <v/>
      </c>
      <c r="R237" s="37">
        <f>'03_原始数据'!C237-0.625*'03_原始数据'!B237-OtherCost</f>
        <v/>
      </c>
      <c r="S237" s="37">
        <f>'03_原始数据'!C237-0.63*'03_原始数据'!B237-OtherCost</f>
        <v/>
      </c>
      <c r="T237" s="37">
        <f>'03_原始数据'!C237-0.635*'03_原始数据'!B237-OtherCost</f>
        <v/>
      </c>
      <c r="U237" s="37">
        <f>'03_原始数据'!C237-0.64*'03_原始数据'!B237-OtherCost</f>
        <v/>
      </c>
      <c r="V237" s="37">
        <f>'03_原始数据'!C237-0.645*'03_原始数据'!B237-OtherCost</f>
        <v/>
      </c>
      <c r="W237" s="37">
        <f>'03_原始数据'!C237-0.65*'03_原始数据'!B237-OtherCost</f>
        <v/>
      </c>
      <c r="X237" s="37">
        <f>'03_原始数据'!C237-0.655*'03_原始数据'!B237-OtherCost</f>
        <v/>
      </c>
      <c r="Y237" s="37">
        <f>'03_原始数据'!C237-0.66*'03_原始数据'!B237-OtherCost</f>
        <v/>
      </c>
      <c r="Z237" s="37">
        <f>'03_原始数据'!C237-0.665*'03_原始数据'!B237-OtherCost</f>
        <v/>
      </c>
      <c r="AA237" s="37">
        <f>'03_原始数据'!C237-0.67*'03_原始数据'!B237-OtherCost</f>
        <v/>
      </c>
      <c r="AB237" s="37">
        <f>'03_原始数据'!C237-0.675*'03_原始数据'!B237-OtherCost</f>
        <v/>
      </c>
      <c r="AC237" s="37">
        <f>'03_原始数据'!C237-0.68*'03_原始数据'!B237-OtherCost</f>
        <v/>
      </c>
      <c r="AD237" s="37">
        <f>'03_原始数据'!C237-0.685*'03_原始数据'!B237-OtherCost</f>
        <v/>
      </c>
      <c r="AE237" s="37">
        <f>'03_原始数据'!C237-0.69*'03_原始数据'!B237-OtherCost</f>
        <v/>
      </c>
      <c r="AF237" s="37">
        <f>'03_原始数据'!C237-0.695*'03_原始数据'!B237-OtherCost</f>
        <v/>
      </c>
      <c r="AG237" s="37">
        <f>'03_原始数据'!C237-0.7*'03_原始数据'!B237-OtherCost</f>
        <v/>
      </c>
    </row>
    <row r="238">
      <c r="M238" s="37">
        <f>'03_原始数据'!C238-0.6*'03_原始数据'!B238-OtherCost</f>
        <v/>
      </c>
      <c r="N238" s="37">
        <f>'03_原始数据'!C238-0.605*'03_原始数据'!B238-OtherCost</f>
        <v/>
      </c>
      <c r="O238" s="37">
        <f>'03_原始数据'!C238-0.61*'03_原始数据'!B238-OtherCost</f>
        <v/>
      </c>
      <c r="P238" s="37">
        <f>'03_原始数据'!C238-0.615*'03_原始数据'!B238-OtherCost</f>
        <v/>
      </c>
      <c r="Q238" s="37">
        <f>'03_原始数据'!C238-0.62*'03_原始数据'!B238-OtherCost</f>
        <v/>
      </c>
      <c r="R238" s="37">
        <f>'03_原始数据'!C238-0.625*'03_原始数据'!B238-OtherCost</f>
        <v/>
      </c>
      <c r="S238" s="37">
        <f>'03_原始数据'!C238-0.63*'03_原始数据'!B238-OtherCost</f>
        <v/>
      </c>
      <c r="T238" s="37">
        <f>'03_原始数据'!C238-0.635*'03_原始数据'!B238-OtherCost</f>
        <v/>
      </c>
      <c r="U238" s="37">
        <f>'03_原始数据'!C238-0.64*'03_原始数据'!B238-OtherCost</f>
        <v/>
      </c>
      <c r="V238" s="37">
        <f>'03_原始数据'!C238-0.645*'03_原始数据'!B238-OtherCost</f>
        <v/>
      </c>
      <c r="W238" s="37">
        <f>'03_原始数据'!C238-0.65*'03_原始数据'!B238-OtherCost</f>
        <v/>
      </c>
      <c r="X238" s="37">
        <f>'03_原始数据'!C238-0.655*'03_原始数据'!B238-OtherCost</f>
        <v/>
      </c>
      <c r="Y238" s="37">
        <f>'03_原始数据'!C238-0.66*'03_原始数据'!B238-OtherCost</f>
        <v/>
      </c>
      <c r="Z238" s="37">
        <f>'03_原始数据'!C238-0.665*'03_原始数据'!B238-OtherCost</f>
        <v/>
      </c>
      <c r="AA238" s="37">
        <f>'03_原始数据'!C238-0.67*'03_原始数据'!B238-OtherCost</f>
        <v/>
      </c>
      <c r="AB238" s="37">
        <f>'03_原始数据'!C238-0.675*'03_原始数据'!B238-OtherCost</f>
        <v/>
      </c>
      <c r="AC238" s="37">
        <f>'03_原始数据'!C238-0.68*'03_原始数据'!B238-OtherCost</f>
        <v/>
      </c>
      <c r="AD238" s="37">
        <f>'03_原始数据'!C238-0.685*'03_原始数据'!B238-OtherCost</f>
        <v/>
      </c>
      <c r="AE238" s="37">
        <f>'03_原始数据'!C238-0.69*'03_原始数据'!B238-OtherCost</f>
        <v/>
      </c>
      <c r="AF238" s="37">
        <f>'03_原始数据'!C238-0.695*'03_原始数据'!B238-OtherCost</f>
        <v/>
      </c>
      <c r="AG238" s="37">
        <f>'03_原始数据'!C238-0.7*'03_原始数据'!B238-OtherCost</f>
        <v/>
      </c>
    </row>
    <row r="239">
      <c r="M239" s="37">
        <f>'03_原始数据'!C239-0.6*'03_原始数据'!B239-OtherCost</f>
        <v/>
      </c>
      <c r="N239" s="37">
        <f>'03_原始数据'!C239-0.605*'03_原始数据'!B239-OtherCost</f>
        <v/>
      </c>
      <c r="O239" s="37">
        <f>'03_原始数据'!C239-0.61*'03_原始数据'!B239-OtherCost</f>
        <v/>
      </c>
      <c r="P239" s="37">
        <f>'03_原始数据'!C239-0.615*'03_原始数据'!B239-OtherCost</f>
        <v/>
      </c>
      <c r="Q239" s="37">
        <f>'03_原始数据'!C239-0.62*'03_原始数据'!B239-OtherCost</f>
        <v/>
      </c>
      <c r="R239" s="37">
        <f>'03_原始数据'!C239-0.625*'03_原始数据'!B239-OtherCost</f>
        <v/>
      </c>
      <c r="S239" s="37">
        <f>'03_原始数据'!C239-0.63*'03_原始数据'!B239-OtherCost</f>
        <v/>
      </c>
      <c r="T239" s="37">
        <f>'03_原始数据'!C239-0.635*'03_原始数据'!B239-OtherCost</f>
        <v/>
      </c>
      <c r="U239" s="37">
        <f>'03_原始数据'!C239-0.64*'03_原始数据'!B239-OtherCost</f>
        <v/>
      </c>
      <c r="V239" s="37">
        <f>'03_原始数据'!C239-0.645*'03_原始数据'!B239-OtherCost</f>
        <v/>
      </c>
      <c r="W239" s="37">
        <f>'03_原始数据'!C239-0.65*'03_原始数据'!B239-OtherCost</f>
        <v/>
      </c>
      <c r="X239" s="37">
        <f>'03_原始数据'!C239-0.655*'03_原始数据'!B239-OtherCost</f>
        <v/>
      </c>
      <c r="Y239" s="37">
        <f>'03_原始数据'!C239-0.66*'03_原始数据'!B239-OtherCost</f>
        <v/>
      </c>
      <c r="Z239" s="37">
        <f>'03_原始数据'!C239-0.665*'03_原始数据'!B239-OtherCost</f>
        <v/>
      </c>
      <c r="AA239" s="37">
        <f>'03_原始数据'!C239-0.67*'03_原始数据'!B239-OtherCost</f>
        <v/>
      </c>
      <c r="AB239" s="37">
        <f>'03_原始数据'!C239-0.675*'03_原始数据'!B239-OtherCost</f>
        <v/>
      </c>
      <c r="AC239" s="37">
        <f>'03_原始数据'!C239-0.68*'03_原始数据'!B239-OtherCost</f>
        <v/>
      </c>
      <c r="AD239" s="37">
        <f>'03_原始数据'!C239-0.685*'03_原始数据'!B239-OtherCost</f>
        <v/>
      </c>
      <c r="AE239" s="37">
        <f>'03_原始数据'!C239-0.69*'03_原始数据'!B239-OtherCost</f>
        <v/>
      </c>
      <c r="AF239" s="37">
        <f>'03_原始数据'!C239-0.695*'03_原始数据'!B239-OtherCost</f>
        <v/>
      </c>
      <c r="AG239" s="37">
        <f>'03_原始数据'!C239-0.7*'03_原始数据'!B239-OtherCost</f>
        <v/>
      </c>
    </row>
    <row r="240">
      <c r="M240" s="37">
        <f>'03_原始数据'!C240-0.6*'03_原始数据'!B240-OtherCost</f>
        <v/>
      </c>
      <c r="N240" s="37">
        <f>'03_原始数据'!C240-0.605*'03_原始数据'!B240-OtherCost</f>
        <v/>
      </c>
      <c r="O240" s="37">
        <f>'03_原始数据'!C240-0.61*'03_原始数据'!B240-OtherCost</f>
        <v/>
      </c>
      <c r="P240" s="37">
        <f>'03_原始数据'!C240-0.615*'03_原始数据'!B240-OtherCost</f>
        <v/>
      </c>
      <c r="Q240" s="37">
        <f>'03_原始数据'!C240-0.62*'03_原始数据'!B240-OtherCost</f>
        <v/>
      </c>
      <c r="R240" s="37">
        <f>'03_原始数据'!C240-0.625*'03_原始数据'!B240-OtherCost</f>
        <v/>
      </c>
      <c r="S240" s="37">
        <f>'03_原始数据'!C240-0.63*'03_原始数据'!B240-OtherCost</f>
        <v/>
      </c>
      <c r="T240" s="37">
        <f>'03_原始数据'!C240-0.635*'03_原始数据'!B240-OtherCost</f>
        <v/>
      </c>
      <c r="U240" s="37">
        <f>'03_原始数据'!C240-0.64*'03_原始数据'!B240-OtherCost</f>
        <v/>
      </c>
      <c r="V240" s="37">
        <f>'03_原始数据'!C240-0.645*'03_原始数据'!B240-OtherCost</f>
        <v/>
      </c>
      <c r="W240" s="37">
        <f>'03_原始数据'!C240-0.65*'03_原始数据'!B240-OtherCost</f>
        <v/>
      </c>
      <c r="X240" s="37">
        <f>'03_原始数据'!C240-0.655*'03_原始数据'!B240-OtherCost</f>
        <v/>
      </c>
      <c r="Y240" s="37">
        <f>'03_原始数据'!C240-0.66*'03_原始数据'!B240-OtherCost</f>
        <v/>
      </c>
      <c r="Z240" s="37">
        <f>'03_原始数据'!C240-0.665*'03_原始数据'!B240-OtherCost</f>
        <v/>
      </c>
      <c r="AA240" s="37">
        <f>'03_原始数据'!C240-0.67*'03_原始数据'!B240-OtherCost</f>
        <v/>
      </c>
      <c r="AB240" s="37">
        <f>'03_原始数据'!C240-0.675*'03_原始数据'!B240-OtherCost</f>
        <v/>
      </c>
      <c r="AC240" s="37">
        <f>'03_原始数据'!C240-0.68*'03_原始数据'!B240-OtherCost</f>
        <v/>
      </c>
      <c r="AD240" s="37">
        <f>'03_原始数据'!C240-0.685*'03_原始数据'!B240-OtherCost</f>
        <v/>
      </c>
      <c r="AE240" s="37">
        <f>'03_原始数据'!C240-0.69*'03_原始数据'!B240-OtherCost</f>
        <v/>
      </c>
      <c r="AF240" s="37">
        <f>'03_原始数据'!C240-0.695*'03_原始数据'!B240-OtherCost</f>
        <v/>
      </c>
      <c r="AG240" s="37">
        <f>'03_原始数据'!C240-0.7*'03_原始数据'!B240-OtherCost</f>
        <v/>
      </c>
    </row>
    <row r="241">
      <c r="M241" s="37">
        <f>'03_原始数据'!C241-0.6*'03_原始数据'!B241-OtherCost</f>
        <v/>
      </c>
      <c r="N241" s="37">
        <f>'03_原始数据'!C241-0.605*'03_原始数据'!B241-OtherCost</f>
        <v/>
      </c>
      <c r="O241" s="37">
        <f>'03_原始数据'!C241-0.61*'03_原始数据'!B241-OtherCost</f>
        <v/>
      </c>
      <c r="P241" s="37">
        <f>'03_原始数据'!C241-0.615*'03_原始数据'!B241-OtherCost</f>
        <v/>
      </c>
      <c r="Q241" s="37">
        <f>'03_原始数据'!C241-0.62*'03_原始数据'!B241-OtherCost</f>
        <v/>
      </c>
      <c r="R241" s="37">
        <f>'03_原始数据'!C241-0.625*'03_原始数据'!B241-OtherCost</f>
        <v/>
      </c>
      <c r="S241" s="37">
        <f>'03_原始数据'!C241-0.63*'03_原始数据'!B241-OtherCost</f>
        <v/>
      </c>
      <c r="T241" s="37">
        <f>'03_原始数据'!C241-0.635*'03_原始数据'!B241-OtherCost</f>
        <v/>
      </c>
      <c r="U241" s="37">
        <f>'03_原始数据'!C241-0.64*'03_原始数据'!B241-OtherCost</f>
        <v/>
      </c>
      <c r="V241" s="37">
        <f>'03_原始数据'!C241-0.645*'03_原始数据'!B241-OtherCost</f>
        <v/>
      </c>
      <c r="W241" s="37">
        <f>'03_原始数据'!C241-0.65*'03_原始数据'!B241-OtherCost</f>
        <v/>
      </c>
      <c r="X241" s="37">
        <f>'03_原始数据'!C241-0.655*'03_原始数据'!B241-OtherCost</f>
        <v/>
      </c>
      <c r="Y241" s="37">
        <f>'03_原始数据'!C241-0.66*'03_原始数据'!B241-OtherCost</f>
        <v/>
      </c>
      <c r="Z241" s="37">
        <f>'03_原始数据'!C241-0.665*'03_原始数据'!B241-OtherCost</f>
        <v/>
      </c>
      <c r="AA241" s="37">
        <f>'03_原始数据'!C241-0.67*'03_原始数据'!B241-OtherCost</f>
        <v/>
      </c>
      <c r="AB241" s="37">
        <f>'03_原始数据'!C241-0.675*'03_原始数据'!B241-OtherCost</f>
        <v/>
      </c>
      <c r="AC241" s="37">
        <f>'03_原始数据'!C241-0.68*'03_原始数据'!B241-OtherCost</f>
        <v/>
      </c>
      <c r="AD241" s="37">
        <f>'03_原始数据'!C241-0.685*'03_原始数据'!B241-OtherCost</f>
        <v/>
      </c>
      <c r="AE241" s="37">
        <f>'03_原始数据'!C241-0.69*'03_原始数据'!B241-OtherCost</f>
        <v/>
      </c>
      <c r="AF241" s="37">
        <f>'03_原始数据'!C241-0.695*'03_原始数据'!B241-OtherCost</f>
        <v/>
      </c>
      <c r="AG241" s="37">
        <f>'03_原始数据'!C241-0.7*'03_原始数据'!B241-OtherCost</f>
        <v/>
      </c>
    </row>
    <row r="242">
      <c r="M242" s="37">
        <f>'03_原始数据'!C242-0.6*'03_原始数据'!B242-OtherCost</f>
        <v/>
      </c>
      <c r="N242" s="37">
        <f>'03_原始数据'!C242-0.605*'03_原始数据'!B242-OtherCost</f>
        <v/>
      </c>
      <c r="O242" s="37">
        <f>'03_原始数据'!C242-0.61*'03_原始数据'!B242-OtherCost</f>
        <v/>
      </c>
      <c r="P242" s="37">
        <f>'03_原始数据'!C242-0.615*'03_原始数据'!B242-OtherCost</f>
        <v/>
      </c>
      <c r="Q242" s="37">
        <f>'03_原始数据'!C242-0.62*'03_原始数据'!B242-OtherCost</f>
        <v/>
      </c>
      <c r="R242" s="37">
        <f>'03_原始数据'!C242-0.625*'03_原始数据'!B242-OtherCost</f>
        <v/>
      </c>
      <c r="S242" s="37">
        <f>'03_原始数据'!C242-0.63*'03_原始数据'!B242-OtherCost</f>
        <v/>
      </c>
      <c r="T242" s="37">
        <f>'03_原始数据'!C242-0.635*'03_原始数据'!B242-OtherCost</f>
        <v/>
      </c>
      <c r="U242" s="37">
        <f>'03_原始数据'!C242-0.64*'03_原始数据'!B242-OtherCost</f>
        <v/>
      </c>
      <c r="V242" s="37">
        <f>'03_原始数据'!C242-0.645*'03_原始数据'!B242-OtherCost</f>
        <v/>
      </c>
      <c r="W242" s="37">
        <f>'03_原始数据'!C242-0.65*'03_原始数据'!B242-OtherCost</f>
        <v/>
      </c>
      <c r="X242" s="37">
        <f>'03_原始数据'!C242-0.655*'03_原始数据'!B242-OtherCost</f>
        <v/>
      </c>
      <c r="Y242" s="37">
        <f>'03_原始数据'!C242-0.66*'03_原始数据'!B242-OtherCost</f>
        <v/>
      </c>
      <c r="Z242" s="37">
        <f>'03_原始数据'!C242-0.665*'03_原始数据'!B242-OtherCost</f>
        <v/>
      </c>
      <c r="AA242" s="37">
        <f>'03_原始数据'!C242-0.67*'03_原始数据'!B242-OtherCost</f>
        <v/>
      </c>
      <c r="AB242" s="37">
        <f>'03_原始数据'!C242-0.675*'03_原始数据'!B242-OtherCost</f>
        <v/>
      </c>
      <c r="AC242" s="37">
        <f>'03_原始数据'!C242-0.68*'03_原始数据'!B242-OtherCost</f>
        <v/>
      </c>
      <c r="AD242" s="37">
        <f>'03_原始数据'!C242-0.685*'03_原始数据'!B242-OtherCost</f>
        <v/>
      </c>
      <c r="AE242" s="37">
        <f>'03_原始数据'!C242-0.69*'03_原始数据'!B242-OtherCost</f>
        <v/>
      </c>
      <c r="AF242" s="37">
        <f>'03_原始数据'!C242-0.695*'03_原始数据'!B242-OtherCost</f>
        <v/>
      </c>
      <c r="AG242" s="37">
        <f>'03_原始数据'!C242-0.7*'03_原始数据'!B242-OtherCost</f>
        <v/>
      </c>
    </row>
    <row r="243">
      <c r="M243" s="37">
        <f>'03_原始数据'!C243-0.6*'03_原始数据'!B243-OtherCost</f>
        <v/>
      </c>
      <c r="N243" s="37">
        <f>'03_原始数据'!C243-0.605*'03_原始数据'!B243-OtherCost</f>
        <v/>
      </c>
      <c r="O243" s="37">
        <f>'03_原始数据'!C243-0.61*'03_原始数据'!B243-OtherCost</f>
        <v/>
      </c>
      <c r="P243" s="37">
        <f>'03_原始数据'!C243-0.615*'03_原始数据'!B243-OtherCost</f>
        <v/>
      </c>
      <c r="Q243" s="37">
        <f>'03_原始数据'!C243-0.62*'03_原始数据'!B243-OtherCost</f>
        <v/>
      </c>
      <c r="R243" s="37">
        <f>'03_原始数据'!C243-0.625*'03_原始数据'!B243-OtherCost</f>
        <v/>
      </c>
      <c r="S243" s="37">
        <f>'03_原始数据'!C243-0.63*'03_原始数据'!B243-OtherCost</f>
        <v/>
      </c>
      <c r="T243" s="37">
        <f>'03_原始数据'!C243-0.635*'03_原始数据'!B243-OtherCost</f>
        <v/>
      </c>
      <c r="U243" s="37">
        <f>'03_原始数据'!C243-0.64*'03_原始数据'!B243-OtherCost</f>
        <v/>
      </c>
      <c r="V243" s="37">
        <f>'03_原始数据'!C243-0.645*'03_原始数据'!B243-OtherCost</f>
        <v/>
      </c>
      <c r="W243" s="37">
        <f>'03_原始数据'!C243-0.65*'03_原始数据'!B243-OtherCost</f>
        <v/>
      </c>
      <c r="X243" s="37">
        <f>'03_原始数据'!C243-0.655*'03_原始数据'!B243-OtherCost</f>
        <v/>
      </c>
      <c r="Y243" s="37">
        <f>'03_原始数据'!C243-0.66*'03_原始数据'!B243-OtherCost</f>
        <v/>
      </c>
      <c r="Z243" s="37">
        <f>'03_原始数据'!C243-0.665*'03_原始数据'!B243-OtherCost</f>
        <v/>
      </c>
      <c r="AA243" s="37">
        <f>'03_原始数据'!C243-0.67*'03_原始数据'!B243-OtherCost</f>
        <v/>
      </c>
      <c r="AB243" s="37">
        <f>'03_原始数据'!C243-0.675*'03_原始数据'!B243-OtherCost</f>
        <v/>
      </c>
      <c r="AC243" s="37">
        <f>'03_原始数据'!C243-0.68*'03_原始数据'!B243-OtherCost</f>
        <v/>
      </c>
      <c r="AD243" s="37">
        <f>'03_原始数据'!C243-0.685*'03_原始数据'!B243-OtherCost</f>
        <v/>
      </c>
      <c r="AE243" s="37">
        <f>'03_原始数据'!C243-0.69*'03_原始数据'!B243-OtherCost</f>
        <v/>
      </c>
      <c r="AF243" s="37">
        <f>'03_原始数据'!C243-0.695*'03_原始数据'!B243-OtherCost</f>
        <v/>
      </c>
      <c r="AG243" s="37">
        <f>'03_原始数据'!C243-0.7*'03_原始数据'!B243-OtherCost</f>
        <v/>
      </c>
    </row>
    <row r="244">
      <c r="M244" s="37">
        <f>'03_原始数据'!C244-0.6*'03_原始数据'!B244-OtherCost</f>
        <v/>
      </c>
      <c r="N244" s="37">
        <f>'03_原始数据'!C244-0.605*'03_原始数据'!B244-OtherCost</f>
        <v/>
      </c>
      <c r="O244" s="37">
        <f>'03_原始数据'!C244-0.61*'03_原始数据'!B244-OtherCost</f>
        <v/>
      </c>
      <c r="P244" s="37">
        <f>'03_原始数据'!C244-0.615*'03_原始数据'!B244-OtherCost</f>
        <v/>
      </c>
      <c r="Q244" s="37">
        <f>'03_原始数据'!C244-0.62*'03_原始数据'!B244-OtherCost</f>
        <v/>
      </c>
      <c r="R244" s="37">
        <f>'03_原始数据'!C244-0.625*'03_原始数据'!B244-OtherCost</f>
        <v/>
      </c>
      <c r="S244" s="37">
        <f>'03_原始数据'!C244-0.63*'03_原始数据'!B244-OtherCost</f>
        <v/>
      </c>
      <c r="T244" s="37">
        <f>'03_原始数据'!C244-0.635*'03_原始数据'!B244-OtherCost</f>
        <v/>
      </c>
      <c r="U244" s="37">
        <f>'03_原始数据'!C244-0.64*'03_原始数据'!B244-OtherCost</f>
        <v/>
      </c>
      <c r="V244" s="37">
        <f>'03_原始数据'!C244-0.645*'03_原始数据'!B244-OtherCost</f>
        <v/>
      </c>
      <c r="W244" s="37">
        <f>'03_原始数据'!C244-0.65*'03_原始数据'!B244-OtherCost</f>
        <v/>
      </c>
      <c r="X244" s="37">
        <f>'03_原始数据'!C244-0.655*'03_原始数据'!B244-OtherCost</f>
        <v/>
      </c>
      <c r="Y244" s="37">
        <f>'03_原始数据'!C244-0.66*'03_原始数据'!B244-OtherCost</f>
        <v/>
      </c>
      <c r="Z244" s="37">
        <f>'03_原始数据'!C244-0.665*'03_原始数据'!B244-OtherCost</f>
        <v/>
      </c>
      <c r="AA244" s="37">
        <f>'03_原始数据'!C244-0.67*'03_原始数据'!B244-OtherCost</f>
        <v/>
      </c>
      <c r="AB244" s="37">
        <f>'03_原始数据'!C244-0.675*'03_原始数据'!B244-OtherCost</f>
        <v/>
      </c>
      <c r="AC244" s="37">
        <f>'03_原始数据'!C244-0.68*'03_原始数据'!B244-OtherCost</f>
        <v/>
      </c>
      <c r="AD244" s="37">
        <f>'03_原始数据'!C244-0.685*'03_原始数据'!B244-OtherCost</f>
        <v/>
      </c>
      <c r="AE244" s="37">
        <f>'03_原始数据'!C244-0.69*'03_原始数据'!B244-OtherCost</f>
        <v/>
      </c>
      <c r="AF244" s="37">
        <f>'03_原始数据'!C244-0.695*'03_原始数据'!B244-OtherCost</f>
        <v/>
      </c>
      <c r="AG244" s="37">
        <f>'03_原始数据'!C244-0.7*'03_原始数据'!B244-OtherCost</f>
        <v/>
      </c>
    </row>
    <row r="245">
      <c r="M245" s="37">
        <f>'03_原始数据'!C245-0.6*'03_原始数据'!B245-OtherCost</f>
        <v/>
      </c>
      <c r="N245" s="37">
        <f>'03_原始数据'!C245-0.605*'03_原始数据'!B245-OtherCost</f>
        <v/>
      </c>
      <c r="O245" s="37">
        <f>'03_原始数据'!C245-0.61*'03_原始数据'!B245-OtherCost</f>
        <v/>
      </c>
      <c r="P245" s="37">
        <f>'03_原始数据'!C245-0.615*'03_原始数据'!B245-OtherCost</f>
        <v/>
      </c>
      <c r="Q245" s="37">
        <f>'03_原始数据'!C245-0.62*'03_原始数据'!B245-OtherCost</f>
        <v/>
      </c>
      <c r="R245" s="37">
        <f>'03_原始数据'!C245-0.625*'03_原始数据'!B245-OtherCost</f>
        <v/>
      </c>
      <c r="S245" s="37">
        <f>'03_原始数据'!C245-0.63*'03_原始数据'!B245-OtherCost</f>
        <v/>
      </c>
      <c r="T245" s="37">
        <f>'03_原始数据'!C245-0.635*'03_原始数据'!B245-OtherCost</f>
        <v/>
      </c>
      <c r="U245" s="37">
        <f>'03_原始数据'!C245-0.64*'03_原始数据'!B245-OtherCost</f>
        <v/>
      </c>
      <c r="V245" s="37">
        <f>'03_原始数据'!C245-0.645*'03_原始数据'!B245-OtherCost</f>
        <v/>
      </c>
      <c r="W245" s="37">
        <f>'03_原始数据'!C245-0.65*'03_原始数据'!B245-OtherCost</f>
        <v/>
      </c>
      <c r="X245" s="37">
        <f>'03_原始数据'!C245-0.655*'03_原始数据'!B245-OtherCost</f>
        <v/>
      </c>
      <c r="Y245" s="37">
        <f>'03_原始数据'!C245-0.66*'03_原始数据'!B245-OtherCost</f>
        <v/>
      </c>
      <c r="Z245" s="37">
        <f>'03_原始数据'!C245-0.665*'03_原始数据'!B245-OtherCost</f>
        <v/>
      </c>
      <c r="AA245" s="37">
        <f>'03_原始数据'!C245-0.67*'03_原始数据'!B245-OtherCost</f>
        <v/>
      </c>
      <c r="AB245" s="37">
        <f>'03_原始数据'!C245-0.675*'03_原始数据'!B245-OtherCost</f>
        <v/>
      </c>
      <c r="AC245" s="37">
        <f>'03_原始数据'!C245-0.68*'03_原始数据'!B245-OtherCost</f>
        <v/>
      </c>
      <c r="AD245" s="37">
        <f>'03_原始数据'!C245-0.685*'03_原始数据'!B245-OtherCost</f>
        <v/>
      </c>
      <c r="AE245" s="37">
        <f>'03_原始数据'!C245-0.69*'03_原始数据'!B245-OtherCost</f>
        <v/>
      </c>
      <c r="AF245" s="37">
        <f>'03_原始数据'!C245-0.695*'03_原始数据'!B245-OtherCost</f>
        <v/>
      </c>
      <c r="AG245" s="37">
        <f>'03_原始数据'!C245-0.7*'03_原始数据'!B245-OtherCost</f>
        <v/>
      </c>
    </row>
    <row r="246">
      <c r="M246" s="37">
        <f>'03_原始数据'!C246-0.6*'03_原始数据'!B246-OtherCost</f>
        <v/>
      </c>
      <c r="N246" s="37">
        <f>'03_原始数据'!C246-0.605*'03_原始数据'!B246-OtherCost</f>
        <v/>
      </c>
      <c r="O246" s="37">
        <f>'03_原始数据'!C246-0.61*'03_原始数据'!B246-OtherCost</f>
        <v/>
      </c>
      <c r="P246" s="37">
        <f>'03_原始数据'!C246-0.615*'03_原始数据'!B246-OtherCost</f>
        <v/>
      </c>
      <c r="Q246" s="37">
        <f>'03_原始数据'!C246-0.62*'03_原始数据'!B246-OtherCost</f>
        <v/>
      </c>
      <c r="R246" s="37">
        <f>'03_原始数据'!C246-0.625*'03_原始数据'!B246-OtherCost</f>
        <v/>
      </c>
      <c r="S246" s="37">
        <f>'03_原始数据'!C246-0.63*'03_原始数据'!B246-OtherCost</f>
        <v/>
      </c>
      <c r="T246" s="37">
        <f>'03_原始数据'!C246-0.635*'03_原始数据'!B246-OtherCost</f>
        <v/>
      </c>
      <c r="U246" s="37">
        <f>'03_原始数据'!C246-0.64*'03_原始数据'!B246-OtherCost</f>
        <v/>
      </c>
      <c r="V246" s="37">
        <f>'03_原始数据'!C246-0.645*'03_原始数据'!B246-OtherCost</f>
        <v/>
      </c>
      <c r="W246" s="37">
        <f>'03_原始数据'!C246-0.65*'03_原始数据'!B246-OtherCost</f>
        <v/>
      </c>
      <c r="X246" s="37">
        <f>'03_原始数据'!C246-0.655*'03_原始数据'!B246-OtherCost</f>
        <v/>
      </c>
      <c r="Y246" s="37">
        <f>'03_原始数据'!C246-0.66*'03_原始数据'!B246-OtherCost</f>
        <v/>
      </c>
      <c r="Z246" s="37">
        <f>'03_原始数据'!C246-0.665*'03_原始数据'!B246-OtherCost</f>
        <v/>
      </c>
      <c r="AA246" s="37">
        <f>'03_原始数据'!C246-0.67*'03_原始数据'!B246-OtherCost</f>
        <v/>
      </c>
      <c r="AB246" s="37">
        <f>'03_原始数据'!C246-0.675*'03_原始数据'!B246-OtherCost</f>
        <v/>
      </c>
      <c r="AC246" s="37">
        <f>'03_原始数据'!C246-0.68*'03_原始数据'!B246-OtherCost</f>
        <v/>
      </c>
      <c r="AD246" s="37">
        <f>'03_原始数据'!C246-0.685*'03_原始数据'!B246-OtherCost</f>
        <v/>
      </c>
      <c r="AE246" s="37">
        <f>'03_原始数据'!C246-0.69*'03_原始数据'!B246-OtherCost</f>
        <v/>
      </c>
      <c r="AF246" s="37">
        <f>'03_原始数据'!C246-0.695*'03_原始数据'!B246-OtherCost</f>
        <v/>
      </c>
      <c r="AG246" s="37">
        <f>'03_原始数据'!C246-0.7*'03_原始数据'!B246-OtherCost</f>
        <v/>
      </c>
    </row>
    <row r="247">
      <c r="M247" s="37">
        <f>'03_原始数据'!C247-0.6*'03_原始数据'!B247-OtherCost</f>
        <v/>
      </c>
      <c r="N247" s="37">
        <f>'03_原始数据'!C247-0.605*'03_原始数据'!B247-OtherCost</f>
        <v/>
      </c>
      <c r="O247" s="37">
        <f>'03_原始数据'!C247-0.61*'03_原始数据'!B247-OtherCost</f>
        <v/>
      </c>
      <c r="P247" s="37">
        <f>'03_原始数据'!C247-0.615*'03_原始数据'!B247-OtherCost</f>
        <v/>
      </c>
      <c r="Q247" s="37">
        <f>'03_原始数据'!C247-0.62*'03_原始数据'!B247-OtherCost</f>
        <v/>
      </c>
      <c r="R247" s="37">
        <f>'03_原始数据'!C247-0.625*'03_原始数据'!B247-OtherCost</f>
        <v/>
      </c>
      <c r="S247" s="37">
        <f>'03_原始数据'!C247-0.63*'03_原始数据'!B247-OtherCost</f>
        <v/>
      </c>
      <c r="T247" s="37">
        <f>'03_原始数据'!C247-0.635*'03_原始数据'!B247-OtherCost</f>
        <v/>
      </c>
      <c r="U247" s="37">
        <f>'03_原始数据'!C247-0.64*'03_原始数据'!B247-OtherCost</f>
        <v/>
      </c>
      <c r="V247" s="37">
        <f>'03_原始数据'!C247-0.645*'03_原始数据'!B247-OtherCost</f>
        <v/>
      </c>
      <c r="W247" s="37">
        <f>'03_原始数据'!C247-0.65*'03_原始数据'!B247-OtherCost</f>
        <v/>
      </c>
      <c r="X247" s="37">
        <f>'03_原始数据'!C247-0.655*'03_原始数据'!B247-OtherCost</f>
        <v/>
      </c>
      <c r="Y247" s="37">
        <f>'03_原始数据'!C247-0.66*'03_原始数据'!B247-OtherCost</f>
        <v/>
      </c>
      <c r="Z247" s="37">
        <f>'03_原始数据'!C247-0.665*'03_原始数据'!B247-OtherCost</f>
        <v/>
      </c>
      <c r="AA247" s="37">
        <f>'03_原始数据'!C247-0.67*'03_原始数据'!B247-OtherCost</f>
        <v/>
      </c>
      <c r="AB247" s="37">
        <f>'03_原始数据'!C247-0.675*'03_原始数据'!B247-OtherCost</f>
        <v/>
      </c>
      <c r="AC247" s="37">
        <f>'03_原始数据'!C247-0.68*'03_原始数据'!B247-OtherCost</f>
        <v/>
      </c>
      <c r="AD247" s="37">
        <f>'03_原始数据'!C247-0.685*'03_原始数据'!B247-OtherCost</f>
        <v/>
      </c>
      <c r="AE247" s="37">
        <f>'03_原始数据'!C247-0.69*'03_原始数据'!B247-OtherCost</f>
        <v/>
      </c>
      <c r="AF247" s="37">
        <f>'03_原始数据'!C247-0.695*'03_原始数据'!B247-OtherCost</f>
        <v/>
      </c>
      <c r="AG247" s="37">
        <f>'03_原始数据'!C247-0.7*'03_原始数据'!B247-OtherCost</f>
        <v/>
      </c>
    </row>
    <row r="248">
      <c r="M248" s="37">
        <f>'03_原始数据'!C248-0.6*'03_原始数据'!B248-OtherCost</f>
        <v/>
      </c>
      <c r="N248" s="37">
        <f>'03_原始数据'!C248-0.605*'03_原始数据'!B248-OtherCost</f>
        <v/>
      </c>
      <c r="O248" s="37">
        <f>'03_原始数据'!C248-0.61*'03_原始数据'!B248-OtherCost</f>
        <v/>
      </c>
      <c r="P248" s="37">
        <f>'03_原始数据'!C248-0.615*'03_原始数据'!B248-OtherCost</f>
        <v/>
      </c>
      <c r="Q248" s="37">
        <f>'03_原始数据'!C248-0.62*'03_原始数据'!B248-OtherCost</f>
        <v/>
      </c>
      <c r="R248" s="37">
        <f>'03_原始数据'!C248-0.625*'03_原始数据'!B248-OtherCost</f>
        <v/>
      </c>
      <c r="S248" s="37">
        <f>'03_原始数据'!C248-0.63*'03_原始数据'!B248-OtherCost</f>
        <v/>
      </c>
      <c r="T248" s="37">
        <f>'03_原始数据'!C248-0.635*'03_原始数据'!B248-OtherCost</f>
        <v/>
      </c>
      <c r="U248" s="37">
        <f>'03_原始数据'!C248-0.64*'03_原始数据'!B248-OtherCost</f>
        <v/>
      </c>
      <c r="V248" s="37">
        <f>'03_原始数据'!C248-0.645*'03_原始数据'!B248-OtherCost</f>
        <v/>
      </c>
      <c r="W248" s="37">
        <f>'03_原始数据'!C248-0.65*'03_原始数据'!B248-OtherCost</f>
        <v/>
      </c>
      <c r="X248" s="37">
        <f>'03_原始数据'!C248-0.655*'03_原始数据'!B248-OtherCost</f>
        <v/>
      </c>
      <c r="Y248" s="37">
        <f>'03_原始数据'!C248-0.66*'03_原始数据'!B248-OtherCost</f>
        <v/>
      </c>
      <c r="Z248" s="37">
        <f>'03_原始数据'!C248-0.665*'03_原始数据'!B248-OtherCost</f>
        <v/>
      </c>
      <c r="AA248" s="37">
        <f>'03_原始数据'!C248-0.67*'03_原始数据'!B248-OtherCost</f>
        <v/>
      </c>
      <c r="AB248" s="37">
        <f>'03_原始数据'!C248-0.675*'03_原始数据'!B248-OtherCost</f>
        <v/>
      </c>
      <c r="AC248" s="37">
        <f>'03_原始数据'!C248-0.68*'03_原始数据'!B248-OtherCost</f>
        <v/>
      </c>
      <c r="AD248" s="37">
        <f>'03_原始数据'!C248-0.685*'03_原始数据'!B248-OtherCost</f>
        <v/>
      </c>
      <c r="AE248" s="37">
        <f>'03_原始数据'!C248-0.69*'03_原始数据'!B248-OtherCost</f>
        <v/>
      </c>
      <c r="AF248" s="37">
        <f>'03_原始数据'!C248-0.695*'03_原始数据'!B248-OtherCost</f>
        <v/>
      </c>
      <c r="AG248" s="37">
        <f>'03_原始数据'!C248-0.7*'03_原始数据'!B248-OtherCost</f>
        <v/>
      </c>
    </row>
    <row r="249">
      <c r="M249" s="37">
        <f>'03_原始数据'!C249-0.6*'03_原始数据'!B249-OtherCost</f>
        <v/>
      </c>
      <c r="N249" s="37">
        <f>'03_原始数据'!C249-0.605*'03_原始数据'!B249-OtherCost</f>
        <v/>
      </c>
      <c r="O249" s="37">
        <f>'03_原始数据'!C249-0.61*'03_原始数据'!B249-OtherCost</f>
        <v/>
      </c>
      <c r="P249" s="37">
        <f>'03_原始数据'!C249-0.615*'03_原始数据'!B249-OtherCost</f>
        <v/>
      </c>
      <c r="Q249" s="37">
        <f>'03_原始数据'!C249-0.62*'03_原始数据'!B249-OtherCost</f>
        <v/>
      </c>
      <c r="R249" s="37">
        <f>'03_原始数据'!C249-0.625*'03_原始数据'!B249-OtherCost</f>
        <v/>
      </c>
      <c r="S249" s="37">
        <f>'03_原始数据'!C249-0.63*'03_原始数据'!B249-OtherCost</f>
        <v/>
      </c>
      <c r="T249" s="37">
        <f>'03_原始数据'!C249-0.635*'03_原始数据'!B249-OtherCost</f>
        <v/>
      </c>
      <c r="U249" s="37">
        <f>'03_原始数据'!C249-0.64*'03_原始数据'!B249-OtherCost</f>
        <v/>
      </c>
      <c r="V249" s="37">
        <f>'03_原始数据'!C249-0.645*'03_原始数据'!B249-OtherCost</f>
        <v/>
      </c>
      <c r="W249" s="37">
        <f>'03_原始数据'!C249-0.65*'03_原始数据'!B249-OtherCost</f>
        <v/>
      </c>
      <c r="X249" s="37">
        <f>'03_原始数据'!C249-0.655*'03_原始数据'!B249-OtherCost</f>
        <v/>
      </c>
      <c r="Y249" s="37">
        <f>'03_原始数据'!C249-0.66*'03_原始数据'!B249-OtherCost</f>
        <v/>
      </c>
      <c r="Z249" s="37">
        <f>'03_原始数据'!C249-0.665*'03_原始数据'!B249-OtherCost</f>
        <v/>
      </c>
      <c r="AA249" s="37">
        <f>'03_原始数据'!C249-0.67*'03_原始数据'!B249-OtherCost</f>
        <v/>
      </c>
      <c r="AB249" s="37">
        <f>'03_原始数据'!C249-0.675*'03_原始数据'!B249-OtherCost</f>
        <v/>
      </c>
      <c r="AC249" s="37">
        <f>'03_原始数据'!C249-0.68*'03_原始数据'!B249-OtherCost</f>
        <v/>
      </c>
      <c r="AD249" s="37">
        <f>'03_原始数据'!C249-0.685*'03_原始数据'!B249-OtherCost</f>
        <v/>
      </c>
      <c r="AE249" s="37">
        <f>'03_原始数据'!C249-0.69*'03_原始数据'!B249-OtherCost</f>
        <v/>
      </c>
      <c r="AF249" s="37">
        <f>'03_原始数据'!C249-0.695*'03_原始数据'!B249-OtherCost</f>
        <v/>
      </c>
      <c r="AG249" s="37">
        <f>'03_原始数据'!C249-0.7*'03_原始数据'!B249-OtherCost</f>
        <v/>
      </c>
    </row>
    <row r="250">
      <c r="M250" s="37">
        <f>'03_原始数据'!C250-0.6*'03_原始数据'!B250-OtherCost</f>
        <v/>
      </c>
      <c r="N250" s="37">
        <f>'03_原始数据'!C250-0.605*'03_原始数据'!B250-OtherCost</f>
        <v/>
      </c>
      <c r="O250" s="37">
        <f>'03_原始数据'!C250-0.61*'03_原始数据'!B250-OtherCost</f>
        <v/>
      </c>
      <c r="P250" s="37">
        <f>'03_原始数据'!C250-0.615*'03_原始数据'!B250-OtherCost</f>
        <v/>
      </c>
      <c r="Q250" s="37">
        <f>'03_原始数据'!C250-0.62*'03_原始数据'!B250-OtherCost</f>
        <v/>
      </c>
      <c r="R250" s="37">
        <f>'03_原始数据'!C250-0.625*'03_原始数据'!B250-OtherCost</f>
        <v/>
      </c>
      <c r="S250" s="37">
        <f>'03_原始数据'!C250-0.63*'03_原始数据'!B250-OtherCost</f>
        <v/>
      </c>
      <c r="T250" s="37">
        <f>'03_原始数据'!C250-0.635*'03_原始数据'!B250-OtherCost</f>
        <v/>
      </c>
      <c r="U250" s="37">
        <f>'03_原始数据'!C250-0.64*'03_原始数据'!B250-OtherCost</f>
        <v/>
      </c>
      <c r="V250" s="37">
        <f>'03_原始数据'!C250-0.645*'03_原始数据'!B250-OtherCost</f>
        <v/>
      </c>
      <c r="W250" s="37">
        <f>'03_原始数据'!C250-0.65*'03_原始数据'!B250-OtherCost</f>
        <v/>
      </c>
      <c r="X250" s="37">
        <f>'03_原始数据'!C250-0.655*'03_原始数据'!B250-OtherCost</f>
        <v/>
      </c>
      <c r="Y250" s="37">
        <f>'03_原始数据'!C250-0.66*'03_原始数据'!B250-OtherCost</f>
        <v/>
      </c>
      <c r="Z250" s="37">
        <f>'03_原始数据'!C250-0.665*'03_原始数据'!B250-OtherCost</f>
        <v/>
      </c>
      <c r="AA250" s="37">
        <f>'03_原始数据'!C250-0.67*'03_原始数据'!B250-OtherCost</f>
        <v/>
      </c>
      <c r="AB250" s="37">
        <f>'03_原始数据'!C250-0.675*'03_原始数据'!B250-OtherCost</f>
        <v/>
      </c>
      <c r="AC250" s="37">
        <f>'03_原始数据'!C250-0.68*'03_原始数据'!B250-OtherCost</f>
        <v/>
      </c>
      <c r="AD250" s="37">
        <f>'03_原始数据'!C250-0.685*'03_原始数据'!B250-OtherCost</f>
        <v/>
      </c>
      <c r="AE250" s="37">
        <f>'03_原始数据'!C250-0.69*'03_原始数据'!B250-OtherCost</f>
        <v/>
      </c>
      <c r="AF250" s="37">
        <f>'03_原始数据'!C250-0.695*'03_原始数据'!B250-OtherCost</f>
        <v/>
      </c>
      <c r="AG250" s="37">
        <f>'03_原始数据'!C250-0.7*'03_原始数据'!B250-OtherCost</f>
        <v/>
      </c>
    </row>
    <row r="251">
      <c r="M251" s="37">
        <f>'03_原始数据'!C251-0.6*'03_原始数据'!B251-OtherCost</f>
        <v/>
      </c>
      <c r="N251" s="37">
        <f>'03_原始数据'!C251-0.605*'03_原始数据'!B251-OtherCost</f>
        <v/>
      </c>
      <c r="O251" s="37">
        <f>'03_原始数据'!C251-0.61*'03_原始数据'!B251-OtherCost</f>
        <v/>
      </c>
      <c r="P251" s="37">
        <f>'03_原始数据'!C251-0.615*'03_原始数据'!B251-OtherCost</f>
        <v/>
      </c>
      <c r="Q251" s="37">
        <f>'03_原始数据'!C251-0.62*'03_原始数据'!B251-OtherCost</f>
        <v/>
      </c>
      <c r="R251" s="37">
        <f>'03_原始数据'!C251-0.625*'03_原始数据'!B251-OtherCost</f>
        <v/>
      </c>
      <c r="S251" s="37">
        <f>'03_原始数据'!C251-0.63*'03_原始数据'!B251-OtherCost</f>
        <v/>
      </c>
      <c r="T251" s="37">
        <f>'03_原始数据'!C251-0.635*'03_原始数据'!B251-OtherCost</f>
        <v/>
      </c>
      <c r="U251" s="37">
        <f>'03_原始数据'!C251-0.64*'03_原始数据'!B251-OtherCost</f>
        <v/>
      </c>
      <c r="V251" s="37">
        <f>'03_原始数据'!C251-0.645*'03_原始数据'!B251-OtherCost</f>
        <v/>
      </c>
      <c r="W251" s="37">
        <f>'03_原始数据'!C251-0.65*'03_原始数据'!B251-OtherCost</f>
        <v/>
      </c>
      <c r="X251" s="37">
        <f>'03_原始数据'!C251-0.655*'03_原始数据'!B251-OtherCost</f>
        <v/>
      </c>
      <c r="Y251" s="37">
        <f>'03_原始数据'!C251-0.66*'03_原始数据'!B251-OtherCost</f>
        <v/>
      </c>
      <c r="Z251" s="37">
        <f>'03_原始数据'!C251-0.665*'03_原始数据'!B251-OtherCost</f>
        <v/>
      </c>
      <c r="AA251" s="37">
        <f>'03_原始数据'!C251-0.67*'03_原始数据'!B251-OtherCost</f>
        <v/>
      </c>
      <c r="AB251" s="37">
        <f>'03_原始数据'!C251-0.675*'03_原始数据'!B251-OtherCost</f>
        <v/>
      </c>
      <c r="AC251" s="37">
        <f>'03_原始数据'!C251-0.68*'03_原始数据'!B251-OtherCost</f>
        <v/>
      </c>
      <c r="AD251" s="37">
        <f>'03_原始数据'!C251-0.685*'03_原始数据'!B251-OtherCost</f>
        <v/>
      </c>
      <c r="AE251" s="37">
        <f>'03_原始数据'!C251-0.69*'03_原始数据'!B251-OtherCost</f>
        <v/>
      </c>
      <c r="AF251" s="37">
        <f>'03_原始数据'!C251-0.695*'03_原始数据'!B251-OtherCost</f>
        <v/>
      </c>
      <c r="AG251" s="37">
        <f>'03_原始数据'!C251-0.7*'03_原始数据'!B251-OtherCost</f>
        <v/>
      </c>
    </row>
    <row r="252">
      <c r="M252" s="37">
        <f>'03_原始数据'!C252-0.6*'03_原始数据'!B252-OtherCost</f>
        <v/>
      </c>
      <c r="N252" s="37">
        <f>'03_原始数据'!C252-0.605*'03_原始数据'!B252-OtherCost</f>
        <v/>
      </c>
      <c r="O252" s="37">
        <f>'03_原始数据'!C252-0.61*'03_原始数据'!B252-OtherCost</f>
        <v/>
      </c>
      <c r="P252" s="37">
        <f>'03_原始数据'!C252-0.615*'03_原始数据'!B252-OtherCost</f>
        <v/>
      </c>
      <c r="Q252" s="37">
        <f>'03_原始数据'!C252-0.62*'03_原始数据'!B252-OtherCost</f>
        <v/>
      </c>
      <c r="R252" s="37">
        <f>'03_原始数据'!C252-0.625*'03_原始数据'!B252-OtherCost</f>
        <v/>
      </c>
      <c r="S252" s="37">
        <f>'03_原始数据'!C252-0.63*'03_原始数据'!B252-OtherCost</f>
        <v/>
      </c>
      <c r="T252" s="37">
        <f>'03_原始数据'!C252-0.635*'03_原始数据'!B252-OtherCost</f>
        <v/>
      </c>
      <c r="U252" s="37">
        <f>'03_原始数据'!C252-0.64*'03_原始数据'!B252-OtherCost</f>
        <v/>
      </c>
      <c r="V252" s="37">
        <f>'03_原始数据'!C252-0.645*'03_原始数据'!B252-OtherCost</f>
        <v/>
      </c>
      <c r="W252" s="37">
        <f>'03_原始数据'!C252-0.65*'03_原始数据'!B252-OtherCost</f>
        <v/>
      </c>
      <c r="X252" s="37">
        <f>'03_原始数据'!C252-0.655*'03_原始数据'!B252-OtherCost</f>
        <v/>
      </c>
      <c r="Y252" s="37">
        <f>'03_原始数据'!C252-0.66*'03_原始数据'!B252-OtherCost</f>
        <v/>
      </c>
      <c r="Z252" s="37">
        <f>'03_原始数据'!C252-0.665*'03_原始数据'!B252-OtherCost</f>
        <v/>
      </c>
      <c r="AA252" s="37">
        <f>'03_原始数据'!C252-0.67*'03_原始数据'!B252-OtherCost</f>
        <v/>
      </c>
      <c r="AB252" s="37">
        <f>'03_原始数据'!C252-0.675*'03_原始数据'!B252-OtherCost</f>
        <v/>
      </c>
      <c r="AC252" s="37">
        <f>'03_原始数据'!C252-0.68*'03_原始数据'!B252-OtherCost</f>
        <v/>
      </c>
      <c r="AD252" s="37">
        <f>'03_原始数据'!C252-0.685*'03_原始数据'!B252-OtherCost</f>
        <v/>
      </c>
      <c r="AE252" s="37">
        <f>'03_原始数据'!C252-0.69*'03_原始数据'!B252-OtherCost</f>
        <v/>
      </c>
      <c r="AF252" s="37">
        <f>'03_原始数据'!C252-0.695*'03_原始数据'!B252-OtherCost</f>
        <v/>
      </c>
      <c r="AG252" s="37">
        <f>'03_原始数据'!C252-0.7*'03_原始数据'!B252-OtherCost</f>
        <v/>
      </c>
    </row>
    <row r="253">
      <c r="M253" s="37">
        <f>'03_原始数据'!C253-0.6*'03_原始数据'!B253-OtherCost</f>
        <v/>
      </c>
      <c r="N253" s="37">
        <f>'03_原始数据'!C253-0.605*'03_原始数据'!B253-OtherCost</f>
        <v/>
      </c>
      <c r="O253" s="37">
        <f>'03_原始数据'!C253-0.61*'03_原始数据'!B253-OtherCost</f>
        <v/>
      </c>
      <c r="P253" s="37">
        <f>'03_原始数据'!C253-0.615*'03_原始数据'!B253-OtherCost</f>
        <v/>
      </c>
      <c r="Q253" s="37">
        <f>'03_原始数据'!C253-0.62*'03_原始数据'!B253-OtherCost</f>
        <v/>
      </c>
      <c r="R253" s="37">
        <f>'03_原始数据'!C253-0.625*'03_原始数据'!B253-OtherCost</f>
        <v/>
      </c>
      <c r="S253" s="37">
        <f>'03_原始数据'!C253-0.63*'03_原始数据'!B253-OtherCost</f>
        <v/>
      </c>
      <c r="T253" s="37">
        <f>'03_原始数据'!C253-0.635*'03_原始数据'!B253-OtherCost</f>
        <v/>
      </c>
      <c r="U253" s="37">
        <f>'03_原始数据'!C253-0.64*'03_原始数据'!B253-OtherCost</f>
        <v/>
      </c>
      <c r="V253" s="37">
        <f>'03_原始数据'!C253-0.645*'03_原始数据'!B253-OtherCost</f>
        <v/>
      </c>
      <c r="W253" s="37">
        <f>'03_原始数据'!C253-0.65*'03_原始数据'!B253-OtherCost</f>
        <v/>
      </c>
      <c r="X253" s="37">
        <f>'03_原始数据'!C253-0.655*'03_原始数据'!B253-OtherCost</f>
        <v/>
      </c>
      <c r="Y253" s="37">
        <f>'03_原始数据'!C253-0.66*'03_原始数据'!B253-OtherCost</f>
        <v/>
      </c>
      <c r="Z253" s="37">
        <f>'03_原始数据'!C253-0.665*'03_原始数据'!B253-OtherCost</f>
        <v/>
      </c>
      <c r="AA253" s="37">
        <f>'03_原始数据'!C253-0.67*'03_原始数据'!B253-OtherCost</f>
        <v/>
      </c>
      <c r="AB253" s="37">
        <f>'03_原始数据'!C253-0.675*'03_原始数据'!B253-OtherCost</f>
        <v/>
      </c>
      <c r="AC253" s="37">
        <f>'03_原始数据'!C253-0.68*'03_原始数据'!B253-OtherCost</f>
        <v/>
      </c>
      <c r="AD253" s="37">
        <f>'03_原始数据'!C253-0.685*'03_原始数据'!B253-OtherCost</f>
        <v/>
      </c>
      <c r="AE253" s="37">
        <f>'03_原始数据'!C253-0.69*'03_原始数据'!B253-OtherCost</f>
        <v/>
      </c>
      <c r="AF253" s="37">
        <f>'03_原始数据'!C253-0.695*'03_原始数据'!B253-OtherCost</f>
        <v/>
      </c>
      <c r="AG253" s="37">
        <f>'03_原始数据'!C253-0.7*'03_原始数据'!B253-OtherCost</f>
        <v/>
      </c>
    </row>
    <row r="254">
      <c r="M254" s="37">
        <f>'03_原始数据'!C254-0.6*'03_原始数据'!B254-OtherCost</f>
        <v/>
      </c>
      <c r="N254" s="37">
        <f>'03_原始数据'!C254-0.605*'03_原始数据'!B254-OtherCost</f>
        <v/>
      </c>
      <c r="O254" s="37">
        <f>'03_原始数据'!C254-0.61*'03_原始数据'!B254-OtherCost</f>
        <v/>
      </c>
      <c r="P254" s="37">
        <f>'03_原始数据'!C254-0.615*'03_原始数据'!B254-OtherCost</f>
        <v/>
      </c>
      <c r="Q254" s="37">
        <f>'03_原始数据'!C254-0.62*'03_原始数据'!B254-OtherCost</f>
        <v/>
      </c>
      <c r="R254" s="37">
        <f>'03_原始数据'!C254-0.625*'03_原始数据'!B254-OtherCost</f>
        <v/>
      </c>
      <c r="S254" s="37">
        <f>'03_原始数据'!C254-0.63*'03_原始数据'!B254-OtherCost</f>
        <v/>
      </c>
      <c r="T254" s="37">
        <f>'03_原始数据'!C254-0.635*'03_原始数据'!B254-OtherCost</f>
        <v/>
      </c>
      <c r="U254" s="37">
        <f>'03_原始数据'!C254-0.64*'03_原始数据'!B254-OtherCost</f>
        <v/>
      </c>
      <c r="V254" s="37">
        <f>'03_原始数据'!C254-0.645*'03_原始数据'!B254-OtherCost</f>
        <v/>
      </c>
      <c r="W254" s="37">
        <f>'03_原始数据'!C254-0.65*'03_原始数据'!B254-OtherCost</f>
        <v/>
      </c>
      <c r="X254" s="37">
        <f>'03_原始数据'!C254-0.655*'03_原始数据'!B254-OtherCost</f>
        <v/>
      </c>
      <c r="Y254" s="37">
        <f>'03_原始数据'!C254-0.66*'03_原始数据'!B254-OtherCost</f>
        <v/>
      </c>
      <c r="Z254" s="37">
        <f>'03_原始数据'!C254-0.665*'03_原始数据'!B254-OtherCost</f>
        <v/>
      </c>
      <c r="AA254" s="37">
        <f>'03_原始数据'!C254-0.67*'03_原始数据'!B254-OtherCost</f>
        <v/>
      </c>
      <c r="AB254" s="37">
        <f>'03_原始数据'!C254-0.675*'03_原始数据'!B254-OtherCost</f>
        <v/>
      </c>
      <c r="AC254" s="37">
        <f>'03_原始数据'!C254-0.68*'03_原始数据'!B254-OtherCost</f>
        <v/>
      </c>
      <c r="AD254" s="37">
        <f>'03_原始数据'!C254-0.685*'03_原始数据'!B254-OtherCost</f>
        <v/>
      </c>
      <c r="AE254" s="37">
        <f>'03_原始数据'!C254-0.69*'03_原始数据'!B254-OtherCost</f>
        <v/>
      </c>
      <c r="AF254" s="37">
        <f>'03_原始数据'!C254-0.695*'03_原始数据'!B254-OtherCost</f>
        <v/>
      </c>
      <c r="AG254" s="37">
        <f>'03_原始数据'!C254-0.7*'03_原始数据'!B254-OtherCost</f>
        <v/>
      </c>
    </row>
    <row r="255">
      <c r="M255" s="37">
        <f>'03_原始数据'!C255-0.6*'03_原始数据'!B255-OtherCost</f>
        <v/>
      </c>
      <c r="N255" s="37">
        <f>'03_原始数据'!C255-0.605*'03_原始数据'!B255-OtherCost</f>
        <v/>
      </c>
      <c r="O255" s="37">
        <f>'03_原始数据'!C255-0.61*'03_原始数据'!B255-OtherCost</f>
        <v/>
      </c>
      <c r="P255" s="37">
        <f>'03_原始数据'!C255-0.615*'03_原始数据'!B255-OtherCost</f>
        <v/>
      </c>
      <c r="Q255" s="37">
        <f>'03_原始数据'!C255-0.62*'03_原始数据'!B255-OtherCost</f>
        <v/>
      </c>
      <c r="R255" s="37">
        <f>'03_原始数据'!C255-0.625*'03_原始数据'!B255-OtherCost</f>
        <v/>
      </c>
      <c r="S255" s="37">
        <f>'03_原始数据'!C255-0.63*'03_原始数据'!B255-OtherCost</f>
        <v/>
      </c>
      <c r="T255" s="37">
        <f>'03_原始数据'!C255-0.635*'03_原始数据'!B255-OtherCost</f>
        <v/>
      </c>
      <c r="U255" s="37">
        <f>'03_原始数据'!C255-0.64*'03_原始数据'!B255-OtherCost</f>
        <v/>
      </c>
      <c r="V255" s="37">
        <f>'03_原始数据'!C255-0.645*'03_原始数据'!B255-OtherCost</f>
        <v/>
      </c>
      <c r="W255" s="37">
        <f>'03_原始数据'!C255-0.65*'03_原始数据'!B255-OtherCost</f>
        <v/>
      </c>
      <c r="X255" s="37">
        <f>'03_原始数据'!C255-0.655*'03_原始数据'!B255-OtherCost</f>
        <v/>
      </c>
      <c r="Y255" s="37">
        <f>'03_原始数据'!C255-0.66*'03_原始数据'!B255-OtherCost</f>
        <v/>
      </c>
      <c r="Z255" s="37">
        <f>'03_原始数据'!C255-0.665*'03_原始数据'!B255-OtherCost</f>
        <v/>
      </c>
      <c r="AA255" s="37">
        <f>'03_原始数据'!C255-0.67*'03_原始数据'!B255-OtherCost</f>
        <v/>
      </c>
      <c r="AB255" s="37">
        <f>'03_原始数据'!C255-0.675*'03_原始数据'!B255-OtherCost</f>
        <v/>
      </c>
      <c r="AC255" s="37">
        <f>'03_原始数据'!C255-0.68*'03_原始数据'!B255-OtherCost</f>
        <v/>
      </c>
      <c r="AD255" s="37">
        <f>'03_原始数据'!C255-0.685*'03_原始数据'!B255-OtherCost</f>
        <v/>
      </c>
      <c r="AE255" s="37">
        <f>'03_原始数据'!C255-0.69*'03_原始数据'!B255-OtherCost</f>
        <v/>
      </c>
      <c r="AF255" s="37">
        <f>'03_原始数据'!C255-0.695*'03_原始数据'!B255-OtherCost</f>
        <v/>
      </c>
      <c r="AG255" s="37">
        <f>'03_原始数据'!C255-0.7*'03_原始数据'!B255-OtherCost</f>
        <v/>
      </c>
    </row>
    <row r="256">
      <c r="M256" s="37">
        <f>'03_原始数据'!C256-0.6*'03_原始数据'!B256-OtherCost</f>
        <v/>
      </c>
      <c r="N256" s="37">
        <f>'03_原始数据'!C256-0.605*'03_原始数据'!B256-OtherCost</f>
        <v/>
      </c>
      <c r="O256" s="37">
        <f>'03_原始数据'!C256-0.61*'03_原始数据'!B256-OtherCost</f>
        <v/>
      </c>
      <c r="P256" s="37">
        <f>'03_原始数据'!C256-0.615*'03_原始数据'!B256-OtherCost</f>
        <v/>
      </c>
      <c r="Q256" s="37">
        <f>'03_原始数据'!C256-0.62*'03_原始数据'!B256-OtherCost</f>
        <v/>
      </c>
      <c r="R256" s="37">
        <f>'03_原始数据'!C256-0.625*'03_原始数据'!B256-OtherCost</f>
        <v/>
      </c>
      <c r="S256" s="37">
        <f>'03_原始数据'!C256-0.63*'03_原始数据'!B256-OtherCost</f>
        <v/>
      </c>
      <c r="T256" s="37">
        <f>'03_原始数据'!C256-0.635*'03_原始数据'!B256-OtherCost</f>
        <v/>
      </c>
      <c r="U256" s="37">
        <f>'03_原始数据'!C256-0.64*'03_原始数据'!B256-OtherCost</f>
        <v/>
      </c>
      <c r="V256" s="37">
        <f>'03_原始数据'!C256-0.645*'03_原始数据'!B256-OtherCost</f>
        <v/>
      </c>
      <c r="W256" s="37">
        <f>'03_原始数据'!C256-0.65*'03_原始数据'!B256-OtherCost</f>
        <v/>
      </c>
      <c r="X256" s="37">
        <f>'03_原始数据'!C256-0.655*'03_原始数据'!B256-OtherCost</f>
        <v/>
      </c>
      <c r="Y256" s="37">
        <f>'03_原始数据'!C256-0.66*'03_原始数据'!B256-OtherCost</f>
        <v/>
      </c>
      <c r="Z256" s="37">
        <f>'03_原始数据'!C256-0.665*'03_原始数据'!B256-OtherCost</f>
        <v/>
      </c>
      <c r="AA256" s="37">
        <f>'03_原始数据'!C256-0.67*'03_原始数据'!B256-OtherCost</f>
        <v/>
      </c>
      <c r="AB256" s="37">
        <f>'03_原始数据'!C256-0.675*'03_原始数据'!B256-OtherCost</f>
        <v/>
      </c>
      <c r="AC256" s="37">
        <f>'03_原始数据'!C256-0.68*'03_原始数据'!B256-OtherCost</f>
        <v/>
      </c>
      <c r="AD256" s="37">
        <f>'03_原始数据'!C256-0.685*'03_原始数据'!B256-OtherCost</f>
        <v/>
      </c>
      <c r="AE256" s="37">
        <f>'03_原始数据'!C256-0.69*'03_原始数据'!B256-OtherCost</f>
        <v/>
      </c>
      <c r="AF256" s="37">
        <f>'03_原始数据'!C256-0.695*'03_原始数据'!B256-OtherCost</f>
        <v/>
      </c>
      <c r="AG256" s="37">
        <f>'03_原始数据'!C256-0.7*'03_原始数据'!B256-OtherCost</f>
        <v/>
      </c>
    </row>
    <row r="257">
      <c r="M257" s="37">
        <f>'03_原始数据'!C257-0.6*'03_原始数据'!B257-OtherCost</f>
        <v/>
      </c>
      <c r="N257" s="37">
        <f>'03_原始数据'!C257-0.605*'03_原始数据'!B257-OtherCost</f>
        <v/>
      </c>
      <c r="O257" s="37">
        <f>'03_原始数据'!C257-0.61*'03_原始数据'!B257-OtherCost</f>
        <v/>
      </c>
      <c r="P257" s="37">
        <f>'03_原始数据'!C257-0.615*'03_原始数据'!B257-OtherCost</f>
        <v/>
      </c>
      <c r="Q257" s="37">
        <f>'03_原始数据'!C257-0.62*'03_原始数据'!B257-OtherCost</f>
        <v/>
      </c>
      <c r="R257" s="37">
        <f>'03_原始数据'!C257-0.625*'03_原始数据'!B257-OtherCost</f>
        <v/>
      </c>
      <c r="S257" s="37">
        <f>'03_原始数据'!C257-0.63*'03_原始数据'!B257-OtherCost</f>
        <v/>
      </c>
      <c r="T257" s="37">
        <f>'03_原始数据'!C257-0.635*'03_原始数据'!B257-OtherCost</f>
        <v/>
      </c>
      <c r="U257" s="37">
        <f>'03_原始数据'!C257-0.64*'03_原始数据'!B257-OtherCost</f>
        <v/>
      </c>
      <c r="V257" s="37">
        <f>'03_原始数据'!C257-0.645*'03_原始数据'!B257-OtherCost</f>
        <v/>
      </c>
      <c r="W257" s="37">
        <f>'03_原始数据'!C257-0.65*'03_原始数据'!B257-OtherCost</f>
        <v/>
      </c>
      <c r="X257" s="37">
        <f>'03_原始数据'!C257-0.655*'03_原始数据'!B257-OtherCost</f>
        <v/>
      </c>
      <c r="Y257" s="37">
        <f>'03_原始数据'!C257-0.66*'03_原始数据'!B257-OtherCost</f>
        <v/>
      </c>
      <c r="Z257" s="37">
        <f>'03_原始数据'!C257-0.665*'03_原始数据'!B257-OtherCost</f>
        <v/>
      </c>
      <c r="AA257" s="37">
        <f>'03_原始数据'!C257-0.67*'03_原始数据'!B257-OtherCost</f>
        <v/>
      </c>
      <c r="AB257" s="37">
        <f>'03_原始数据'!C257-0.675*'03_原始数据'!B257-OtherCost</f>
        <v/>
      </c>
      <c r="AC257" s="37">
        <f>'03_原始数据'!C257-0.68*'03_原始数据'!B257-OtherCost</f>
        <v/>
      </c>
      <c r="AD257" s="37">
        <f>'03_原始数据'!C257-0.685*'03_原始数据'!B257-OtherCost</f>
        <v/>
      </c>
      <c r="AE257" s="37">
        <f>'03_原始数据'!C257-0.69*'03_原始数据'!B257-OtherCost</f>
        <v/>
      </c>
      <c r="AF257" s="37">
        <f>'03_原始数据'!C257-0.695*'03_原始数据'!B257-OtherCost</f>
        <v/>
      </c>
      <c r="AG257" s="37">
        <f>'03_原始数据'!C257-0.7*'03_原始数据'!B257-OtherCost</f>
        <v/>
      </c>
    </row>
    <row r="258">
      <c r="M258" s="37">
        <f>'03_原始数据'!C258-0.6*'03_原始数据'!B258-OtherCost</f>
        <v/>
      </c>
      <c r="N258" s="37">
        <f>'03_原始数据'!C258-0.605*'03_原始数据'!B258-OtherCost</f>
        <v/>
      </c>
      <c r="O258" s="37">
        <f>'03_原始数据'!C258-0.61*'03_原始数据'!B258-OtherCost</f>
        <v/>
      </c>
      <c r="P258" s="37">
        <f>'03_原始数据'!C258-0.615*'03_原始数据'!B258-OtherCost</f>
        <v/>
      </c>
      <c r="Q258" s="37">
        <f>'03_原始数据'!C258-0.62*'03_原始数据'!B258-OtherCost</f>
        <v/>
      </c>
      <c r="R258" s="37">
        <f>'03_原始数据'!C258-0.625*'03_原始数据'!B258-OtherCost</f>
        <v/>
      </c>
      <c r="S258" s="37">
        <f>'03_原始数据'!C258-0.63*'03_原始数据'!B258-OtherCost</f>
        <v/>
      </c>
      <c r="T258" s="37">
        <f>'03_原始数据'!C258-0.635*'03_原始数据'!B258-OtherCost</f>
        <v/>
      </c>
      <c r="U258" s="37">
        <f>'03_原始数据'!C258-0.64*'03_原始数据'!B258-OtherCost</f>
        <v/>
      </c>
      <c r="V258" s="37">
        <f>'03_原始数据'!C258-0.645*'03_原始数据'!B258-OtherCost</f>
        <v/>
      </c>
      <c r="W258" s="37">
        <f>'03_原始数据'!C258-0.65*'03_原始数据'!B258-OtherCost</f>
        <v/>
      </c>
      <c r="X258" s="37">
        <f>'03_原始数据'!C258-0.655*'03_原始数据'!B258-OtherCost</f>
        <v/>
      </c>
      <c r="Y258" s="37">
        <f>'03_原始数据'!C258-0.66*'03_原始数据'!B258-OtherCost</f>
        <v/>
      </c>
      <c r="Z258" s="37">
        <f>'03_原始数据'!C258-0.665*'03_原始数据'!B258-OtherCost</f>
        <v/>
      </c>
      <c r="AA258" s="37">
        <f>'03_原始数据'!C258-0.67*'03_原始数据'!B258-OtherCost</f>
        <v/>
      </c>
      <c r="AB258" s="37">
        <f>'03_原始数据'!C258-0.675*'03_原始数据'!B258-OtherCost</f>
        <v/>
      </c>
      <c r="AC258" s="37">
        <f>'03_原始数据'!C258-0.68*'03_原始数据'!B258-OtherCost</f>
        <v/>
      </c>
      <c r="AD258" s="37">
        <f>'03_原始数据'!C258-0.685*'03_原始数据'!B258-OtherCost</f>
        <v/>
      </c>
      <c r="AE258" s="37">
        <f>'03_原始数据'!C258-0.69*'03_原始数据'!B258-OtherCost</f>
        <v/>
      </c>
      <c r="AF258" s="37">
        <f>'03_原始数据'!C258-0.695*'03_原始数据'!B258-OtherCost</f>
        <v/>
      </c>
      <c r="AG258" s="37">
        <f>'03_原始数据'!C258-0.7*'03_原始数据'!B258-OtherCost</f>
        <v/>
      </c>
    </row>
    <row r="259">
      <c r="M259" s="37">
        <f>'03_原始数据'!C259-0.6*'03_原始数据'!B259-OtherCost</f>
        <v/>
      </c>
      <c r="N259" s="37">
        <f>'03_原始数据'!C259-0.605*'03_原始数据'!B259-OtherCost</f>
        <v/>
      </c>
      <c r="O259" s="37">
        <f>'03_原始数据'!C259-0.61*'03_原始数据'!B259-OtherCost</f>
        <v/>
      </c>
      <c r="P259" s="37">
        <f>'03_原始数据'!C259-0.615*'03_原始数据'!B259-OtherCost</f>
        <v/>
      </c>
      <c r="Q259" s="37">
        <f>'03_原始数据'!C259-0.62*'03_原始数据'!B259-OtherCost</f>
        <v/>
      </c>
      <c r="R259" s="37">
        <f>'03_原始数据'!C259-0.625*'03_原始数据'!B259-OtherCost</f>
        <v/>
      </c>
      <c r="S259" s="37">
        <f>'03_原始数据'!C259-0.63*'03_原始数据'!B259-OtherCost</f>
        <v/>
      </c>
      <c r="T259" s="37">
        <f>'03_原始数据'!C259-0.635*'03_原始数据'!B259-OtherCost</f>
        <v/>
      </c>
      <c r="U259" s="37">
        <f>'03_原始数据'!C259-0.64*'03_原始数据'!B259-OtherCost</f>
        <v/>
      </c>
      <c r="V259" s="37">
        <f>'03_原始数据'!C259-0.645*'03_原始数据'!B259-OtherCost</f>
        <v/>
      </c>
      <c r="W259" s="37">
        <f>'03_原始数据'!C259-0.65*'03_原始数据'!B259-OtherCost</f>
        <v/>
      </c>
      <c r="X259" s="37">
        <f>'03_原始数据'!C259-0.655*'03_原始数据'!B259-OtherCost</f>
        <v/>
      </c>
      <c r="Y259" s="37">
        <f>'03_原始数据'!C259-0.66*'03_原始数据'!B259-OtherCost</f>
        <v/>
      </c>
      <c r="Z259" s="37">
        <f>'03_原始数据'!C259-0.665*'03_原始数据'!B259-OtherCost</f>
        <v/>
      </c>
      <c r="AA259" s="37">
        <f>'03_原始数据'!C259-0.67*'03_原始数据'!B259-OtherCost</f>
        <v/>
      </c>
      <c r="AB259" s="37">
        <f>'03_原始数据'!C259-0.675*'03_原始数据'!B259-OtherCost</f>
        <v/>
      </c>
      <c r="AC259" s="37">
        <f>'03_原始数据'!C259-0.68*'03_原始数据'!B259-OtherCost</f>
        <v/>
      </c>
      <c r="AD259" s="37">
        <f>'03_原始数据'!C259-0.685*'03_原始数据'!B259-OtherCost</f>
        <v/>
      </c>
      <c r="AE259" s="37">
        <f>'03_原始数据'!C259-0.69*'03_原始数据'!B259-OtherCost</f>
        <v/>
      </c>
      <c r="AF259" s="37">
        <f>'03_原始数据'!C259-0.695*'03_原始数据'!B259-OtherCost</f>
        <v/>
      </c>
      <c r="AG259" s="37">
        <f>'03_原始数据'!C259-0.7*'03_原始数据'!B259-OtherCost</f>
        <v/>
      </c>
    </row>
    <row r="260">
      <c r="M260" s="37">
        <f>'03_原始数据'!C260-0.6*'03_原始数据'!B260-OtherCost</f>
        <v/>
      </c>
      <c r="N260" s="37">
        <f>'03_原始数据'!C260-0.605*'03_原始数据'!B260-OtherCost</f>
        <v/>
      </c>
      <c r="O260" s="37">
        <f>'03_原始数据'!C260-0.61*'03_原始数据'!B260-OtherCost</f>
        <v/>
      </c>
      <c r="P260" s="37">
        <f>'03_原始数据'!C260-0.615*'03_原始数据'!B260-OtherCost</f>
        <v/>
      </c>
      <c r="Q260" s="37">
        <f>'03_原始数据'!C260-0.62*'03_原始数据'!B260-OtherCost</f>
        <v/>
      </c>
      <c r="R260" s="37">
        <f>'03_原始数据'!C260-0.625*'03_原始数据'!B260-OtherCost</f>
        <v/>
      </c>
      <c r="S260" s="37">
        <f>'03_原始数据'!C260-0.63*'03_原始数据'!B260-OtherCost</f>
        <v/>
      </c>
      <c r="T260" s="37">
        <f>'03_原始数据'!C260-0.635*'03_原始数据'!B260-OtherCost</f>
        <v/>
      </c>
      <c r="U260" s="37">
        <f>'03_原始数据'!C260-0.64*'03_原始数据'!B260-OtherCost</f>
        <v/>
      </c>
      <c r="V260" s="37">
        <f>'03_原始数据'!C260-0.645*'03_原始数据'!B260-OtherCost</f>
        <v/>
      </c>
      <c r="W260" s="37">
        <f>'03_原始数据'!C260-0.65*'03_原始数据'!B260-OtherCost</f>
        <v/>
      </c>
      <c r="X260" s="37">
        <f>'03_原始数据'!C260-0.655*'03_原始数据'!B260-OtherCost</f>
        <v/>
      </c>
      <c r="Y260" s="37">
        <f>'03_原始数据'!C260-0.66*'03_原始数据'!B260-OtherCost</f>
        <v/>
      </c>
      <c r="Z260" s="37">
        <f>'03_原始数据'!C260-0.665*'03_原始数据'!B260-OtherCost</f>
        <v/>
      </c>
      <c r="AA260" s="37">
        <f>'03_原始数据'!C260-0.67*'03_原始数据'!B260-OtherCost</f>
        <v/>
      </c>
      <c r="AB260" s="37">
        <f>'03_原始数据'!C260-0.675*'03_原始数据'!B260-OtherCost</f>
        <v/>
      </c>
      <c r="AC260" s="37">
        <f>'03_原始数据'!C260-0.68*'03_原始数据'!B260-OtherCost</f>
        <v/>
      </c>
      <c r="AD260" s="37">
        <f>'03_原始数据'!C260-0.685*'03_原始数据'!B260-OtherCost</f>
        <v/>
      </c>
      <c r="AE260" s="37">
        <f>'03_原始数据'!C260-0.69*'03_原始数据'!B260-OtherCost</f>
        <v/>
      </c>
      <c r="AF260" s="37">
        <f>'03_原始数据'!C260-0.695*'03_原始数据'!B260-OtherCost</f>
        <v/>
      </c>
      <c r="AG260" s="37">
        <f>'03_原始数据'!C260-0.7*'03_原始数据'!B260-OtherCost</f>
        <v/>
      </c>
    </row>
    <row r="261">
      <c r="M261" s="37">
        <f>'03_原始数据'!C261-0.6*'03_原始数据'!B261-OtherCost</f>
        <v/>
      </c>
      <c r="N261" s="37">
        <f>'03_原始数据'!C261-0.605*'03_原始数据'!B261-OtherCost</f>
        <v/>
      </c>
      <c r="O261" s="37">
        <f>'03_原始数据'!C261-0.61*'03_原始数据'!B261-OtherCost</f>
        <v/>
      </c>
      <c r="P261" s="37">
        <f>'03_原始数据'!C261-0.615*'03_原始数据'!B261-OtherCost</f>
        <v/>
      </c>
      <c r="Q261" s="37">
        <f>'03_原始数据'!C261-0.62*'03_原始数据'!B261-OtherCost</f>
        <v/>
      </c>
      <c r="R261" s="37">
        <f>'03_原始数据'!C261-0.625*'03_原始数据'!B261-OtherCost</f>
        <v/>
      </c>
      <c r="S261" s="37">
        <f>'03_原始数据'!C261-0.63*'03_原始数据'!B261-OtherCost</f>
        <v/>
      </c>
      <c r="T261" s="37">
        <f>'03_原始数据'!C261-0.635*'03_原始数据'!B261-OtherCost</f>
        <v/>
      </c>
      <c r="U261" s="37">
        <f>'03_原始数据'!C261-0.64*'03_原始数据'!B261-OtherCost</f>
        <v/>
      </c>
      <c r="V261" s="37">
        <f>'03_原始数据'!C261-0.645*'03_原始数据'!B261-OtherCost</f>
        <v/>
      </c>
      <c r="W261" s="37">
        <f>'03_原始数据'!C261-0.65*'03_原始数据'!B261-OtherCost</f>
        <v/>
      </c>
      <c r="X261" s="37">
        <f>'03_原始数据'!C261-0.655*'03_原始数据'!B261-OtherCost</f>
        <v/>
      </c>
      <c r="Y261" s="37">
        <f>'03_原始数据'!C261-0.66*'03_原始数据'!B261-OtherCost</f>
        <v/>
      </c>
      <c r="Z261" s="37">
        <f>'03_原始数据'!C261-0.665*'03_原始数据'!B261-OtherCost</f>
        <v/>
      </c>
      <c r="AA261" s="37">
        <f>'03_原始数据'!C261-0.67*'03_原始数据'!B261-OtherCost</f>
        <v/>
      </c>
      <c r="AB261" s="37">
        <f>'03_原始数据'!C261-0.675*'03_原始数据'!B261-OtherCost</f>
        <v/>
      </c>
      <c r="AC261" s="37">
        <f>'03_原始数据'!C261-0.68*'03_原始数据'!B261-OtherCost</f>
        <v/>
      </c>
      <c r="AD261" s="37">
        <f>'03_原始数据'!C261-0.685*'03_原始数据'!B261-OtherCost</f>
        <v/>
      </c>
      <c r="AE261" s="37">
        <f>'03_原始数据'!C261-0.69*'03_原始数据'!B261-OtherCost</f>
        <v/>
      </c>
      <c r="AF261" s="37">
        <f>'03_原始数据'!C261-0.695*'03_原始数据'!B261-OtherCost</f>
        <v/>
      </c>
      <c r="AG261" s="37">
        <f>'03_原始数据'!C261-0.7*'03_原始数据'!B261-OtherCost</f>
        <v/>
      </c>
    </row>
    <row r="262">
      <c r="M262" s="37">
        <f>'03_原始数据'!C262-0.6*'03_原始数据'!B262-OtherCost</f>
        <v/>
      </c>
      <c r="N262" s="37">
        <f>'03_原始数据'!C262-0.605*'03_原始数据'!B262-OtherCost</f>
        <v/>
      </c>
      <c r="O262" s="37">
        <f>'03_原始数据'!C262-0.61*'03_原始数据'!B262-OtherCost</f>
        <v/>
      </c>
      <c r="P262" s="37">
        <f>'03_原始数据'!C262-0.615*'03_原始数据'!B262-OtherCost</f>
        <v/>
      </c>
      <c r="Q262" s="37">
        <f>'03_原始数据'!C262-0.62*'03_原始数据'!B262-OtherCost</f>
        <v/>
      </c>
      <c r="R262" s="37">
        <f>'03_原始数据'!C262-0.625*'03_原始数据'!B262-OtherCost</f>
        <v/>
      </c>
      <c r="S262" s="37">
        <f>'03_原始数据'!C262-0.63*'03_原始数据'!B262-OtherCost</f>
        <v/>
      </c>
      <c r="T262" s="37">
        <f>'03_原始数据'!C262-0.635*'03_原始数据'!B262-OtherCost</f>
        <v/>
      </c>
      <c r="U262" s="37">
        <f>'03_原始数据'!C262-0.64*'03_原始数据'!B262-OtherCost</f>
        <v/>
      </c>
      <c r="V262" s="37">
        <f>'03_原始数据'!C262-0.645*'03_原始数据'!B262-OtherCost</f>
        <v/>
      </c>
      <c r="W262" s="37">
        <f>'03_原始数据'!C262-0.65*'03_原始数据'!B262-OtherCost</f>
        <v/>
      </c>
      <c r="X262" s="37">
        <f>'03_原始数据'!C262-0.655*'03_原始数据'!B262-OtherCost</f>
        <v/>
      </c>
      <c r="Y262" s="37">
        <f>'03_原始数据'!C262-0.66*'03_原始数据'!B262-OtherCost</f>
        <v/>
      </c>
      <c r="Z262" s="37">
        <f>'03_原始数据'!C262-0.665*'03_原始数据'!B262-OtherCost</f>
        <v/>
      </c>
      <c r="AA262" s="37">
        <f>'03_原始数据'!C262-0.67*'03_原始数据'!B262-OtherCost</f>
        <v/>
      </c>
      <c r="AB262" s="37">
        <f>'03_原始数据'!C262-0.675*'03_原始数据'!B262-OtherCost</f>
        <v/>
      </c>
      <c r="AC262" s="37">
        <f>'03_原始数据'!C262-0.68*'03_原始数据'!B262-OtherCost</f>
        <v/>
      </c>
      <c r="AD262" s="37">
        <f>'03_原始数据'!C262-0.685*'03_原始数据'!B262-OtherCost</f>
        <v/>
      </c>
      <c r="AE262" s="37">
        <f>'03_原始数据'!C262-0.69*'03_原始数据'!B262-OtherCost</f>
        <v/>
      </c>
      <c r="AF262" s="37">
        <f>'03_原始数据'!C262-0.695*'03_原始数据'!B262-OtherCost</f>
        <v/>
      </c>
      <c r="AG262" s="37">
        <f>'03_原始数据'!C262-0.7*'03_原始数据'!B262-OtherCost</f>
        <v/>
      </c>
    </row>
    <row r="263">
      <c r="M263" s="37">
        <f>'03_原始数据'!C263-0.6*'03_原始数据'!B263-OtherCost</f>
        <v/>
      </c>
      <c r="N263" s="37">
        <f>'03_原始数据'!C263-0.605*'03_原始数据'!B263-OtherCost</f>
        <v/>
      </c>
      <c r="O263" s="37">
        <f>'03_原始数据'!C263-0.61*'03_原始数据'!B263-OtherCost</f>
        <v/>
      </c>
      <c r="P263" s="37">
        <f>'03_原始数据'!C263-0.615*'03_原始数据'!B263-OtherCost</f>
        <v/>
      </c>
      <c r="Q263" s="37">
        <f>'03_原始数据'!C263-0.62*'03_原始数据'!B263-OtherCost</f>
        <v/>
      </c>
      <c r="R263" s="37">
        <f>'03_原始数据'!C263-0.625*'03_原始数据'!B263-OtherCost</f>
        <v/>
      </c>
      <c r="S263" s="37">
        <f>'03_原始数据'!C263-0.63*'03_原始数据'!B263-OtherCost</f>
        <v/>
      </c>
      <c r="T263" s="37">
        <f>'03_原始数据'!C263-0.635*'03_原始数据'!B263-OtherCost</f>
        <v/>
      </c>
      <c r="U263" s="37">
        <f>'03_原始数据'!C263-0.64*'03_原始数据'!B263-OtherCost</f>
        <v/>
      </c>
      <c r="V263" s="37">
        <f>'03_原始数据'!C263-0.645*'03_原始数据'!B263-OtherCost</f>
        <v/>
      </c>
      <c r="W263" s="37">
        <f>'03_原始数据'!C263-0.65*'03_原始数据'!B263-OtherCost</f>
        <v/>
      </c>
      <c r="X263" s="37">
        <f>'03_原始数据'!C263-0.655*'03_原始数据'!B263-OtherCost</f>
        <v/>
      </c>
      <c r="Y263" s="37">
        <f>'03_原始数据'!C263-0.66*'03_原始数据'!B263-OtherCost</f>
        <v/>
      </c>
      <c r="Z263" s="37">
        <f>'03_原始数据'!C263-0.665*'03_原始数据'!B263-OtherCost</f>
        <v/>
      </c>
      <c r="AA263" s="37">
        <f>'03_原始数据'!C263-0.67*'03_原始数据'!B263-OtherCost</f>
        <v/>
      </c>
      <c r="AB263" s="37">
        <f>'03_原始数据'!C263-0.675*'03_原始数据'!B263-OtherCost</f>
        <v/>
      </c>
      <c r="AC263" s="37">
        <f>'03_原始数据'!C263-0.68*'03_原始数据'!B263-OtherCost</f>
        <v/>
      </c>
      <c r="AD263" s="37">
        <f>'03_原始数据'!C263-0.685*'03_原始数据'!B263-OtherCost</f>
        <v/>
      </c>
      <c r="AE263" s="37">
        <f>'03_原始数据'!C263-0.69*'03_原始数据'!B263-OtherCost</f>
        <v/>
      </c>
      <c r="AF263" s="37">
        <f>'03_原始数据'!C263-0.695*'03_原始数据'!B263-OtherCost</f>
        <v/>
      </c>
      <c r="AG263" s="37">
        <f>'03_原始数据'!C263-0.7*'03_原始数据'!B263-OtherCost</f>
        <v/>
      </c>
    </row>
    <row r="264">
      <c r="M264" s="37">
        <f>'03_原始数据'!C264-0.6*'03_原始数据'!B264-OtherCost</f>
        <v/>
      </c>
      <c r="N264" s="37">
        <f>'03_原始数据'!C264-0.605*'03_原始数据'!B264-OtherCost</f>
        <v/>
      </c>
      <c r="O264" s="37">
        <f>'03_原始数据'!C264-0.61*'03_原始数据'!B264-OtherCost</f>
        <v/>
      </c>
      <c r="P264" s="37">
        <f>'03_原始数据'!C264-0.615*'03_原始数据'!B264-OtherCost</f>
        <v/>
      </c>
      <c r="Q264" s="37">
        <f>'03_原始数据'!C264-0.62*'03_原始数据'!B264-OtherCost</f>
        <v/>
      </c>
      <c r="R264" s="37">
        <f>'03_原始数据'!C264-0.625*'03_原始数据'!B264-OtherCost</f>
        <v/>
      </c>
      <c r="S264" s="37">
        <f>'03_原始数据'!C264-0.63*'03_原始数据'!B264-OtherCost</f>
        <v/>
      </c>
      <c r="T264" s="37">
        <f>'03_原始数据'!C264-0.635*'03_原始数据'!B264-OtherCost</f>
        <v/>
      </c>
      <c r="U264" s="37">
        <f>'03_原始数据'!C264-0.64*'03_原始数据'!B264-OtherCost</f>
        <v/>
      </c>
      <c r="V264" s="37">
        <f>'03_原始数据'!C264-0.645*'03_原始数据'!B264-OtherCost</f>
        <v/>
      </c>
      <c r="W264" s="37">
        <f>'03_原始数据'!C264-0.65*'03_原始数据'!B264-OtherCost</f>
        <v/>
      </c>
      <c r="X264" s="37">
        <f>'03_原始数据'!C264-0.655*'03_原始数据'!B264-OtherCost</f>
        <v/>
      </c>
      <c r="Y264" s="37">
        <f>'03_原始数据'!C264-0.66*'03_原始数据'!B264-OtherCost</f>
        <v/>
      </c>
      <c r="Z264" s="37">
        <f>'03_原始数据'!C264-0.665*'03_原始数据'!B264-OtherCost</f>
        <v/>
      </c>
      <c r="AA264" s="37">
        <f>'03_原始数据'!C264-0.67*'03_原始数据'!B264-OtherCost</f>
        <v/>
      </c>
      <c r="AB264" s="37">
        <f>'03_原始数据'!C264-0.675*'03_原始数据'!B264-OtherCost</f>
        <v/>
      </c>
      <c r="AC264" s="37">
        <f>'03_原始数据'!C264-0.68*'03_原始数据'!B264-OtherCost</f>
        <v/>
      </c>
      <c r="AD264" s="37">
        <f>'03_原始数据'!C264-0.685*'03_原始数据'!B264-OtherCost</f>
        <v/>
      </c>
      <c r="AE264" s="37">
        <f>'03_原始数据'!C264-0.69*'03_原始数据'!B264-OtherCost</f>
        <v/>
      </c>
      <c r="AF264" s="37">
        <f>'03_原始数据'!C264-0.695*'03_原始数据'!B264-OtherCost</f>
        <v/>
      </c>
      <c r="AG264" s="37">
        <f>'03_原始数据'!C264-0.7*'03_原始数据'!B264-OtherCost</f>
        <v/>
      </c>
    </row>
    <row r="265">
      <c r="M265" s="37">
        <f>'03_原始数据'!C265-0.6*'03_原始数据'!B265-OtherCost</f>
        <v/>
      </c>
      <c r="N265" s="37">
        <f>'03_原始数据'!C265-0.605*'03_原始数据'!B265-OtherCost</f>
        <v/>
      </c>
      <c r="O265" s="37">
        <f>'03_原始数据'!C265-0.61*'03_原始数据'!B265-OtherCost</f>
        <v/>
      </c>
      <c r="P265" s="37">
        <f>'03_原始数据'!C265-0.615*'03_原始数据'!B265-OtherCost</f>
        <v/>
      </c>
      <c r="Q265" s="37">
        <f>'03_原始数据'!C265-0.62*'03_原始数据'!B265-OtherCost</f>
        <v/>
      </c>
      <c r="R265" s="37">
        <f>'03_原始数据'!C265-0.625*'03_原始数据'!B265-OtherCost</f>
        <v/>
      </c>
      <c r="S265" s="37">
        <f>'03_原始数据'!C265-0.63*'03_原始数据'!B265-OtherCost</f>
        <v/>
      </c>
      <c r="T265" s="37">
        <f>'03_原始数据'!C265-0.635*'03_原始数据'!B265-OtherCost</f>
        <v/>
      </c>
      <c r="U265" s="37">
        <f>'03_原始数据'!C265-0.64*'03_原始数据'!B265-OtherCost</f>
        <v/>
      </c>
      <c r="V265" s="37">
        <f>'03_原始数据'!C265-0.645*'03_原始数据'!B265-OtherCost</f>
        <v/>
      </c>
      <c r="W265" s="37">
        <f>'03_原始数据'!C265-0.65*'03_原始数据'!B265-OtherCost</f>
        <v/>
      </c>
      <c r="X265" s="37">
        <f>'03_原始数据'!C265-0.655*'03_原始数据'!B265-OtherCost</f>
        <v/>
      </c>
      <c r="Y265" s="37">
        <f>'03_原始数据'!C265-0.66*'03_原始数据'!B265-OtherCost</f>
        <v/>
      </c>
      <c r="Z265" s="37">
        <f>'03_原始数据'!C265-0.665*'03_原始数据'!B265-OtherCost</f>
        <v/>
      </c>
      <c r="AA265" s="37">
        <f>'03_原始数据'!C265-0.67*'03_原始数据'!B265-OtherCost</f>
        <v/>
      </c>
      <c r="AB265" s="37">
        <f>'03_原始数据'!C265-0.675*'03_原始数据'!B265-OtherCost</f>
        <v/>
      </c>
      <c r="AC265" s="37">
        <f>'03_原始数据'!C265-0.68*'03_原始数据'!B265-OtherCost</f>
        <v/>
      </c>
      <c r="AD265" s="37">
        <f>'03_原始数据'!C265-0.685*'03_原始数据'!B265-OtherCost</f>
        <v/>
      </c>
      <c r="AE265" s="37">
        <f>'03_原始数据'!C265-0.69*'03_原始数据'!B265-OtherCost</f>
        <v/>
      </c>
      <c r="AF265" s="37">
        <f>'03_原始数据'!C265-0.695*'03_原始数据'!B265-OtherCost</f>
        <v/>
      </c>
      <c r="AG265" s="37">
        <f>'03_原始数据'!C265-0.7*'03_原始数据'!B265-OtherCost</f>
        <v/>
      </c>
    </row>
    <row r="266">
      <c r="M266" s="37">
        <f>'03_原始数据'!C266-0.6*'03_原始数据'!B266-OtherCost</f>
        <v/>
      </c>
      <c r="N266" s="37">
        <f>'03_原始数据'!C266-0.605*'03_原始数据'!B266-OtherCost</f>
        <v/>
      </c>
      <c r="O266" s="37">
        <f>'03_原始数据'!C266-0.61*'03_原始数据'!B266-OtherCost</f>
        <v/>
      </c>
      <c r="P266" s="37">
        <f>'03_原始数据'!C266-0.615*'03_原始数据'!B266-OtherCost</f>
        <v/>
      </c>
      <c r="Q266" s="37">
        <f>'03_原始数据'!C266-0.62*'03_原始数据'!B266-OtherCost</f>
        <v/>
      </c>
      <c r="R266" s="37">
        <f>'03_原始数据'!C266-0.625*'03_原始数据'!B266-OtherCost</f>
        <v/>
      </c>
      <c r="S266" s="37">
        <f>'03_原始数据'!C266-0.63*'03_原始数据'!B266-OtherCost</f>
        <v/>
      </c>
      <c r="T266" s="37">
        <f>'03_原始数据'!C266-0.635*'03_原始数据'!B266-OtherCost</f>
        <v/>
      </c>
      <c r="U266" s="37">
        <f>'03_原始数据'!C266-0.64*'03_原始数据'!B266-OtherCost</f>
        <v/>
      </c>
      <c r="V266" s="37">
        <f>'03_原始数据'!C266-0.645*'03_原始数据'!B266-OtherCost</f>
        <v/>
      </c>
      <c r="W266" s="37">
        <f>'03_原始数据'!C266-0.65*'03_原始数据'!B266-OtherCost</f>
        <v/>
      </c>
      <c r="X266" s="37">
        <f>'03_原始数据'!C266-0.655*'03_原始数据'!B266-OtherCost</f>
        <v/>
      </c>
      <c r="Y266" s="37">
        <f>'03_原始数据'!C266-0.66*'03_原始数据'!B266-OtherCost</f>
        <v/>
      </c>
      <c r="Z266" s="37">
        <f>'03_原始数据'!C266-0.665*'03_原始数据'!B266-OtherCost</f>
        <v/>
      </c>
      <c r="AA266" s="37">
        <f>'03_原始数据'!C266-0.67*'03_原始数据'!B266-OtherCost</f>
        <v/>
      </c>
      <c r="AB266" s="37">
        <f>'03_原始数据'!C266-0.675*'03_原始数据'!B266-OtherCost</f>
        <v/>
      </c>
      <c r="AC266" s="37">
        <f>'03_原始数据'!C266-0.68*'03_原始数据'!B266-OtherCost</f>
        <v/>
      </c>
      <c r="AD266" s="37">
        <f>'03_原始数据'!C266-0.685*'03_原始数据'!B266-OtherCost</f>
        <v/>
      </c>
      <c r="AE266" s="37">
        <f>'03_原始数据'!C266-0.69*'03_原始数据'!B266-OtherCost</f>
        <v/>
      </c>
      <c r="AF266" s="37">
        <f>'03_原始数据'!C266-0.695*'03_原始数据'!B266-OtherCost</f>
        <v/>
      </c>
      <c r="AG266" s="37">
        <f>'03_原始数据'!C266-0.7*'03_原始数据'!B266-OtherCost</f>
        <v/>
      </c>
    </row>
    <row r="267">
      <c r="M267" s="37">
        <f>'03_原始数据'!C267-0.6*'03_原始数据'!B267-OtherCost</f>
        <v/>
      </c>
      <c r="N267" s="37">
        <f>'03_原始数据'!C267-0.605*'03_原始数据'!B267-OtherCost</f>
        <v/>
      </c>
      <c r="O267" s="37">
        <f>'03_原始数据'!C267-0.61*'03_原始数据'!B267-OtherCost</f>
        <v/>
      </c>
      <c r="P267" s="37">
        <f>'03_原始数据'!C267-0.615*'03_原始数据'!B267-OtherCost</f>
        <v/>
      </c>
      <c r="Q267" s="37">
        <f>'03_原始数据'!C267-0.62*'03_原始数据'!B267-OtherCost</f>
        <v/>
      </c>
      <c r="R267" s="37">
        <f>'03_原始数据'!C267-0.625*'03_原始数据'!B267-OtherCost</f>
        <v/>
      </c>
      <c r="S267" s="37">
        <f>'03_原始数据'!C267-0.63*'03_原始数据'!B267-OtherCost</f>
        <v/>
      </c>
      <c r="T267" s="37">
        <f>'03_原始数据'!C267-0.635*'03_原始数据'!B267-OtherCost</f>
        <v/>
      </c>
      <c r="U267" s="37">
        <f>'03_原始数据'!C267-0.64*'03_原始数据'!B267-OtherCost</f>
        <v/>
      </c>
      <c r="V267" s="37">
        <f>'03_原始数据'!C267-0.645*'03_原始数据'!B267-OtherCost</f>
        <v/>
      </c>
      <c r="W267" s="37">
        <f>'03_原始数据'!C267-0.65*'03_原始数据'!B267-OtherCost</f>
        <v/>
      </c>
      <c r="X267" s="37">
        <f>'03_原始数据'!C267-0.655*'03_原始数据'!B267-OtherCost</f>
        <v/>
      </c>
      <c r="Y267" s="37">
        <f>'03_原始数据'!C267-0.66*'03_原始数据'!B267-OtherCost</f>
        <v/>
      </c>
      <c r="Z267" s="37">
        <f>'03_原始数据'!C267-0.665*'03_原始数据'!B267-OtherCost</f>
        <v/>
      </c>
      <c r="AA267" s="37">
        <f>'03_原始数据'!C267-0.67*'03_原始数据'!B267-OtherCost</f>
        <v/>
      </c>
      <c r="AB267" s="37">
        <f>'03_原始数据'!C267-0.675*'03_原始数据'!B267-OtherCost</f>
        <v/>
      </c>
      <c r="AC267" s="37">
        <f>'03_原始数据'!C267-0.68*'03_原始数据'!B267-OtherCost</f>
        <v/>
      </c>
      <c r="AD267" s="37">
        <f>'03_原始数据'!C267-0.685*'03_原始数据'!B267-OtherCost</f>
        <v/>
      </c>
      <c r="AE267" s="37">
        <f>'03_原始数据'!C267-0.69*'03_原始数据'!B267-OtherCost</f>
        <v/>
      </c>
      <c r="AF267" s="37">
        <f>'03_原始数据'!C267-0.695*'03_原始数据'!B267-OtherCost</f>
        <v/>
      </c>
      <c r="AG267" s="37">
        <f>'03_原始数据'!C267-0.7*'03_原始数据'!B267-OtherCost</f>
        <v/>
      </c>
    </row>
    <row r="268">
      <c r="M268" s="37">
        <f>'03_原始数据'!C268-0.6*'03_原始数据'!B268-OtherCost</f>
        <v/>
      </c>
      <c r="N268" s="37">
        <f>'03_原始数据'!C268-0.605*'03_原始数据'!B268-OtherCost</f>
        <v/>
      </c>
      <c r="O268" s="37">
        <f>'03_原始数据'!C268-0.61*'03_原始数据'!B268-OtherCost</f>
        <v/>
      </c>
      <c r="P268" s="37">
        <f>'03_原始数据'!C268-0.615*'03_原始数据'!B268-OtherCost</f>
        <v/>
      </c>
      <c r="Q268" s="37">
        <f>'03_原始数据'!C268-0.62*'03_原始数据'!B268-OtherCost</f>
        <v/>
      </c>
      <c r="R268" s="37">
        <f>'03_原始数据'!C268-0.625*'03_原始数据'!B268-OtherCost</f>
        <v/>
      </c>
      <c r="S268" s="37">
        <f>'03_原始数据'!C268-0.63*'03_原始数据'!B268-OtherCost</f>
        <v/>
      </c>
      <c r="T268" s="37">
        <f>'03_原始数据'!C268-0.635*'03_原始数据'!B268-OtherCost</f>
        <v/>
      </c>
      <c r="U268" s="37">
        <f>'03_原始数据'!C268-0.64*'03_原始数据'!B268-OtherCost</f>
        <v/>
      </c>
      <c r="V268" s="37">
        <f>'03_原始数据'!C268-0.645*'03_原始数据'!B268-OtherCost</f>
        <v/>
      </c>
      <c r="W268" s="37">
        <f>'03_原始数据'!C268-0.65*'03_原始数据'!B268-OtherCost</f>
        <v/>
      </c>
      <c r="X268" s="37">
        <f>'03_原始数据'!C268-0.655*'03_原始数据'!B268-OtherCost</f>
        <v/>
      </c>
      <c r="Y268" s="37">
        <f>'03_原始数据'!C268-0.66*'03_原始数据'!B268-OtherCost</f>
        <v/>
      </c>
      <c r="Z268" s="37">
        <f>'03_原始数据'!C268-0.665*'03_原始数据'!B268-OtherCost</f>
        <v/>
      </c>
      <c r="AA268" s="37">
        <f>'03_原始数据'!C268-0.67*'03_原始数据'!B268-OtherCost</f>
        <v/>
      </c>
      <c r="AB268" s="37">
        <f>'03_原始数据'!C268-0.675*'03_原始数据'!B268-OtherCost</f>
        <v/>
      </c>
      <c r="AC268" s="37">
        <f>'03_原始数据'!C268-0.68*'03_原始数据'!B268-OtherCost</f>
        <v/>
      </c>
      <c r="AD268" s="37">
        <f>'03_原始数据'!C268-0.685*'03_原始数据'!B268-OtherCost</f>
        <v/>
      </c>
      <c r="AE268" s="37">
        <f>'03_原始数据'!C268-0.69*'03_原始数据'!B268-OtherCost</f>
        <v/>
      </c>
      <c r="AF268" s="37">
        <f>'03_原始数据'!C268-0.695*'03_原始数据'!B268-OtherCost</f>
        <v/>
      </c>
      <c r="AG268" s="37">
        <f>'03_原始数据'!C268-0.7*'03_原始数据'!B268-OtherCost</f>
        <v/>
      </c>
    </row>
    <row r="269">
      <c r="M269" s="37">
        <f>'03_原始数据'!C269-0.6*'03_原始数据'!B269-OtherCost</f>
        <v/>
      </c>
      <c r="N269" s="37">
        <f>'03_原始数据'!C269-0.605*'03_原始数据'!B269-OtherCost</f>
        <v/>
      </c>
      <c r="O269" s="37">
        <f>'03_原始数据'!C269-0.61*'03_原始数据'!B269-OtherCost</f>
        <v/>
      </c>
      <c r="P269" s="37">
        <f>'03_原始数据'!C269-0.615*'03_原始数据'!B269-OtherCost</f>
        <v/>
      </c>
      <c r="Q269" s="37">
        <f>'03_原始数据'!C269-0.62*'03_原始数据'!B269-OtherCost</f>
        <v/>
      </c>
      <c r="R269" s="37">
        <f>'03_原始数据'!C269-0.625*'03_原始数据'!B269-OtherCost</f>
        <v/>
      </c>
      <c r="S269" s="37">
        <f>'03_原始数据'!C269-0.63*'03_原始数据'!B269-OtherCost</f>
        <v/>
      </c>
      <c r="T269" s="37">
        <f>'03_原始数据'!C269-0.635*'03_原始数据'!B269-OtherCost</f>
        <v/>
      </c>
      <c r="U269" s="37">
        <f>'03_原始数据'!C269-0.64*'03_原始数据'!B269-OtherCost</f>
        <v/>
      </c>
      <c r="V269" s="37">
        <f>'03_原始数据'!C269-0.645*'03_原始数据'!B269-OtherCost</f>
        <v/>
      </c>
      <c r="W269" s="37">
        <f>'03_原始数据'!C269-0.65*'03_原始数据'!B269-OtherCost</f>
        <v/>
      </c>
      <c r="X269" s="37">
        <f>'03_原始数据'!C269-0.655*'03_原始数据'!B269-OtherCost</f>
        <v/>
      </c>
      <c r="Y269" s="37">
        <f>'03_原始数据'!C269-0.66*'03_原始数据'!B269-OtherCost</f>
        <v/>
      </c>
      <c r="Z269" s="37">
        <f>'03_原始数据'!C269-0.665*'03_原始数据'!B269-OtherCost</f>
        <v/>
      </c>
      <c r="AA269" s="37">
        <f>'03_原始数据'!C269-0.67*'03_原始数据'!B269-OtherCost</f>
        <v/>
      </c>
      <c r="AB269" s="37">
        <f>'03_原始数据'!C269-0.675*'03_原始数据'!B269-OtherCost</f>
        <v/>
      </c>
      <c r="AC269" s="37">
        <f>'03_原始数据'!C269-0.68*'03_原始数据'!B269-OtherCost</f>
        <v/>
      </c>
      <c r="AD269" s="37">
        <f>'03_原始数据'!C269-0.685*'03_原始数据'!B269-OtherCost</f>
        <v/>
      </c>
      <c r="AE269" s="37">
        <f>'03_原始数据'!C269-0.69*'03_原始数据'!B269-OtherCost</f>
        <v/>
      </c>
      <c r="AF269" s="37">
        <f>'03_原始数据'!C269-0.695*'03_原始数据'!B269-OtherCost</f>
        <v/>
      </c>
      <c r="AG269" s="37">
        <f>'03_原始数据'!C269-0.7*'03_原始数据'!B269-OtherCost</f>
        <v/>
      </c>
    </row>
    <row r="270">
      <c r="M270" s="37">
        <f>'03_原始数据'!C270-0.6*'03_原始数据'!B270-OtherCost</f>
        <v/>
      </c>
      <c r="N270" s="37">
        <f>'03_原始数据'!C270-0.605*'03_原始数据'!B270-OtherCost</f>
        <v/>
      </c>
      <c r="O270" s="37">
        <f>'03_原始数据'!C270-0.61*'03_原始数据'!B270-OtherCost</f>
        <v/>
      </c>
      <c r="P270" s="37">
        <f>'03_原始数据'!C270-0.615*'03_原始数据'!B270-OtherCost</f>
        <v/>
      </c>
      <c r="Q270" s="37">
        <f>'03_原始数据'!C270-0.62*'03_原始数据'!B270-OtherCost</f>
        <v/>
      </c>
      <c r="R270" s="37">
        <f>'03_原始数据'!C270-0.625*'03_原始数据'!B270-OtherCost</f>
        <v/>
      </c>
      <c r="S270" s="37">
        <f>'03_原始数据'!C270-0.63*'03_原始数据'!B270-OtherCost</f>
        <v/>
      </c>
      <c r="T270" s="37">
        <f>'03_原始数据'!C270-0.635*'03_原始数据'!B270-OtherCost</f>
        <v/>
      </c>
      <c r="U270" s="37">
        <f>'03_原始数据'!C270-0.64*'03_原始数据'!B270-OtherCost</f>
        <v/>
      </c>
      <c r="V270" s="37">
        <f>'03_原始数据'!C270-0.645*'03_原始数据'!B270-OtherCost</f>
        <v/>
      </c>
      <c r="W270" s="37">
        <f>'03_原始数据'!C270-0.65*'03_原始数据'!B270-OtherCost</f>
        <v/>
      </c>
      <c r="X270" s="37">
        <f>'03_原始数据'!C270-0.655*'03_原始数据'!B270-OtherCost</f>
        <v/>
      </c>
      <c r="Y270" s="37">
        <f>'03_原始数据'!C270-0.66*'03_原始数据'!B270-OtherCost</f>
        <v/>
      </c>
      <c r="Z270" s="37">
        <f>'03_原始数据'!C270-0.665*'03_原始数据'!B270-OtherCost</f>
        <v/>
      </c>
      <c r="AA270" s="37">
        <f>'03_原始数据'!C270-0.67*'03_原始数据'!B270-OtherCost</f>
        <v/>
      </c>
      <c r="AB270" s="37">
        <f>'03_原始数据'!C270-0.675*'03_原始数据'!B270-OtherCost</f>
        <v/>
      </c>
      <c r="AC270" s="37">
        <f>'03_原始数据'!C270-0.68*'03_原始数据'!B270-OtherCost</f>
        <v/>
      </c>
      <c r="AD270" s="37">
        <f>'03_原始数据'!C270-0.685*'03_原始数据'!B270-OtherCost</f>
        <v/>
      </c>
      <c r="AE270" s="37">
        <f>'03_原始数据'!C270-0.69*'03_原始数据'!B270-OtherCost</f>
        <v/>
      </c>
      <c r="AF270" s="37">
        <f>'03_原始数据'!C270-0.695*'03_原始数据'!B270-OtherCost</f>
        <v/>
      </c>
      <c r="AG270" s="37">
        <f>'03_原始数据'!C270-0.7*'03_原始数据'!B270-OtherCost</f>
        <v/>
      </c>
    </row>
    <row r="271">
      <c r="M271" s="37">
        <f>'03_原始数据'!C271-0.6*'03_原始数据'!B271-OtherCost</f>
        <v/>
      </c>
      <c r="N271" s="37">
        <f>'03_原始数据'!C271-0.605*'03_原始数据'!B271-OtherCost</f>
        <v/>
      </c>
      <c r="O271" s="37">
        <f>'03_原始数据'!C271-0.61*'03_原始数据'!B271-OtherCost</f>
        <v/>
      </c>
      <c r="P271" s="37">
        <f>'03_原始数据'!C271-0.615*'03_原始数据'!B271-OtherCost</f>
        <v/>
      </c>
      <c r="Q271" s="37">
        <f>'03_原始数据'!C271-0.62*'03_原始数据'!B271-OtherCost</f>
        <v/>
      </c>
      <c r="R271" s="37">
        <f>'03_原始数据'!C271-0.625*'03_原始数据'!B271-OtherCost</f>
        <v/>
      </c>
      <c r="S271" s="37">
        <f>'03_原始数据'!C271-0.63*'03_原始数据'!B271-OtherCost</f>
        <v/>
      </c>
      <c r="T271" s="37">
        <f>'03_原始数据'!C271-0.635*'03_原始数据'!B271-OtherCost</f>
        <v/>
      </c>
      <c r="U271" s="37">
        <f>'03_原始数据'!C271-0.64*'03_原始数据'!B271-OtherCost</f>
        <v/>
      </c>
      <c r="V271" s="37">
        <f>'03_原始数据'!C271-0.645*'03_原始数据'!B271-OtherCost</f>
        <v/>
      </c>
      <c r="W271" s="37">
        <f>'03_原始数据'!C271-0.65*'03_原始数据'!B271-OtherCost</f>
        <v/>
      </c>
      <c r="X271" s="37">
        <f>'03_原始数据'!C271-0.655*'03_原始数据'!B271-OtherCost</f>
        <v/>
      </c>
      <c r="Y271" s="37">
        <f>'03_原始数据'!C271-0.66*'03_原始数据'!B271-OtherCost</f>
        <v/>
      </c>
      <c r="Z271" s="37">
        <f>'03_原始数据'!C271-0.665*'03_原始数据'!B271-OtherCost</f>
        <v/>
      </c>
      <c r="AA271" s="37">
        <f>'03_原始数据'!C271-0.67*'03_原始数据'!B271-OtherCost</f>
        <v/>
      </c>
      <c r="AB271" s="37">
        <f>'03_原始数据'!C271-0.675*'03_原始数据'!B271-OtherCost</f>
        <v/>
      </c>
      <c r="AC271" s="37">
        <f>'03_原始数据'!C271-0.68*'03_原始数据'!B271-OtherCost</f>
        <v/>
      </c>
      <c r="AD271" s="37">
        <f>'03_原始数据'!C271-0.685*'03_原始数据'!B271-OtherCost</f>
        <v/>
      </c>
      <c r="AE271" s="37">
        <f>'03_原始数据'!C271-0.69*'03_原始数据'!B271-OtherCost</f>
        <v/>
      </c>
      <c r="AF271" s="37">
        <f>'03_原始数据'!C271-0.695*'03_原始数据'!B271-OtherCost</f>
        <v/>
      </c>
      <c r="AG271" s="37">
        <f>'03_原始数据'!C271-0.7*'03_原始数据'!B271-OtherCost</f>
        <v/>
      </c>
    </row>
    <row r="272">
      <c r="M272" s="37">
        <f>'03_原始数据'!C272-0.6*'03_原始数据'!B272-OtherCost</f>
        <v/>
      </c>
      <c r="N272" s="37">
        <f>'03_原始数据'!C272-0.605*'03_原始数据'!B272-OtherCost</f>
        <v/>
      </c>
      <c r="O272" s="37">
        <f>'03_原始数据'!C272-0.61*'03_原始数据'!B272-OtherCost</f>
        <v/>
      </c>
      <c r="P272" s="37">
        <f>'03_原始数据'!C272-0.615*'03_原始数据'!B272-OtherCost</f>
        <v/>
      </c>
      <c r="Q272" s="37">
        <f>'03_原始数据'!C272-0.62*'03_原始数据'!B272-OtherCost</f>
        <v/>
      </c>
      <c r="R272" s="37">
        <f>'03_原始数据'!C272-0.625*'03_原始数据'!B272-OtherCost</f>
        <v/>
      </c>
      <c r="S272" s="37">
        <f>'03_原始数据'!C272-0.63*'03_原始数据'!B272-OtherCost</f>
        <v/>
      </c>
      <c r="T272" s="37">
        <f>'03_原始数据'!C272-0.635*'03_原始数据'!B272-OtherCost</f>
        <v/>
      </c>
      <c r="U272" s="37">
        <f>'03_原始数据'!C272-0.64*'03_原始数据'!B272-OtherCost</f>
        <v/>
      </c>
      <c r="V272" s="37">
        <f>'03_原始数据'!C272-0.645*'03_原始数据'!B272-OtherCost</f>
        <v/>
      </c>
      <c r="W272" s="37">
        <f>'03_原始数据'!C272-0.65*'03_原始数据'!B272-OtherCost</f>
        <v/>
      </c>
      <c r="X272" s="37">
        <f>'03_原始数据'!C272-0.655*'03_原始数据'!B272-OtherCost</f>
        <v/>
      </c>
      <c r="Y272" s="37">
        <f>'03_原始数据'!C272-0.66*'03_原始数据'!B272-OtherCost</f>
        <v/>
      </c>
      <c r="Z272" s="37">
        <f>'03_原始数据'!C272-0.665*'03_原始数据'!B272-OtherCost</f>
        <v/>
      </c>
      <c r="AA272" s="37">
        <f>'03_原始数据'!C272-0.67*'03_原始数据'!B272-OtherCost</f>
        <v/>
      </c>
      <c r="AB272" s="37">
        <f>'03_原始数据'!C272-0.675*'03_原始数据'!B272-OtherCost</f>
        <v/>
      </c>
      <c r="AC272" s="37">
        <f>'03_原始数据'!C272-0.68*'03_原始数据'!B272-OtherCost</f>
        <v/>
      </c>
      <c r="AD272" s="37">
        <f>'03_原始数据'!C272-0.685*'03_原始数据'!B272-OtherCost</f>
        <v/>
      </c>
      <c r="AE272" s="37">
        <f>'03_原始数据'!C272-0.69*'03_原始数据'!B272-OtherCost</f>
        <v/>
      </c>
      <c r="AF272" s="37">
        <f>'03_原始数据'!C272-0.695*'03_原始数据'!B272-OtherCost</f>
        <v/>
      </c>
      <c r="AG272" s="37">
        <f>'03_原始数据'!C272-0.7*'03_原始数据'!B272-OtherCost</f>
        <v/>
      </c>
    </row>
    <row r="273">
      <c r="M273" s="37">
        <f>'03_原始数据'!C273-0.6*'03_原始数据'!B273-OtherCost</f>
        <v/>
      </c>
      <c r="N273" s="37">
        <f>'03_原始数据'!C273-0.605*'03_原始数据'!B273-OtherCost</f>
        <v/>
      </c>
      <c r="O273" s="37">
        <f>'03_原始数据'!C273-0.61*'03_原始数据'!B273-OtherCost</f>
        <v/>
      </c>
      <c r="P273" s="37">
        <f>'03_原始数据'!C273-0.615*'03_原始数据'!B273-OtherCost</f>
        <v/>
      </c>
      <c r="Q273" s="37">
        <f>'03_原始数据'!C273-0.62*'03_原始数据'!B273-OtherCost</f>
        <v/>
      </c>
      <c r="R273" s="37">
        <f>'03_原始数据'!C273-0.625*'03_原始数据'!B273-OtherCost</f>
        <v/>
      </c>
      <c r="S273" s="37">
        <f>'03_原始数据'!C273-0.63*'03_原始数据'!B273-OtherCost</f>
        <v/>
      </c>
      <c r="T273" s="37">
        <f>'03_原始数据'!C273-0.635*'03_原始数据'!B273-OtherCost</f>
        <v/>
      </c>
      <c r="U273" s="37">
        <f>'03_原始数据'!C273-0.64*'03_原始数据'!B273-OtherCost</f>
        <v/>
      </c>
      <c r="V273" s="37">
        <f>'03_原始数据'!C273-0.645*'03_原始数据'!B273-OtherCost</f>
        <v/>
      </c>
      <c r="W273" s="37">
        <f>'03_原始数据'!C273-0.65*'03_原始数据'!B273-OtherCost</f>
        <v/>
      </c>
      <c r="X273" s="37">
        <f>'03_原始数据'!C273-0.655*'03_原始数据'!B273-OtherCost</f>
        <v/>
      </c>
      <c r="Y273" s="37">
        <f>'03_原始数据'!C273-0.66*'03_原始数据'!B273-OtherCost</f>
        <v/>
      </c>
      <c r="Z273" s="37">
        <f>'03_原始数据'!C273-0.665*'03_原始数据'!B273-OtherCost</f>
        <v/>
      </c>
      <c r="AA273" s="37">
        <f>'03_原始数据'!C273-0.67*'03_原始数据'!B273-OtherCost</f>
        <v/>
      </c>
      <c r="AB273" s="37">
        <f>'03_原始数据'!C273-0.675*'03_原始数据'!B273-OtherCost</f>
        <v/>
      </c>
      <c r="AC273" s="37">
        <f>'03_原始数据'!C273-0.68*'03_原始数据'!B273-OtherCost</f>
        <v/>
      </c>
      <c r="AD273" s="37">
        <f>'03_原始数据'!C273-0.685*'03_原始数据'!B273-OtherCost</f>
        <v/>
      </c>
      <c r="AE273" s="37">
        <f>'03_原始数据'!C273-0.69*'03_原始数据'!B273-OtherCost</f>
        <v/>
      </c>
      <c r="AF273" s="37">
        <f>'03_原始数据'!C273-0.695*'03_原始数据'!B273-OtherCost</f>
        <v/>
      </c>
      <c r="AG273" s="37">
        <f>'03_原始数据'!C273-0.7*'03_原始数据'!B273-OtherCost</f>
        <v/>
      </c>
    </row>
    <row r="274">
      <c r="M274" s="37">
        <f>'03_原始数据'!C274-0.6*'03_原始数据'!B274-OtherCost</f>
        <v/>
      </c>
      <c r="N274" s="37">
        <f>'03_原始数据'!C274-0.605*'03_原始数据'!B274-OtherCost</f>
        <v/>
      </c>
      <c r="O274" s="37">
        <f>'03_原始数据'!C274-0.61*'03_原始数据'!B274-OtherCost</f>
        <v/>
      </c>
      <c r="P274" s="37">
        <f>'03_原始数据'!C274-0.615*'03_原始数据'!B274-OtherCost</f>
        <v/>
      </c>
      <c r="Q274" s="37">
        <f>'03_原始数据'!C274-0.62*'03_原始数据'!B274-OtherCost</f>
        <v/>
      </c>
      <c r="R274" s="37">
        <f>'03_原始数据'!C274-0.625*'03_原始数据'!B274-OtherCost</f>
        <v/>
      </c>
      <c r="S274" s="37">
        <f>'03_原始数据'!C274-0.63*'03_原始数据'!B274-OtherCost</f>
        <v/>
      </c>
      <c r="T274" s="37">
        <f>'03_原始数据'!C274-0.635*'03_原始数据'!B274-OtherCost</f>
        <v/>
      </c>
      <c r="U274" s="37">
        <f>'03_原始数据'!C274-0.64*'03_原始数据'!B274-OtherCost</f>
        <v/>
      </c>
      <c r="V274" s="37">
        <f>'03_原始数据'!C274-0.645*'03_原始数据'!B274-OtherCost</f>
        <v/>
      </c>
      <c r="W274" s="37">
        <f>'03_原始数据'!C274-0.65*'03_原始数据'!B274-OtherCost</f>
        <v/>
      </c>
      <c r="X274" s="37">
        <f>'03_原始数据'!C274-0.655*'03_原始数据'!B274-OtherCost</f>
        <v/>
      </c>
      <c r="Y274" s="37">
        <f>'03_原始数据'!C274-0.66*'03_原始数据'!B274-OtherCost</f>
        <v/>
      </c>
      <c r="Z274" s="37">
        <f>'03_原始数据'!C274-0.665*'03_原始数据'!B274-OtherCost</f>
        <v/>
      </c>
      <c r="AA274" s="37">
        <f>'03_原始数据'!C274-0.67*'03_原始数据'!B274-OtherCost</f>
        <v/>
      </c>
      <c r="AB274" s="37">
        <f>'03_原始数据'!C274-0.675*'03_原始数据'!B274-OtherCost</f>
        <v/>
      </c>
      <c r="AC274" s="37">
        <f>'03_原始数据'!C274-0.68*'03_原始数据'!B274-OtherCost</f>
        <v/>
      </c>
      <c r="AD274" s="37">
        <f>'03_原始数据'!C274-0.685*'03_原始数据'!B274-OtherCost</f>
        <v/>
      </c>
      <c r="AE274" s="37">
        <f>'03_原始数据'!C274-0.69*'03_原始数据'!B274-OtherCost</f>
        <v/>
      </c>
      <c r="AF274" s="37">
        <f>'03_原始数据'!C274-0.695*'03_原始数据'!B274-OtherCost</f>
        <v/>
      </c>
      <c r="AG274" s="37">
        <f>'03_原始数据'!C274-0.7*'03_原始数据'!B274-OtherCost</f>
        <v/>
      </c>
    </row>
    <row r="275">
      <c r="M275" s="37">
        <f>'03_原始数据'!C275-0.6*'03_原始数据'!B275-OtherCost</f>
        <v/>
      </c>
      <c r="N275" s="37">
        <f>'03_原始数据'!C275-0.605*'03_原始数据'!B275-OtherCost</f>
        <v/>
      </c>
      <c r="O275" s="37">
        <f>'03_原始数据'!C275-0.61*'03_原始数据'!B275-OtherCost</f>
        <v/>
      </c>
      <c r="P275" s="37">
        <f>'03_原始数据'!C275-0.615*'03_原始数据'!B275-OtherCost</f>
        <v/>
      </c>
      <c r="Q275" s="37">
        <f>'03_原始数据'!C275-0.62*'03_原始数据'!B275-OtherCost</f>
        <v/>
      </c>
      <c r="R275" s="37">
        <f>'03_原始数据'!C275-0.625*'03_原始数据'!B275-OtherCost</f>
        <v/>
      </c>
      <c r="S275" s="37">
        <f>'03_原始数据'!C275-0.63*'03_原始数据'!B275-OtherCost</f>
        <v/>
      </c>
      <c r="T275" s="37">
        <f>'03_原始数据'!C275-0.635*'03_原始数据'!B275-OtherCost</f>
        <v/>
      </c>
      <c r="U275" s="37">
        <f>'03_原始数据'!C275-0.64*'03_原始数据'!B275-OtherCost</f>
        <v/>
      </c>
      <c r="V275" s="37">
        <f>'03_原始数据'!C275-0.645*'03_原始数据'!B275-OtherCost</f>
        <v/>
      </c>
      <c r="W275" s="37">
        <f>'03_原始数据'!C275-0.65*'03_原始数据'!B275-OtherCost</f>
        <v/>
      </c>
      <c r="X275" s="37">
        <f>'03_原始数据'!C275-0.655*'03_原始数据'!B275-OtherCost</f>
        <v/>
      </c>
      <c r="Y275" s="37">
        <f>'03_原始数据'!C275-0.66*'03_原始数据'!B275-OtherCost</f>
        <v/>
      </c>
      <c r="Z275" s="37">
        <f>'03_原始数据'!C275-0.665*'03_原始数据'!B275-OtherCost</f>
        <v/>
      </c>
      <c r="AA275" s="37">
        <f>'03_原始数据'!C275-0.67*'03_原始数据'!B275-OtherCost</f>
        <v/>
      </c>
      <c r="AB275" s="37">
        <f>'03_原始数据'!C275-0.675*'03_原始数据'!B275-OtherCost</f>
        <v/>
      </c>
      <c r="AC275" s="37">
        <f>'03_原始数据'!C275-0.68*'03_原始数据'!B275-OtherCost</f>
        <v/>
      </c>
      <c r="AD275" s="37">
        <f>'03_原始数据'!C275-0.685*'03_原始数据'!B275-OtherCost</f>
        <v/>
      </c>
      <c r="AE275" s="37">
        <f>'03_原始数据'!C275-0.69*'03_原始数据'!B275-OtherCost</f>
        <v/>
      </c>
      <c r="AF275" s="37">
        <f>'03_原始数据'!C275-0.695*'03_原始数据'!B275-OtherCost</f>
        <v/>
      </c>
      <c r="AG275" s="37">
        <f>'03_原始数据'!C275-0.7*'03_原始数据'!B275-OtherCost</f>
        <v/>
      </c>
    </row>
    <row r="276">
      <c r="M276" s="37">
        <f>'03_原始数据'!C276-0.6*'03_原始数据'!B276-OtherCost</f>
        <v/>
      </c>
      <c r="N276" s="37">
        <f>'03_原始数据'!C276-0.605*'03_原始数据'!B276-OtherCost</f>
        <v/>
      </c>
      <c r="O276" s="37">
        <f>'03_原始数据'!C276-0.61*'03_原始数据'!B276-OtherCost</f>
        <v/>
      </c>
      <c r="P276" s="37">
        <f>'03_原始数据'!C276-0.615*'03_原始数据'!B276-OtherCost</f>
        <v/>
      </c>
      <c r="Q276" s="37">
        <f>'03_原始数据'!C276-0.62*'03_原始数据'!B276-OtherCost</f>
        <v/>
      </c>
      <c r="R276" s="37">
        <f>'03_原始数据'!C276-0.625*'03_原始数据'!B276-OtherCost</f>
        <v/>
      </c>
      <c r="S276" s="37">
        <f>'03_原始数据'!C276-0.63*'03_原始数据'!B276-OtherCost</f>
        <v/>
      </c>
      <c r="T276" s="37">
        <f>'03_原始数据'!C276-0.635*'03_原始数据'!B276-OtherCost</f>
        <v/>
      </c>
      <c r="U276" s="37">
        <f>'03_原始数据'!C276-0.64*'03_原始数据'!B276-OtherCost</f>
        <v/>
      </c>
      <c r="V276" s="37">
        <f>'03_原始数据'!C276-0.645*'03_原始数据'!B276-OtherCost</f>
        <v/>
      </c>
      <c r="W276" s="37">
        <f>'03_原始数据'!C276-0.65*'03_原始数据'!B276-OtherCost</f>
        <v/>
      </c>
      <c r="X276" s="37">
        <f>'03_原始数据'!C276-0.655*'03_原始数据'!B276-OtherCost</f>
        <v/>
      </c>
      <c r="Y276" s="37">
        <f>'03_原始数据'!C276-0.66*'03_原始数据'!B276-OtherCost</f>
        <v/>
      </c>
      <c r="Z276" s="37">
        <f>'03_原始数据'!C276-0.665*'03_原始数据'!B276-OtherCost</f>
        <v/>
      </c>
      <c r="AA276" s="37">
        <f>'03_原始数据'!C276-0.67*'03_原始数据'!B276-OtherCost</f>
        <v/>
      </c>
      <c r="AB276" s="37">
        <f>'03_原始数据'!C276-0.675*'03_原始数据'!B276-OtherCost</f>
        <v/>
      </c>
      <c r="AC276" s="37">
        <f>'03_原始数据'!C276-0.68*'03_原始数据'!B276-OtherCost</f>
        <v/>
      </c>
      <c r="AD276" s="37">
        <f>'03_原始数据'!C276-0.685*'03_原始数据'!B276-OtherCost</f>
        <v/>
      </c>
      <c r="AE276" s="37">
        <f>'03_原始数据'!C276-0.69*'03_原始数据'!B276-OtherCost</f>
        <v/>
      </c>
      <c r="AF276" s="37">
        <f>'03_原始数据'!C276-0.695*'03_原始数据'!B276-OtherCost</f>
        <v/>
      </c>
      <c r="AG276" s="37">
        <f>'03_原始数据'!C276-0.7*'03_原始数据'!B276-OtherCost</f>
        <v/>
      </c>
    </row>
    <row r="277">
      <c r="M277" s="37">
        <f>'03_原始数据'!C277-0.6*'03_原始数据'!B277-OtherCost</f>
        <v/>
      </c>
      <c r="N277" s="37">
        <f>'03_原始数据'!C277-0.605*'03_原始数据'!B277-OtherCost</f>
        <v/>
      </c>
      <c r="O277" s="37">
        <f>'03_原始数据'!C277-0.61*'03_原始数据'!B277-OtherCost</f>
        <v/>
      </c>
      <c r="P277" s="37">
        <f>'03_原始数据'!C277-0.615*'03_原始数据'!B277-OtherCost</f>
        <v/>
      </c>
      <c r="Q277" s="37">
        <f>'03_原始数据'!C277-0.62*'03_原始数据'!B277-OtherCost</f>
        <v/>
      </c>
      <c r="R277" s="37">
        <f>'03_原始数据'!C277-0.625*'03_原始数据'!B277-OtherCost</f>
        <v/>
      </c>
      <c r="S277" s="37">
        <f>'03_原始数据'!C277-0.63*'03_原始数据'!B277-OtherCost</f>
        <v/>
      </c>
      <c r="T277" s="37">
        <f>'03_原始数据'!C277-0.635*'03_原始数据'!B277-OtherCost</f>
        <v/>
      </c>
      <c r="U277" s="37">
        <f>'03_原始数据'!C277-0.64*'03_原始数据'!B277-OtherCost</f>
        <v/>
      </c>
      <c r="V277" s="37">
        <f>'03_原始数据'!C277-0.645*'03_原始数据'!B277-OtherCost</f>
        <v/>
      </c>
      <c r="W277" s="37">
        <f>'03_原始数据'!C277-0.65*'03_原始数据'!B277-OtherCost</f>
        <v/>
      </c>
      <c r="X277" s="37">
        <f>'03_原始数据'!C277-0.655*'03_原始数据'!B277-OtherCost</f>
        <v/>
      </c>
      <c r="Y277" s="37">
        <f>'03_原始数据'!C277-0.66*'03_原始数据'!B277-OtherCost</f>
        <v/>
      </c>
      <c r="Z277" s="37">
        <f>'03_原始数据'!C277-0.665*'03_原始数据'!B277-OtherCost</f>
        <v/>
      </c>
      <c r="AA277" s="37">
        <f>'03_原始数据'!C277-0.67*'03_原始数据'!B277-OtherCost</f>
        <v/>
      </c>
      <c r="AB277" s="37">
        <f>'03_原始数据'!C277-0.675*'03_原始数据'!B277-OtherCost</f>
        <v/>
      </c>
      <c r="AC277" s="37">
        <f>'03_原始数据'!C277-0.68*'03_原始数据'!B277-OtherCost</f>
        <v/>
      </c>
      <c r="AD277" s="37">
        <f>'03_原始数据'!C277-0.685*'03_原始数据'!B277-OtherCost</f>
        <v/>
      </c>
      <c r="AE277" s="37">
        <f>'03_原始数据'!C277-0.69*'03_原始数据'!B277-OtherCost</f>
        <v/>
      </c>
      <c r="AF277" s="37">
        <f>'03_原始数据'!C277-0.695*'03_原始数据'!B277-OtherCost</f>
        <v/>
      </c>
      <c r="AG277" s="37">
        <f>'03_原始数据'!C277-0.7*'03_原始数据'!B277-OtherCost</f>
        <v/>
      </c>
    </row>
    <row r="278">
      <c r="M278" s="37">
        <f>'03_原始数据'!C278-0.6*'03_原始数据'!B278-OtherCost</f>
        <v/>
      </c>
      <c r="N278" s="37">
        <f>'03_原始数据'!C278-0.605*'03_原始数据'!B278-OtherCost</f>
        <v/>
      </c>
      <c r="O278" s="37">
        <f>'03_原始数据'!C278-0.61*'03_原始数据'!B278-OtherCost</f>
        <v/>
      </c>
      <c r="P278" s="37">
        <f>'03_原始数据'!C278-0.615*'03_原始数据'!B278-OtherCost</f>
        <v/>
      </c>
      <c r="Q278" s="37">
        <f>'03_原始数据'!C278-0.62*'03_原始数据'!B278-OtherCost</f>
        <v/>
      </c>
      <c r="R278" s="37">
        <f>'03_原始数据'!C278-0.625*'03_原始数据'!B278-OtherCost</f>
        <v/>
      </c>
      <c r="S278" s="37">
        <f>'03_原始数据'!C278-0.63*'03_原始数据'!B278-OtherCost</f>
        <v/>
      </c>
      <c r="T278" s="37">
        <f>'03_原始数据'!C278-0.635*'03_原始数据'!B278-OtherCost</f>
        <v/>
      </c>
      <c r="U278" s="37">
        <f>'03_原始数据'!C278-0.64*'03_原始数据'!B278-OtherCost</f>
        <v/>
      </c>
      <c r="V278" s="37">
        <f>'03_原始数据'!C278-0.645*'03_原始数据'!B278-OtherCost</f>
        <v/>
      </c>
      <c r="W278" s="37">
        <f>'03_原始数据'!C278-0.65*'03_原始数据'!B278-OtherCost</f>
        <v/>
      </c>
      <c r="X278" s="37">
        <f>'03_原始数据'!C278-0.655*'03_原始数据'!B278-OtherCost</f>
        <v/>
      </c>
      <c r="Y278" s="37">
        <f>'03_原始数据'!C278-0.66*'03_原始数据'!B278-OtherCost</f>
        <v/>
      </c>
      <c r="Z278" s="37">
        <f>'03_原始数据'!C278-0.665*'03_原始数据'!B278-OtherCost</f>
        <v/>
      </c>
      <c r="AA278" s="37">
        <f>'03_原始数据'!C278-0.67*'03_原始数据'!B278-OtherCost</f>
        <v/>
      </c>
      <c r="AB278" s="37">
        <f>'03_原始数据'!C278-0.675*'03_原始数据'!B278-OtherCost</f>
        <v/>
      </c>
      <c r="AC278" s="37">
        <f>'03_原始数据'!C278-0.68*'03_原始数据'!B278-OtherCost</f>
        <v/>
      </c>
      <c r="AD278" s="37">
        <f>'03_原始数据'!C278-0.685*'03_原始数据'!B278-OtherCost</f>
        <v/>
      </c>
      <c r="AE278" s="37">
        <f>'03_原始数据'!C278-0.69*'03_原始数据'!B278-OtherCost</f>
        <v/>
      </c>
      <c r="AF278" s="37">
        <f>'03_原始数据'!C278-0.695*'03_原始数据'!B278-OtherCost</f>
        <v/>
      </c>
      <c r="AG278" s="37">
        <f>'03_原始数据'!C278-0.7*'03_原始数据'!B278-OtherCost</f>
        <v/>
      </c>
    </row>
    <row r="279">
      <c r="M279" s="37">
        <f>'03_原始数据'!C279-0.6*'03_原始数据'!B279-OtherCost</f>
        <v/>
      </c>
      <c r="N279" s="37">
        <f>'03_原始数据'!C279-0.605*'03_原始数据'!B279-OtherCost</f>
        <v/>
      </c>
      <c r="O279" s="37">
        <f>'03_原始数据'!C279-0.61*'03_原始数据'!B279-OtherCost</f>
        <v/>
      </c>
      <c r="P279" s="37">
        <f>'03_原始数据'!C279-0.615*'03_原始数据'!B279-OtherCost</f>
        <v/>
      </c>
      <c r="Q279" s="37">
        <f>'03_原始数据'!C279-0.62*'03_原始数据'!B279-OtherCost</f>
        <v/>
      </c>
      <c r="R279" s="37">
        <f>'03_原始数据'!C279-0.625*'03_原始数据'!B279-OtherCost</f>
        <v/>
      </c>
      <c r="S279" s="37">
        <f>'03_原始数据'!C279-0.63*'03_原始数据'!B279-OtherCost</f>
        <v/>
      </c>
      <c r="T279" s="37">
        <f>'03_原始数据'!C279-0.635*'03_原始数据'!B279-OtherCost</f>
        <v/>
      </c>
      <c r="U279" s="37">
        <f>'03_原始数据'!C279-0.64*'03_原始数据'!B279-OtherCost</f>
        <v/>
      </c>
      <c r="V279" s="37">
        <f>'03_原始数据'!C279-0.645*'03_原始数据'!B279-OtherCost</f>
        <v/>
      </c>
      <c r="W279" s="37">
        <f>'03_原始数据'!C279-0.65*'03_原始数据'!B279-OtherCost</f>
        <v/>
      </c>
      <c r="X279" s="37">
        <f>'03_原始数据'!C279-0.655*'03_原始数据'!B279-OtherCost</f>
        <v/>
      </c>
      <c r="Y279" s="37">
        <f>'03_原始数据'!C279-0.66*'03_原始数据'!B279-OtherCost</f>
        <v/>
      </c>
      <c r="Z279" s="37">
        <f>'03_原始数据'!C279-0.665*'03_原始数据'!B279-OtherCost</f>
        <v/>
      </c>
      <c r="AA279" s="37">
        <f>'03_原始数据'!C279-0.67*'03_原始数据'!B279-OtherCost</f>
        <v/>
      </c>
      <c r="AB279" s="37">
        <f>'03_原始数据'!C279-0.675*'03_原始数据'!B279-OtherCost</f>
        <v/>
      </c>
      <c r="AC279" s="37">
        <f>'03_原始数据'!C279-0.68*'03_原始数据'!B279-OtherCost</f>
        <v/>
      </c>
      <c r="AD279" s="37">
        <f>'03_原始数据'!C279-0.685*'03_原始数据'!B279-OtherCost</f>
        <v/>
      </c>
      <c r="AE279" s="37">
        <f>'03_原始数据'!C279-0.69*'03_原始数据'!B279-OtherCost</f>
        <v/>
      </c>
      <c r="AF279" s="37">
        <f>'03_原始数据'!C279-0.695*'03_原始数据'!B279-OtherCost</f>
        <v/>
      </c>
      <c r="AG279" s="37">
        <f>'03_原始数据'!C279-0.7*'03_原始数据'!B279-OtherCost</f>
        <v/>
      </c>
    </row>
    <row r="280">
      <c r="M280" s="37">
        <f>'03_原始数据'!C280-0.6*'03_原始数据'!B280-OtherCost</f>
        <v/>
      </c>
      <c r="N280" s="37">
        <f>'03_原始数据'!C280-0.605*'03_原始数据'!B280-OtherCost</f>
        <v/>
      </c>
      <c r="O280" s="37">
        <f>'03_原始数据'!C280-0.61*'03_原始数据'!B280-OtherCost</f>
        <v/>
      </c>
      <c r="P280" s="37">
        <f>'03_原始数据'!C280-0.615*'03_原始数据'!B280-OtherCost</f>
        <v/>
      </c>
      <c r="Q280" s="37">
        <f>'03_原始数据'!C280-0.62*'03_原始数据'!B280-OtherCost</f>
        <v/>
      </c>
      <c r="R280" s="37">
        <f>'03_原始数据'!C280-0.625*'03_原始数据'!B280-OtherCost</f>
        <v/>
      </c>
      <c r="S280" s="37">
        <f>'03_原始数据'!C280-0.63*'03_原始数据'!B280-OtherCost</f>
        <v/>
      </c>
      <c r="T280" s="37">
        <f>'03_原始数据'!C280-0.635*'03_原始数据'!B280-OtherCost</f>
        <v/>
      </c>
      <c r="U280" s="37">
        <f>'03_原始数据'!C280-0.64*'03_原始数据'!B280-OtherCost</f>
        <v/>
      </c>
      <c r="V280" s="37">
        <f>'03_原始数据'!C280-0.645*'03_原始数据'!B280-OtherCost</f>
        <v/>
      </c>
      <c r="W280" s="37">
        <f>'03_原始数据'!C280-0.65*'03_原始数据'!B280-OtherCost</f>
        <v/>
      </c>
      <c r="X280" s="37">
        <f>'03_原始数据'!C280-0.655*'03_原始数据'!B280-OtherCost</f>
        <v/>
      </c>
      <c r="Y280" s="37">
        <f>'03_原始数据'!C280-0.66*'03_原始数据'!B280-OtherCost</f>
        <v/>
      </c>
      <c r="Z280" s="37">
        <f>'03_原始数据'!C280-0.665*'03_原始数据'!B280-OtherCost</f>
        <v/>
      </c>
      <c r="AA280" s="37">
        <f>'03_原始数据'!C280-0.67*'03_原始数据'!B280-OtherCost</f>
        <v/>
      </c>
      <c r="AB280" s="37">
        <f>'03_原始数据'!C280-0.675*'03_原始数据'!B280-OtherCost</f>
        <v/>
      </c>
      <c r="AC280" s="37">
        <f>'03_原始数据'!C280-0.68*'03_原始数据'!B280-OtherCost</f>
        <v/>
      </c>
      <c r="AD280" s="37">
        <f>'03_原始数据'!C280-0.685*'03_原始数据'!B280-OtherCost</f>
        <v/>
      </c>
      <c r="AE280" s="37">
        <f>'03_原始数据'!C280-0.69*'03_原始数据'!B280-OtherCost</f>
        <v/>
      </c>
      <c r="AF280" s="37">
        <f>'03_原始数据'!C280-0.695*'03_原始数据'!B280-OtherCost</f>
        <v/>
      </c>
      <c r="AG280" s="37">
        <f>'03_原始数据'!C280-0.7*'03_原始数据'!B280-OtherCost</f>
        <v/>
      </c>
    </row>
    <row r="281">
      <c r="M281" s="37">
        <f>'03_原始数据'!C281-0.6*'03_原始数据'!B281-OtherCost</f>
        <v/>
      </c>
      <c r="N281" s="37">
        <f>'03_原始数据'!C281-0.605*'03_原始数据'!B281-OtherCost</f>
        <v/>
      </c>
      <c r="O281" s="37">
        <f>'03_原始数据'!C281-0.61*'03_原始数据'!B281-OtherCost</f>
        <v/>
      </c>
      <c r="P281" s="37">
        <f>'03_原始数据'!C281-0.615*'03_原始数据'!B281-OtherCost</f>
        <v/>
      </c>
      <c r="Q281" s="37">
        <f>'03_原始数据'!C281-0.62*'03_原始数据'!B281-OtherCost</f>
        <v/>
      </c>
      <c r="R281" s="37">
        <f>'03_原始数据'!C281-0.625*'03_原始数据'!B281-OtherCost</f>
        <v/>
      </c>
      <c r="S281" s="37">
        <f>'03_原始数据'!C281-0.63*'03_原始数据'!B281-OtherCost</f>
        <v/>
      </c>
      <c r="T281" s="37">
        <f>'03_原始数据'!C281-0.635*'03_原始数据'!B281-OtherCost</f>
        <v/>
      </c>
      <c r="U281" s="37">
        <f>'03_原始数据'!C281-0.64*'03_原始数据'!B281-OtherCost</f>
        <v/>
      </c>
      <c r="V281" s="37">
        <f>'03_原始数据'!C281-0.645*'03_原始数据'!B281-OtherCost</f>
        <v/>
      </c>
      <c r="W281" s="37">
        <f>'03_原始数据'!C281-0.65*'03_原始数据'!B281-OtherCost</f>
        <v/>
      </c>
      <c r="X281" s="37">
        <f>'03_原始数据'!C281-0.655*'03_原始数据'!B281-OtherCost</f>
        <v/>
      </c>
      <c r="Y281" s="37">
        <f>'03_原始数据'!C281-0.66*'03_原始数据'!B281-OtherCost</f>
        <v/>
      </c>
      <c r="Z281" s="37">
        <f>'03_原始数据'!C281-0.665*'03_原始数据'!B281-OtherCost</f>
        <v/>
      </c>
      <c r="AA281" s="37">
        <f>'03_原始数据'!C281-0.67*'03_原始数据'!B281-OtherCost</f>
        <v/>
      </c>
      <c r="AB281" s="37">
        <f>'03_原始数据'!C281-0.675*'03_原始数据'!B281-OtherCost</f>
        <v/>
      </c>
      <c r="AC281" s="37">
        <f>'03_原始数据'!C281-0.68*'03_原始数据'!B281-OtherCost</f>
        <v/>
      </c>
      <c r="AD281" s="37">
        <f>'03_原始数据'!C281-0.685*'03_原始数据'!B281-OtherCost</f>
        <v/>
      </c>
      <c r="AE281" s="37">
        <f>'03_原始数据'!C281-0.69*'03_原始数据'!B281-OtherCost</f>
        <v/>
      </c>
      <c r="AF281" s="37">
        <f>'03_原始数据'!C281-0.695*'03_原始数据'!B281-OtherCost</f>
        <v/>
      </c>
      <c r="AG281" s="37">
        <f>'03_原始数据'!C281-0.7*'03_原始数据'!B281-OtherCost</f>
        <v/>
      </c>
    </row>
    <row r="282">
      <c r="M282" s="37">
        <f>'03_原始数据'!C282-0.6*'03_原始数据'!B282-OtherCost</f>
        <v/>
      </c>
      <c r="N282" s="37">
        <f>'03_原始数据'!C282-0.605*'03_原始数据'!B282-OtherCost</f>
        <v/>
      </c>
      <c r="O282" s="37">
        <f>'03_原始数据'!C282-0.61*'03_原始数据'!B282-OtherCost</f>
        <v/>
      </c>
      <c r="P282" s="37">
        <f>'03_原始数据'!C282-0.615*'03_原始数据'!B282-OtherCost</f>
        <v/>
      </c>
      <c r="Q282" s="37">
        <f>'03_原始数据'!C282-0.62*'03_原始数据'!B282-OtherCost</f>
        <v/>
      </c>
      <c r="R282" s="37">
        <f>'03_原始数据'!C282-0.625*'03_原始数据'!B282-OtherCost</f>
        <v/>
      </c>
      <c r="S282" s="37">
        <f>'03_原始数据'!C282-0.63*'03_原始数据'!B282-OtherCost</f>
        <v/>
      </c>
      <c r="T282" s="37">
        <f>'03_原始数据'!C282-0.635*'03_原始数据'!B282-OtherCost</f>
        <v/>
      </c>
      <c r="U282" s="37">
        <f>'03_原始数据'!C282-0.64*'03_原始数据'!B282-OtherCost</f>
        <v/>
      </c>
      <c r="V282" s="37">
        <f>'03_原始数据'!C282-0.645*'03_原始数据'!B282-OtherCost</f>
        <v/>
      </c>
      <c r="W282" s="37">
        <f>'03_原始数据'!C282-0.65*'03_原始数据'!B282-OtherCost</f>
        <v/>
      </c>
      <c r="X282" s="37">
        <f>'03_原始数据'!C282-0.655*'03_原始数据'!B282-OtherCost</f>
        <v/>
      </c>
      <c r="Y282" s="37">
        <f>'03_原始数据'!C282-0.66*'03_原始数据'!B282-OtherCost</f>
        <v/>
      </c>
      <c r="Z282" s="37">
        <f>'03_原始数据'!C282-0.665*'03_原始数据'!B282-OtherCost</f>
        <v/>
      </c>
      <c r="AA282" s="37">
        <f>'03_原始数据'!C282-0.67*'03_原始数据'!B282-OtherCost</f>
        <v/>
      </c>
      <c r="AB282" s="37">
        <f>'03_原始数据'!C282-0.675*'03_原始数据'!B282-OtherCost</f>
        <v/>
      </c>
      <c r="AC282" s="37">
        <f>'03_原始数据'!C282-0.68*'03_原始数据'!B282-OtherCost</f>
        <v/>
      </c>
      <c r="AD282" s="37">
        <f>'03_原始数据'!C282-0.685*'03_原始数据'!B282-OtherCost</f>
        <v/>
      </c>
      <c r="AE282" s="37">
        <f>'03_原始数据'!C282-0.69*'03_原始数据'!B282-OtherCost</f>
        <v/>
      </c>
      <c r="AF282" s="37">
        <f>'03_原始数据'!C282-0.695*'03_原始数据'!B282-OtherCost</f>
        <v/>
      </c>
      <c r="AG282" s="37">
        <f>'03_原始数据'!C282-0.7*'03_原始数据'!B282-OtherCost</f>
        <v/>
      </c>
    </row>
    <row r="283">
      <c r="M283" s="37">
        <f>'03_原始数据'!C283-0.6*'03_原始数据'!B283-OtherCost</f>
        <v/>
      </c>
      <c r="N283" s="37">
        <f>'03_原始数据'!C283-0.605*'03_原始数据'!B283-OtherCost</f>
        <v/>
      </c>
      <c r="O283" s="37">
        <f>'03_原始数据'!C283-0.61*'03_原始数据'!B283-OtherCost</f>
        <v/>
      </c>
      <c r="P283" s="37">
        <f>'03_原始数据'!C283-0.615*'03_原始数据'!B283-OtherCost</f>
        <v/>
      </c>
      <c r="Q283" s="37">
        <f>'03_原始数据'!C283-0.62*'03_原始数据'!B283-OtherCost</f>
        <v/>
      </c>
      <c r="R283" s="37">
        <f>'03_原始数据'!C283-0.625*'03_原始数据'!B283-OtherCost</f>
        <v/>
      </c>
      <c r="S283" s="37">
        <f>'03_原始数据'!C283-0.63*'03_原始数据'!B283-OtherCost</f>
        <v/>
      </c>
      <c r="T283" s="37">
        <f>'03_原始数据'!C283-0.635*'03_原始数据'!B283-OtherCost</f>
        <v/>
      </c>
      <c r="U283" s="37">
        <f>'03_原始数据'!C283-0.64*'03_原始数据'!B283-OtherCost</f>
        <v/>
      </c>
      <c r="V283" s="37">
        <f>'03_原始数据'!C283-0.645*'03_原始数据'!B283-OtherCost</f>
        <v/>
      </c>
      <c r="W283" s="37">
        <f>'03_原始数据'!C283-0.65*'03_原始数据'!B283-OtherCost</f>
        <v/>
      </c>
      <c r="X283" s="37">
        <f>'03_原始数据'!C283-0.655*'03_原始数据'!B283-OtherCost</f>
        <v/>
      </c>
      <c r="Y283" s="37">
        <f>'03_原始数据'!C283-0.66*'03_原始数据'!B283-OtherCost</f>
        <v/>
      </c>
      <c r="Z283" s="37">
        <f>'03_原始数据'!C283-0.665*'03_原始数据'!B283-OtherCost</f>
        <v/>
      </c>
      <c r="AA283" s="37">
        <f>'03_原始数据'!C283-0.67*'03_原始数据'!B283-OtherCost</f>
        <v/>
      </c>
      <c r="AB283" s="37">
        <f>'03_原始数据'!C283-0.675*'03_原始数据'!B283-OtherCost</f>
        <v/>
      </c>
      <c r="AC283" s="37">
        <f>'03_原始数据'!C283-0.68*'03_原始数据'!B283-OtherCost</f>
        <v/>
      </c>
      <c r="AD283" s="37">
        <f>'03_原始数据'!C283-0.685*'03_原始数据'!B283-OtherCost</f>
        <v/>
      </c>
      <c r="AE283" s="37">
        <f>'03_原始数据'!C283-0.69*'03_原始数据'!B283-OtherCost</f>
        <v/>
      </c>
      <c r="AF283" s="37">
        <f>'03_原始数据'!C283-0.695*'03_原始数据'!B283-OtherCost</f>
        <v/>
      </c>
      <c r="AG283" s="37">
        <f>'03_原始数据'!C283-0.7*'03_原始数据'!B283-OtherCost</f>
        <v/>
      </c>
    </row>
    <row r="284">
      <c r="M284" s="37">
        <f>'03_原始数据'!C284-0.6*'03_原始数据'!B284-OtherCost</f>
        <v/>
      </c>
      <c r="N284" s="37">
        <f>'03_原始数据'!C284-0.605*'03_原始数据'!B284-OtherCost</f>
        <v/>
      </c>
      <c r="O284" s="37">
        <f>'03_原始数据'!C284-0.61*'03_原始数据'!B284-OtherCost</f>
        <v/>
      </c>
      <c r="P284" s="37">
        <f>'03_原始数据'!C284-0.615*'03_原始数据'!B284-OtherCost</f>
        <v/>
      </c>
      <c r="Q284" s="37">
        <f>'03_原始数据'!C284-0.62*'03_原始数据'!B284-OtherCost</f>
        <v/>
      </c>
      <c r="R284" s="37">
        <f>'03_原始数据'!C284-0.625*'03_原始数据'!B284-OtherCost</f>
        <v/>
      </c>
      <c r="S284" s="37">
        <f>'03_原始数据'!C284-0.63*'03_原始数据'!B284-OtherCost</f>
        <v/>
      </c>
      <c r="T284" s="37">
        <f>'03_原始数据'!C284-0.635*'03_原始数据'!B284-OtherCost</f>
        <v/>
      </c>
      <c r="U284" s="37">
        <f>'03_原始数据'!C284-0.64*'03_原始数据'!B284-OtherCost</f>
        <v/>
      </c>
      <c r="V284" s="37">
        <f>'03_原始数据'!C284-0.645*'03_原始数据'!B284-OtherCost</f>
        <v/>
      </c>
      <c r="W284" s="37">
        <f>'03_原始数据'!C284-0.65*'03_原始数据'!B284-OtherCost</f>
        <v/>
      </c>
      <c r="X284" s="37">
        <f>'03_原始数据'!C284-0.655*'03_原始数据'!B284-OtherCost</f>
        <v/>
      </c>
      <c r="Y284" s="37">
        <f>'03_原始数据'!C284-0.66*'03_原始数据'!B284-OtherCost</f>
        <v/>
      </c>
      <c r="Z284" s="37">
        <f>'03_原始数据'!C284-0.665*'03_原始数据'!B284-OtherCost</f>
        <v/>
      </c>
      <c r="AA284" s="37">
        <f>'03_原始数据'!C284-0.67*'03_原始数据'!B284-OtherCost</f>
        <v/>
      </c>
      <c r="AB284" s="37">
        <f>'03_原始数据'!C284-0.675*'03_原始数据'!B284-OtherCost</f>
        <v/>
      </c>
      <c r="AC284" s="37">
        <f>'03_原始数据'!C284-0.68*'03_原始数据'!B284-OtherCost</f>
        <v/>
      </c>
      <c r="AD284" s="37">
        <f>'03_原始数据'!C284-0.685*'03_原始数据'!B284-OtherCost</f>
        <v/>
      </c>
      <c r="AE284" s="37">
        <f>'03_原始数据'!C284-0.69*'03_原始数据'!B284-OtherCost</f>
        <v/>
      </c>
      <c r="AF284" s="37">
        <f>'03_原始数据'!C284-0.695*'03_原始数据'!B284-OtherCost</f>
        <v/>
      </c>
      <c r="AG284" s="37">
        <f>'03_原始数据'!C284-0.7*'03_原始数据'!B284-OtherCost</f>
        <v/>
      </c>
    </row>
    <row r="285">
      <c r="M285" s="37">
        <f>'03_原始数据'!C285-0.6*'03_原始数据'!B285-OtherCost</f>
        <v/>
      </c>
      <c r="N285" s="37">
        <f>'03_原始数据'!C285-0.605*'03_原始数据'!B285-OtherCost</f>
        <v/>
      </c>
      <c r="O285" s="37">
        <f>'03_原始数据'!C285-0.61*'03_原始数据'!B285-OtherCost</f>
        <v/>
      </c>
      <c r="P285" s="37">
        <f>'03_原始数据'!C285-0.615*'03_原始数据'!B285-OtherCost</f>
        <v/>
      </c>
      <c r="Q285" s="37">
        <f>'03_原始数据'!C285-0.62*'03_原始数据'!B285-OtherCost</f>
        <v/>
      </c>
      <c r="R285" s="37">
        <f>'03_原始数据'!C285-0.625*'03_原始数据'!B285-OtherCost</f>
        <v/>
      </c>
      <c r="S285" s="37">
        <f>'03_原始数据'!C285-0.63*'03_原始数据'!B285-OtherCost</f>
        <v/>
      </c>
      <c r="T285" s="37">
        <f>'03_原始数据'!C285-0.635*'03_原始数据'!B285-OtherCost</f>
        <v/>
      </c>
      <c r="U285" s="37">
        <f>'03_原始数据'!C285-0.64*'03_原始数据'!B285-OtherCost</f>
        <v/>
      </c>
      <c r="V285" s="37">
        <f>'03_原始数据'!C285-0.645*'03_原始数据'!B285-OtherCost</f>
        <v/>
      </c>
      <c r="W285" s="37">
        <f>'03_原始数据'!C285-0.65*'03_原始数据'!B285-OtherCost</f>
        <v/>
      </c>
      <c r="X285" s="37">
        <f>'03_原始数据'!C285-0.655*'03_原始数据'!B285-OtherCost</f>
        <v/>
      </c>
      <c r="Y285" s="37">
        <f>'03_原始数据'!C285-0.66*'03_原始数据'!B285-OtherCost</f>
        <v/>
      </c>
      <c r="Z285" s="37">
        <f>'03_原始数据'!C285-0.665*'03_原始数据'!B285-OtherCost</f>
        <v/>
      </c>
      <c r="AA285" s="37">
        <f>'03_原始数据'!C285-0.67*'03_原始数据'!B285-OtherCost</f>
        <v/>
      </c>
      <c r="AB285" s="37">
        <f>'03_原始数据'!C285-0.675*'03_原始数据'!B285-OtherCost</f>
        <v/>
      </c>
      <c r="AC285" s="37">
        <f>'03_原始数据'!C285-0.68*'03_原始数据'!B285-OtherCost</f>
        <v/>
      </c>
      <c r="AD285" s="37">
        <f>'03_原始数据'!C285-0.685*'03_原始数据'!B285-OtherCost</f>
        <v/>
      </c>
      <c r="AE285" s="37">
        <f>'03_原始数据'!C285-0.69*'03_原始数据'!B285-OtherCost</f>
        <v/>
      </c>
      <c r="AF285" s="37">
        <f>'03_原始数据'!C285-0.695*'03_原始数据'!B285-OtherCost</f>
        <v/>
      </c>
      <c r="AG285" s="37">
        <f>'03_原始数据'!C285-0.7*'03_原始数据'!B285-OtherCost</f>
        <v/>
      </c>
    </row>
    <row r="286">
      <c r="M286" s="37">
        <f>'03_原始数据'!C286-0.6*'03_原始数据'!B286-OtherCost</f>
        <v/>
      </c>
      <c r="N286" s="37">
        <f>'03_原始数据'!C286-0.605*'03_原始数据'!B286-OtherCost</f>
        <v/>
      </c>
      <c r="O286" s="37">
        <f>'03_原始数据'!C286-0.61*'03_原始数据'!B286-OtherCost</f>
        <v/>
      </c>
      <c r="P286" s="37">
        <f>'03_原始数据'!C286-0.615*'03_原始数据'!B286-OtherCost</f>
        <v/>
      </c>
      <c r="Q286" s="37">
        <f>'03_原始数据'!C286-0.62*'03_原始数据'!B286-OtherCost</f>
        <v/>
      </c>
      <c r="R286" s="37">
        <f>'03_原始数据'!C286-0.625*'03_原始数据'!B286-OtherCost</f>
        <v/>
      </c>
      <c r="S286" s="37">
        <f>'03_原始数据'!C286-0.63*'03_原始数据'!B286-OtherCost</f>
        <v/>
      </c>
      <c r="T286" s="37">
        <f>'03_原始数据'!C286-0.635*'03_原始数据'!B286-OtherCost</f>
        <v/>
      </c>
      <c r="U286" s="37">
        <f>'03_原始数据'!C286-0.64*'03_原始数据'!B286-OtherCost</f>
        <v/>
      </c>
      <c r="V286" s="37">
        <f>'03_原始数据'!C286-0.645*'03_原始数据'!B286-OtherCost</f>
        <v/>
      </c>
      <c r="W286" s="37">
        <f>'03_原始数据'!C286-0.65*'03_原始数据'!B286-OtherCost</f>
        <v/>
      </c>
      <c r="X286" s="37">
        <f>'03_原始数据'!C286-0.655*'03_原始数据'!B286-OtherCost</f>
        <v/>
      </c>
      <c r="Y286" s="37">
        <f>'03_原始数据'!C286-0.66*'03_原始数据'!B286-OtherCost</f>
        <v/>
      </c>
      <c r="Z286" s="37">
        <f>'03_原始数据'!C286-0.665*'03_原始数据'!B286-OtherCost</f>
        <v/>
      </c>
      <c r="AA286" s="37">
        <f>'03_原始数据'!C286-0.67*'03_原始数据'!B286-OtherCost</f>
        <v/>
      </c>
      <c r="AB286" s="37">
        <f>'03_原始数据'!C286-0.675*'03_原始数据'!B286-OtherCost</f>
        <v/>
      </c>
      <c r="AC286" s="37">
        <f>'03_原始数据'!C286-0.68*'03_原始数据'!B286-OtherCost</f>
        <v/>
      </c>
      <c r="AD286" s="37">
        <f>'03_原始数据'!C286-0.685*'03_原始数据'!B286-OtherCost</f>
        <v/>
      </c>
      <c r="AE286" s="37">
        <f>'03_原始数据'!C286-0.69*'03_原始数据'!B286-OtherCost</f>
        <v/>
      </c>
      <c r="AF286" s="37">
        <f>'03_原始数据'!C286-0.695*'03_原始数据'!B286-OtherCost</f>
        <v/>
      </c>
      <c r="AG286" s="37">
        <f>'03_原始数据'!C286-0.7*'03_原始数据'!B286-OtherCost</f>
        <v/>
      </c>
    </row>
    <row r="287">
      <c r="M287" s="37">
        <f>'03_原始数据'!C287-0.6*'03_原始数据'!B287-OtherCost</f>
        <v/>
      </c>
      <c r="N287" s="37">
        <f>'03_原始数据'!C287-0.605*'03_原始数据'!B287-OtherCost</f>
        <v/>
      </c>
      <c r="O287" s="37">
        <f>'03_原始数据'!C287-0.61*'03_原始数据'!B287-OtherCost</f>
        <v/>
      </c>
      <c r="P287" s="37">
        <f>'03_原始数据'!C287-0.615*'03_原始数据'!B287-OtherCost</f>
        <v/>
      </c>
      <c r="Q287" s="37">
        <f>'03_原始数据'!C287-0.62*'03_原始数据'!B287-OtherCost</f>
        <v/>
      </c>
      <c r="R287" s="37">
        <f>'03_原始数据'!C287-0.625*'03_原始数据'!B287-OtherCost</f>
        <v/>
      </c>
      <c r="S287" s="37">
        <f>'03_原始数据'!C287-0.63*'03_原始数据'!B287-OtherCost</f>
        <v/>
      </c>
      <c r="T287" s="37">
        <f>'03_原始数据'!C287-0.635*'03_原始数据'!B287-OtherCost</f>
        <v/>
      </c>
      <c r="U287" s="37">
        <f>'03_原始数据'!C287-0.64*'03_原始数据'!B287-OtherCost</f>
        <v/>
      </c>
      <c r="V287" s="37">
        <f>'03_原始数据'!C287-0.645*'03_原始数据'!B287-OtherCost</f>
        <v/>
      </c>
      <c r="W287" s="37">
        <f>'03_原始数据'!C287-0.65*'03_原始数据'!B287-OtherCost</f>
        <v/>
      </c>
      <c r="X287" s="37">
        <f>'03_原始数据'!C287-0.655*'03_原始数据'!B287-OtherCost</f>
        <v/>
      </c>
      <c r="Y287" s="37">
        <f>'03_原始数据'!C287-0.66*'03_原始数据'!B287-OtherCost</f>
        <v/>
      </c>
      <c r="Z287" s="37">
        <f>'03_原始数据'!C287-0.665*'03_原始数据'!B287-OtherCost</f>
        <v/>
      </c>
      <c r="AA287" s="37">
        <f>'03_原始数据'!C287-0.67*'03_原始数据'!B287-OtherCost</f>
        <v/>
      </c>
      <c r="AB287" s="37">
        <f>'03_原始数据'!C287-0.675*'03_原始数据'!B287-OtherCost</f>
        <v/>
      </c>
      <c r="AC287" s="37">
        <f>'03_原始数据'!C287-0.68*'03_原始数据'!B287-OtherCost</f>
        <v/>
      </c>
      <c r="AD287" s="37">
        <f>'03_原始数据'!C287-0.685*'03_原始数据'!B287-OtherCost</f>
        <v/>
      </c>
      <c r="AE287" s="37">
        <f>'03_原始数据'!C287-0.69*'03_原始数据'!B287-OtherCost</f>
        <v/>
      </c>
      <c r="AF287" s="37">
        <f>'03_原始数据'!C287-0.695*'03_原始数据'!B287-OtherCost</f>
        <v/>
      </c>
      <c r="AG287" s="37">
        <f>'03_原始数据'!C287-0.7*'03_原始数据'!B287-OtherCost</f>
        <v/>
      </c>
    </row>
    <row r="288">
      <c r="M288" s="37">
        <f>'03_原始数据'!C288-0.6*'03_原始数据'!B288-OtherCost</f>
        <v/>
      </c>
      <c r="N288" s="37">
        <f>'03_原始数据'!C288-0.605*'03_原始数据'!B288-OtherCost</f>
        <v/>
      </c>
      <c r="O288" s="37">
        <f>'03_原始数据'!C288-0.61*'03_原始数据'!B288-OtherCost</f>
        <v/>
      </c>
      <c r="P288" s="37">
        <f>'03_原始数据'!C288-0.615*'03_原始数据'!B288-OtherCost</f>
        <v/>
      </c>
      <c r="Q288" s="37">
        <f>'03_原始数据'!C288-0.62*'03_原始数据'!B288-OtherCost</f>
        <v/>
      </c>
      <c r="R288" s="37">
        <f>'03_原始数据'!C288-0.625*'03_原始数据'!B288-OtherCost</f>
        <v/>
      </c>
      <c r="S288" s="37">
        <f>'03_原始数据'!C288-0.63*'03_原始数据'!B288-OtherCost</f>
        <v/>
      </c>
      <c r="T288" s="37">
        <f>'03_原始数据'!C288-0.635*'03_原始数据'!B288-OtherCost</f>
        <v/>
      </c>
      <c r="U288" s="37">
        <f>'03_原始数据'!C288-0.64*'03_原始数据'!B288-OtherCost</f>
        <v/>
      </c>
      <c r="V288" s="37">
        <f>'03_原始数据'!C288-0.645*'03_原始数据'!B288-OtherCost</f>
        <v/>
      </c>
      <c r="W288" s="37">
        <f>'03_原始数据'!C288-0.65*'03_原始数据'!B288-OtherCost</f>
        <v/>
      </c>
      <c r="X288" s="37">
        <f>'03_原始数据'!C288-0.655*'03_原始数据'!B288-OtherCost</f>
        <v/>
      </c>
      <c r="Y288" s="37">
        <f>'03_原始数据'!C288-0.66*'03_原始数据'!B288-OtherCost</f>
        <v/>
      </c>
      <c r="Z288" s="37">
        <f>'03_原始数据'!C288-0.665*'03_原始数据'!B288-OtherCost</f>
        <v/>
      </c>
      <c r="AA288" s="37">
        <f>'03_原始数据'!C288-0.67*'03_原始数据'!B288-OtherCost</f>
        <v/>
      </c>
      <c r="AB288" s="37">
        <f>'03_原始数据'!C288-0.675*'03_原始数据'!B288-OtherCost</f>
        <v/>
      </c>
      <c r="AC288" s="37">
        <f>'03_原始数据'!C288-0.68*'03_原始数据'!B288-OtherCost</f>
        <v/>
      </c>
      <c r="AD288" s="37">
        <f>'03_原始数据'!C288-0.685*'03_原始数据'!B288-OtherCost</f>
        <v/>
      </c>
      <c r="AE288" s="37">
        <f>'03_原始数据'!C288-0.69*'03_原始数据'!B288-OtherCost</f>
        <v/>
      </c>
      <c r="AF288" s="37">
        <f>'03_原始数据'!C288-0.695*'03_原始数据'!B288-OtherCost</f>
        <v/>
      </c>
      <c r="AG288" s="37">
        <f>'03_原始数据'!C288-0.7*'03_原始数据'!B288-OtherCost</f>
        <v/>
      </c>
    </row>
    <row r="289">
      <c r="M289" s="37">
        <f>'03_原始数据'!C289-0.6*'03_原始数据'!B289-OtherCost</f>
        <v/>
      </c>
      <c r="N289" s="37">
        <f>'03_原始数据'!C289-0.605*'03_原始数据'!B289-OtherCost</f>
        <v/>
      </c>
      <c r="O289" s="37">
        <f>'03_原始数据'!C289-0.61*'03_原始数据'!B289-OtherCost</f>
        <v/>
      </c>
      <c r="P289" s="37">
        <f>'03_原始数据'!C289-0.615*'03_原始数据'!B289-OtherCost</f>
        <v/>
      </c>
      <c r="Q289" s="37">
        <f>'03_原始数据'!C289-0.62*'03_原始数据'!B289-OtherCost</f>
        <v/>
      </c>
      <c r="R289" s="37">
        <f>'03_原始数据'!C289-0.625*'03_原始数据'!B289-OtherCost</f>
        <v/>
      </c>
      <c r="S289" s="37">
        <f>'03_原始数据'!C289-0.63*'03_原始数据'!B289-OtherCost</f>
        <v/>
      </c>
      <c r="T289" s="37">
        <f>'03_原始数据'!C289-0.635*'03_原始数据'!B289-OtherCost</f>
        <v/>
      </c>
      <c r="U289" s="37">
        <f>'03_原始数据'!C289-0.64*'03_原始数据'!B289-OtherCost</f>
        <v/>
      </c>
      <c r="V289" s="37">
        <f>'03_原始数据'!C289-0.645*'03_原始数据'!B289-OtherCost</f>
        <v/>
      </c>
      <c r="W289" s="37">
        <f>'03_原始数据'!C289-0.65*'03_原始数据'!B289-OtherCost</f>
        <v/>
      </c>
      <c r="X289" s="37">
        <f>'03_原始数据'!C289-0.655*'03_原始数据'!B289-OtherCost</f>
        <v/>
      </c>
      <c r="Y289" s="37">
        <f>'03_原始数据'!C289-0.66*'03_原始数据'!B289-OtherCost</f>
        <v/>
      </c>
      <c r="Z289" s="37">
        <f>'03_原始数据'!C289-0.665*'03_原始数据'!B289-OtherCost</f>
        <v/>
      </c>
      <c r="AA289" s="37">
        <f>'03_原始数据'!C289-0.67*'03_原始数据'!B289-OtherCost</f>
        <v/>
      </c>
      <c r="AB289" s="37">
        <f>'03_原始数据'!C289-0.675*'03_原始数据'!B289-OtherCost</f>
        <v/>
      </c>
      <c r="AC289" s="37">
        <f>'03_原始数据'!C289-0.68*'03_原始数据'!B289-OtherCost</f>
        <v/>
      </c>
      <c r="AD289" s="37">
        <f>'03_原始数据'!C289-0.685*'03_原始数据'!B289-OtherCost</f>
        <v/>
      </c>
      <c r="AE289" s="37">
        <f>'03_原始数据'!C289-0.69*'03_原始数据'!B289-OtherCost</f>
        <v/>
      </c>
      <c r="AF289" s="37">
        <f>'03_原始数据'!C289-0.695*'03_原始数据'!B289-OtherCost</f>
        <v/>
      </c>
      <c r="AG289" s="37">
        <f>'03_原始数据'!C289-0.7*'03_原始数据'!B289-OtherCost</f>
        <v/>
      </c>
    </row>
    <row r="290">
      <c r="M290" s="37">
        <f>'03_原始数据'!C290-0.6*'03_原始数据'!B290-OtherCost</f>
        <v/>
      </c>
      <c r="N290" s="37">
        <f>'03_原始数据'!C290-0.605*'03_原始数据'!B290-OtherCost</f>
        <v/>
      </c>
      <c r="O290" s="37">
        <f>'03_原始数据'!C290-0.61*'03_原始数据'!B290-OtherCost</f>
        <v/>
      </c>
      <c r="P290" s="37">
        <f>'03_原始数据'!C290-0.615*'03_原始数据'!B290-OtherCost</f>
        <v/>
      </c>
      <c r="Q290" s="37">
        <f>'03_原始数据'!C290-0.62*'03_原始数据'!B290-OtherCost</f>
        <v/>
      </c>
      <c r="R290" s="37">
        <f>'03_原始数据'!C290-0.625*'03_原始数据'!B290-OtherCost</f>
        <v/>
      </c>
      <c r="S290" s="37">
        <f>'03_原始数据'!C290-0.63*'03_原始数据'!B290-OtherCost</f>
        <v/>
      </c>
      <c r="T290" s="37">
        <f>'03_原始数据'!C290-0.635*'03_原始数据'!B290-OtherCost</f>
        <v/>
      </c>
      <c r="U290" s="37">
        <f>'03_原始数据'!C290-0.64*'03_原始数据'!B290-OtherCost</f>
        <v/>
      </c>
      <c r="V290" s="37">
        <f>'03_原始数据'!C290-0.645*'03_原始数据'!B290-OtherCost</f>
        <v/>
      </c>
      <c r="W290" s="37">
        <f>'03_原始数据'!C290-0.65*'03_原始数据'!B290-OtherCost</f>
        <v/>
      </c>
      <c r="X290" s="37">
        <f>'03_原始数据'!C290-0.655*'03_原始数据'!B290-OtherCost</f>
        <v/>
      </c>
      <c r="Y290" s="37">
        <f>'03_原始数据'!C290-0.66*'03_原始数据'!B290-OtherCost</f>
        <v/>
      </c>
      <c r="Z290" s="37">
        <f>'03_原始数据'!C290-0.665*'03_原始数据'!B290-OtherCost</f>
        <v/>
      </c>
      <c r="AA290" s="37">
        <f>'03_原始数据'!C290-0.67*'03_原始数据'!B290-OtherCost</f>
        <v/>
      </c>
      <c r="AB290" s="37">
        <f>'03_原始数据'!C290-0.675*'03_原始数据'!B290-OtherCost</f>
        <v/>
      </c>
      <c r="AC290" s="37">
        <f>'03_原始数据'!C290-0.68*'03_原始数据'!B290-OtherCost</f>
        <v/>
      </c>
      <c r="AD290" s="37">
        <f>'03_原始数据'!C290-0.685*'03_原始数据'!B290-OtherCost</f>
        <v/>
      </c>
      <c r="AE290" s="37">
        <f>'03_原始数据'!C290-0.69*'03_原始数据'!B290-OtherCost</f>
        <v/>
      </c>
      <c r="AF290" s="37">
        <f>'03_原始数据'!C290-0.695*'03_原始数据'!B290-OtherCost</f>
        <v/>
      </c>
      <c r="AG290" s="37">
        <f>'03_原始数据'!C290-0.7*'03_原始数据'!B290-OtherCost</f>
        <v/>
      </c>
    </row>
    <row r="291">
      <c r="M291" s="37">
        <f>'03_原始数据'!C291-0.6*'03_原始数据'!B291-OtherCost</f>
        <v/>
      </c>
      <c r="N291" s="37">
        <f>'03_原始数据'!C291-0.605*'03_原始数据'!B291-OtherCost</f>
        <v/>
      </c>
      <c r="O291" s="37">
        <f>'03_原始数据'!C291-0.61*'03_原始数据'!B291-OtherCost</f>
        <v/>
      </c>
      <c r="P291" s="37">
        <f>'03_原始数据'!C291-0.615*'03_原始数据'!B291-OtherCost</f>
        <v/>
      </c>
      <c r="Q291" s="37">
        <f>'03_原始数据'!C291-0.62*'03_原始数据'!B291-OtherCost</f>
        <v/>
      </c>
      <c r="R291" s="37">
        <f>'03_原始数据'!C291-0.625*'03_原始数据'!B291-OtherCost</f>
        <v/>
      </c>
      <c r="S291" s="37">
        <f>'03_原始数据'!C291-0.63*'03_原始数据'!B291-OtherCost</f>
        <v/>
      </c>
      <c r="T291" s="37">
        <f>'03_原始数据'!C291-0.635*'03_原始数据'!B291-OtherCost</f>
        <v/>
      </c>
      <c r="U291" s="37">
        <f>'03_原始数据'!C291-0.64*'03_原始数据'!B291-OtherCost</f>
        <v/>
      </c>
      <c r="V291" s="37">
        <f>'03_原始数据'!C291-0.645*'03_原始数据'!B291-OtherCost</f>
        <v/>
      </c>
      <c r="W291" s="37">
        <f>'03_原始数据'!C291-0.65*'03_原始数据'!B291-OtherCost</f>
        <v/>
      </c>
      <c r="X291" s="37">
        <f>'03_原始数据'!C291-0.655*'03_原始数据'!B291-OtherCost</f>
        <v/>
      </c>
      <c r="Y291" s="37">
        <f>'03_原始数据'!C291-0.66*'03_原始数据'!B291-OtherCost</f>
        <v/>
      </c>
      <c r="Z291" s="37">
        <f>'03_原始数据'!C291-0.665*'03_原始数据'!B291-OtherCost</f>
        <v/>
      </c>
      <c r="AA291" s="37">
        <f>'03_原始数据'!C291-0.67*'03_原始数据'!B291-OtherCost</f>
        <v/>
      </c>
      <c r="AB291" s="37">
        <f>'03_原始数据'!C291-0.675*'03_原始数据'!B291-OtherCost</f>
        <v/>
      </c>
      <c r="AC291" s="37">
        <f>'03_原始数据'!C291-0.68*'03_原始数据'!B291-OtherCost</f>
        <v/>
      </c>
      <c r="AD291" s="37">
        <f>'03_原始数据'!C291-0.685*'03_原始数据'!B291-OtherCost</f>
        <v/>
      </c>
      <c r="AE291" s="37">
        <f>'03_原始数据'!C291-0.69*'03_原始数据'!B291-OtherCost</f>
        <v/>
      </c>
      <c r="AF291" s="37">
        <f>'03_原始数据'!C291-0.695*'03_原始数据'!B291-OtherCost</f>
        <v/>
      </c>
      <c r="AG291" s="37">
        <f>'03_原始数据'!C291-0.7*'03_原始数据'!B291-OtherCost</f>
        <v/>
      </c>
    </row>
    <row r="292">
      <c r="M292" s="37">
        <f>'03_原始数据'!C292-0.6*'03_原始数据'!B292-OtherCost</f>
        <v/>
      </c>
      <c r="N292" s="37">
        <f>'03_原始数据'!C292-0.605*'03_原始数据'!B292-OtherCost</f>
        <v/>
      </c>
      <c r="O292" s="37">
        <f>'03_原始数据'!C292-0.61*'03_原始数据'!B292-OtherCost</f>
        <v/>
      </c>
      <c r="P292" s="37">
        <f>'03_原始数据'!C292-0.615*'03_原始数据'!B292-OtherCost</f>
        <v/>
      </c>
      <c r="Q292" s="37">
        <f>'03_原始数据'!C292-0.62*'03_原始数据'!B292-OtherCost</f>
        <v/>
      </c>
      <c r="R292" s="37">
        <f>'03_原始数据'!C292-0.625*'03_原始数据'!B292-OtherCost</f>
        <v/>
      </c>
      <c r="S292" s="37">
        <f>'03_原始数据'!C292-0.63*'03_原始数据'!B292-OtherCost</f>
        <v/>
      </c>
      <c r="T292" s="37">
        <f>'03_原始数据'!C292-0.635*'03_原始数据'!B292-OtherCost</f>
        <v/>
      </c>
      <c r="U292" s="37">
        <f>'03_原始数据'!C292-0.64*'03_原始数据'!B292-OtherCost</f>
        <v/>
      </c>
      <c r="V292" s="37">
        <f>'03_原始数据'!C292-0.645*'03_原始数据'!B292-OtherCost</f>
        <v/>
      </c>
      <c r="W292" s="37">
        <f>'03_原始数据'!C292-0.65*'03_原始数据'!B292-OtherCost</f>
        <v/>
      </c>
      <c r="X292" s="37">
        <f>'03_原始数据'!C292-0.655*'03_原始数据'!B292-OtherCost</f>
        <v/>
      </c>
      <c r="Y292" s="37">
        <f>'03_原始数据'!C292-0.66*'03_原始数据'!B292-OtherCost</f>
        <v/>
      </c>
      <c r="Z292" s="37">
        <f>'03_原始数据'!C292-0.665*'03_原始数据'!B292-OtherCost</f>
        <v/>
      </c>
      <c r="AA292" s="37">
        <f>'03_原始数据'!C292-0.67*'03_原始数据'!B292-OtherCost</f>
        <v/>
      </c>
      <c r="AB292" s="37">
        <f>'03_原始数据'!C292-0.675*'03_原始数据'!B292-OtherCost</f>
        <v/>
      </c>
      <c r="AC292" s="37">
        <f>'03_原始数据'!C292-0.68*'03_原始数据'!B292-OtherCost</f>
        <v/>
      </c>
      <c r="AD292" s="37">
        <f>'03_原始数据'!C292-0.685*'03_原始数据'!B292-OtherCost</f>
        <v/>
      </c>
      <c r="AE292" s="37">
        <f>'03_原始数据'!C292-0.69*'03_原始数据'!B292-OtherCost</f>
        <v/>
      </c>
      <c r="AF292" s="37">
        <f>'03_原始数据'!C292-0.695*'03_原始数据'!B292-OtherCost</f>
        <v/>
      </c>
      <c r="AG292" s="37">
        <f>'03_原始数据'!C292-0.7*'03_原始数据'!B292-OtherCost</f>
        <v/>
      </c>
    </row>
    <row r="293">
      <c r="M293" s="37">
        <f>'03_原始数据'!C293-0.6*'03_原始数据'!B293-OtherCost</f>
        <v/>
      </c>
      <c r="N293" s="37">
        <f>'03_原始数据'!C293-0.605*'03_原始数据'!B293-OtherCost</f>
        <v/>
      </c>
      <c r="O293" s="37">
        <f>'03_原始数据'!C293-0.61*'03_原始数据'!B293-OtherCost</f>
        <v/>
      </c>
      <c r="P293" s="37">
        <f>'03_原始数据'!C293-0.615*'03_原始数据'!B293-OtherCost</f>
        <v/>
      </c>
      <c r="Q293" s="37">
        <f>'03_原始数据'!C293-0.62*'03_原始数据'!B293-OtherCost</f>
        <v/>
      </c>
      <c r="R293" s="37">
        <f>'03_原始数据'!C293-0.625*'03_原始数据'!B293-OtherCost</f>
        <v/>
      </c>
      <c r="S293" s="37">
        <f>'03_原始数据'!C293-0.63*'03_原始数据'!B293-OtherCost</f>
        <v/>
      </c>
      <c r="T293" s="37">
        <f>'03_原始数据'!C293-0.635*'03_原始数据'!B293-OtherCost</f>
        <v/>
      </c>
      <c r="U293" s="37">
        <f>'03_原始数据'!C293-0.64*'03_原始数据'!B293-OtherCost</f>
        <v/>
      </c>
      <c r="V293" s="37">
        <f>'03_原始数据'!C293-0.645*'03_原始数据'!B293-OtherCost</f>
        <v/>
      </c>
      <c r="W293" s="37">
        <f>'03_原始数据'!C293-0.65*'03_原始数据'!B293-OtherCost</f>
        <v/>
      </c>
      <c r="X293" s="37">
        <f>'03_原始数据'!C293-0.655*'03_原始数据'!B293-OtherCost</f>
        <v/>
      </c>
      <c r="Y293" s="37">
        <f>'03_原始数据'!C293-0.66*'03_原始数据'!B293-OtherCost</f>
        <v/>
      </c>
      <c r="Z293" s="37">
        <f>'03_原始数据'!C293-0.665*'03_原始数据'!B293-OtherCost</f>
        <v/>
      </c>
      <c r="AA293" s="37">
        <f>'03_原始数据'!C293-0.67*'03_原始数据'!B293-OtherCost</f>
        <v/>
      </c>
      <c r="AB293" s="37">
        <f>'03_原始数据'!C293-0.675*'03_原始数据'!B293-OtherCost</f>
        <v/>
      </c>
      <c r="AC293" s="37">
        <f>'03_原始数据'!C293-0.68*'03_原始数据'!B293-OtherCost</f>
        <v/>
      </c>
      <c r="AD293" s="37">
        <f>'03_原始数据'!C293-0.685*'03_原始数据'!B293-OtherCost</f>
        <v/>
      </c>
      <c r="AE293" s="37">
        <f>'03_原始数据'!C293-0.69*'03_原始数据'!B293-OtherCost</f>
        <v/>
      </c>
      <c r="AF293" s="37">
        <f>'03_原始数据'!C293-0.695*'03_原始数据'!B293-OtherCost</f>
        <v/>
      </c>
      <c r="AG293" s="37">
        <f>'03_原始数据'!C293-0.7*'03_原始数据'!B293-OtherCost</f>
        <v/>
      </c>
    </row>
    <row r="294">
      <c r="M294" s="37">
        <f>'03_原始数据'!C294-0.6*'03_原始数据'!B294-OtherCost</f>
        <v/>
      </c>
      <c r="N294" s="37">
        <f>'03_原始数据'!C294-0.605*'03_原始数据'!B294-OtherCost</f>
        <v/>
      </c>
      <c r="O294" s="37">
        <f>'03_原始数据'!C294-0.61*'03_原始数据'!B294-OtherCost</f>
        <v/>
      </c>
      <c r="P294" s="37">
        <f>'03_原始数据'!C294-0.615*'03_原始数据'!B294-OtherCost</f>
        <v/>
      </c>
      <c r="Q294" s="37">
        <f>'03_原始数据'!C294-0.62*'03_原始数据'!B294-OtherCost</f>
        <v/>
      </c>
      <c r="R294" s="37">
        <f>'03_原始数据'!C294-0.625*'03_原始数据'!B294-OtherCost</f>
        <v/>
      </c>
      <c r="S294" s="37">
        <f>'03_原始数据'!C294-0.63*'03_原始数据'!B294-OtherCost</f>
        <v/>
      </c>
      <c r="T294" s="37">
        <f>'03_原始数据'!C294-0.635*'03_原始数据'!B294-OtherCost</f>
        <v/>
      </c>
      <c r="U294" s="37">
        <f>'03_原始数据'!C294-0.64*'03_原始数据'!B294-OtherCost</f>
        <v/>
      </c>
      <c r="V294" s="37">
        <f>'03_原始数据'!C294-0.645*'03_原始数据'!B294-OtherCost</f>
        <v/>
      </c>
      <c r="W294" s="37">
        <f>'03_原始数据'!C294-0.65*'03_原始数据'!B294-OtherCost</f>
        <v/>
      </c>
      <c r="X294" s="37">
        <f>'03_原始数据'!C294-0.655*'03_原始数据'!B294-OtherCost</f>
        <v/>
      </c>
      <c r="Y294" s="37">
        <f>'03_原始数据'!C294-0.66*'03_原始数据'!B294-OtherCost</f>
        <v/>
      </c>
      <c r="Z294" s="37">
        <f>'03_原始数据'!C294-0.665*'03_原始数据'!B294-OtherCost</f>
        <v/>
      </c>
      <c r="AA294" s="37">
        <f>'03_原始数据'!C294-0.67*'03_原始数据'!B294-OtherCost</f>
        <v/>
      </c>
      <c r="AB294" s="37">
        <f>'03_原始数据'!C294-0.675*'03_原始数据'!B294-OtherCost</f>
        <v/>
      </c>
      <c r="AC294" s="37">
        <f>'03_原始数据'!C294-0.68*'03_原始数据'!B294-OtherCost</f>
        <v/>
      </c>
      <c r="AD294" s="37">
        <f>'03_原始数据'!C294-0.685*'03_原始数据'!B294-OtherCost</f>
        <v/>
      </c>
      <c r="AE294" s="37">
        <f>'03_原始数据'!C294-0.69*'03_原始数据'!B294-OtherCost</f>
        <v/>
      </c>
      <c r="AF294" s="37">
        <f>'03_原始数据'!C294-0.695*'03_原始数据'!B294-OtherCost</f>
        <v/>
      </c>
      <c r="AG294" s="37">
        <f>'03_原始数据'!C294-0.7*'03_原始数据'!B294-OtherCost</f>
        <v/>
      </c>
    </row>
    <row r="295">
      <c r="M295" s="37">
        <f>'03_原始数据'!C295-0.6*'03_原始数据'!B295-OtherCost</f>
        <v/>
      </c>
      <c r="N295" s="37">
        <f>'03_原始数据'!C295-0.605*'03_原始数据'!B295-OtherCost</f>
        <v/>
      </c>
      <c r="O295" s="37">
        <f>'03_原始数据'!C295-0.61*'03_原始数据'!B295-OtherCost</f>
        <v/>
      </c>
      <c r="P295" s="37">
        <f>'03_原始数据'!C295-0.615*'03_原始数据'!B295-OtherCost</f>
        <v/>
      </c>
      <c r="Q295" s="37">
        <f>'03_原始数据'!C295-0.62*'03_原始数据'!B295-OtherCost</f>
        <v/>
      </c>
      <c r="R295" s="37">
        <f>'03_原始数据'!C295-0.625*'03_原始数据'!B295-OtherCost</f>
        <v/>
      </c>
      <c r="S295" s="37">
        <f>'03_原始数据'!C295-0.63*'03_原始数据'!B295-OtherCost</f>
        <v/>
      </c>
      <c r="T295" s="37">
        <f>'03_原始数据'!C295-0.635*'03_原始数据'!B295-OtherCost</f>
        <v/>
      </c>
      <c r="U295" s="37">
        <f>'03_原始数据'!C295-0.64*'03_原始数据'!B295-OtherCost</f>
        <v/>
      </c>
      <c r="V295" s="37">
        <f>'03_原始数据'!C295-0.645*'03_原始数据'!B295-OtherCost</f>
        <v/>
      </c>
      <c r="W295" s="37">
        <f>'03_原始数据'!C295-0.65*'03_原始数据'!B295-OtherCost</f>
        <v/>
      </c>
      <c r="X295" s="37">
        <f>'03_原始数据'!C295-0.655*'03_原始数据'!B295-OtherCost</f>
        <v/>
      </c>
      <c r="Y295" s="37">
        <f>'03_原始数据'!C295-0.66*'03_原始数据'!B295-OtherCost</f>
        <v/>
      </c>
      <c r="Z295" s="37">
        <f>'03_原始数据'!C295-0.665*'03_原始数据'!B295-OtherCost</f>
        <v/>
      </c>
      <c r="AA295" s="37">
        <f>'03_原始数据'!C295-0.67*'03_原始数据'!B295-OtherCost</f>
        <v/>
      </c>
      <c r="AB295" s="37">
        <f>'03_原始数据'!C295-0.675*'03_原始数据'!B295-OtherCost</f>
        <v/>
      </c>
      <c r="AC295" s="37">
        <f>'03_原始数据'!C295-0.68*'03_原始数据'!B295-OtherCost</f>
        <v/>
      </c>
      <c r="AD295" s="37">
        <f>'03_原始数据'!C295-0.685*'03_原始数据'!B295-OtherCost</f>
        <v/>
      </c>
      <c r="AE295" s="37">
        <f>'03_原始数据'!C295-0.69*'03_原始数据'!B295-OtherCost</f>
        <v/>
      </c>
      <c r="AF295" s="37">
        <f>'03_原始数据'!C295-0.695*'03_原始数据'!B295-OtherCost</f>
        <v/>
      </c>
      <c r="AG295" s="37">
        <f>'03_原始数据'!C295-0.7*'03_原始数据'!B295-OtherCost</f>
        <v/>
      </c>
    </row>
    <row r="296">
      <c r="M296" s="37">
        <f>'03_原始数据'!C296-0.6*'03_原始数据'!B296-OtherCost</f>
        <v/>
      </c>
      <c r="N296" s="37">
        <f>'03_原始数据'!C296-0.605*'03_原始数据'!B296-OtherCost</f>
        <v/>
      </c>
      <c r="O296" s="37">
        <f>'03_原始数据'!C296-0.61*'03_原始数据'!B296-OtherCost</f>
        <v/>
      </c>
      <c r="P296" s="37">
        <f>'03_原始数据'!C296-0.615*'03_原始数据'!B296-OtherCost</f>
        <v/>
      </c>
      <c r="Q296" s="37">
        <f>'03_原始数据'!C296-0.62*'03_原始数据'!B296-OtherCost</f>
        <v/>
      </c>
      <c r="R296" s="37">
        <f>'03_原始数据'!C296-0.625*'03_原始数据'!B296-OtherCost</f>
        <v/>
      </c>
      <c r="S296" s="37">
        <f>'03_原始数据'!C296-0.63*'03_原始数据'!B296-OtherCost</f>
        <v/>
      </c>
      <c r="T296" s="37">
        <f>'03_原始数据'!C296-0.635*'03_原始数据'!B296-OtherCost</f>
        <v/>
      </c>
      <c r="U296" s="37">
        <f>'03_原始数据'!C296-0.64*'03_原始数据'!B296-OtherCost</f>
        <v/>
      </c>
      <c r="V296" s="37">
        <f>'03_原始数据'!C296-0.645*'03_原始数据'!B296-OtherCost</f>
        <v/>
      </c>
      <c r="W296" s="37">
        <f>'03_原始数据'!C296-0.65*'03_原始数据'!B296-OtherCost</f>
        <v/>
      </c>
      <c r="X296" s="37">
        <f>'03_原始数据'!C296-0.655*'03_原始数据'!B296-OtherCost</f>
        <v/>
      </c>
      <c r="Y296" s="37">
        <f>'03_原始数据'!C296-0.66*'03_原始数据'!B296-OtherCost</f>
        <v/>
      </c>
      <c r="Z296" s="37">
        <f>'03_原始数据'!C296-0.665*'03_原始数据'!B296-OtherCost</f>
        <v/>
      </c>
      <c r="AA296" s="37">
        <f>'03_原始数据'!C296-0.67*'03_原始数据'!B296-OtherCost</f>
        <v/>
      </c>
      <c r="AB296" s="37">
        <f>'03_原始数据'!C296-0.675*'03_原始数据'!B296-OtherCost</f>
        <v/>
      </c>
      <c r="AC296" s="37">
        <f>'03_原始数据'!C296-0.68*'03_原始数据'!B296-OtherCost</f>
        <v/>
      </c>
      <c r="AD296" s="37">
        <f>'03_原始数据'!C296-0.685*'03_原始数据'!B296-OtherCost</f>
        <v/>
      </c>
      <c r="AE296" s="37">
        <f>'03_原始数据'!C296-0.69*'03_原始数据'!B296-OtherCost</f>
        <v/>
      </c>
      <c r="AF296" s="37">
        <f>'03_原始数据'!C296-0.695*'03_原始数据'!B296-OtherCost</f>
        <v/>
      </c>
      <c r="AG296" s="37">
        <f>'03_原始数据'!C296-0.7*'03_原始数据'!B296-OtherCost</f>
        <v/>
      </c>
    </row>
    <row r="297">
      <c r="M297" s="37">
        <f>'03_原始数据'!C297-0.6*'03_原始数据'!B297-OtherCost</f>
        <v/>
      </c>
      <c r="N297" s="37">
        <f>'03_原始数据'!C297-0.605*'03_原始数据'!B297-OtherCost</f>
        <v/>
      </c>
      <c r="O297" s="37">
        <f>'03_原始数据'!C297-0.61*'03_原始数据'!B297-OtherCost</f>
        <v/>
      </c>
      <c r="P297" s="37">
        <f>'03_原始数据'!C297-0.615*'03_原始数据'!B297-OtherCost</f>
        <v/>
      </c>
      <c r="Q297" s="37">
        <f>'03_原始数据'!C297-0.62*'03_原始数据'!B297-OtherCost</f>
        <v/>
      </c>
      <c r="R297" s="37">
        <f>'03_原始数据'!C297-0.625*'03_原始数据'!B297-OtherCost</f>
        <v/>
      </c>
      <c r="S297" s="37">
        <f>'03_原始数据'!C297-0.63*'03_原始数据'!B297-OtherCost</f>
        <v/>
      </c>
      <c r="T297" s="37">
        <f>'03_原始数据'!C297-0.635*'03_原始数据'!B297-OtherCost</f>
        <v/>
      </c>
      <c r="U297" s="37">
        <f>'03_原始数据'!C297-0.64*'03_原始数据'!B297-OtherCost</f>
        <v/>
      </c>
      <c r="V297" s="37">
        <f>'03_原始数据'!C297-0.645*'03_原始数据'!B297-OtherCost</f>
        <v/>
      </c>
      <c r="W297" s="37">
        <f>'03_原始数据'!C297-0.65*'03_原始数据'!B297-OtherCost</f>
        <v/>
      </c>
      <c r="X297" s="37">
        <f>'03_原始数据'!C297-0.655*'03_原始数据'!B297-OtherCost</f>
        <v/>
      </c>
      <c r="Y297" s="37">
        <f>'03_原始数据'!C297-0.66*'03_原始数据'!B297-OtherCost</f>
        <v/>
      </c>
      <c r="Z297" s="37">
        <f>'03_原始数据'!C297-0.665*'03_原始数据'!B297-OtherCost</f>
        <v/>
      </c>
      <c r="AA297" s="37">
        <f>'03_原始数据'!C297-0.67*'03_原始数据'!B297-OtherCost</f>
        <v/>
      </c>
      <c r="AB297" s="37">
        <f>'03_原始数据'!C297-0.675*'03_原始数据'!B297-OtherCost</f>
        <v/>
      </c>
      <c r="AC297" s="37">
        <f>'03_原始数据'!C297-0.68*'03_原始数据'!B297-OtherCost</f>
        <v/>
      </c>
      <c r="AD297" s="37">
        <f>'03_原始数据'!C297-0.685*'03_原始数据'!B297-OtherCost</f>
        <v/>
      </c>
      <c r="AE297" s="37">
        <f>'03_原始数据'!C297-0.69*'03_原始数据'!B297-OtherCost</f>
        <v/>
      </c>
      <c r="AF297" s="37">
        <f>'03_原始数据'!C297-0.695*'03_原始数据'!B297-OtherCost</f>
        <v/>
      </c>
      <c r="AG297" s="37">
        <f>'03_原始数据'!C297-0.7*'03_原始数据'!B297-OtherCost</f>
        <v/>
      </c>
    </row>
    <row r="298">
      <c r="M298" s="37">
        <f>'03_原始数据'!C298-0.6*'03_原始数据'!B298-OtherCost</f>
        <v/>
      </c>
      <c r="N298" s="37">
        <f>'03_原始数据'!C298-0.605*'03_原始数据'!B298-OtherCost</f>
        <v/>
      </c>
      <c r="O298" s="37">
        <f>'03_原始数据'!C298-0.61*'03_原始数据'!B298-OtherCost</f>
        <v/>
      </c>
      <c r="P298" s="37">
        <f>'03_原始数据'!C298-0.615*'03_原始数据'!B298-OtherCost</f>
        <v/>
      </c>
      <c r="Q298" s="37">
        <f>'03_原始数据'!C298-0.62*'03_原始数据'!B298-OtherCost</f>
        <v/>
      </c>
      <c r="R298" s="37">
        <f>'03_原始数据'!C298-0.625*'03_原始数据'!B298-OtherCost</f>
        <v/>
      </c>
      <c r="S298" s="37">
        <f>'03_原始数据'!C298-0.63*'03_原始数据'!B298-OtherCost</f>
        <v/>
      </c>
      <c r="T298" s="37">
        <f>'03_原始数据'!C298-0.635*'03_原始数据'!B298-OtherCost</f>
        <v/>
      </c>
      <c r="U298" s="37">
        <f>'03_原始数据'!C298-0.64*'03_原始数据'!B298-OtherCost</f>
        <v/>
      </c>
      <c r="V298" s="37">
        <f>'03_原始数据'!C298-0.645*'03_原始数据'!B298-OtherCost</f>
        <v/>
      </c>
      <c r="W298" s="37">
        <f>'03_原始数据'!C298-0.65*'03_原始数据'!B298-OtherCost</f>
        <v/>
      </c>
      <c r="X298" s="37">
        <f>'03_原始数据'!C298-0.655*'03_原始数据'!B298-OtherCost</f>
        <v/>
      </c>
      <c r="Y298" s="37">
        <f>'03_原始数据'!C298-0.66*'03_原始数据'!B298-OtherCost</f>
        <v/>
      </c>
      <c r="Z298" s="37">
        <f>'03_原始数据'!C298-0.665*'03_原始数据'!B298-OtherCost</f>
        <v/>
      </c>
      <c r="AA298" s="37">
        <f>'03_原始数据'!C298-0.67*'03_原始数据'!B298-OtherCost</f>
        <v/>
      </c>
      <c r="AB298" s="37">
        <f>'03_原始数据'!C298-0.675*'03_原始数据'!B298-OtherCost</f>
        <v/>
      </c>
      <c r="AC298" s="37">
        <f>'03_原始数据'!C298-0.68*'03_原始数据'!B298-OtherCost</f>
        <v/>
      </c>
      <c r="AD298" s="37">
        <f>'03_原始数据'!C298-0.685*'03_原始数据'!B298-OtherCost</f>
        <v/>
      </c>
      <c r="AE298" s="37">
        <f>'03_原始数据'!C298-0.69*'03_原始数据'!B298-OtherCost</f>
        <v/>
      </c>
      <c r="AF298" s="37">
        <f>'03_原始数据'!C298-0.695*'03_原始数据'!B298-OtherCost</f>
        <v/>
      </c>
      <c r="AG298" s="37">
        <f>'03_原始数据'!C298-0.7*'03_原始数据'!B298-OtherCost</f>
        <v/>
      </c>
    </row>
    <row r="299">
      <c r="M299" s="37">
        <f>'03_原始数据'!C299-0.6*'03_原始数据'!B299-OtherCost</f>
        <v/>
      </c>
      <c r="N299" s="37">
        <f>'03_原始数据'!C299-0.605*'03_原始数据'!B299-OtherCost</f>
        <v/>
      </c>
      <c r="O299" s="37">
        <f>'03_原始数据'!C299-0.61*'03_原始数据'!B299-OtherCost</f>
        <v/>
      </c>
      <c r="P299" s="37">
        <f>'03_原始数据'!C299-0.615*'03_原始数据'!B299-OtherCost</f>
        <v/>
      </c>
      <c r="Q299" s="37">
        <f>'03_原始数据'!C299-0.62*'03_原始数据'!B299-OtherCost</f>
        <v/>
      </c>
      <c r="R299" s="37">
        <f>'03_原始数据'!C299-0.625*'03_原始数据'!B299-OtherCost</f>
        <v/>
      </c>
      <c r="S299" s="37">
        <f>'03_原始数据'!C299-0.63*'03_原始数据'!B299-OtherCost</f>
        <v/>
      </c>
      <c r="T299" s="37">
        <f>'03_原始数据'!C299-0.635*'03_原始数据'!B299-OtherCost</f>
        <v/>
      </c>
      <c r="U299" s="37">
        <f>'03_原始数据'!C299-0.64*'03_原始数据'!B299-OtherCost</f>
        <v/>
      </c>
      <c r="V299" s="37">
        <f>'03_原始数据'!C299-0.645*'03_原始数据'!B299-OtherCost</f>
        <v/>
      </c>
      <c r="W299" s="37">
        <f>'03_原始数据'!C299-0.65*'03_原始数据'!B299-OtherCost</f>
        <v/>
      </c>
      <c r="X299" s="37">
        <f>'03_原始数据'!C299-0.655*'03_原始数据'!B299-OtherCost</f>
        <v/>
      </c>
      <c r="Y299" s="37">
        <f>'03_原始数据'!C299-0.66*'03_原始数据'!B299-OtherCost</f>
        <v/>
      </c>
      <c r="Z299" s="37">
        <f>'03_原始数据'!C299-0.665*'03_原始数据'!B299-OtherCost</f>
        <v/>
      </c>
      <c r="AA299" s="37">
        <f>'03_原始数据'!C299-0.67*'03_原始数据'!B299-OtherCost</f>
        <v/>
      </c>
      <c r="AB299" s="37">
        <f>'03_原始数据'!C299-0.675*'03_原始数据'!B299-OtherCost</f>
        <v/>
      </c>
      <c r="AC299" s="37">
        <f>'03_原始数据'!C299-0.68*'03_原始数据'!B299-OtherCost</f>
        <v/>
      </c>
      <c r="AD299" s="37">
        <f>'03_原始数据'!C299-0.685*'03_原始数据'!B299-OtherCost</f>
        <v/>
      </c>
      <c r="AE299" s="37">
        <f>'03_原始数据'!C299-0.69*'03_原始数据'!B299-OtherCost</f>
        <v/>
      </c>
      <c r="AF299" s="37">
        <f>'03_原始数据'!C299-0.695*'03_原始数据'!B299-OtherCost</f>
        <v/>
      </c>
      <c r="AG299" s="37">
        <f>'03_原始数据'!C299-0.7*'03_原始数据'!B299-OtherCost</f>
        <v/>
      </c>
    </row>
    <row r="300">
      <c r="M300" s="37">
        <f>'03_原始数据'!C300-0.6*'03_原始数据'!B300-OtherCost</f>
        <v/>
      </c>
      <c r="N300" s="37">
        <f>'03_原始数据'!C300-0.605*'03_原始数据'!B300-OtherCost</f>
        <v/>
      </c>
      <c r="O300" s="37">
        <f>'03_原始数据'!C300-0.61*'03_原始数据'!B300-OtherCost</f>
        <v/>
      </c>
      <c r="P300" s="37">
        <f>'03_原始数据'!C300-0.615*'03_原始数据'!B300-OtherCost</f>
        <v/>
      </c>
      <c r="Q300" s="37">
        <f>'03_原始数据'!C300-0.62*'03_原始数据'!B300-OtherCost</f>
        <v/>
      </c>
      <c r="R300" s="37">
        <f>'03_原始数据'!C300-0.625*'03_原始数据'!B300-OtherCost</f>
        <v/>
      </c>
      <c r="S300" s="37">
        <f>'03_原始数据'!C300-0.63*'03_原始数据'!B300-OtherCost</f>
        <v/>
      </c>
      <c r="T300" s="37">
        <f>'03_原始数据'!C300-0.635*'03_原始数据'!B300-OtherCost</f>
        <v/>
      </c>
      <c r="U300" s="37">
        <f>'03_原始数据'!C300-0.64*'03_原始数据'!B300-OtherCost</f>
        <v/>
      </c>
      <c r="V300" s="37">
        <f>'03_原始数据'!C300-0.645*'03_原始数据'!B300-OtherCost</f>
        <v/>
      </c>
      <c r="W300" s="37">
        <f>'03_原始数据'!C300-0.65*'03_原始数据'!B300-OtherCost</f>
        <v/>
      </c>
      <c r="X300" s="37">
        <f>'03_原始数据'!C300-0.655*'03_原始数据'!B300-OtherCost</f>
        <v/>
      </c>
      <c r="Y300" s="37">
        <f>'03_原始数据'!C300-0.66*'03_原始数据'!B300-OtherCost</f>
        <v/>
      </c>
      <c r="Z300" s="37">
        <f>'03_原始数据'!C300-0.665*'03_原始数据'!B300-OtherCost</f>
        <v/>
      </c>
      <c r="AA300" s="37">
        <f>'03_原始数据'!C300-0.67*'03_原始数据'!B300-OtherCost</f>
        <v/>
      </c>
      <c r="AB300" s="37">
        <f>'03_原始数据'!C300-0.675*'03_原始数据'!B300-OtherCost</f>
        <v/>
      </c>
      <c r="AC300" s="37">
        <f>'03_原始数据'!C300-0.68*'03_原始数据'!B300-OtherCost</f>
        <v/>
      </c>
      <c r="AD300" s="37">
        <f>'03_原始数据'!C300-0.685*'03_原始数据'!B300-OtherCost</f>
        <v/>
      </c>
      <c r="AE300" s="37">
        <f>'03_原始数据'!C300-0.69*'03_原始数据'!B300-OtherCost</f>
        <v/>
      </c>
      <c r="AF300" s="37">
        <f>'03_原始数据'!C300-0.695*'03_原始数据'!B300-OtherCost</f>
        <v/>
      </c>
      <c r="AG300" s="37">
        <f>'03_原始数据'!C300-0.7*'03_原始数据'!B300-OtherCost</f>
        <v/>
      </c>
    </row>
    <row r="301">
      <c r="M301" s="37">
        <f>'03_原始数据'!C301-0.6*'03_原始数据'!B301-OtherCost</f>
        <v/>
      </c>
      <c r="N301" s="37">
        <f>'03_原始数据'!C301-0.605*'03_原始数据'!B301-OtherCost</f>
        <v/>
      </c>
      <c r="O301" s="37">
        <f>'03_原始数据'!C301-0.61*'03_原始数据'!B301-OtherCost</f>
        <v/>
      </c>
      <c r="P301" s="37">
        <f>'03_原始数据'!C301-0.615*'03_原始数据'!B301-OtherCost</f>
        <v/>
      </c>
      <c r="Q301" s="37">
        <f>'03_原始数据'!C301-0.62*'03_原始数据'!B301-OtherCost</f>
        <v/>
      </c>
      <c r="R301" s="37">
        <f>'03_原始数据'!C301-0.625*'03_原始数据'!B301-OtherCost</f>
        <v/>
      </c>
      <c r="S301" s="37">
        <f>'03_原始数据'!C301-0.63*'03_原始数据'!B301-OtherCost</f>
        <v/>
      </c>
      <c r="T301" s="37">
        <f>'03_原始数据'!C301-0.635*'03_原始数据'!B301-OtherCost</f>
        <v/>
      </c>
      <c r="U301" s="37">
        <f>'03_原始数据'!C301-0.64*'03_原始数据'!B301-OtherCost</f>
        <v/>
      </c>
      <c r="V301" s="37">
        <f>'03_原始数据'!C301-0.645*'03_原始数据'!B301-OtherCost</f>
        <v/>
      </c>
      <c r="W301" s="37">
        <f>'03_原始数据'!C301-0.65*'03_原始数据'!B301-OtherCost</f>
        <v/>
      </c>
      <c r="X301" s="37">
        <f>'03_原始数据'!C301-0.655*'03_原始数据'!B301-OtherCost</f>
        <v/>
      </c>
      <c r="Y301" s="37">
        <f>'03_原始数据'!C301-0.66*'03_原始数据'!B301-OtherCost</f>
        <v/>
      </c>
      <c r="Z301" s="37">
        <f>'03_原始数据'!C301-0.665*'03_原始数据'!B301-OtherCost</f>
        <v/>
      </c>
      <c r="AA301" s="37">
        <f>'03_原始数据'!C301-0.67*'03_原始数据'!B301-OtherCost</f>
        <v/>
      </c>
      <c r="AB301" s="37">
        <f>'03_原始数据'!C301-0.675*'03_原始数据'!B301-OtherCost</f>
        <v/>
      </c>
      <c r="AC301" s="37">
        <f>'03_原始数据'!C301-0.68*'03_原始数据'!B301-OtherCost</f>
        <v/>
      </c>
      <c r="AD301" s="37">
        <f>'03_原始数据'!C301-0.685*'03_原始数据'!B301-OtherCost</f>
        <v/>
      </c>
      <c r="AE301" s="37">
        <f>'03_原始数据'!C301-0.69*'03_原始数据'!B301-OtherCost</f>
        <v/>
      </c>
      <c r="AF301" s="37">
        <f>'03_原始数据'!C301-0.695*'03_原始数据'!B301-OtherCost</f>
        <v/>
      </c>
      <c r="AG301" s="37">
        <f>'03_原始数据'!C301-0.7*'03_原始数据'!B301-OtherCost</f>
        <v/>
      </c>
    </row>
    <row r="302">
      <c r="M302" s="37">
        <f>'03_原始数据'!C302-0.6*'03_原始数据'!B302-OtherCost</f>
        <v/>
      </c>
      <c r="N302" s="37">
        <f>'03_原始数据'!C302-0.605*'03_原始数据'!B302-OtherCost</f>
        <v/>
      </c>
      <c r="O302" s="37">
        <f>'03_原始数据'!C302-0.61*'03_原始数据'!B302-OtherCost</f>
        <v/>
      </c>
      <c r="P302" s="37">
        <f>'03_原始数据'!C302-0.615*'03_原始数据'!B302-OtherCost</f>
        <v/>
      </c>
      <c r="Q302" s="37">
        <f>'03_原始数据'!C302-0.62*'03_原始数据'!B302-OtherCost</f>
        <v/>
      </c>
      <c r="R302" s="37">
        <f>'03_原始数据'!C302-0.625*'03_原始数据'!B302-OtherCost</f>
        <v/>
      </c>
      <c r="S302" s="37">
        <f>'03_原始数据'!C302-0.63*'03_原始数据'!B302-OtherCost</f>
        <v/>
      </c>
      <c r="T302" s="37">
        <f>'03_原始数据'!C302-0.635*'03_原始数据'!B302-OtherCost</f>
        <v/>
      </c>
      <c r="U302" s="37">
        <f>'03_原始数据'!C302-0.64*'03_原始数据'!B302-OtherCost</f>
        <v/>
      </c>
      <c r="V302" s="37">
        <f>'03_原始数据'!C302-0.645*'03_原始数据'!B302-OtherCost</f>
        <v/>
      </c>
      <c r="W302" s="37">
        <f>'03_原始数据'!C302-0.65*'03_原始数据'!B302-OtherCost</f>
        <v/>
      </c>
      <c r="X302" s="37">
        <f>'03_原始数据'!C302-0.655*'03_原始数据'!B302-OtherCost</f>
        <v/>
      </c>
      <c r="Y302" s="37">
        <f>'03_原始数据'!C302-0.66*'03_原始数据'!B302-OtherCost</f>
        <v/>
      </c>
      <c r="Z302" s="37">
        <f>'03_原始数据'!C302-0.665*'03_原始数据'!B302-OtherCost</f>
        <v/>
      </c>
      <c r="AA302" s="37">
        <f>'03_原始数据'!C302-0.67*'03_原始数据'!B302-OtherCost</f>
        <v/>
      </c>
      <c r="AB302" s="37">
        <f>'03_原始数据'!C302-0.675*'03_原始数据'!B302-OtherCost</f>
        <v/>
      </c>
      <c r="AC302" s="37">
        <f>'03_原始数据'!C302-0.68*'03_原始数据'!B302-OtherCost</f>
        <v/>
      </c>
      <c r="AD302" s="37">
        <f>'03_原始数据'!C302-0.685*'03_原始数据'!B302-OtherCost</f>
        <v/>
      </c>
      <c r="AE302" s="37">
        <f>'03_原始数据'!C302-0.69*'03_原始数据'!B302-OtherCost</f>
        <v/>
      </c>
      <c r="AF302" s="37">
        <f>'03_原始数据'!C302-0.695*'03_原始数据'!B302-OtherCost</f>
        <v/>
      </c>
      <c r="AG302" s="37">
        <f>'03_原始数据'!C302-0.7*'03_原始数据'!B302-OtherCost</f>
        <v/>
      </c>
    </row>
    <row r="303">
      <c r="M303" s="37">
        <f>'03_原始数据'!C303-0.6*'03_原始数据'!B303-OtherCost</f>
        <v/>
      </c>
      <c r="N303" s="37">
        <f>'03_原始数据'!C303-0.605*'03_原始数据'!B303-OtherCost</f>
        <v/>
      </c>
      <c r="O303" s="37">
        <f>'03_原始数据'!C303-0.61*'03_原始数据'!B303-OtherCost</f>
        <v/>
      </c>
      <c r="P303" s="37">
        <f>'03_原始数据'!C303-0.615*'03_原始数据'!B303-OtherCost</f>
        <v/>
      </c>
      <c r="Q303" s="37">
        <f>'03_原始数据'!C303-0.62*'03_原始数据'!B303-OtherCost</f>
        <v/>
      </c>
      <c r="R303" s="37">
        <f>'03_原始数据'!C303-0.625*'03_原始数据'!B303-OtherCost</f>
        <v/>
      </c>
      <c r="S303" s="37">
        <f>'03_原始数据'!C303-0.63*'03_原始数据'!B303-OtherCost</f>
        <v/>
      </c>
      <c r="T303" s="37">
        <f>'03_原始数据'!C303-0.635*'03_原始数据'!B303-OtherCost</f>
        <v/>
      </c>
      <c r="U303" s="37">
        <f>'03_原始数据'!C303-0.64*'03_原始数据'!B303-OtherCost</f>
        <v/>
      </c>
      <c r="V303" s="37">
        <f>'03_原始数据'!C303-0.645*'03_原始数据'!B303-OtherCost</f>
        <v/>
      </c>
      <c r="W303" s="37">
        <f>'03_原始数据'!C303-0.65*'03_原始数据'!B303-OtherCost</f>
        <v/>
      </c>
      <c r="X303" s="37">
        <f>'03_原始数据'!C303-0.655*'03_原始数据'!B303-OtherCost</f>
        <v/>
      </c>
      <c r="Y303" s="37">
        <f>'03_原始数据'!C303-0.66*'03_原始数据'!B303-OtherCost</f>
        <v/>
      </c>
      <c r="Z303" s="37">
        <f>'03_原始数据'!C303-0.665*'03_原始数据'!B303-OtherCost</f>
        <v/>
      </c>
      <c r="AA303" s="37">
        <f>'03_原始数据'!C303-0.67*'03_原始数据'!B303-OtherCost</f>
        <v/>
      </c>
      <c r="AB303" s="37">
        <f>'03_原始数据'!C303-0.675*'03_原始数据'!B303-OtherCost</f>
        <v/>
      </c>
      <c r="AC303" s="37">
        <f>'03_原始数据'!C303-0.68*'03_原始数据'!B303-OtherCost</f>
        <v/>
      </c>
      <c r="AD303" s="37">
        <f>'03_原始数据'!C303-0.685*'03_原始数据'!B303-OtherCost</f>
        <v/>
      </c>
      <c r="AE303" s="37">
        <f>'03_原始数据'!C303-0.69*'03_原始数据'!B303-OtherCost</f>
        <v/>
      </c>
      <c r="AF303" s="37">
        <f>'03_原始数据'!C303-0.695*'03_原始数据'!B303-OtherCost</f>
        <v/>
      </c>
      <c r="AG303" s="37">
        <f>'03_原始数据'!C303-0.7*'03_原始数据'!B303-OtherCost</f>
        <v/>
      </c>
    </row>
    <row r="304">
      <c r="M304" s="37">
        <f>'03_原始数据'!C304-0.6*'03_原始数据'!B304-OtherCost</f>
        <v/>
      </c>
      <c r="N304" s="37">
        <f>'03_原始数据'!C304-0.605*'03_原始数据'!B304-OtherCost</f>
        <v/>
      </c>
      <c r="O304" s="37">
        <f>'03_原始数据'!C304-0.61*'03_原始数据'!B304-OtherCost</f>
        <v/>
      </c>
      <c r="P304" s="37">
        <f>'03_原始数据'!C304-0.615*'03_原始数据'!B304-OtherCost</f>
        <v/>
      </c>
      <c r="Q304" s="37">
        <f>'03_原始数据'!C304-0.62*'03_原始数据'!B304-OtherCost</f>
        <v/>
      </c>
      <c r="R304" s="37">
        <f>'03_原始数据'!C304-0.625*'03_原始数据'!B304-OtherCost</f>
        <v/>
      </c>
      <c r="S304" s="37">
        <f>'03_原始数据'!C304-0.63*'03_原始数据'!B304-OtherCost</f>
        <v/>
      </c>
      <c r="T304" s="37">
        <f>'03_原始数据'!C304-0.635*'03_原始数据'!B304-OtherCost</f>
        <v/>
      </c>
      <c r="U304" s="37">
        <f>'03_原始数据'!C304-0.64*'03_原始数据'!B304-OtherCost</f>
        <v/>
      </c>
      <c r="V304" s="37">
        <f>'03_原始数据'!C304-0.645*'03_原始数据'!B304-OtherCost</f>
        <v/>
      </c>
      <c r="W304" s="37">
        <f>'03_原始数据'!C304-0.65*'03_原始数据'!B304-OtherCost</f>
        <v/>
      </c>
      <c r="X304" s="37">
        <f>'03_原始数据'!C304-0.655*'03_原始数据'!B304-OtherCost</f>
        <v/>
      </c>
      <c r="Y304" s="37">
        <f>'03_原始数据'!C304-0.66*'03_原始数据'!B304-OtherCost</f>
        <v/>
      </c>
      <c r="Z304" s="37">
        <f>'03_原始数据'!C304-0.665*'03_原始数据'!B304-OtherCost</f>
        <v/>
      </c>
      <c r="AA304" s="37">
        <f>'03_原始数据'!C304-0.67*'03_原始数据'!B304-OtherCost</f>
        <v/>
      </c>
      <c r="AB304" s="37">
        <f>'03_原始数据'!C304-0.675*'03_原始数据'!B304-OtherCost</f>
        <v/>
      </c>
      <c r="AC304" s="37">
        <f>'03_原始数据'!C304-0.68*'03_原始数据'!B304-OtherCost</f>
        <v/>
      </c>
      <c r="AD304" s="37">
        <f>'03_原始数据'!C304-0.685*'03_原始数据'!B304-OtherCost</f>
        <v/>
      </c>
      <c r="AE304" s="37">
        <f>'03_原始数据'!C304-0.69*'03_原始数据'!B304-OtherCost</f>
        <v/>
      </c>
      <c r="AF304" s="37">
        <f>'03_原始数据'!C304-0.695*'03_原始数据'!B304-OtherCost</f>
        <v/>
      </c>
      <c r="AG304" s="37">
        <f>'03_原始数据'!C304-0.7*'03_原始数据'!B304-OtherCost</f>
        <v/>
      </c>
    </row>
    <row r="305">
      <c r="M305" s="37">
        <f>'03_原始数据'!C305-0.6*'03_原始数据'!B305-OtherCost</f>
        <v/>
      </c>
      <c r="N305" s="37">
        <f>'03_原始数据'!C305-0.605*'03_原始数据'!B305-OtherCost</f>
        <v/>
      </c>
      <c r="O305" s="37">
        <f>'03_原始数据'!C305-0.61*'03_原始数据'!B305-OtherCost</f>
        <v/>
      </c>
      <c r="P305" s="37">
        <f>'03_原始数据'!C305-0.615*'03_原始数据'!B305-OtherCost</f>
        <v/>
      </c>
      <c r="Q305" s="37">
        <f>'03_原始数据'!C305-0.62*'03_原始数据'!B305-OtherCost</f>
        <v/>
      </c>
      <c r="R305" s="37">
        <f>'03_原始数据'!C305-0.625*'03_原始数据'!B305-OtherCost</f>
        <v/>
      </c>
      <c r="S305" s="37">
        <f>'03_原始数据'!C305-0.63*'03_原始数据'!B305-OtherCost</f>
        <v/>
      </c>
      <c r="T305" s="37">
        <f>'03_原始数据'!C305-0.635*'03_原始数据'!B305-OtherCost</f>
        <v/>
      </c>
      <c r="U305" s="37">
        <f>'03_原始数据'!C305-0.64*'03_原始数据'!B305-OtherCost</f>
        <v/>
      </c>
      <c r="V305" s="37">
        <f>'03_原始数据'!C305-0.645*'03_原始数据'!B305-OtherCost</f>
        <v/>
      </c>
      <c r="W305" s="37">
        <f>'03_原始数据'!C305-0.65*'03_原始数据'!B305-OtherCost</f>
        <v/>
      </c>
      <c r="X305" s="37">
        <f>'03_原始数据'!C305-0.655*'03_原始数据'!B305-OtherCost</f>
        <v/>
      </c>
      <c r="Y305" s="37">
        <f>'03_原始数据'!C305-0.66*'03_原始数据'!B305-OtherCost</f>
        <v/>
      </c>
      <c r="Z305" s="37">
        <f>'03_原始数据'!C305-0.665*'03_原始数据'!B305-OtherCost</f>
        <v/>
      </c>
      <c r="AA305" s="37">
        <f>'03_原始数据'!C305-0.67*'03_原始数据'!B305-OtherCost</f>
        <v/>
      </c>
      <c r="AB305" s="37">
        <f>'03_原始数据'!C305-0.675*'03_原始数据'!B305-OtherCost</f>
        <v/>
      </c>
      <c r="AC305" s="37">
        <f>'03_原始数据'!C305-0.68*'03_原始数据'!B305-OtherCost</f>
        <v/>
      </c>
      <c r="AD305" s="37">
        <f>'03_原始数据'!C305-0.685*'03_原始数据'!B305-OtherCost</f>
        <v/>
      </c>
      <c r="AE305" s="37">
        <f>'03_原始数据'!C305-0.69*'03_原始数据'!B305-OtherCost</f>
        <v/>
      </c>
      <c r="AF305" s="37">
        <f>'03_原始数据'!C305-0.695*'03_原始数据'!B305-OtherCost</f>
        <v/>
      </c>
      <c r="AG305" s="37">
        <f>'03_原始数据'!C305-0.7*'03_原始数据'!B305-OtherCost</f>
        <v/>
      </c>
    </row>
    <row r="306">
      <c r="M306" s="37">
        <f>'03_原始数据'!C306-0.6*'03_原始数据'!B306-OtherCost</f>
        <v/>
      </c>
      <c r="N306" s="37">
        <f>'03_原始数据'!C306-0.605*'03_原始数据'!B306-OtherCost</f>
        <v/>
      </c>
      <c r="O306" s="37">
        <f>'03_原始数据'!C306-0.61*'03_原始数据'!B306-OtherCost</f>
        <v/>
      </c>
      <c r="P306" s="37">
        <f>'03_原始数据'!C306-0.615*'03_原始数据'!B306-OtherCost</f>
        <v/>
      </c>
      <c r="Q306" s="37">
        <f>'03_原始数据'!C306-0.62*'03_原始数据'!B306-OtherCost</f>
        <v/>
      </c>
      <c r="R306" s="37">
        <f>'03_原始数据'!C306-0.625*'03_原始数据'!B306-OtherCost</f>
        <v/>
      </c>
      <c r="S306" s="37">
        <f>'03_原始数据'!C306-0.63*'03_原始数据'!B306-OtherCost</f>
        <v/>
      </c>
      <c r="T306" s="37">
        <f>'03_原始数据'!C306-0.635*'03_原始数据'!B306-OtherCost</f>
        <v/>
      </c>
      <c r="U306" s="37">
        <f>'03_原始数据'!C306-0.64*'03_原始数据'!B306-OtherCost</f>
        <v/>
      </c>
      <c r="V306" s="37">
        <f>'03_原始数据'!C306-0.645*'03_原始数据'!B306-OtherCost</f>
        <v/>
      </c>
      <c r="W306" s="37">
        <f>'03_原始数据'!C306-0.65*'03_原始数据'!B306-OtherCost</f>
        <v/>
      </c>
      <c r="X306" s="37">
        <f>'03_原始数据'!C306-0.655*'03_原始数据'!B306-OtherCost</f>
        <v/>
      </c>
      <c r="Y306" s="37">
        <f>'03_原始数据'!C306-0.66*'03_原始数据'!B306-OtherCost</f>
        <v/>
      </c>
      <c r="Z306" s="37">
        <f>'03_原始数据'!C306-0.665*'03_原始数据'!B306-OtherCost</f>
        <v/>
      </c>
      <c r="AA306" s="37">
        <f>'03_原始数据'!C306-0.67*'03_原始数据'!B306-OtherCost</f>
        <v/>
      </c>
      <c r="AB306" s="37">
        <f>'03_原始数据'!C306-0.675*'03_原始数据'!B306-OtherCost</f>
        <v/>
      </c>
      <c r="AC306" s="37">
        <f>'03_原始数据'!C306-0.68*'03_原始数据'!B306-OtherCost</f>
        <v/>
      </c>
      <c r="AD306" s="37">
        <f>'03_原始数据'!C306-0.685*'03_原始数据'!B306-OtherCost</f>
        <v/>
      </c>
      <c r="AE306" s="37">
        <f>'03_原始数据'!C306-0.69*'03_原始数据'!B306-OtherCost</f>
        <v/>
      </c>
      <c r="AF306" s="37">
        <f>'03_原始数据'!C306-0.695*'03_原始数据'!B306-OtherCost</f>
        <v/>
      </c>
      <c r="AG306" s="37">
        <f>'03_原始数据'!C306-0.7*'03_原始数据'!B306-OtherCost</f>
        <v/>
      </c>
    </row>
    <row r="307">
      <c r="M307" s="37">
        <f>'03_原始数据'!C307-0.6*'03_原始数据'!B307-OtherCost</f>
        <v/>
      </c>
      <c r="N307" s="37">
        <f>'03_原始数据'!C307-0.605*'03_原始数据'!B307-OtherCost</f>
        <v/>
      </c>
      <c r="O307" s="37">
        <f>'03_原始数据'!C307-0.61*'03_原始数据'!B307-OtherCost</f>
        <v/>
      </c>
      <c r="P307" s="37">
        <f>'03_原始数据'!C307-0.615*'03_原始数据'!B307-OtherCost</f>
        <v/>
      </c>
      <c r="Q307" s="37">
        <f>'03_原始数据'!C307-0.62*'03_原始数据'!B307-OtherCost</f>
        <v/>
      </c>
      <c r="R307" s="37">
        <f>'03_原始数据'!C307-0.625*'03_原始数据'!B307-OtherCost</f>
        <v/>
      </c>
      <c r="S307" s="37">
        <f>'03_原始数据'!C307-0.63*'03_原始数据'!B307-OtherCost</f>
        <v/>
      </c>
      <c r="T307" s="37">
        <f>'03_原始数据'!C307-0.635*'03_原始数据'!B307-OtherCost</f>
        <v/>
      </c>
      <c r="U307" s="37">
        <f>'03_原始数据'!C307-0.64*'03_原始数据'!B307-OtherCost</f>
        <v/>
      </c>
      <c r="V307" s="37">
        <f>'03_原始数据'!C307-0.645*'03_原始数据'!B307-OtherCost</f>
        <v/>
      </c>
      <c r="W307" s="37">
        <f>'03_原始数据'!C307-0.65*'03_原始数据'!B307-OtherCost</f>
        <v/>
      </c>
      <c r="X307" s="37">
        <f>'03_原始数据'!C307-0.655*'03_原始数据'!B307-OtherCost</f>
        <v/>
      </c>
      <c r="Y307" s="37">
        <f>'03_原始数据'!C307-0.66*'03_原始数据'!B307-OtherCost</f>
        <v/>
      </c>
      <c r="Z307" s="37">
        <f>'03_原始数据'!C307-0.665*'03_原始数据'!B307-OtherCost</f>
        <v/>
      </c>
      <c r="AA307" s="37">
        <f>'03_原始数据'!C307-0.67*'03_原始数据'!B307-OtherCost</f>
        <v/>
      </c>
      <c r="AB307" s="37">
        <f>'03_原始数据'!C307-0.675*'03_原始数据'!B307-OtherCost</f>
        <v/>
      </c>
      <c r="AC307" s="37">
        <f>'03_原始数据'!C307-0.68*'03_原始数据'!B307-OtherCost</f>
        <v/>
      </c>
      <c r="AD307" s="37">
        <f>'03_原始数据'!C307-0.685*'03_原始数据'!B307-OtherCost</f>
        <v/>
      </c>
      <c r="AE307" s="37">
        <f>'03_原始数据'!C307-0.69*'03_原始数据'!B307-OtherCost</f>
        <v/>
      </c>
      <c r="AF307" s="37">
        <f>'03_原始数据'!C307-0.695*'03_原始数据'!B307-OtherCost</f>
        <v/>
      </c>
      <c r="AG307" s="37">
        <f>'03_原始数据'!C307-0.7*'03_原始数据'!B307-OtherCost</f>
        <v/>
      </c>
    </row>
    <row r="308">
      <c r="M308" s="37">
        <f>'03_原始数据'!C308-0.6*'03_原始数据'!B308-OtherCost</f>
        <v/>
      </c>
      <c r="N308" s="37">
        <f>'03_原始数据'!C308-0.605*'03_原始数据'!B308-OtherCost</f>
        <v/>
      </c>
      <c r="O308" s="37">
        <f>'03_原始数据'!C308-0.61*'03_原始数据'!B308-OtherCost</f>
        <v/>
      </c>
      <c r="P308" s="37">
        <f>'03_原始数据'!C308-0.615*'03_原始数据'!B308-OtherCost</f>
        <v/>
      </c>
      <c r="Q308" s="37">
        <f>'03_原始数据'!C308-0.62*'03_原始数据'!B308-OtherCost</f>
        <v/>
      </c>
      <c r="R308" s="37">
        <f>'03_原始数据'!C308-0.625*'03_原始数据'!B308-OtherCost</f>
        <v/>
      </c>
      <c r="S308" s="37">
        <f>'03_原始数据'!C308-0.63*'03_原始数据'!B308-OtherCost</f>
        <v/>
      </c>
      <c r="T308" s="37">
        <f>'03_原始数据'!C308-0.635*'03_原始数据'!B308-OtherCost</f>
        <v/>
      </c>
      <c r="U308" s="37">
        <f>'03_原始数据'!C308-0.64*'03_原始数据'!B308-OtherCost</f>
        <v/>
      </c>
      <c r="V308" s="37">
        <f>'03_原始数据'!C308-0.645*'03_原始数据'!B308-OtherCost</f>
        <v/>
      </c>
      <c r="W308" s="37">
        <f>'03_原始数据'!C308-0.65*'03_原始数据'!B308-OtherCost</f>
        <v/>
      </c>
      <c r="X308" s="37">
        <f>'03_原始数据'!C308-0.655*'03_原始数据'!B308-OtherCost</f>
        <v/>
      </c>
      <c r="Y308" s="37">
        <f>'03_原始数据'!C308-0.66*'03_原始数据'!B308-OtherCost</f>
        <v/>
      </c>
      <c r="Z308" s="37">
        <f>'03_原始数据'!C308-0.665*'03_原始数据'!B308-OtherCost</f>
        <v/>
      </c>
      <c r="AA308" s="37">
        <f>'03_原始数据'!C308-0.67*'03_原始数据'!B308-OtherCost</f>
        <v/>
      </c>
      <c r="AB308" s="37">
        <f>'03_原始数据'!C308-0.675*'03_原始数据'!B308-OtherCost</f>
        <v/>
      </c>
      <c r="AC308" s="37">
        <f>'03_原始数据'!C308-0.68*'03_原始数据'!B308-OtherCost</f>
        <v/>
      </c>
      <c r="AD308" s="37">
        <f>'03_原始数据'!C308-0.685*'03_原始数据'!B308-OtherCost</f>
        <v/>
      </c>
      <c r="AE308" s="37">
        <f>'03_原始数据'!C308-0.69*'03_原始数据'!B308-OtherCost</f>
        <v/>
      </c>
      <c r="AF308" s="37">
        <f>'03_原始数据'!C308-0.695*'03_原始数据'!B308-OtherCost</f>
        <v/>
      </c>
      <c r="AG308" s="37">
        <f>'03_原始数据'!C308-0.7*'03_原始数据'!B308-OtherCost</f>
        <v/>
      </c>
    </row>
    <row r="309">
      <c r="M309" s="37">
        <f>'03_原始数据'!C309-0.6*'03_原始数据'!B309-OtherCost</f>
        <v/>
      </c>
      <c r="N309" s="37">
        <f>'03_原始数据'!C309-0.605*'03_原始数据'!B309-OtherCost</f>
        <v/>
      </c>
      <c r="O309" s="37">
        <f>'03_原始数据'!C309-0.61*'03_原始数据'!B309-OtherCost</f>
        <v/>
      </c>
      <c r="P309" s="37">
        <f>'03_原始数据'!C309-0.615*'03_原始数据'!B309-OtherCost</f>
        <v/>
      </c>
      <c r="Q309" s="37">
        <f>'03_原始数据'!C309-0.62*'03_原始数据'!B309-OtherCost</f>
        <v/>
      </c>
      <c r="R309" s="37">
        <f>'03_原始数据'!C309-0.625*'03_原始数据'!B309-OtherCost</f>
        <v/>
      </c>
      <c r="S309" s="37">
        <f>'03_原始数据'!C309-0.63*'03_原始数据'!B309-OtherCost</f>
        <v/>
      </c>
      <c r="T309" s="37">
        <f>'03_原始数据'!C309-0.635*'03_原始数据'!B309-OtherCost</f>
        <v/>
      </c>
      <c r="U309" s="37">
        <f>'03_原始数据'!C309-0.64*'03_原始数据'!B309-OtherCost</f>
        <v/>
      </c>
      <c r="V309" s="37">
        <f>'03_原始数据'!C309-0.645*'03_原始数据'!B309-OtherCost</f>
        <v/>
      </c>
      <c r="W309" s="37">
        <f>'03_原始数据'!C309-0.65*'03_原始数据'!B309-OtherCost</f>
        <v/>
      </c>
      <c r="X309" s="37">
        <f>'03_原始数据'!C309-0.655*'03_原始数据'!B309-OtherCost</f>
        <v/>
      </c>
      <c r="Y309" s="37">
        <f>'03_原始数据'!C309-0.66*'03_原始数据'!B309-OtherCost</f>
        <v/>
      </c>
      <c r="Z309" s="37">
        <f>'03_原始数据'!C309-0.665*'03_原始数据'!B309-OtherCost</f>
        <v/>
      </c>
      <c r="AA309" s="37">
        <f>'03_原始数据'!C309-0.67*'03_原始数据'!B309-OtherCost</f>
        <v/>
      </c>
      <c r="AB309" s="37">
        <f>'03_原始数据'!C309-0.675*'03_原始数据'!B309-OtherCost</f>
        <v/>
      </c>
      <c r="AC309" s="37">
        <f>'03_原始数据'!C309-0.68*'03_原始数据'!B309-OtherCost</f>
        <v/>
      </c>
      <c r="AD309" s="37">
        <f>'03_原始数据'!C309-0.685*'03_原始数据'!B309-OtherCost</f>
        <v/>
      </c>
      <c r="AE309" s="37">
        <f>'03_原始数据'!C309-0.69*'03_原始数据'!B309-OtherCost</f>
        <v/>
      </c>
      <c r="AF309" s="37">
        <f>'03_原始数据'!C309-0.695*'03_原始数据'!B309-OtherCost</f>
        <v/>
      </c>
      <c r="AG309" s="37">
        <f>'03_原始数据'!C309-0.7*'03_原始数据'!B309-OtherCost</f>
        <v/>
      </c>
    </row>
    <row r="310">
      <c r="M310" s="37">
        <f>'03_原始数据'!C310-0.6*'03_原始数据'!B310-OtherCost</f>
        <v/>
      </c>
      <c r="N310" s="37">
        <f>'03_原始数据'!C310-0.605*'03_原始数据'!B310-OtherCost</f>
        <v/>
      </c>
      <c r="O310" s="37">
        <f>'03_原始数据'!C310-0.61*'03_原始数据'!B310-OtherCost</f>
        <v/>
      </c>
      <c r="P310" s="37">
        <f>'03_原始数据'!C310-0.615*'03_原始数据'!B310-OtherCost</f>
        <v/>
      </c>
      <c r="Q310" s="37">
        <f>'03_原始数据'!C310-0.62*'03_原始数据'!B310-OtherCost</f>
        <v/>
      </c>
      <c r="R310" s="37">
        <f>'03_原始数据'!C310-0.625*'03_原始数据'!B310-OtherCost</f>
        <v/>
      </c>
      <c r="S310" s="37">
        <f>'03_原始数据'!C310-0.63*'03_原始数据'!B310-OtherCost</f>
        <v/>
      </c>
      <c r="T310" s="37">
        <f>'03_原始数据'!C310-0.635*'03_原始数据'!B310-OtherCost</f>
        <v/>
      </c>
      <c r="U310" s="37">
        <f>'03_原始数据'!C310-0.64*'03_原始数据'!B310-OtherCost</f>
        <v/>
      </c>
      <c r="V310" s="37">
        <f>'03_原始数据'!C310-0.645*'03_原始数据'!B310-OtherCost</f>
        <v/>
      </c>
      <c r="W310" s="37">
        <f>'03_原始数据'!C310-0.65*'03_原始数据'!B310-OtherCost</f>
        <v/>
      </c>
      <c r="X310" s="37">
        <f>'03_原始数据'!C310-0.655*'03_原始数据'!B310-OtherCost</f>
        <v/>
      </c>
      <c r="Y310" s="37">
        <f>'03_原始数据'!C310-0.66*'03_原始数据'!B310-OtherCost</f>
        <v/>
      </c>
      <c r="Z310" s="37">
        <f>'03_原始数据'!C310-0.665*'03_原始数据'!B310-OtherCost</f>
        <v/>
      </c>
      <c r="AA310" s="37">
        <f>'03_原始数据'!C310-0.67*'03_原始数据'!B310-OtherCost</f>
        <v/>
      </c>
      <c r="AB310" s="37">
        <f>'03_原始数据'!C310-0.675*'03_原始数据'!B310-OtherCost</f>
        <v/>
      </c>
      <c r="AC310" s="37">
        <f>'03_原始数据'!C310-0.68*'03_原始数据'!B310-OtherCost</f>
        <v/>
      </c>
      <c r="AD310" s="37">
        <f>'03_原始数据'!C310-0.685*'03_原始数据'!B310-OtherCost</f>
        <v/>
      </c>
      <c r="AE310" s="37">
        <f>'03_原始数据'!C310-0.69*'03_原始数据'!B310-OtherCost</f>
        <v/>
      </c>
      <c r="AF310" s="37">
        <f>'03_原始数据'!C310-0.695*'03_原始数据'!B310-OtherCost</f>
        <v/>
      </c>
      <c r="AG310" s="37">
        <f>'03_原始数据'!C310-0.7*'03_原始数据'!B310-OtherCost</f>
        <v/>
      </c>
    </row>
    <row r="311">
      <c r="M311" s="37">
        <f>'03_原始数据'!C311-0.6*'03_原始数据'!B311-OtherCost</f>
        <v/>
      </c>
      <c r="N311" s="37">
        <f>'03_原始数据'!C311-0.605*'03_原始数据'!B311-OtherCost</f>
        <v/>
      </c>
      <c r="O311" s="37">
        <f>'03_原始数据'!C311-0.61*'03_原始数据'!B311-OtherCost</f>
        <v/>
      </c>
      <c r="P311" s="37">
        <f>'03_原始数据'!C311-0.615*'03_原始数据'!B311-OtherCost</f>
        <v/>
      </c>
      <c r="Q311" s="37">
        <f>'03_原始数据'!C311-0.62*'03_原始数据'!B311-OtherCost</f>
        <v/>
      </c>
      <c r="R311" s="37">
        <f>'03_原始数据'!C311-0.625*'03_原始数据'!B311-OtherCost</f>
        <v/>
      </c>
      <c r="S311" s="37">
        <f>'03_原始数据'!C311-0.63*'03_原始数据'!B311-OtherCost</f>
        <v/>
      </c>
      <c r="T311" s="37">
        <f>'03_原始数据'!C311-0.635*'03_原始数据'!B311-OtherCost</f>
        <v/>
      </c>
      <c r="U311" s="37">
        <f>'03_原始数据'!C311-0.64*'03_原始数据'!B311-OtherCost</f>
        <v/>
      </c>
      <c r="V311" s="37">
        <f>'03_原始数据'!C311-0.645*'03_原始数据'!B311-OtherCost</f>
        <v/>
      </c>
      <c r="W311" s="37">
        <f>'03_原始数据'!C311-0.65*'03_原始数据'!B311-OtherCost</f>
        <v/>
      </c>
      <c r="X311" s="37">
        <f>'03_原始数据'!C311-0.655*'03_原始数据'!B311-OtherCost</f>
        <v/>
      </c>
      <c r="Y311" s="37">
        <f>'03_原始数据'!C311-0.66*'03_原始数据'!B311-OtherCost</f>
        <v/>
      </c>
      <c r="Z311" s="37">
        <f>'03_原始数据'!C311-0.665*'03_原始数据'!B311-OtherCost</f>
        <v/>
      </c>
      <c r="AA311" s="37">
        <f>'03_原始数据'!C311-0.67*'03_原始数据'!B311-OtherCost</f>
        <v/>
      </c>
      <c r="AB311" s="37">
        <f>'03_原始数据'!C311-0.675*'03_原始数据'!B311-OtherCost</f>
        <v/>
      </c>
      <c r="AC311" s="37">
        <f>'03_原始数据'!C311-0.68*'03_原始数据'!B311-OtherCost</f>
        <v/>
      </c>
      <c r="AD311" s="37">
        <f>'03_原始数据'!C311-0.685*'03_原始数据'!B311-OtherCost</f>
        <v/>
      </c>
      <c r="AE311" s="37">
        <f>'03_原始数据'!C311-0.69*'03_原始数据'!B311-OtherCost</f>
        <v/>
      </c>
      <c r="AF311" s="37">
        <f>'03_原始数据'!C311-0.695*'03_原始数据'!B311-OtherCost</f>
        <v/>
      </c>
      <c r="AG311" s="37">
        <f>'03_原始数据'!C311-0.7*'03_原始数据'!B311-OtherCost</f>
        <v/>
      </c>
    </row>
    <row r="312">
      <c r="M312" s="37">
        <f>'03_原始数据'!C312-0.6*'03_原始数据'!B312-OtherCost</f>
        <v/>
      </c>
      <c r="N312" s="37">
        <f>'03_原始数据'!C312-0.605*'03_原始数据'!B312-OtherCost</f>
        <v/>
      </c>
      <c r="O312" s="37">
        <f>'03_原始数据'!C312-0.61*'03_原始数据'!B312-OtherCost</f>
        <v/>
      </c>
      <c r="P312" s="37">
        <f>'03_原始数据'!C312-0.615*'03_原始数据'!B312-OtherCost</f>
        <v/>
      </c>
      <c r="Q312" s="37">
        <f>'03_原始数据'!C312-0.62*'03_原始数据'!B312-OtherCost</f>
        <v/>
      </c>
      <c r="R312" s="37">
        <f>'03_原始数据'!C312-0.625*'03_原始数据'!B312-OtherCost</f>
        <v/>
      </c>
      <c r="S312" s="37">
        <f>'03_原始数据'!C312-0.63*'03_原始数据'!B312-OtherCost</f>
        <v/>
      </c>
      <c r="T312" s="37">
        <f>'03_原始数据'!C312-0.635*'03_原始数据'!B312-OtherCost</f>
        <v/>
      </c>
      <c r="U312" s="37">
        <f>'03_原始数据'!C312-0.64*'03_原始数据'!B312-OtherCost</f>
        <v/>
      </c>
      <c r="V312" s="37">
        <f>'03_原始数据'!C312-0.645*'03_原始数据'!B312-OtherCost</f>
        <v/>
      </c>
      <c r="W312" s="37">
        <f>'03_原始数据'!C312-0.65*'03_原始数据'!B312-OtherCost</f>
        <v/>
      </c>
      <c r="X312" s="37">
        <f>'03_原始数据'!C312-0.655*'03_原始数据'!B312-OtherCost</f>
        <v/>
      </c>
      <c r="Y312" s="37">
        <f>'03_原始数据'!C312-0.66*'03_原始数据'!B312-OtherCost</f>
        <v/>
      </c>
      <c r="Z312" s="37">
        <f>'03_原始数据'!C312-0.665*'03_原始数据'!B312-OtherCost</f>
        <v/>
      </c>
      <c r="AA312" s="37">
        <f>'03_原始数据'!C312-0.67*'03_原始数据'!B312-OtherCost</f>
        <v/>
      </c>
      <c r="AB312" s="37">
        <f>'03_原始数据'!C312-0.675*'03_原始数据'!B312-OtherCost</f>
        <v/>
      </c>
      <c r="AC312" s="37">
        <f>'03_原始数据'!C312-0.68*'03_原始数据'!B312-OtherCost</f>
        <v/>
      </c>
      <c r="AD312" s="37">
        <f>'03_原始数据'!C312-0.685*'03_原始数据'!B312-OtherCost</f>
        <v/>
      </c>
      <c r="AE312" s="37">
        <f>'03_原始数据'!C312-0.69*'03_原始数据'!B312-OtherCost</f>
        <v/>
      </c>
      <c r="AF312" s="37">
        <f>'03_原始数据'!C312-0.695*'03_原始数据'!B312-OtherCost</f>
        <v/>
      </c>
      <c r="AG312" s="37">
        <f>'03_原始数据'!C312-0.7*'03_原始数据'!B312-OtherCost</f>
        <v/>
      </c>
    </row>
    <row r="313">
      <c r="M313" s="37">
        <f>'03_原始数据'!C313-0.6*'03_原始数据'!B313-OtherCost</f>
        <v/>
      </c>
      <c r="N313" s="37">
        <f>'03_原始数据'!C313-0.605*'03_原始数据'!B313-OtherCost</f>
        <v/>
      </c>
      <c r="O313" s="37">
        <f>'03_原始数据'!C313-0.61*'03_原始数据'!B313-OtherCost</f>
        <v/>
      </c>
      <c r="P313" s="37">
        <f>'03_原始数据'!C313-0.615*'03_原始数据'!B313-OtherCost</f>
        <v/>
      </c>
      <c r="Q313" s="37">
        <f>'03_原始数据'!C313-0.62*'03_原始数据'!B313-OtherCost</f>
        <v/>
      </c>
      <c r="R313" s="37">
        <f>'03_原始数据'!C313-0.625*'03_原始数据'!B313-OtherCost</f>
        <v/>
      </c>
      <c r="S313" s="37">
        <f>'03_原始数据'!C313-0.63*'03_原始数据'!B313-OtherCost</f>
        <v/>
      </c>
      <c r="T313" s="37">
        <f>'03_原始数据'!C313-0.635*'03_原始数据'!B313-OtherCost</f>
        <v/>
      </c>
      <c r="U313" s="37">
        <f>'03_原始数据'!C313-0.64*'03_原始数据'!B313-OtherCost</f>
        <v/>
      </c>
      <c r="V313" s="37">
        <f>'03_原始数据'!C313-0.645*'03_原始数据'!B313-OtherCost</f>
        <v/>
      </c>
      <c r="W313" s="37">
        <f>'03_原始数据'!C313-0.65*'03_原始数据'!B313-OtherCost</f>
        <v/>
      </c>
      <c r="X313" s="37">
        <f>'03_原始数据'!C313-0.655*'03_原始数据'!B313-OtherCost</f>
        <v/>
      </c>
      <c r="Y313" s="37">
        <f>'03_原始数据'!C313-0.66*'03_原始数据'!B313-OtherCost</f>
        <v/>
      </c>
      <c r="Z313" s="37">
        <f>'03_原始数据'!C313-0.665*'03_原始数据'!B313-OtherCost</f>
        <v/>
      </c>
      <c r="AA313" s="37">
        <f>'03_原始数据'!C313-0.67*'03_原始数据'!B313-OtherCost</f>
        <v/>
      </c>
      <c r="AB313" s="37">
        <f>'03_原始数据'!C313-0.675*'03_原始数据'!B313-OtherCost</f>
        <v/>
      </c>
      <c r="AC313" s="37">
        <f>'03_原始数据'!C313-0.68*'03_原始数据'!B313-OtherCost</f>
        <v/>
      </c>
      <c r="AD313" s="37">
        <f>'03_原始数据'!C313-0.685*'03_原始数据'!B313-OtherCost</f>
        <v/>
      </c>
      <c r="AE313" s="37">
        <f>'03_原始数据'!C313-0.69*'03_原始数据'!B313-OtherCost</f>
        <v/>
      </c>
      <c r="AF313" s="37">
        <f>'03_原始数据'!C313-0.695*'03_原始数据'!B313-OtherCost</f>
        <v/>
      </c>
      <c r="AG313" s="37">
        <f>'03_原始数据'!C313-0.7*'03_原始数据'!B313-OtherCost</f>
        <v/>
      </c>
    </row>
    <row r="314">
      <c r="M314" s="37">
        <f>'03_原始数据'!C314-0.6*'03_原始数据'!B314-OtherCost</f>
        <v/>
      </c>
      <c r="N314" s="37">
        <f>'03_原始数据'!C314-0.605*'03_原始数据'!B314-OtherCost</f>
        <v/>
      </c>
      <c r="O314" s="37">
        <f>'03_原始数据'!C314-0.61*'03_原始数据'!B314-OtherCost</f>
        <v/>
      </c>
      <c r="P314" s="37">
        <f>'03_原始数据'!C314-0.615*'03_原始数据'!B314-OtherCost</f>
        <v/>
      </c>
      <c r="Q314" s="37">
        <f>'03_原始数据'!C314-0.62*'03_原始数据'!B314-OtherCost</f>
        <v/>
      </c>
      <c r="R314" s="37">
        <f>'03_原始数据'!C314-0.625*'03_原始数据'!B314-OtherCost</f>
        <v/>
      </c>
      <c r="S314" s="37">
        <f>'03_原始数据'!C314-0.63*'03_原始数据'!B314-OtherCost</f>
        <v/>
      </c>
      <c r="T314" s="37">
        <f>'03_原始数据'!C314-0.635*'03_原始数据'!B314-OtherCost</f>
        <v/>
      </c>
      <c r="U314" s="37">
        <f>'03_原始数据'!C314-0.64*'03_原始数据'!B314-OtherCost</f>
        <v/>
      </c>
      <c r="V314" s="37">
        <f>'03_原始数据'!C314-0.645*'03_原始数据'!B314-OtherCost</f>
        <v/>
      </c>
      <c r="W314" s="37">
        <f>'03_原始数据'!C314-0.65*'03_原始数据'!B314-OtherCost</f>
        <v/>
      </c>
      <c r="X314" s="37">
        <f>'03_原始数据'!C314-0.655*'03_原始数据'!B314-OtherCost</f>
        <v/>
      </c>
      <c r="Y314" s="37">
        <f>'03_原始数据'!C314-0.66*'03_原始数据'!B314-OtherCost</f>
        <v/>
      </c>
      <c r="Z314" s="37">
        <f>'03_原始数据'!C314-0.665*'03_原始数据'!B314-OtherCost</f>
        <v/>
      </c>
      <c r="AA314" s="37">
        <f>'03_原始数据'!C314-0.67*'03_原始数据'!B314-OtherCost</f>
        <v/>
      </c>
      <c r="AB314" s="37">
        <f>'03_原始数据'!C314-0.675*'03_原始数据'!B314-OtherCost</f>
        <v/>
      </c>
      <c r="AC314" s="37">
        <f>'03_原始数据'!C314-0.68*'03_原始数据'!B314-OtherCost</f>
        <v/>
      </c>
      <c r="AD314" s="37">
        <f>'03_原始数据'!C314-0.685*'03_原始数据'!B314-OtherCost</f>
        <v/>
      </c>
      <c r="AE314" s="37">
        <f>'03_原始数据'!C314-0.69*'03_原始数据'!B314-OtherCost</f>
        <v/>
      </c>
      <c r="AF314" s="37">
        <f>'03_原始数据'!C314-0.695*'03_原始数据'!B314-OtherCost</f>
        <v/>
      </c>
      <c r="AG314" s="37">
        <f>'03_原始数据'!C314-0.7*'03_原始数据'!B314-OtherCost</f>
        <v/>
      </c>
    </row>
    <row r="315">
      <c r="M315" s="37">
        <f>'03_原始数据'!C315-0.6*'03_原始数据'!B315-OtherCost</f>
        <v/>
      </c>
      <c r="N315" s="37">
        <f>'03_原始数据'!C315-0.605*'03_原始数据'!B315-OtherCost</f>
        <v/>
      </c>
      <c r="O315" s="37">
        <f>'03_原始数据'!C315-0.61*'03_原始数据'!B315-OtherCost</f>
        <v/>
      </c>
      <c r="P315" s="37">
        <f>'03_原始数据'!C315-0.615*'03_原始数据'!B315-OtherCost</f>
        <v/>
      </c>
      <c r="Q315" s="37">
        <f>'03_原始数据'!C315-0.62*'03_原始数据'!B315-OtherCost</f>
        <v/>
      </c>
      <c r="R315" s="37">
        <f>'03_原始数据'!C315-0.625*'03_原始数据'!B315-OtherCost</f>
        <v/>
      </c>
      <c r="S315" s="37">
        <f>'03_原始数据'!C315-0.63*'03_原始数据'!B315-OtherCost</f>
        <v/>
      </c>
      <c r="T315" s="37">
        <f>'03_原始数据'!C315-0.635*'03_原始数据'!B315-OtherCost</f>
        <v/>
      </c>
      <c r="U315" s="37">
        <f>'03_原始数据'!C315-0.64*'03_原始数据'!B315-OtherCost</f>
        <v/>
      </c>
      <c r="V315" s="37">
        <f>'03_原始数据'!C315-0.645*'03_原始数据'!B315-OtherCost</f>
        <v/>
      </c>
      <c r="W315" s="37">
        <f>'03_原始数据'!C315-0.65*'03_原始数据'!B315-OtherCost</f>
        <v/>
      </c>
      <c r="X315" s="37">
        <f>'03_原始数据'!C315-0.655*'03_原始数据'!B315-OtherCost</f>
        <v/>
      </c>
      <c r="Y315" s="37">
        <f>'03_原始数据'!C315-0.66*'03_原始数据'!B315-OtherCost</f>
        <v/>
      </c>
      <c r="Z315" s="37">
        <f>'03_原始数据'!C315-0.665*'03_原始数据'!B315-OtherCost</f>
        <v/>
      </c>
      <c r="AA315" s="37">
        <f>'03_原始数据'!C315-0.67*'03_原始数据'!B315-OtherCost</f>
        <v/>
      </c>
      <c r="AB315" s="37">
        <f>'03_原始数据'!C315-0.675*'03_原始数据'!B315-OtherCost</f>
        <v/>
      </c>
      <c r="AC315" s="37">
        <f>'03_原始数据'!C315-0.68*'03_原始数据'!B315-OtherCost</f>
        <v/>
      </c>
      <c r="AD315" s="37">
        <f>'03_原始数据'!C315-0.685*'03_原始数据'!B315-OtherCost</f>
        <v/>
      </c>
      <c r="AE315" s="37">
        <f>'03_原始数据'!C315-0.69*'03_原始数据'!B315-OtherCost</f>
        <v/>
      </c>
      <c r="AF315" s="37">
        <f>'03_原始数据'!C315-0.695*'03_原始数据'!B315-OtherCost</f>
        <v/>
      </c>
      <c r="AG315" s="37">
        <f>'03_原始数据'!C315-0.7*'03_原始数据'!B315-OtherCost</f>
        <v/>
      </c>
    </row>
    <row r="316">
      <c r="M316" s="37">
        <f>'03_原始数据'!C316-0.6*'03_原始数据'!B316-OtherCost</f>
        <v/>
      </c>
      <c r="N316" s="37">
        <f>'03_原始数据'!C316-0.605*'03_原始数据'!B316-OtherCost</f>
        <v/>
      </c>
      <c r="O316" s="37">
        <f>'03_原始数据'!C316-0.61*'03_原始数据'!B316-OtherCost</f>
        <v/>
      </c>
      <c r="P316" s="37">
        <f>'03_原始数据'!C316-0.615*'03_原始数据'!B316-OtherCost</f>
        <v/>
      </c>
      <c r="Q316" s="37">
        <f>'03_原始数据'!C316-0.62*'03_原始数据'!B316-OtherCost</f>
        <v/>
      </c>
      <c r="R316" s="37">
        <f>'03_原始数据'!C316-0.625*'03_原始数据'!B316-OtherCost</f>
        <v/>
      </c>
      <c r="S316" s="37">
        <f>'03_原始数据'!C316-0.63*'03_原始数据'!B316-OtherCost</f>
        <v/>
      </c>
      <c r="T316" s="37">
        <f>'03_原始数据'!C316-0.635*'03_原始数据'!B316-OtherCost</f>
        <v/>
      </c>
      <c r="U316" s="37">
        <f>'03_原始数据'!C316-0.64*'03_原始数据'!B316-OtherCost</f>
        <v/>
      </c>
      <c r="V316" s="37">
        <f>'03_原始数据'!C316-0.645*'03_原始数据'!B316-OtherCost</f>
        <v/>
      </c>
      <c r="W316" s="37">
        <f>'03_原始数据'!C316-0.65*'03_原始数据'!B316-OtherCost</f>
        <v/>
      </c>
      <c r="X316" s="37">
        <f>'03_原始数据'!C316-0.655*'03_原始数据'!B316-OtherCost</f>
        <v/>
      </c>
      <c r="Y316" s="37">
        <f>'03_原始数据'!C316-0.66*'03_原始数据'!B316-OtherCost</f>
        <v/>
      </c>
      <c r="Z316" s="37">
        <f>'03_原始数据'!C316-0.665*'03_原始数据'!B316-OtherCost</f>
        <v/>
      </c>
      <c r="AA316" s="37">
        <f>'03_原始数据'!C316-0.67*'03_原始数据'!B316-OtherCost</f>
        <v/>
      </c>
      <c r="AB316" s="37">
        <f>'03_原始数据'!C316-0.675*'03_原始数据'!B316-OtherCost</f>
        <v/>
      </c>
      <c r="AC316" s="37">
        <f>'03_原始数据'!C316-0.68*'03_原始数据'!B316-OtherCost</f>
        <v/>
      </c>
      <c r="AD316" s="37">
        <f>'03_原始数据'!C316-0.685*'03_原始数据'!B316-OtherCost</f>
        <v/>
      </c>
      <c r="AE316" s="37">
        <f>'03_原始数据'!C316-0.69*'03_原始数据'!B316-OtherCost</f>
        <v/>
      </c>
      <c r="AF316" s="37">
        <f>'03_原始数据'!C316-0.695*'03_原始数据'!B316-OtherCost</f>
        <v/>
      </c>
      <c r="AG316" s="37">
        <f>'03_原始数据'!C316-0.7*'03_原始数据'!B316-OtherCost</f>
        <v/>
      </c>
    </row>
    <row r="317">
      <c r="M317" s="37">
        <f>'03_原始数据'!C317-0.6*'03_原始数据'!B317-OtherCost</f>
        <v/>
      </c>
      <c r="N317" s="37">
        <f>'03_原始数据'!C317-0.605*'03_原始数据'!B317-OtherCost</f>
        <v/>
      </c>
      <c r="O317" s="37">
        <f>'03_原始数据'!C317-0.61*'03_原始数据'!B317-OtherCost</f>
        <v/>
      </c>
      <c r="P317" s="37">
        <f>'03_原始数据'!C317-0.615*'03_原始数据'!B317-OtherCost</f>
        <v/>
      </c>
      <c r="Q317" s="37">
        <f>'03_原始数据'!C317-0.62*'03_原始数据'!B317-OtherCost</f>
        <v/>
      </c>
      <c r="R317" s="37">
        <f>'03_原始数据'!C317-0.625*'03_原始数据'!B317-OtherCost</f>
        <v/>
      </c>
      <c r="S317" s="37">
        <f>'03_原始数据'!C317-0.63*'03_原始数据'!B317-OtherCost</f>
        <v/>
      </c>
      <c r="T317" s="37">
        <f>'03_原始数据'!C317-0.635*'03_原始数据'!B317-OtherCost</f>
        <v/>
      </c>
      <c r="U317" s="37">
        <f>'03_原始数据'!C317-0.64*'03_原始数据'!B317-OtherCost</f>
        <v/>
      </c>
      <c r="V317" s="37">
        <f>'03_原始数据'!C317-0.645*'03_原始数据'!B317-OtherCost</f>
        <v/>
      </c>
      <c r="W317" s="37">
        <f>'03_原始数据'!C317-0.65*'03_原始数据'!B317-OtherCost</f>
        <v/>
      </c>
      <c r="X317" s="37">
        <f>'03_原始数据'!C317-0.655*'03_原始数据'!B317-OtherCost</f>
        <v/>
      </c>
      <c r="Y317" s="37">
        <f>'03_原始数据'!C317-0.66*'03_原始数据'!B317-OtherCost</f>
        <v/>
      </c>
      <c r="Z317" s="37">
        <f>'03_原始数据'!C317-0.665*'03_原始数据'!B317-OtherCost</f>
        <v/>
      </c>
      <c r="AA317" s="37">
        <f>'03_原始数据'!C317-0.67*'03_原始数据'!B317-OtherCost</f>
        <v/>
      </c>
      <c r="AB317" s="37">
        <f>'03_原始数据'!C317-0.675*'03_原始数据'!B317-OtherCost</f>
        <v/>
      </c>
      <c r="AC317" s="37">
        <f>'03_原始数据'!C317-0.68*'03_原始数据'!B317-OtherCost</f>
        <v/>
      </c>
      <c r="AD317" s="37">
        <f>'03_原始数据'!C317-0.685*'03_原始数据'!B317-OtherCost</f>
        <v/>
      </c>
      <c r="AE317" s="37">
        <f>'03_原始数据'!C317-0.69*'03_原始数据'!B317-OtherCost</f>
        <v/>
      </c>
      <c r="AF317" s="37">
        <f>'03_原始数据'!C317-0.695*'03_原始数据'!B317-OtherCost</f>
        <v/>
      </c>
      <c r="AG317" s="37">
        <f>'03_原始数据'!C317-0.7*'03_原始数据'!B317-OtherCost</f>
        <v/>
      </c>
    </row>
    <row r="318">
      <c r="M318" s="37">
        <f>'03_原始数据'!C318-0.6*'03_原始数据'!B318-OtherCost</f>
        <v/>
      </c>
      <c r="N318" s="37">
        <f>'03_原始数据'!C318-0.605*'03_原始数据'!B318-OtherCost</f>
        <v/>
      </c>
      <c r="O318" s="37">
        <f>'03_原始数据'!C318-0.61*'03_原始数据'!B318-OtherCost</f>
        <v/>
      </c>
      <c r="P318" s="37">
        <f>'03_原始数据'!C318-0.615*'03_原始数据'!B318-OtherCost</f>
        <v/>
      </c>
      <c r="Q318" s="37">
        <f>'03_原始数据'!C318-0.62*'03_原始数据'!B318-OtherCost</f>
        <v/>
      </c>
      <c r="R318" s="37">
        <f>'03_原始数据'!C318-0.625*'03_原始数据'!B318-OtherCost</f>
        <v/>
      </c>
      <c r="S318" s="37">
        <f>'03_原始数据'!C318-0.63*'03_原始数据'!B318-OtherCost</f>
        <v/>
      </c>
      <c r="T318" s="37">
        <f>'03_原始数据'!C318-0.635*'03_原始数据'!B318-OtherCost</f>
        <v/>
      </c>
      <c r="U318" s="37">
        <f>'03_原始数据'!C318-0.64*'03_原始数据'!B318-OtherCost</f>
        <v/>
      </c>
      <c r="V318" s="37">
        <f>'03_原始数据'!C318-0.645*'03_原始数据'!B318-OtherCost</f>
        <v/>
      </c>
      <c r="W318" s="37">
        <f>'03_原始数据'!C318-0.65*'03_原始数据'!B318-OtherCost</f>
        <v/>
      </c>
      <c r="X318" s="37">
        <f>'03_原始数据'!C318-0.655*'03_原始数据'!B318-OtherCost</f>
        <v/>
      </c>
      <c r="Y318" s="37">
        <f>'03_原始数据'!C318-0.66*'03_原始数据'!B318-OtherCost</f>
        <v/>
      </c>
      <c r="Z318" s="37">
        <f>'03_原始数据'!C318-0.665*'03_原始数据'!B318-OtherCost</f>
        <v/>
      </c>
      <c r="AA318" s="37">
        <f>'03_原始数据'!C318-0.67*'03_原始数据'!B318-OtherCost</f>
        <v/>
      </c>
      <c r="AB318" s="37">
        <f>'03_原始数据'!C318-0.675*'03_原始数据'!B318-OtherCost</f>
        <v/>
      </c>
      <c r="AC318" s="37">
        <f>'03_原始数据'!C318-0.68*'03_原始数据'!B318-OtherCost</f>
        <v/>
      </c>
      <c r="AD318" s="37">
        <f>'03_原始数据'!C318-0.685*'03_原始数据'!B318-OtherCost</f>
        <v/>
      </c>
      <c r="AE318" s="37">
        <f>'03_原始数据'!C318-0.69*'03_原始数据'!B318-OtherCost</f>
        <v/>
      </c>
      <c r="AF318" s="37">
        <f>'03_原始数据'!C318-0.695*'03_原始数据'!B318-OtherCost</f>
        <v/>
      </c>
      <c r="AG318" s="37">
        <f>'03_原始数据'!C318-0.7*'03_原始数据'!B318-OtherCost</f>
        <v/>
      </c>
    </row>
    <row r="319">
      <c r="M319" s="37">
        <f>'03_原始数据'!C319-0.6*'03_原始数据'!B319-OtherCost</f>
        <v/>
      </c>
      <c r="N319" s="37">
        <f>'03_原始数据'!C319-0.605*'03_原始数据'!B319-OtherCost</f>
        <v/>
      </c>
      <c r="O319" s="37">
        <f>'03_原始数据'!C319-0.61*'03_原始数据'!B319-OtherCost</f>
        <v/>
      </c>
      <c r="P319" s="37">
        <f>'03_原始数据'!C319-0.615*'03_原始数据'!B319-OtherCost</f>
        <v/>
      </c>
      <c r="Q319" s="37">
        <f>'03_原始数据'!C319-0.62*'03_原始数据'!B319-OtherCost</f>
        <v/>
      </c>
      <c r="R319" s="37">
        <f>'03_原始数据'!C319-0.625*'03_原始数据'!B319-OtherCost</f>
        <v/>
      </c>
      <c r="S319" s="37">
        <f>'03_原始数据'!C319-0.63*'03_原始数据'!B319-OtherCost</f>
        <v/>
      </c>
      <c r="T319" s="37">
        <f>'03_原始数据'!C319-0.635*'03_原始数据'!B319-OtherCost</f>
        <v/>
      </c>
      <c r="U319" s="37">
        <f>'03_原始数据'!C319-0.64*'03_原始数据'!B319-OtherCost</f>
        <v/>
      </c>
      <c r="V319" s="37">
        <f>'03_原始数据'!C319-0.645*'03_原始数据'!B319-OtherCost</f>
        <v/>
      </c>
      <c r="W319" s="37">
        <f>'03_原始数据'!C319-0.65*'03_原始数据'!B319-OtherCost</f>
        <v/>
      </c>
      <c r="X319" s="37">
        <f>'03_原始数据'!C319-0.655*'03_原始数据'!B319-OtherCost</f>
        <v/>
      </c>
      <c r="Y319" s="37">
        <f>'03_原始数据'!C319-0.66*'03_原始数据'!B319-OtherCost</f>
        <v/>
      </c>
      <c r="Z319" s="37">
        <f>'03_原始数据'!C319-0.665*'03_原始数据'!B319-OtherCost</f>
        <v/>
      </c>
      <c r="AA319" s="37">
        <f>'03_原始数据'!C319-0.67*'03_原始数据'!B319-OtherCost</f>
        <v/>
      </c>
      <c r="AB319" s="37">
        <f>'03_原始数据'!C319-0.675*'03_原始数据'!B319-OtherCost</f>
        <v/>
      </c>
      <c r="AC319" s="37">
        <f>'03_原始数据'!C319-0.68*'03_原始数据'!B319-OtherCost</f>
        <v/>
      </c>
      <c r="AD319" s="37">
        <f>'03_原始数据'!C319-0.685*'03_原始数据'!B319-OtherCost</f>
        <v/>
      </c>
      <c r="AE319" s="37">
        <f>'03_原始数据'!C319-0.69*'03_原始数据'!B319-OtherCost</f>
        <v/>
      </c>
      <c r="AF319" s="37">
        <f>'03_原始数据'!C319-0.695*'03_原始数据'!B319-OtherCost</f>
        <v/>
      </c>
      <c r="AG319" s="37">
        <f>'03_原始数据'!C319-0.7*'03_原始数据'!B319-OtherCost</f>
        <v/>
      </c>
    </row>
    <row r="320">
      <c r="M320" s="37">
        <f>'03_原始数据'!C320-0.6*'03_原始数据'!B320-OtherCost</f>
        <v/>
      </c>
      <c r="N320" s="37">
        <f>'03_原始数据'!C320-0.605*'03_原始数据'!B320-OtherCost</f>
        <v/>
      </c>
      <c r="O320" s="37">
        <f>'03_原始数据'!C320-0.61*'03_原始数据'!B320-OtherCost</f>
        <v/>
      </c>
      <c r="P320" s="37">
        <f>'03_原始数据'!C320-0.615*'03_原始数据'!B320-OtherCost</f>
        <v/>
      </c>
      <c r="Q320" s="37">
        <f>'03_原始数据'!C320-0.62*'03_原始数据'!B320-OtherCost</f>
        <v/>
      </c>
      <c r="R320" s="37">
        <f>'03_原始数据'!C320-0.625*'03_原始数据'!B320-OtherCost</f>
        <v/>
      </c>
      <c r="S320" s="37">
        <f>'03_原始数据'!C320-0.63*'03_原始数据'!B320-OtherCost</f>
        <v/>
      </c>
      <c r="T320" s="37">
        <f>'03_原始数据'!C320-0.635*'03_原始数据'!B320-OtherCost</f>
        <v/>
      </c>
      <c r="U320" s="37">
        <f>'03_原始数据'!C320-0.64*'03_原始数据'!B320-OtherCost</f>
        <v/>
      </c>
      <c r="V320" s="37">
        <f>'03_原始数据'!C320-0.645*'03_原始数据'!B320-OtherCost</f>
        <v/>
      </c>
      <c r="W320" s="37">
        <f>'03_原始数据'!C320-0.65*'03_原始数据'!B320-OtherCost</f>
        <v/>
      </c>
      <c r="X320" s="37">
        <f>'03_原始数据'!C320-0.655*'03_原始数据'!B320-OtherCost</f>
        <v/>
      </c>
      <c r="Y320" s="37">
        <f>'03_原始数据'!C320-0.66*'03_原始数据'!B320-OtherCost</f>
        <v/>
      </c>
      <c r="Z320" s="37">
        <f>'03_原始数据'!C320-0.665*'03_原始数据'!B320-OtherCost</f>
        <v/>
      </c>
      <c r="AA320" s="37">
        <f>'03_原始数据'!C320-0.67*'03_原始数据'!B320-OtherCost</f>
        <v/>
      </c>
      <c r="AB320" s="37">
        <f>'03_原始数据'!C320-0.675*'03_原始数据'!B320-OtherCost</f>
        <v/>
      </c>
      <c r="AC320" s="37">
        <f>'03_原始数据'!C320-0.68*'03_原始数据'!B320-OtherCost</f>
        <v/>
      </c>
      <c r="AD320" s="37">
        <f>'03_原始数据'!C320-0.685*'03_原始数据'!B320-OtherCost</f>
        <v/>
      </c>
      <c r="AE320" s="37">
        <f>'03_原始数据'!C320-0.69*'03_原始数据'!B320-OtherCost</f>
        <v/>
      </c>
      <c r="AF320" s="37">
        <f>'03_原始数据'!C320-0.695*'03_原始数据'!B320-OtherCost</f>
        <v/>
      </c>
      <c r="AG320" s="37">
        <f>'03_原始数据'!C320-0.7*'03_原始数据'!B320-OtherCost</f>
        <v/>
      </c>
    </row>
    <row r="321">
      <c r="M321" s="37">
        <f>'03_原始数据'!C321-0.6*'03_原始数据'!B321-OtherCost</f>
        <v/>
      </c>
      <c r="N321" s="37">
        <f>'03_原始数据'!C321-0.605*'03_原始数据'!B321-OtherCost</f>
        <v/>
      </c>
      <c r="O321" s="37">
        <f>'03_原始数据'!C321-0.61*'03_原始数据'!B321-OtherCost</f>
        <v/>
      </c>
      <c r="P321" s="37">
        <f>'03_原始数据'!C321-0.615*'03_原始数据'!B321-OtherCost</f>
        <v/>
      </c>
      <c r="Q321" s="37">
        <f>'03_原始数据'!C321-0.62*'03_原始数据'!B321-OtherCost</f>
        <v/>
      </c>
      <c r="R321" s="37">
        <f>'03_原始数据'!C321-0.625*'03_原始数据'!B321-OtherCost</f>
        <v/>
      </c>
      <c r="S321" s="37">
        <f>'03_原始数据'!C321-0.63*'03_原始数据'!B321-OtherCost</f>
        <v/>
      </c>
      <c r="T321" s="37">
        <f>'03_原始数据'!C321-0.635*'03_原始数据'!B321-OtherCost</f>
        <v/>
      </c>
      <c r="U321" s="37">
        <f>'03_原始数据'!C321-0.64*'03_原始数据'!B321-OtherCost</f>
        <v/>
      </c>
      <c r="V321" s="37">
        <f>'03_原始数据'!C321-0.645*'03_原始数据'!B321-OtherCost</f>
        <v/>
      </c>
      <c r="W321" s="37">
        <f>'03_原始数据'!C321-0.65*'03_原始数据'!B321-OtherCost</f>
        <v/>
      </c>
      <c r="X321" s="37">
        <f>'03_原始数据'!C321-0.655*'03_原始数据'!B321-OtherCost</f>
        <v/>
      </c>
      <c r="Y321" s="37">
        <f>'03_原始数据'!C321-0.66*'03_原始数据'!B321-OtherCost</f>
        <v/>
      </c>
      <c r="Z321" s="37">
        <f>'03_原始数据'!C321-0.665*'03_原始数据'!B321-OtherCost</f>
        <v/>
      </c>
      <c r="AA321" s="37">
        <f>'03_原始数据'!C321-0.67*'03_原始数据'!B321-OtherCost</f>
        <v/>
      </c>
      <c r="AB321" s="37">
        <f>'03_原始数据'!C321-0.675*'03_原始数据'!B321-OtherCost</f>
        <v/>
      </c>
      <c r="AC321" s="37">
        <f>'03_原始数据'!C321-0.68*'03_原始数据'!B321-OtherCost</f>
        <v/>
      </c>
      <c r="AD321" s="37">
        <f>'03_原始数据'!C321-0.685*'03_原始数据'!B321-OtherCost</f>
        <v/>
      </c>
      <c r="AE321" s="37">
        <f>'03_原始数据'!C321-0.69*'03_原始数据'!B321-OtherCost</f>
        <v/>
      </c>
      <c r="AF321" s="37">
        <f>'03_原始数据'!C321-0.695*'03_原始数据'!B321-OtherCost</f>
        <v/>
      </c>
      <c r="AG321" s="37">
        <f>'03_原始数据'!C321-0.7*'03_原始数据'!B321-OtherCost</f>
        <v/>
      </c>
    </row>
    <row r="322">
      <c r="M322" s="37">
        <f>'03_原始数据'!C322-0.6*'03_原始数据'!B322-OtherCost</f>
        <v/>
      </c>
      <c r="N322" s="37">
        <f>'03_原始数据'!C322-0.605*'03_原始数据'!B322-OtherCost</f>
        <v/>
      </c>
      <c r="O322" s="37">
        <f>'03_原始数据'!C322-0.61*'03_原始数据'!B322-OtherCost</f>
        <v/>
      </c>
      <c r="P322" s="37">
        <f>'03_原始数据'!C322-0.615*'03_原始数据'!B322-OtherCost</f>
        <v/>
      </c>
      <c r="Q322" s="37">
        <f>'03_原始数据'!C322-0.62*'03_原始数据'!B322-OtherCost</f>
        <v/>
      </c>
      <c r="R322" s="37">
        <f>'03_原始数据'!C322-0.625*'03_原始数据'!B322-OtherCost</f>
        <v/>
      </c>
      <c r="S322" s="37">
        <f>'03_原始数据'!C322-0.63*'03_原始数据'!B322-OtherCost</f>
        <v/>
      </c>
      <c r="T322" s="37">
        <f>'03_原始数据'!C322-0.635*'03_原始数据'!B322-OtherCost</f>
        <v/>
      </c>
      <c r="U322" s="37">
        <f>'03_原始数据'!C322-0.64*'03_原始数据'!B322-OtherCost</f>
        <v/>
      </c>
      <c r="V322" s="37">
        <f>'03_原始数据'!C322-0.645*'03_原始数据'!B322-OtherCost</f>
        <v/>
      </c>
      <c r="W322" s="37">
        <f>'03_原始数据'!C322-0.65*'03_原始数据'!B322-OtherCost</f>
        <v/>
      </c>
      <c r="X322" s="37">
        <f>'03_原始数据'!C322-0.655*'03_原始数据'!B322-OtherCost</f>
        <v/>
      </c>
      <c r="Y322" s="37">
        <f>'03_原始数据'!C322-0.66*'03_原始数据'!B322-OtherCost</f>
        <v/>
      </c>
      <c r="Z322" s="37">
        <f>'03_原始数据'!C322-0.665*'03_原始数据'!B322-OtherCost</f>
        <v/>
      </c>
      <c r="AA322" s="37">
        <f>'03_原始数据'!C322-0.67*'03_原始数据'!B322-OtherCost</f>
        <v/>
      </c>
      <c r="AB322" s="37">
        <f>'03_原始数据'!C322-0.675*'03_原始数据'!B322-OtherCost</f>
        <v/>
      </c>
      <c r="AC322" s="37">
        <f>'03_原始数据'!C322-0.68*'03_原始数据'!B322-OtherCost</f>
        <v/>
      </c>
      <c r="AD322" s="37">
        <f>'03_原始数据'!C322-0.685*'03_原始数据'!B322-OtherCost</f>
        <v/>
      </c>
      <c r="AE322" s="37">
        <f>'03_原始数据'!C322-0.69*'03_原始数据'!B322-OtherCost</f>
        <v/>
      </c>
      <c r="AF322" s="37">
        <f>'03_原始数据'!C322-0.695*'03_原始数据'!B322-OtherCost</f>
        <v/>
      </c>
      <c r="AG322" s="37">
        <f>'03_原始数据'!C322-0.7*'03_原始数据'!B322-OtherCost</f>
        <v/>
      </c>
    </row>
    <row r="323">
      <c r="M323" s="37">
        <f>'03_原始数据'!C323-0.6*'03_原始数据'!B323-OtherCost</f>
        <v/>
      </c>
      <c r="N323" s="37">
        <f>'03_原始数据'!C323-0.605*'03_原始数据'!B323-OtherCost</f>
        <v/>
      </c>
      <c r="O323" s="37">
        <f>'03_原始数据'!C323-0.61*'03_原始数据'!B323-OtherCost</f>
        <v/>
      </c>
      <c r="P323" s="37">
        <f>'03_原始数据'!C323-0.615*'03_原始数据'!B323-OtherCost</f>
        <v/>
      </c>
      <c r="Q323" s="37">
        <f>'03_原始数据'!C323-0.62*'03_原始数据'!B323-OtherCost</f>
        <v/>
      </c>
      <c r="R323" s="37">
        <f>'03_原始数据'!C323-0.625*'03_原始数据'!B323-OtherCost</f>
        <v/>
      </c>
      <c r="S323" s="37">
        <f>'03_原始数据'!C323-0.63*'03_原始数据'!B323-OtherCost</f>
        <v/>
      </c>
      <c r="T323" s="37">
        <f>'03_原始数据'!C323-0.635*'03_原始数据'!B323-OtherCost</f>
        <v/>
      </c>
      <c r="U323" s="37">
        <f>'03_原始数据'!C323-0.64*'03_原始数据'!B323-OtherCost</f>
        <v/>
      </c>
      <c r="V323" s="37">
        <f>'03_原始数据'!C323-0.645*'03_原始数据'!B323-OtherCost</f>
        <v/>
      </c>
      <c r="W323" s="37">
        <f>'03_原始数据'!C323-0.65*'03_原始数据'!B323-OtherCost</f>
        <v/>
      </c>
      <c r="X323" s="37">
        <f>'03_原始数据'!C323-0.655*'03_原始数据'!B323-OtherCost</f>
        <v/>
      </c>
      <c r="Y323" s="37">
        <f>'03_原始数据'!C323-0.66*'03_原始数据'!B323-OtherCost</f>
        <v/>
      </c>
      <c r="Z323" s="37">
        <f>'03_原始数据'!C323-0.665*'03_原始数据'!B323-OtherCost</f>
        <v/>
      </c>
      <c r="AA323" s="37">
        <f>'03_原始数据'!C323-0.67*'03_原始数据'!B323-OtherCost</f>
        <v/>
      </c>
      <c r="AB323" s="37">
        <f>'03_原始数据'!C323-0.675*'03_原始数据'!B323-OtherCost</f>
        <v/>
      </c>
      <c r="AC323" s="37">
        <f>'03_原始数据'!C323-0.68*'03_原始数据'!B323-OtherCost</f>
        <v/>
      </c>
      <c r="AD323" s="37">
        <f>'03_原始数据'!C323-0.685*'03_原始数据'!B323-OtherCost</f>
        <v/>
      </c>
      <c r="AE323" s="37">
        <f>'03_原始数据'!C323-0.69*'03_原始数据'!B323-OtherCost</f>
        <v/>
      </c>
      <c r="AF323" s="37">
        <f>'03_原始数据'!C323-0.695*'03_原始数据'!B323-OtherCost</f>
        <v/>
      </c>
      <c r="AG323" s="37">
        <f>'03_原始数据'!C323-0.7*'03_原始数据'!B323-OtherCost</f>
        <v/>
      </c>
    </row>
    <row r="324">
      <c r="M324" s="37">
        <f>'03_原始数据'!C324-0.6*'03_原始数据'!B324-OtherCost</f>
        <v/>
      </c>
      <c r="N324" s="37">
        <f>'03_原始数据'!C324-0.605*'03_原始数据'!B324-OtherCost</f>
        <v/>
      </c>
      <c r="O324" s="37">
        <f>'03_原始数据'!C324-0.61*'03_原始数据'!B324-OtherCost</f>
        <v/>
      </c>
      <c r="P324" s="37">
        <f>'03_原始数据'!C324-0.615*'03_原始数据'!B324-OtherCost</f>
        <v/>
      </c>
      <c r="Q324" s="37">
        <f>'03_原始数据'!C324-0.62*'03_原始数据'!B324-OtherCost</f>
        <v/>
      </c>
      <c r="R324" s="37">
        <f>'03_原始数据'!C324-0.625*'03_原始数据'!B324-OtherCost</f>
        <v/>
      </c>
      <c r="S324" s="37">
        <f>'03_原始数据'!C324-0.63*'03_原始数据'!B324-OtherCost</f>
        <v/>
      </c>
      <c r="T324" s="37">
        <f>'03_原始数据'!C324-0.635*'03_原始数据'!B324-OtherCost</f>
        <v/>
      </c>
      <c r="U324" s="37">
        <f>'03_原始数据'!C324-0.64*'03_原始数据'!B324-OtherCost</f>
        <v/>
      </c>
      <c r="V324" s="37">
        <f>'03_原始数据'!C324-0.645*'03_原始数据'!B324-OtherCost</f>
        <v/>
      </c>
      <c r="W324" s="37">
        <f>'03_原始数据'!C324-0.65*'03_原始数据'!B324-OtherCost</f>
        <v/>
      </c>
      <c r="X324" s="37">
        <f>'03_原始数据'!C324-0.655*'03_原始数据'!B324-OtherCost</f>
        <v/>
      </c>
      <c r="Y324" s="37">
        <f>'03_原始数据'!C324-0.66*'03_原始数据'!B324-OtherCost</f>
        <v/>
      </c>
      <c r="Z324" s="37">
        <f>'03_原始数据'!C324-0.665*'03_原始数据'!B324-OtherCost</f>
        <v/>
      </c>
      <c r="AA324" s="37">
        <f>'03_原始数据'!C324-0.67*'03_原始数据'!B324-OtherCost</f>
        <v/>
      </c>
      <c r="AB324" s="37">
        <f>'03_原始数据'!C324-0.675*'03_原始数据'!B324-OtherCost</f>
        <v/>
      </c>
      <c r="AC324" s="37">
        <f>'03_原始数据'!C324-0.68*'03_原始数据'!B324-OtherCost</f>
        <v/>
      </c>
      <c r="AD324" s="37">
        <f>'03_原始数据'!C324-0.685*'03_原始数据'!B324-OtherCost</f>
        <v/>
      </c>
      <c r="AE324" s="37">
        <f>'03_原始数据'!C324-0.69*'03_原始数据'!B324-OtherCost</f>
        <v/>
      </c>
      <c r="AF324" s="37">
        <f>'03_原始数据'!C324-0.695*'03_原始数据'!B324-OtherCost</f>
        <v/>
      </c>
      <c r="AG324" s="37">
        <f>'03_原始数据'!C324-0.7*'03_原始数据'!B324-OtherCost</f>
        <v/>
      </c>
    </row>
    <row r="325">
      <c r="M325" s="37">
        <f>'03_原始数据'!C325-0.6*'03_原始数据'!B325-OtherCost</f>
        <v/>
      </c>
      <c r="N325" s="37">
        <f>'03_原始数据'!C325-0.605*'03_原始数据'!B325-OtherCost</f>
        <v/>
      </c>
      <c r="O325" s="37">
        <f>'03_原始数据'!C325-0.61*'03_原始数据'!B325-OtherCost</f>
        <v/>
      </c>
      <c r="P325" s="37">
        <f>'03_原始数据'!C325-0.615*'03_原始数据'!B325-OtherCost</f>
        <v/>
      </c>
      <c r="Q325" s="37">
        <f>'03_原始数据'!C325-0.62*'03_原始数据'!B325-OtherCost</f>
        <v/>
      </c>
      <c r="R325" s="37">
        <f>'03_原始数据'!C325-0.625*'03_原始数据'!B325-OtherCost</f>
        <v/>
      </c>
      <c r="S325" s="37">
        <f>'03_原始数据'!C325-0.63*'03_原始数据'!B325-OtherCost</f>
        <v/>
      </c>
      <c r="T325" s="37">
        <f>'03_原始数据'!C325-0.635*'03_原始数据'!B325-OtherCost</f>
        <v/>
      </c>
      <c r="U325" s="37">
        <f>'03_原始数据'!C325-0.64*'03_原始数据'!B325-OtherCost</f>
        <v/>
      </c>
      <c r="V325" s="37">
        <f>'03_原始数据'!C325-0.645*'03_原始数据'!B325-OtherCost</f>
        <v/>
      </c>
      <c r="W325" s="37">
        <f>'03_原始数据'!C325-0.65*'03_原始数据'!B325-OtherCost</f>
        <v/>
      </c>
      <c r="X325" s="37">
        <f>'03_原始数据'!C325-0.655*'03_原始数据'!B325-OtherCost</f>
        <v/>
      </c>
      <c r="Y325" s="37">
        <f>'03_原始数据'!C325-0.66*'03_原始数据'!B325-OtherCost</f>
        <v/>
      </c>
      <c r="Z325" s="37">
        <f>'03_原始数据'!C325-0.665*'03_原始数据'!B325-OtherCost</f>
        <v/>
      </c>
      <c r="AA325" s="37">
        <f>'03_原始数据'!C325-0.67*'03_原始数据'!B325-OtherCost</f>
        <v/>
      </c>
      <c r="AB325" s="37">
        <f>'03_原始数据'!C325-0.675*'03_原始数据'!B325-OtherCost</f>
        <v/>
      </c>
      <c r="AC325" s="37">
        <f>'03_原始数据'!C325-0.68*'03_原始数据'!B325-OtherCost</f>
        <v/>
      </c>
      <c r="AD325" s="37">
        <f>'03_原始数据'!C325-0.685*'03_原始数据'!B325-OtherCost</f>
        <v/>
      </c>
      <c r="AE325" s="37">
        <f>'03_原始数据'!C325-0.69*'03_原始数据'!B325-OtherCost</f>
        <v/>
      </c>
      <c r="AF325" s="37">
        <f>'03_原始数据'!C325-0.695*'03_原始数据'!B325-OtherCost</f>
        <v/>
      </c>
      <c r="AG325" s="37">
        <f>'03_原始数据'!C325-0.7*'03_原始数据'!B325-OtherCost</f>
        <v/>
      </c>
    </row>
    <row r="326">
      <c r="M326" s="37">
        <f>'03_原始数据'!C326-0.6*'03_原始数据'!B326-OtherCost</f>
        <v/>
      </c>
      <c r="N326" s="37">
        <f>'03_原始数据'!C326-0.605*'03_原始数据'!B326-OtherCost</f>
        <v/>
      </c>
      <c r="O326" s="37">
        <f>'03_原始数据'!C326-0.61*'03_原始数据'!B326-OtherCost</f>
        <v/>
      </c>
      <c r="P326" s="37">
        <f>'03_原始数据'!C326-0.615*'03_原始数据'!B326-OtherCost</f>
        <v/>
      </c>
      <c r="Q326" s="37">
        <f>'03_原始数据'!C326-0.62*'03_原始数据'!B326-OtherCost</f>
        <v/>
      </c>
      <c r="R326" s="37">
        <f>'03_原始数据'!C326-0.625*'03_原始数据'!B326-OtherCost</f>
        <v/>
      </c>
      <c r="S326" s="37">
        <f>'03_原始数据'!C326-0.63*'03_原始数据'!B326-OtherCost</f>
        <v/>
      </c>
      <c r="T326" s="37">
        <f>'03_原始数据'!C326-0.635*'03_原始数据'!B326-OtherCost</f>
        <v/>
      </c>
      <c r="U326" s="37">
        <f>'03_原始数据'!C326-0.64*'03_原始数据'!B326-OtherCost</f>
        <v/>
      </c>
      <c r="V326" s="37">
        <f>'03_原始数据'!C326-0.645*'03_原始数据'!B326-OtherCost</f>
        <v/>
      </c>
      <c r="W326" s="37">
        <f>'03_原始数据'!C326-0.65*'03_原始数据'!B326-OtherCost</f>
        <v/>
      </c>
      <c r="X326" s="37">
        <f>'03_原始数据'!C326-0.655*'03_原始数据'!B326-OtherCost</f>
        <v/>
      </c>
      <c r="Y326" s="37">
        <f>'03_原始数据'!C326-0.66*'03_原始数据'!B326-OtherCost</f>
        <v/>
      </c>
      <c r="Z326" s="37">
        <f>'03_原始数据'!C326-0.665*'03_原始数据'!B326-OtherCost</f>
        <v/>
      </c>
      <c r="AA326" s="37">
        <f>'03_原始数据'!C326-0.67*'03_原始数据'!B326-OtherCost</f>
        <v/>
      </c>
      <c r="AB326" s="37">
        <f>'03_原始数据'!C326-0.675*'03_原始数据'!B326-OtherCost</f>
        <v/>
      </c>
      <c r="AC326" s="37">
        <f>'03_原始数据'!C326-0.68*'03_原始数据'!B326-OtherCost</f>
        <v/>
      </c>
      <c r="AD326" s="37">
        <f>'03_原始数据'!C326-0.685*'03_原始数据'!B326-OtherCost</f>
        <v/>
      </c>
      <c r="AE326" s="37">
        <f>'03_原始数据'!C326-0.69*'03_原始数据'!B326-OtherCost</f>
        <v/>
      </c>
      <c r="AF326" s="37">
        <f>'03_原始数据'!C326-0.695*'03_原始数据'!B326-OtherCost</f>
        <v/>
      </c>
      <c r="AG326" s="37">
        <f>'03_原始数据'!C326-0.7*'03_原始数据'!B326-OtherCost</f>
        <v/>
      </c>
    </row>
    <row r="327">
      <c r="M327" s="37">
        <f>'03_原始数据'!C327-0.6*'03_原始数据'!B327-OtherCost</f>
        <v/>
      </c>
      <c r="N327" s="37">
        <f>'03_原始数据'!C327-0.605*'03_原始数据'!B327-OtherCost</f>
        <v/>
      </c>
      <c r="O327" s="37">
        <f>'03_原始数据'!C327-0.61*'03_原始数据'!B327-OtherCost</f>
        <v/>
      </c>
      <c r="P327" s="37">
        <f>'03_原始数据'!C327-0.615*'03_原始数据'!B327-OtherCost</f>
        <v/>
      </c>
      <c r="Q327" s="37">
        <f>'03_原始数据'!C327-0.62*'03_原始数据'!B327-OtherCost</f>
        <v/>
      </c>
      <c r="R327" s="37">
        <f>'03_原始数据'!C327-0.625*'03_原始数据'!B327-OtherCost</f>
        <v/>
      </c>
      <c r="S327" s="37">
        <f>'03_原始数据'!C327-0.63*'03_原始数据'!B327-OtherCost</f>
        <v/>
      </c>
      <c r="T327" s="37">
        <f>'03_原始数据'!C327-0.635*'03_原始数据'!B327-OtherCost</f>
        <v/>
      </c>
      <c r="U327" s="37">
        <f>'03_原始数据'!C327-0.64*'03_原始数据'!B327-OtherCost</f>
        <v/>
      </c>
      <c r="V327" s="37">
        <f>'03_原始数据'!C327-0.645*'03_原始数据'!B327-OtherCost</f>
        <v/>
      </c>
      <c r="W327" s="37">
        <f>'03_原始数据'!C327-0.65*'03_原始数据'!B327-OtherCost</f>
        <v/>
      </c>
      <c r="X327" s="37">
        <f>'03_原始数据'!C327-0.655*'03_原始数据'!B327-OtherCost</f>
        <v/>
      </c>
      <c r="Y327" s="37">
        <f>'03_原始数据'!C327-0.66*'03_原始数据'!B327-OtherCost</f>
        <v/>
      </c>
      <c r="Z327" s="37">
        <f>'03_原始数据'!C327-0.665*'03_原始数据'!B327-OtherCost</f>
        <v/>
      </c>
      <c r="AA327" s="37">
        <f>'03_原始数据'!C327-0.67*'03_原始数据'!B327-OtherCost</f>
        <v/>
      </c>
      <c r="AB327" s="37">
        <f>'03_原始数据'!C327-0.675*'03_原始数据'!B327-OtherCost</f>
        <v/>
      </c>
      <c r="AC327" s="37">
        <f>'03_原始数据'!C327-0.68*'03_原始数据'!B327-OtherCost</f>
        <v/>
      </c>
      <c r="AD327" s="37">
        <f>'03_原始数据'!C327-0.685*'03_原始数据'!B327-OtherCost</f>
        <v/>
      </c>
      <c r="AE327" s="37">
        <f>'03_原始数据'!C327-0.69*'03_原始数据'!B327-OtherCost</f>
        <v/>
      </c>
      <c r="AF327" s="37">
        <f>'03_原始数据'!C327-0.695*'03_原始数据'!B327-OtherCost</f>
        <v/>
      </c>
      <c r="AG327" s="37">
        <f>'03_原始数据'!C327-0.7*'03_原始数据'!B327-OtherCost</f>
        <v/>
      </c>
    </row>
    <row r="328">
      <c r="M328" s="37">
        <f>'03_原始数据'!C328-0.6*'03_原始数据'!B328-OtherCost</f>
        <v/>
      </c>
      <c r="N328" s="37">
        <f>'03_原始数据'!C328-0.605*'03_原始数据'!B328-OtherCost</f>
        <v/>
      </c>
      <c r="O328" s="37">
        <f>'03_原始数据'!C328-0.61*'03_原始数据'!B328-OtherCost</f>
        <v/>
      </c>
      <c r="P328" s="37">
        <f>'03_原始数据'!C328-0.615*'03_原始数据'!B328-OtherCost</f>
        <v/>
      </c>
      <c r="Q328" s="37">
        <f>'03_原始数据'!C328-0.62*'03_原始数据'!B328-OtherCost</f>
        <v/>
      </c>
      <c r="R328" s="37">
        <f>'03_原始数据'!C328-0.625*'03_原始数据'!B328-OtherCost</f>
        <v/>
      </c>
      <c r="S328" s="37">
        <f>'03_原始数据'!C328-0.63*'03_原始数据'!B328-OtherCost</f>
        <v/>
      </c>
      <c r="T328" s="37">
        <f>'03_原始数据'!C328-0.635*'03_原始数据'!B328-OtherCost</f>
        <v/>
      </c>
      <c r="U328" s="37">
        <f>'03_原始数据'!C328-0.64*'03_原始数据'!B328-OtherCost</f>
        <v/>
      </c>
      <c r="V328" s="37">
        <f>'03_原始数据'!C328-0.645*'03_原始数据'!B328-OtherCost</f>
        <v/>
      </c>
      <c r="W328" s="37">
        <f>'03_原始数据'!C328-0.65*'03_原始数据'!B328-OtherCost</f>
        <v/>
      </c>
      <c r="X328" s="37">
        <f>'03_原始数据'!C328-0.655*'03_原始数据'!B328-OtherCost</f>
        <v/>
      </c>
      <c r="Y328" s="37">
        <f>'03_原始数据'!C328-0.66*'03_原始数据'!B328-OtherCost</f>
        <v/>
      </c>
      <c r="Z328" s="37">
        <f>'03_原始数据'!C328-0.665*'03_原始数据'!B328-OtherCost</f>
        <v/>
      </c>
      <c r="AA328" s="37">
        <f>'03_原始数据'!C328-0.67*'03_原始数据'!B328-OtherCost</f>
        <v/>
      </c>
      <c r="AB328" s="37">
        <f>'03_原始数据'!C328-0.675*'03_原始数据'!B328-OtherCost</f>
        <v/>
      </c>
      <c r="AC328" s="37">
        <f>'03_原始数据'!C328-0.68*'03_原始数据'!B328-OtherCost</f>
        <v/>
      </c>
      <c r="AD328" s="37">
        <f>'03_原始数据'!C328-0.685*'03_原始数据'!B328-OtherCost</f>
        <v/>
      </c>
      <c r="AE328" s="37">
        <f>'03_原始数据'!C328-0.69*'03_原始数据'!B328-OtherCost</f>
        <v/>
      </c>
      <c r="AF328" s="37">
        <f>'03_原始数据'!C328-0.695*'03_原始数据'!B328-OtherCost</f>
        <v/>
      </c>
      <c r="AG328" s="37">
        <f>'03_原始数据'!C328-0.7*'03_原始数据'!B328-OtherCost</f>
        <v/>
      </c>
    </row>
    <row r="329">
      <c r="M329" s="37">
        <f>'03_原始数据'!C329-0.6*'03_原始数据'!B329-OtherCost</f>
        <v/>
      </c>
      <c r="N329" s="37">
        <f>'03_原始数据'!C329-0.605*'03_原始数据'!B329-OtherCost</f>
        <v/>
      </c>
      <c r="O329" s="37">
        <f>'03_原始数据'!C329-0.61*'03_原始数据'!B329-OtherCost</f>
        <v/>
      </c>
      <c r="P329" s="37">
        <f>'03_原始数据'!C329-0.615*'03_原始数据'!B329-OtherCost</f>
        <v/>
      </c>
      <c r="Q329" s="37">
        <f>'03_原始数据'!C329-0.62*'03_原始数据'!B329-OtherCost</f>
        <v/>
      </c>
      <c r="R329" s="37">
        <f>'03_原始数据'!C329-0.625*'03_原始数据'!B329-OtherCost</f>
        <v/>
      </c>
      <c r="S329" s="37">
        <f>'03_原始数据'!C329-0.63*'03_原始数据'!B329-OtherCost</f>
        <v/>
      </c>
      <c r="T329" s="37">
        <f>'03_原始数据'!C329-0.635*'03_原始数据'!B329-OtherCost</f>
        <v/>
      </c>
      <c r="U329" s="37">
        <f>'03_原始数据'!C329-0.64*'03_原始数据'!B329-OtherCost</f>
        <v/>
      </c>
      <c r="V329" s="37">
        <f>'03_原始数据'!C329-0.645*'03_原始数据'!B329-OtherCost</f>
        <v/>
      </c>
      <c r="W329" s="37">
        <f>'03_原始数据'!C329-0.65*'03_原始数据'!B329-OtherCost</f>
        <v/>
      </c>
      <c r="X329" s="37">
        <f>'03_原始数据'!C329-0.655*'03_原始数据'!B329-OtherCost</f>
        <v/>
      </c>
      <c r="Y329" s="37">
        <f>'03_原始数据'!C329-0.66*'03_原始数据'!B329-OtherCost</f>
        <v/>
      </c>
      <c r="Z329" s="37">
        <f>'03_原始数据'!C329-0.665*'03_原始数据'!B329-OtherCost</f>
        <v/>
      </c>
      <c r="AA329" s="37">
        <f>'03_原始数据'!C329-0.67*'03_原始数据'!B329-OtherCost</f>
        <v/>
      </c>
      <c r="AB329" s="37">
        <f>'03_原始数据'!C329-0.675*'03_原始数据'!B329-OtherCost</f>
        <v/>
      </c>
      <c r="AC329" s="37">
        <f>'03_原始数据'!C329-0.68*'03_原始数据'!B329-OtherCost</f>
        <v/>
      </c>
      <c r="AD329" s="37">
        <f>'03_原始数据'!C329-0.685*'03_原始数据'!B329-OtherCost</f>
        <v/>
      </c>
      <c r="AE329" s="37">
        <f>'03_原始数据'!C329-0.69*'03_原始数据'!B329-OtherCost</f>
        <v/>
      </c>
      <c r="AF329" s="37">
        <f>'03_原始数据'!C329-0.695*'03_原始数据'!B329-OtherCost</f>
        <v/>
      </c>
      <c r="AG329" s="37">
        <f>'03_原始数据'!C329-0.7*'03_原始数据'!B329-OtherCost</f>
        <v/>
      </c>
    </row>
    <row r="330">
      <c r="M330" s="37">
        <f>'03_原始数据'!C330-0.6*'03_原始数据'!B330-OtherCost</f>
        <v/>
      </c>
      <c r="N330" s="37">
        <f>'03_原始数据'!C330-0.605*'03_原始数据'!B330-OtherCost</f>
        <v/>
      </c>
      <c r="O330" s="37">
        <f>'03_原始数据'!C330-0.61*'03_原始数据'!B330-OtherCost</f>
        <v/>
      </c>
      <c r="P330" s="37">
        <f>'03_原始数据'!C330-0.615*'03_原始数据'!B330-OtherCost</f>
        <v/>
      </c>
      <c r="Q330" s="37">
        <f>'03_原始数据'!C330-0.62*'03_原始数据'!B330-OtherCost</f>
        <v/>
      </c>
      <c r="R330" s="37">
        <f>'03_原始数据'!C330-0.625*'03_原始数据'!B330-OtherCost</f>
        <v/>
      </c>
      <c r="S330" s="37">
        <f>'03_原始数据'!C330-0.63*'03_原始数据'!B330-OtherCost</f>
        <v/>
      </c>
      <c r="T330" s="37">
        <f>'03_原始数据'!C330-0.635*'03_原始数据'!B330-OtherCost</f>
        <v/>
      </c>
      <c r="U330" s="37">
        <f>'03_原始数据'!C330-0.64*'03_原始数据'!B330-OtherCost</f>
        <v/>
      </c>
      <c r="V330" s="37">
        <f>'03_原始数据'!C330-0.645*'03_原始数据'!B330-OtherCost</f>
        <v/>
      </c>
      <c r="W330" s="37">
        <f>'03_原始数据'!C330-0.65*'03_原始数据'!B330-OtherCost</f>
        <v/>
      </c>
      <c r="X330" s="37">
        <f>'03_原始数据'!C330-0.655*'03_原始数据'!B330-OtherCost</f>
        <v/>
      </c>
      <c r="Y330" s="37">
        <f>'03_原始数据'!C330-0.66*'03_原始数据'!B330-OtherCost</f>
        <v/>
      </c>
      <c r="Z330" s="37">
        <f>'03_原始数据'!C330-0.665*'03_原始数据'!B330-OtherCost</f>
        <v/>
      </c>
      <c r="AA330" s="37">
        <f>'03_原始数据'!C330-0.67*'03_原始数据'!B330-OtherCost</f>
        <v/>
      </c>
      <c r="AB330" s="37">
        <f>'03_原始数据'!C330-0.675*'03_原始数据'!B330-OtherCost</f>
        <v/>
      </c>
      <c r="AC330" s="37">
        <f>'03_原始数据'!C330-0.68*'03_原始数据'!B330-OtherCost</f>
        <v/>
      </c>
      <c r="AD330" s="37">
        <f>'03_原始数据'!C330-0.685*'03_原始数据'!B330-OtherCost</f>
        <v/>
      </c>
      <c r="AE330" s="37">
        <f>'03_原始数据'!C330-0.69*'03_原始数据'!B330-OtherCost</f>
        <v/>
      </c>
      <c r="AF330" s="37">
        <f>'03_原始数据'!C330-0.695*'03_原始数据'!B330-OtherCost</f>
        <v/>
      </c>
      <c r="AG330" s="37">
        <f>'03_原始数据'!C330-0.7*'03_原始数据'!B330-OtherCost</f>
        <v/>
      </c>
    </row>
    <row r="331">
      <c r="M331" s="37">
        <f>'03_原始数据'!C331-0.6*'03_原始数据'!B331-OtherCost</f>
        <v/>
      </c>
      <c r="N331" s="37">
        <f>'03_原始数据'!C331-0.605*'03_原始数据'!B331-OtherCost</f>
        <v/>
      </c>
      <c r="O331" s="37">
        <f>'03_原始数据'!C331-0.61*'03_原始数据'!B331-OtherCost</f>
        <v/>
      </c>
      <c r="P331" s="37">
        <f>'03_原始数据'!C331-0.615*'03_原始数据'!B331-OtherCost</f>
        <v/>
      </c>
      <c r="Q331" s="37">
        <f>'03_原始数据'!C331-0.62*'03_原始数据'!B331-OtherCost</f>
        <v/>
      </c>
      <c r="R331" s="37">
        <f>'03_原始数据'!C331-0.625*'03_原始数据'!B331-OtherCost</f>
        <v/>
      </c>
      <c r="S331" s="37">
        <f>'03_原始数据'!C331-0.63*'03_原始数据'!B331-OtherCost</f>
        <v/>
      </c>
      <c r="T331" s="37">
        <f>'03_原始数据'!C331-0.635*'03_原始数据'!B331-OtherCost</f>
        <v/>
      </c>
      <c r="U331" s="37">
        <f>'03_原始数据'!C331-0.64*'03_原始数据'!B331-OtherCost</f>
        <v/>
      </c>
      <c r="V331" s="37">
        <f>'03_原始数据'!C331-0.645*'03_原始数据'!B331-OtherCost</f>
        <v/>
      </c>
      <c r="W331" s="37">
        <f>'03_原始数据'!C331-0.65*'03_原始数据'!B331-OtherCost</f>
        <v/>
      </c>
      <c r="X331" s="37">
        <f>'03_原始数据'!C331-0.655*'03_原始数据'!B331-OtherCost</f>
        <v/>
      </c>
      <c r="Y331" s="37">
        <f>'03_原始数据'!C331-0.66*'03_原始数据'!B331-OtherCost</f>
        <v/>
      </c>
      <c r="Z331" s="37">
        <f>'03_原始数据'!C331-0.665*'03_原始数据'!B331-OtherCost</f>
        <v/>
      </c>
      <c r="AA331" s="37">
        <f>'03_原始数据'!C331-0.67*'03_原始数据'!B331-OtherCost</f>
        <v/>
      </c>
      <c r="AB331" s="37">
        <f>'03_原始数据'!C331-0.675*'03_原始数据'!B331-OtherCost</f>
        <v/>
      </c>
      <c r="AC331" s="37">
        <f>'03_原始数据'!C331-0.68*'03_原始数据'!B331-OtherCost</f>
        <v/>
      </c>
      <c r="AD331" s="37">
        <f>'03_原始数据'!C331-0.685*'03_原始数据'!B331-OtherCost</f>
        <v/>
      </c>
      <c r="AE331" s="37">
        <f>'03_原始数据'!C331-0.69*'03_原始数据'!B331-OtherCost</f>
        <v/>
      </c>
      <c r="AF331" s="37">
        <f>'03_原始数据'!C331-0.695*'03_原始数据'!B331-OtherCost</f>
        <v/>
      </c>
      <c r="AG331" s="37">
        <f>'03_原始数据'!C331-0.7*'03_原始数据'!B331-OtherCost</f>
        <v/>
      </c>
    </row>
    <row r="332">
      <c r="M332" s="37">
        <f>'03_原始数据'!C332-0.6*'03_原始数据'!B332-OtherCost</f>
        <v/>
      </c>
      <c r="N332" s="37">
        <f>'03_原始数据'!C332-0.605*'03_原始数据'!B332-OtherCost</f>
        <v/>
      </c>
      <c r="O332" s="37">
        <f>'03_原始数据'!C332-0.61*'03_原始数据'!B332-OtherCost</f>
        <v/>
      </c>
      <c r="P332" s="37">
        <f>'03_原始数据'!C332-0.615*'03_原始数据'!B332-OtherCost</f>
        <v/>
      </c>
      <c r="Q332" s="37">
        <f>'03_原始数据'!C332-0.62*'03_原始数据'!B332-OtherCost</f>
        <v/>
      </c>
      <c r="R332" s="37">
        <f>'03_原始数据'!C332-0.625*'03_原始数据'!B332-OtherCost</f>
        <v/>
      </c>
      <c r="S332" s="37">
        <f>'03_原始数据'!C332-0.63*'03_原始数据'!B332-OtherCost</f>
        <v/>
      </c>
      <c r="T332" s="37">
        <f>'03_原始数据'!C332-0.635*'03_原始数据'!B332-OtherCost</f>
        <v/>
      </c>
      <c r="U332" s="37">
        <f>'03_原始数据'!C332-0.64*'03_原始数据'!B332-OtherCost</f>
        <v/>
      </c>
      <c r="V332" s="37">
        <f>'03_原始数据'!C332-0.645*'03_原始数据'!B332-OtherCost</f>
        <v/>
      </c>
      <c r="W332" s="37">
        <f>'03_原始数据'!C332-0.65*'03_原始数据'!B332-OtherCost</f>
        <v/>
      </c>
      <c r="X332" s="37">
        <f>'03_原始数据'!C332-0.655*'03_原始数据'!B332-OtherCost</f>
        <v/>
      </c>
      <c r="Y332" s="37">
        <f>'03_原始数据'!C332-0.66*'03_原始数据'!B332-OtherCost</f>
        <v/>
      </c>
      <c r="Z332" s="37">
        <f>'03_原始数据'!C332-0.665*'03_原始数据'!B332-OtherCost</f>
        <v/>
      </c>
      <c r="AA332" s="37">
        <f>'03_原始数据'!C332-0.67*'03_原始数据'!B332-OtherCost</f>
        <v/>
      </c>
      <c r="AB332" s="37">
        <f>'03_原始数据'!C332-0.675*'03_原始数据'!B332-OtherCost</f>
        <v/>
      </c>
      <c r="AC332" s="37">
        <f>'03_原始数据'!C332-0.68*'03_原始数据'!B332-OtherCost</f>
        <v/>
      </c>
      <c r="AD332" s="37">
        <f>'03_原始数据'!C332-0.685*'03_原始数据'!B332-OtherCost</f>
        <v/>
      </c>
      <c r="AE332" s="37">
        <f>'03_原始数据'!C332-0.69*'03_原始数据'!B332-OtherCost</f>
        <v/>
      </c>
      <c r="AF332" s="37">
        <f>'03_原始数据'!C332-0.695*'03_原始数据'!B332-OtherCost</f>
        <v/>
      </c>
      <c r="AG332" s="37">
        <f>'03_原始数据'!C332-0.7*'03_原始数据'!B332-OtherCost</f>
        <v/>
      </c>
    </row>
    <row r="333">
      <c r="M333" s="37">
        <f>'03_原始数据'!C333-0.6*'03_原始数据'!B333-OtherCost</f>
        <v/>
      </c>
      <c r="N333" s="37">
        <f>'03_原始数据'!C333-0.605*'03_原始数据'!B333-OtherCost</f>
        <v/>
      </c>
      <c r="O333" s="37">
        <f>'03_原始数据'!C333-0.61*'03_原始数据'!B333-OtherCost</f>
        <v/>
      </c>
      <c r="P333" s="37">
        <f>'03_原始数据'!C333-0.615*'03_原始数据'!B333-OtherCost</f>
        <v/>
      </c>
      <c r="Q333" s="37">
        <f>'03_原始数据'!C333-0.62*'03_原始数据'!B333-OtherCost</f>
        <v/>
      </c>
      <c r="R333" s="37">
        <f>'03_原始数据'!C333-0.625*'03_原始数据'!B333-OtherCost</f>
        <v/>
      </c>
      <c r="S333" s="37">
        <f>'03_原始数据'!C333-0.63*'03_原始数据'!B333-OtherCost</f>
        <v/>
      </c>
      <c r="T333" s="37">
        <f>'03_原始数据'!C333-0.635*'03_原始数据'!B333-OtherCost</f>
        <v/>
      </c>
      <c r="U333" s="37">
        <f>'03_原始数据'!C333-0.64*'03_原始数据'!B333-OtherCost</f>
        <v/>
      </c>
      <c r="V333" s="37">
        <f>'03_原始数据'!C333-0.645*'03_原始数据'!B333-OtherCost</f>
        <v/>
      </c>
      <c r="W333" s="37">
        <f>'03_原始数据'!C333-0.65*'03_原始数据'!B333-OtherCost</f>
        <v/>
      </c>
      <c r="X333" s="37">
        <f>'03_原始数据'!C333-0.655*'03_原始数据'!B333-OtherCost</f>
        <v/>
      </c>
      <c r="Y333" s="37">
        <f>'03_原始数据'!C333-0.66*'03_原始数据'!B333-OtherCost</f>
        <v/>
      </c>
      <c r="Z333" s="37">
        <f>'03_原始数据'!C333-0.665*'03_原始数据'!B333-OtherCost</f>
        <v/>
      </c>
      <c r="AA333" s="37">
        <f>'03_原始数据'!C333-0.67*'03_原始数据'!B333-OtherCost</f>
        <v/>
      </c>
      <c r="AB333" s="37">
        <f>'03_原始数据'!C333-0.675*'03_原始数据'!B333-OtherCost</f>
        <v/>
      </c>
      <c r="AC333" s="37">
        <f>'03_原始数据'!C333-0.68*'03_原始数据'!B333-OtherCost</f>
        <v/>
      </c>
      <c r="AD333" s="37">
        <f>'03_原始数据'!C333-0.685*'03_原始数据'!B333-OtherCost</f>
        <v/>
      </c>
      <c r="AE333" s="37">
        <f>'03_原始数据'!C333-0.69*'03_原始数据'!B333-OtherCost</f>
        <v/>
      </c>
      <c r="AF333" s="37">
        <f>'03_原始数据'!C333-0.695*'03_原始数据'!B333-OtherCost</f>
        <v/>
      </c>
      <c r="AG333" s="37">
        <f>'03_原始数据'!C333-0.7*'03_原始数据'!B333-OtherCost</f>
        <v/>
      </c>
    </row>
    <row r="334">
      <c r="M334" s="37">
        <f>'03_原始数据'!C334-0.6*'03_原始数据'!B334-OtherCost</f>
        <v/>
      </c>
      <c r="N334" s="37">
        <f>'03_原始数据'!C334-0.605*'03_原始数据'!B334-OtherCost</f>
        <v/>
      </c>
      <c r="O334" s="37">
        <f>'03_原始数据'!C334-0.61*'03_原始数据'!B334-OtherCost</f>
        <v/>
      </c>
      <c r="P334" s="37">
        <f>'03_原始数据'!C334-0.615*'03_原始数据'!B334-OtherCost</f>
        <v/>
      </c>
      <c r="Q334" s="37">
        <f>'03_原始数据'!C334-0.62*'03_原始数据'!B334-OtherCost</f>
        <v/>
      </c>
      <c r="R334" s="37">
        <f>'03_原始数据'!C334-0.625*'03_原始数据'!B334-OtherCost</f>
        <v/>
      </c>
      <c r="S334" s="37">
        <f>'03_原始数据'!C334-0.63*'03_原始数据'!B334-OtherCost</f>
        <v/>
      </c>
      <c r="T334" s="37">
        <f>'03_原始数据'!C334-0.635*'03_原始数据'!B334-OtherCost</f>
        <v/>
      </c>
      <c r="U334" s="37">
        <f>'03_原始数据'!C334-0.64*'03_原始数据'!B334-OtherCost</f>
        <v/>
      </c>
      <c r="V334" s="37">
        <f>'03_原始数据'!C334-0.645*'03_原始数据'!B334-OtherCost</f>
        <v/>
      </c>
      <c r="W334" s="37">
        <f>'03_原始数据'!C334-0.65*'03_原始数据'!B334-OtherCost</f>
        <v/>
      </c>
      <c r="X334" s="37">
        <f>'03_原始数据'!C334-0.655*'03_原始数据'!B334-OtherCost</f>
        <v/>
      </c>
      <c r="Y334" s="37">
        <f>'03_原始数据'!C334-0.66*'03_原始数据'!B334-OtherCost</f>
        <v/>
      </c>
      <c r="Z334" s="37">
        <f>'03_原始数据'!C334-0.665*'03_原始数据'!B334-OtherCost</f>
        <v/>
      </c>
      <c r="AA334" s="37">
        <f>'03_原始数据'!C334-0.67*'03_原始数据'!B334-OtherCost</f>
        <v/>
      </c>
      <c r="AB334" s="37">
        <f>'03_原始数据'!C334-0.675*'03_原始数据'!B334-OtherCost</f>
        <v/>
      </c>
      <c r="AC334" s="37">
        <f>'03_原始数据'!C334-0.68*'03_原始数据'!B334-OtherCost</f>
        <v/>
      </c>
      <c r="AD334" s="37">
        <f>'03_原始数据'!C334-0.685*'03_原始数据'!B334-OtherCost</f>
        <v/>
      </c>
      <c r="AE334" s="37">
        <f>'03_原始数据'!C334-0.69*'03_原始数据'!B334-OtherCost</f>
        <v/>
      </c>
      <c r="AF334" s="37">
        <f>'03_原始数据'!C334-0.695*'03_原始数据'!B334-OtherCost</f>
        <v/>
      </c>
      <c r="AG334" s="37">
        <f>'03_原始数据'!C334-0.7*'03_原始数据'!B334-OtherCost</f>
        <v/>
      </c>
    </row>
    <row r="335">
      <c r="M335" s="37">
        <f>'03_原始数据'!C335-0.6*'03_原始数据'!B335-OtherCost</f>
        <v/>
      </c>
      <c r="N335" s="37">
        <f>'03_原始数据'!C335-0.605*'03_原始数据'!B335-OtherCost</f>
        <v/>
      </c>
      <c r="O335" s="37">
        <f>'03_原始数据'!C335-0.61*'03_原始数据'!B335-OtherCost</f>
        <v/>
      </c>
      <c r="P335" s="37">
        <f>'03_原始数据'!C335-0.615*'03_原始数据'!B335-OtherCost</f>
        <v/>
      </c>
      <c r="Q335" s="37">
        <f>'03_原始数据'!C335-0.62*'03_原始数据'!B335-OtherCost</f>
        <v/>
      </c>
      <c r="R335" s="37">
        <f>'03_原始数据'!C335-0.625*'03_原始数据'!B335-OtherCost</f>
        <v/>
      </c>
      <c r="S335" s="37">
        <f>'03_原始数据'!C335-0.63*'03_原始数据'!B335-OtherCost</f>
        <v/>
      </c>
      <c r="T335" s="37">
        <f>'03_原始数据'!C335-0.635*'03_原始数据'!B335-OtherCost</f>
        <v/>
      </c>
      <c r="U335" s="37">
        <f>'03_原始数据'!C335-0.64*'03_原始数据'!B335-OtherCost</f>
        <v/>
      </c>
      <c r="V335" s="37">
        <f>'03_原始数据'!C335-0.645*'03_原始数据'!B335-OtherCost</f>
        <v/>
      </c>
      <c r="W335" s="37">
        <f>'03_原始数据'!C335-0.65*'03_原始数据'!B335-OtherCost</f>
        <v/>
      </c>
      <c r="X335" s="37">
        <f>'03_原始数据'!C335-0.655*'03_原始数据'!B335-OtherCost</f>
        <v/>
      </c>
      <c r="Y335" s="37">
        <f>'03_原始数据'!C335-0.66*'03_原始数据'!B335-OtherCost</f>
        <v/>
      </c>
      <c r="Z335" s="37">
        <f>'03_原始数据'!C335-0.665*'03_原始数据'!B335-OtherCost</f>
        <v/>
      </c>
      <c r="AA335" s="37">
        <f>'03_原始数据'!C335-0.67*'03_原始数据'!B335-OtherCost</f>
        <v/>
      </c>
      <c r="AB335" s="37">
        <f>'03_原始数据'!C335-0.675*'03_原始数据'!B335-OtherCost</f>
        <v/>
      </c>
      <c r="AC335" s="37">
        <f>'03_原始数据'!C335-0.68*'03_原始数据'!B335-OtherCost</f>
        <v/>
      </c>
      <c r="AD335" s="37">
        <f>'03_原始数据'!C335-0.685*'03_原始数据'!B335-OtherCost</f>
        <v/>
      </c>
      <c r="AE335" s="37">
        <f>'03_原始数据'!C335-0.69*'03_原始数据'!B335-OtherCost</f>
        <v/>
      </c>
      <c r="AF335" s="37">
        <f>'03_原始数据'!C335-0.695*'03_原始数据'!B335-OtherCost</f>
        <v/>
      </c>
      <c r="AG335" s="37">
        <f>'03_原始数据'!C335-0.7*'03_原始数据'!B335-OtherCost</f>
        <v/>
      </c>
    </row>
    <row r="336">
      <c r="M336" s="37">
        <f>'03_原始数据'!C336-0.6*'03_原始数据'!B336-OtherCost</f>
        <v/>
      </c>
      <c r="N336" s="37">
        <f>'03_原始数据'!C336-0.605*'03_原始数据'!B336-OtherCost</f>
        <v/>
      </c>
      <c r="O336" s="37">
        <f>'03_原始数据'!C336-0.61*'03_原始数据'!B336-OtherCost</f>
        <v/>
      </c>
      <c r="P336" s="37">
        <f>'03_原始数据'!C336-0.615*'03_原始数据'!B336-OtherCost</f>
        <v/>
      </c>
      <c r="Q336" s="37">
        <f>'03_原始数据'!C336-0.62*'03_原始数据'!B336-OtherCost</f>
        <v/>
      </c>
      <c r="R336" s="37">
        <f>'03_原始数据'!C336-0.625*'03_原始数据'!B336-OtherCost</f>
        <v/>
      </c>
      <c r="S336" s="37">
        <f>'03_原始数据'!C336-0.63*'03_原始数据'!B336-OtherCost</f>
        <v/>
      </c>
      <c r="T336" s="37">
        <f>'03_原始数据'!C336-0.635*'03_原始数据'!B336-OtherCost</f>
        <v/>
      </c>
      <c r="U336" s="37">
        <f>'03_原始数据'!C336-0.64*'03_原始数据'!B336-OtherCost</f>
        <v/>
      </c>
      <c r="V336" s="37">
        <f>'03_原始数据'!C336-0.645*'03_原始数据'!B336-OtherCost</f>
        <v/>
      </c>
      <c r="W336" s="37">
        <f>'03_原始数据'!C336-0.65*'03_原始数据'!B336-OtherCost</f>
        <v/>
      </c>
      <c r="X336" s="37">
        <f>'03_原始数据'!C336-0.655*'03_原始数据'!B336-OtherCost</f>
        <v/>
      </c>
      <c r="Y336" s="37">
        <f>'03_原始数据'!C336-0.66*'03_原始数据'!B336-OtherCost</f>
        <v/>
      </c>
      <c r="Z336" s="37">
        <f>'03_原始数据'!C336-0.665*'03_原始数据'!B336-OtherCost</f>
        <v/>
      </c>
      <c r="AA336" s="37">
        <f>'03_原始数据'!C336-0.67*'03_原始数据'!B336-OtherCost</f>
        <v/>
      </c>
      <c r="AB336" s="37">
        <f>'03_原始数据'!C336-0.675*'03_原始数据'!B336-OtherCost</f>
        <v/>
      </c>
      <c r="AC336" s="37">
        <f>'03_原始数据'!C336-0.68*'03_原始数据'!B336-OtherCost</f>
        <v/>
      </c>
      <c r="AD336" s="37">
        <f>'03_原始数据'!C336-0.685*'03_原始数据'!B336-OtherCost</f>
        <v/>
      </c>
      <c r="AE336" s="37">
        <f>'03_原始数据'!C336-0.69*'03_原始数据'!B336-OtherCost</f>
        <v/>
      </c>
      <c r="AF336" s="37">
        <f>'03_原始数据'!C336-0.695*'03_原始数据'!B336-OtherCost</f>
        <v/>
      </c>
      <c r="AG336" s="37">
        <f>'03_原始数据'!C336-0.7*'03_原始数据'!B336-OtherCost</f>
        <v/>
      </c>
    </row>
    <row r="337">
      <c r="M337" s="37">
        <f>'03_原始数据'!C337-0.6*'03_原始数据'!B337-OtherCost</f>
        <v/>
      </c>
      <c r="N337" s="37">
        <f>'03_原始数据'!C337-0.605*'03_原始数据'!B337-OtherCost</f>
        <v/>
      </c>
      <c r="O337" s="37">
        <f>'03_原始数据'!C337-0.61*'03_原始数据'!B337-OtherCost</f>
        <v/>
      </c>
      <c r="P337" s="37">
        <f>'03_原始数据'!C337-0.615*'03_原始数据'!B337-OtherCost</f>
        <v/>
      </c>
      <c r="Q337" s="37">
        <f>'03_原始数据'!C337-0.62*'03_原始数据'!B337-OtherCost</f>
        <v/>
      </c>
      <c r="R337" s="37">
        <f>'03_原始数据'!C337-0.625*'03_原始数据'!B337-OtherCost</f>
        <v/>
      </c>
      <c r="S337" s="37">
        <f>'03_原始数据'!C337-0.63*'03_原始数据'!B337-OtherCost</f>
        <v/>
      </c>
      <c r="T337" s="37">
        <f>'03_原始数据'!C337-0.635*'03_原始数据'!B337-OtherCost</f>
        <v/>
      </c>
      <c r="U337" s="37">
        <f>'03_原始数据'!C337-0.64*'03_原始数据'!B337-OtherCost</f>
        <v/>
      </c>
      <c r="V337" s="37">
        <f>'03_原始数据'!C337-0.645*'03_原始数据'!B337-OtherCost</f>
        <v/>
      </c>
      <c r="W337" s="37">
        <f>'03_原始数据'!C337-0.65*'03_原始数据'!B337-OtherCost</f>
        <v/>
      </c>
      <c r="X337" s="37">
        <f>'03_原始数据'!C337-0.655*'03_原始数据'!B337-OtherCost</f>
        <v/>
      </c>
      <c r="Y337" s="37">
        <f>'03_原始数据'!C337-0.66*'03_原始数据'!B337-OtherCost</f>
        <v/>
      </c>
      <c r="Z337" s="37">
        <f>'03_原始数据'!C337-0.665*'03_原始数据'!B337-OtherCost</f>
        <v/>
      </c>
      <c r="AA337" s="37">
        <f>'03_原始数据'!C337-0.67*'03_原始数据'!B337-OtherCost</f>
        <v/>
      </c>
      <c r="AB337" s="37">
        <f>'03_原始数据'!C337-0.675*'03_原始数据'!B337-OtherCost</f>
        <v/>
      </c>
      <c r="AC337" s="37">
        <f>'03_原始数据'!C337-0.68*'03_原始数据'!B337-OtherCost</f>
        <v/>
      </c>
      <c r="AD337" s="37">
        <f>'03_原始数据'!C337-0.685*'03_原始数据'!B337-OtherCost</f>
        <v/>
      </c>
      <c r="AE337" s="37">
        <f>'03_原始数据'!C337-0.69*'03_原始数据'!B337-OtherCost</f>
        <v/>
      </c>
      <c r="AF337" s="37">
        <f>'03_原始数据'!C337-0.695*'03_原始数据'!B337-OtherCost</f>
        <v/>
      </c>
      <c r="AG337" s="37">
        <f>'03_原始数据'!C337-0.7*'03_原始数据'!B337-OtherCost</f>
        <v/>
      </c>
    </row>
    <row r="338">
      <c r="M338" s="37">
        <f>'03_原始数据'!C338-0.6*'03_原始数据'!B338-OtherCost</f>
        <v/>
      </c>
      <c r="N338" s="37">
        <f>'03_原始数据'!C338-0.605*'03_原始数据'!B338-OtherCost</f>
        <v/>
      </c>
      <c r="O338" s="37">
        <f>'03_原始数据'!C338-0.61*'03_原始数据'!B338-OtherCost</f>
        <v/>
      </c>
      <c r="P338" s="37">
        <f>'03_原始数据'!C338-0.615*'03_原始数据'!B338-OtherCost</f>
        <v/>
      </c>
      <c r="Q338" s="37">
        <f>'03_原始数据'!C338-0.62*'03_原始数据'!B338-OtherCost</f>
        <v/>
      </c>
      <c r="R338" s="37">
        <f>'03_原始数据'!C338-0.625*'03_原始数据'!B338-OtherCost</f>
        <v/>
      </c>
      <c r="S338" s="37">
        <f>'03_原始数据'!C338-0.63*'03_原始数据'!B338-OtherCost</f>
        <v/>
      </c>
      <c r="T338" s="37">
        <f>'03_原始数据'!C338-0.635*'03_原始数据'!B338-OtherCost</f>
        <v/>
      </c>
      <c r="U338" s="37">
        <f>'03_原始数据'!C338-0.64*'03_原始数据'!B338-OtherCost</f>
        <v/>
      </c>
      <c r="V338" s="37">
        <f>'03_原始数据'!C338-0.645*'03_原始数据'!B338-OtherCost</f>
        <v/>
      </c>
      <c r="W338" s="37">
        <f>'03_原始数据'!C338-0.65*'03_原始数据'!B338-OtherCost</f>
        <v/>
      </c>
      <c r="X338" s="37">
        <f>'03_原始数据'!C338-0.655*'03_原始数据'!B338-OtherCost</f>
        <v/>
      </c>
      <c r="Y338" s="37">
        <f>'03_原始数据'!C338-0.66*'03_原始数据'!B338-OtherCost</f>
        <v/>
      </c>
      <c r="Z338" s="37">
        <f>'03_原始数据'!C338-0.665*'03_原始数据'!B338-OtherCost</f>
        <v/>
      </c>
      <c r="AA338" s="37">
        <f>'03_原始数据'!C338-0.67*'03_原始数据'!B338-OtherCost</f>
        <v/>
      </c>
      <c r="AB338" s="37">
        <f>'03_原始数据'!C338-0.675*'03_原始数据'!B338-OtherCost</f>
        <v/>
      </c>
      <c r="AC338" s="37">
        <f>'03_原始数据'!C338-0.68*'03_原始数据'!B338-OtherCost</f>
        <v/>
      </c>
      <c r="AD338" s="37">
        <f>'03_原始数据'!C338-0.685*'03_原始数据'!B338-OtherCost</f>
        <v/>
      </c>
      <c r="AE338" s="37">
        <f>'03_原始数据'!C338-0.69*'03_原始数据'!B338-OtherCost</f>
        <v/>
      </c>
      <c r="AF338" s="37">
        <f>'03_原始数据'!C338-0.695*'03_原始数据'!B338-OtherCost</f>
        <v/>
      </c>
      <c r="AG338" s="37">
        <f>'03_原始数据'!C338-0.7*'03_原始数据'!B338-OtherCost</f>
        <v/>
      </c>
    </row>
    <row r="339">
      <c r="M339" s="37">
        <f>'03_原始数据'!C339-0.6*'03_原始数据'!B339-OtherCost</f>
        <v/>
      </c>
      <c r="N339" s="37">
        <f>'03_原始数据'!C339-0.605*'03_原始数据'!B339-OtherCost</f>
        <v/>
      </c>
      <c r="O339" s="37">
        <f>'03_原始数据'!C339-0.61*'03_原始数据'!B339-OtherCost</f>
        <v/>
      </c>
      <c r="P339" s="37">
        <f>'03_原始数据'!C339-0.615*'03_原始数据'!B339-OtherCost</f>
        <v/>
      </c>
      <c r="Q339" s="37">
        <f>'03_原始数据'!C339-0.62*'03_原始数据'!B339-OtherCost</f>
        <v/>
      </c>
      <c r="R339" s="37">
        <f>'03_原始数据'!C339-0.625*'03_原始数据'!B339-OtherCost</f>
        <v/>
      </c>
      <c r="S339" s="37">
        <f>'03_原始数据'!C339-0.63*'03_原始数据'!B339-OtherCost</f>
        <v/>
      </c>
      <c r="T339" s="37">
        <f>'03_原始数据'!C339-0.635*'03_原始数据'!B339-OtherCost</f>
        <v/>
      </c>
      <c r="U339" s="37">
        <f>'03_原始数据'!C339-0.64*'03_原始数据'!B339-OtherCost</f>
        <v/>
      </c>
      <c r="V339" s="37">
        <f>'03_原始数据'!C339-0.645*'03_原始数据'!B339-OtherCost</f>
        <v/>
      </c>
      <c r="W339" s="37">
        <f>'03_原始数据'!C339-0.65*'03_原始数据'!B339-OtherCost</f>
        <v/>
      </c>
      <c r="X339" s="37">
        <f>'03_原始数据'!C339-0.655*'03_原始数据'!B339-OtherCost</f>
        <v/>
      </c>
      <c r="Y339" s="37">
        <f>'03_原始数据'!C339-0.66*'03_原始数据'!B339-OtherCost</f>
        <v/>
      </c>
      <c r="Z339" s="37">
        <f>'03_原始数据'!C339-0.665*'03_原始数据'!B339-OtherCost</f>
        <v/>
      </c>
      <c r="AA339" s="37">
        <f>'03_原始数据'!C339-0.67*'03_原始数据'!B339-OtherCost</f>
        <v/>
      </c>
      <c r="AB339" s="37">
        <f>'03_原始数据'!C339-0.675*'03_原始数据'!B339-OtherCost</f>
        <v/>
      </c>
      <c r="AC339" s="37">
        <f>'03_原始数据'!C339-0.68*'03_原始数据'!B339-OtherCost</f>
        <v/>
      </c>
      <c r="AD339" s="37">
        <f>'03_原始数据'!C339-0.685*'03_原始数据'!B339-OtherCost</f>
        <v/>
      </c>
      <c r="AE339" s="37">
        <f>'03_原始数据'!C339-0.69*'03_原始数据'!B339-OtherCost</f>
        <v/>
      </c>
      <c r="AF339" s="37">
        <f>'03_原始数据'!C339-0.695*'03_原始数据'!B339-OtherCost</f>
        <v/>
      </c>
      <c r="AG339" s="37">
        <f>'03_原始数据'!C339-0.7*'03_原始数据'!B339-OtherCost</f>
        <v/>
      </c>
    </row>
    <row r="340">
      <c r="M340" s="37">
        <f>'03_原始数据'!C340-0.6*'03_原始数据'!B340-OtherCost</f>
        <v/>
      </c>
      <c r="N340" s="37">
        <f>'03_原始数据'!C340-0.605*'03_原始数据'!B340-OtherCost</f>
        <v/>
      </c>
      <c r="O340" s="37">
        <f>'03_原始数据'!C340-0.61*'03_原始数据'!B340-OtherCost</f>
        <v/>
      </c>
      <c r="P340" s="37">
        <f>'03_原始数据'!C340-0.615*'03_原始数据'!B340-OtherCost</f>
        <v/>
      </c>
      <c r="Q340" s="37">
        <f>'03_原始数据'!C340-0.62*'03_原始数据'!B340-OtherCost</f>
        <v/>
      </c>
      <c r="R340" s="37">
        <f>'03_原始数据'!C340-0.625*'03_原始数据'!B340-OtherCost</f>
        <v/>
      </c>
      <c r="S340" s="37">
        <f>'03_原始数据'!C340-0.63*'03_原始数据'!B340-OtherCost</f>
        <v/>
      </c>
      <c r="T340" s="37">
        <f>'03_原始数据'!C340-0.635*'03_原始数据'!B340-OtherCost</f>
        <v/>
      </c>
      <c r="U340" s="37">
        <f>'03_原始数据'!C340-0.64*'03_原始数据'!B340-OtherCost</f>
        <v/>
      </c>
      <c r="V340" s="37">
        <f>'03_原始数据'!C340-0.645*'03_原始数据'!B340-OtherCost</f>
        <v/>
      </c>
      <c r="W340" s="37">
        <f>'03_原始数据'!C340-0.65*'03_原始数据'!B340-OtherCost</f>
        <v/>
      </c>
      <c r="X340" s="37">
        <f>'03_原始数据'!C340-0.655*'03_原始数据'!B340-OtherCost</f>
        <v/>
      </c>
      <c r="Y340" s="37">
        <f>'03_原始数据'!C340-0.66*'03_原始数据'!B340-OtherCost</f>
        <v/>
      </c>
      <c r="Z340" s="37">
        <f>'03_原始数据'!C340-0.665*'03_原始数据'!B340-OtherCost</f>
        <v/>
      </c>
      <c r="AA340" s="37">
        <f>'03_原始数据'!C340-0.67*'03_原始数据'!B340-OtherCost</f>
        <v/>
      </c>
      <c r="AB340" s="37">
        <f>'03_原始数据'!C340-0.675*'03_原始数据'!B340-OtherCost</f>
        <v/>
      </c>
      <c r="AC340" s="37">
        <f>'03_原始数据'!C340-0.68*'03_原始数据'!B340-OtherCost</f>
        <v/>
      </c>
      <c r="AD340" s="37">
        <f>'03_原始数据'!C340-0.685*'03_原始数据'!B340-OtherCost</f>
        <v/>
      </c>
      <c r="AE340" s="37">
        <f>'03_原始数据'!C340-0.69*'03_原始数据'!B340-OtherCost</f>
        <v/>
      </c>
      <c r="AF340" s="37">
        <f>'03_原始数据'!C340-0.695*'03_原始数据'!B340-OtherCost</f>
        <v/>
      </c>
      <c r="AG340" s="37">
        <f>'03_原始数据'!C340-0.7*'03_原始数据'!B340-OtherCost</f>
        <v/>
      </c>
    </row>
    <row r="341">
      <c r="M341" s="37">
        <f>'03_原始数据'!C341-0.6*'03_原始数据'!B341-OtherCost</f>
        <v/>
      </c>
      <c r="N341" s="37">
        <f>'03_原始数据'!C341-0.605*'03_原始数据'!B341-OtherCost</f>
        <v/>
      </c>
      <c r="O341" s="37">
        <f>'03_原始数据'!C341-0.61*'03_原始数据'!B341-OtherCost</f>
        <v/>
      </c>
      <c r="P341" s="37">
        <f>'03_原始数据'!C341-0.615*'03_原始数据'!B341-OtherCost</f>
        <v/>
      </c>
      <c r="Q341" s="37">
        <f>'03_原始数据'!C341-0.62*'03_原始数据'!B341-OtherCost</f>
        <v/>
      </c>
      <c r="R341" s="37">
        <f>'03_原始数据'!C341-0.625*'03_原始数据'!B341-OtherCost</f>
        <v/>
      </c>
      <c r="S341" s="37">
        <f>'03_原始数据'!C341-0.63*'03_原始数据'!B341-OtherCost</f>
        <v/>
      </c>
      <c r="T341" s="37">
        <f>'03_原始数据'!C341-0.635*'03_原始数据'!B341-OtherCost</f>
        <v/>
      </c>
      <c r="U341" s="37">
        <f>'03_原始数据'!C341-0.64*'03_原始数据'!B341-OtherCost</f>
        <v/>
      </c>
      <c r="V341" s="37">
        <f>'03_原始数据'!C341-0.645*'03_原始数据'!B341-OtherCost</f>
        <v/>
      </c>
      <c r="W341" s="37">
        <f>'03_原始数据'!C341-0.65*'03_原始数据'!B341-OtherCost</f>
        <v/>
      </c>
      <c r="X341" s="37">
        <f>'03_原始数据'!C341-0.655*'03_原始数据'!B341-OtherCost</f>
        <v/>
      </c>
      <c r="Y341" s="37">
        <f>'03_原始数据'!C341-0.66*'03_原始数据'!B341-OtherCost</f>
        <v/>
      </c>
      <c r="Z341" s="37">
        <f>'03_原始数据'!C341-0.665*'03_原始数据'!B341-OtherCost</f>
        <v/>
      </c>
      <c r="AA341" s="37">
        <f>'03_原始数据'!C341-0.67*'03_原始数据'!B341-OtherCost</f>
        <v/>
      </c>
      <c r="AB341" s="37">
        <f>'03_原始数据'!C341-0.675*'03_原始数据'!B341-OtherCost</f>
        <v/>
      </c>
      <c r="AC341" s="37">
        <f>'03_原始数据'!C341-0.68*'03_原始数据'!B341-OtherCost</f>
        <v/>
      </c>
      <c r="AD341" s="37">
        <f>'03_原始数据'!C341-0.685*'03_原始数据'!B341-OtherCost</f>
        <v/>
      </c>
      <c r="AE341" s="37">
        <f>'03_原始数据'!C341-0.69*'03_原始数据'!B341-OtherCost</f>
        <v/>
      </c>
      <c r="AF341" s="37">
        <f>'03_原始数据'!C341-0.695*'03_原始数据'!B341-OtherCost</f>
        <v/>
      </c>
      <c r="AG341" s="37">
        <f>'03_原始数据'!C341-0.7*'03_原始数据'!B341-OtherCost</f>
        <v/>
      </c>
    </row>
    <row r="342">
      <c r="M342" s="37">
        <f>'03_原始数据'!C342-0.6*'03_原始数据'!B342-OtherCost</f>
        <v/>
      </c>
      <c r="N342" s="37">
        <f>'03_原始数据'!C342-0.605*'03_原始数据'!B342-OtherCost</f>
        <v/>
      </c>
      <c r="O342" s="37">
        <f>'03_原始数据'!C342-0.61*'03_原始数据'!B342-OtherCost</f>
        <v/>
      </c>
      <c r="P342" s="37">
        <f>'03_原始数据'!C342-0.615*'03_原始数据'!B342-OtherCost</f>
        <v/>
      </c>
      <c r="Q342" s="37">
        <f>'03_原始数据'!C342-0.62*'03_原始数据'!B342-OtherCost</f>
        <v/>
      </c>
      <c r="R342" s="37">
        <f>'03_原始数据'!C342-0.625*'03_原始数据'!B342-OtherCost</f>
        <v/>
      </c>
      <c r="S342" s="37">
        <f>'03_原始数据'!C342-0.63*'03_原始数据'!B342-OtherCost</f>
        <v/>
      </c>
      <c r="T342" s="37">
        <f>'03_原始数据'!C342-0.635*'03_原始数据'!B342-OtherCost</f>
        <v/>
      </c>
      <c r="U342" s="37">
        <f>'03_原始数据'!C342-0.64*'03_原始数据'!B342-OtherCost</f>
        <v/>
      </c>
      <c r="V342" s="37">
        <f>'03_原始数据'!C342-0.645*'03_原始数据'!B342-OtherCost</f>
        <v/>
      </c>
      <c r="W342" s="37">
        <f>'03_原始数据'!C342-0.65*'03_原始数据'!B342-OtherCost</f>
        <v/>
      </c>
      <c r="X342" s="37">
        <f>'03_原始数据'!C342-0.655*'03_原始数据'!B342-OtherCost</f>
        <v/>
      </c>
      <c r="Y342" s="37">
        <f>'03_原始数据'!C342-0.66*'03_原始数据'!B342-OtherCost</f>
        <v/>
      </c>
      <c r="Z342" s="37">
        <f>'03_原始数据'!C342-0.665*'03_原始数据'!B342-OtherCost</f>
        <v/>
      </c>
      <c r="AA342" s="37">
        <f>'03_原始数据'!C342-0.67*'03_原始数据'!B342-OtherCost</f>
        <v/>
      </c>
      <c r="AB342" s="37">
        <f>'03_原始数据'!C342-0.675*'03_原始数据'!B342-OtherCost</f>
        <v/>
      </c>
      <c r="AC342" s="37">
        <f>'03_原始数据'!C342-0.68*'03_原始数据'!B342-OtherCost</f>
        <v/>
      </c>
      <c r="AD342" s="37">
        <f>'03_原始数据'!C342-0.685*'03_原始数据'!B342-OtherCost</f>
        <v/>
      </c>
      <c r="AE342" s="37">
        <f>'03_原始数据'!C342-0.69*'03_原始数据'!B342-OtherCost</f>
        <v/>
      </c>
      <c r="AF342" s="37">
        <f>'03_原始数据'!C342-0.695*'03_原始数据'!B342-OtherCost</f>
        <v/>
      </c>
      <c r="AG342" s="37">
        <f>'03_原始数据'!C342-0.7*'03_原始数据'!B342-OtherCost</f>
        <v/>
      </c>
    </row>
    <row r="343">
      <c r="M343" s="37">
        <f>'03_原始数据'!C343-0.6*'03_原始数据'!B343-OtherCost</f>
        <v/>
      </c>
      <c r="N343" s="37">
        <f>'03_原始数据'!C343-0.605*'03_原始数据'!B343-OtherCost</f>
        <v/>
      </c>
      <c r="O343" s="37">
        <f>'03_原始数据'!C343-0.61*'03_原始数据'!B343-OtherCost</f>
        <v/>
      </c>
      <c r="P343" s="37">
        <f>'03_原始数据'!C343-0.615*'03_原始数据'!B343-OtherCost</f>
        <v/>
      </c>
      <c r="Q343" s="37">
        <f>'03_原始数据'!C343-0.62*'03_原始数据'!B343-OtherCost</f>
        <v/>
      </c>
      <c r="R343" s="37">
        <f>'03_原始数据'!C343-0.625*'03_原始数据'!B343-OtherCost</f>
        <v/>
      </c>
      <c r="S343" s="37">
        <f>'03_原始数据'!C343-0.63*'03_原始数据'!B343-OtherCost</f>
        <v/>
      </c>
      <c r="T343" s="37">
        <f>'03_原始数据'!C343-0.635*'03_原始数据'!B343-OtherCost</f>
        <v/>
      </c>
      <c r="U343" s="37">
        <f>'03_原始数据'!C343-0.64*'03_原始数据'!B343-OtherCost</f>
        <v/>
      </c>
      <c r="V343" s="37">
        <f>'03_原始数据'!C343-0.645*'03_原始数据'!B343-OtherCost</f>
        <v/>
      </c>
      <c r="W343" s="37">
        <f>'03_原始数据'!C343-0.65*'03_原始数据'!B343-OtherCost</f>
        <v/>
      </c>
      <c r="X343" s="37">
        <f>'03_原始数据'!C343-0.655*'03_原始数据'!B343-OtherCost</f>
        <v/>
      </c>
      <c r="Y343" s="37">
        <f>'03_原始数据'!C343-0.66*'03_原始数据'!B343-OtherCost</f>
        <v/>
      </c>
      <c r="Z343" s="37">
        <f>'03_原始数据'!C343-0.665*'03_原始数据'!B343-OtherCost</f>
        <v/>
      </c>
      <c r="AA343" s="37">
        <f>'03_原始数据'!C343-0.67*'03_原始数据'!B343-OtherCost</f>
        <v/>
      </c>
      <c r="AB343" s="37">
        <f>'03_原始数据'!C343-0.675*'03_原始数据'!B343-OtherCost</f>
        <v/>
      </c>
      <c r="AC343" s="37">
        <f>'03_原始数据'!C343-0.68*'03_原始数据'!B343-OtherCost</f>
        <v/>
      </c>
      <c r="AD343" s="37">
        <f>'03_原始数据'!C343-0.685*'03_原始数据'!B343-OtherCost</f>
        <v/>
      </c>
      <c r="AE343" s="37">
        <f>'03_原始数据'!C343-0.69*'03_原始数据'!B343-OtherCost</f>
        <v/>
      </c>
      <c r="AF343" s="37">
        <f>'03_原始数据'!C343-0.695*'03_原始数据'!B343-OtherCost</f>
        <v/>
      </c>
      <c r="AG343" s="37">
        <f>'03_原始数据'!C343-0.7*'03_原始数据'!B343-OtherCost</f>
        <v/>
      </c>
    </row>
    <row r="344">
      <c r="M344" s="37">
        <f>'03_原始数据'!C344-0.6*'03_原始数据'!B344-OtherCost</f>
        <v/>
      </c>
      <c r="N344" s="37">
        <f>'03_原始数据'!C344-0.605*'03_原始数据'!B344-OtherCost</f>
        <v/>
      </c>
      <c r="O344" s="37">
        <f>'03_原始数据'!C344-0.61*'03_原始数据'!B344-OtherCost</f>
        <v/>
      </c>
      <c r="P344" s="37">
        <f>'03_原始数据'!C344-0.615*'03_原始数据'!B344-OtherCost</f>
        <v/>
      </c>
      <c r="Q344" s="37">
        <f>'03_原始数据'!C344-0.62*'03_原始数据'!B344-OtherCost</f>
        <v/>
      </c>
      <c r="R344" s="37">
        <f>'03_原始数据'!C344-0.625*'03_原始数据'!B344-OtherCost</f>
        <v/>
      </c>
      <c r="S344" s="37">
        <f>'03_原始数据'!C344-0.63*'03_原始数据'!B344-OtherCost</f>
        <v/>
      </c>
      <c r="T344" s="37">
        <f>'03_原始数据'!C344-0.635*'03_原始数据'!B344-OtherCost</f>
        <v/>
      </c>
      <c r="U344" s="37">
        <f>'03_原始数据'!C344-0.64*'03_原始数据'!B344-OtherCost</f>
        <v/>
      </c>
      <c r="V344" s="37">
        <f>'03_原始数据'!C344-0.645*'03_原始数据'!B344-OtherCost</f>
        <v/>
      </c>
      <c r="W344" s="37">
        <f>'03_原始数据'!C344-0.65*'03_原始数据'!B344-OtherCost</f>
        <v/>
      </c>
      <c r="X344" s="37">
        <f>'03_原始数据'!C344-0.655*'03_原始数据'!B344-OtherCost</f>
        <v/>
      </c>
      <c r="Y344" s="37">
        <f>'03_原始数据'!C344-0.66*'03_原始数据'!B344-OtherCost</f>
        <v/>
      </c>
      <c r="Z344" s="37">
        <f>'03_原始数据'!C344-0.665*'03_原始数据'!B344-OtherCost</f>
        <v/>
      </c>
      <c r="AA344" s="37">
        <f>'03_原始数据'!C344-0.67*'03_原始数据'!B344-OtherCost</f>
        <v/>
      </c>
      <c r="AB344" s="37">
        <f>'03_原始数据'!C344-0.675*'03_原始数据'!B344-OtherCost</f>
        <v/>
      </c>
      <c r="AC344" s="37">
        <f>'03_原始数据'!C344-0.68*'03_原始数据'!B344-OtherCost</f>
        <v/>
      </c>
      <c r="AD344" s="37">
        <f>'03_原始数据'!C344-0.685*'03_原始数据'!B344-OtherCost</f>
        <v/>
      </c>
      <c r="AE344" s="37">
        <f>'03_原始数据'!C344-0.69*'03_原始数据'!B344-OtherCost</f>
        <v/>
      </c>
      <c r="AF344" s="37">
        <f>'03_原始数据'!C344-0.695*'03_原始数据'!B344-OtherCost</f>
        <v/>
      </c>
      <c r="AG344" s="37">
        <f>'03_原始数据'!C344-0.7*'03_原始数据'!B344-OtherCost</f>
        <v/>
      </c>
    </row>
    <row r="345">
      <c r="M345" s="37">
        <f>'03_原始数据'!C345-0.6*'03_原始数据'!B345-OtherCost</f>
        <v/>
      </c>
      <c r="N345" s="37">
        <f>'03_原始数据'!C345-0.605*'03_原始数据'!B345-OtherCost</f>
        <v/>
      </c>
      <c r="O345" s="37">
        <f>'03_原始数据'!C345-0.61*'03_原始数据'!B345-OtherCost</f>
        <v/>
      </c>
      <c r="P345" s="37">
        <f>'03_原始数据'!C345-0.615*'03_原始数据'!B345-OtherCost</f>
        <v/>
      </c>
      <c r="Q345" s="37">
        <f>'03_原始数据'!C345-0.62*'03_原始数据'!B345-OtherCost</f>
        <v/>
      </c>
      <c r="R345" s="37">
        <f>'03_原始数据'!C345-0.625*'03_原始数据'!B345-OtherCost</f>
        <v/>
      </c>
      <c r="S345" s="37">
        <f>'03_原始数据'!C345-0.63*'03_原始数据'!B345-OtherCost</f>
        <v/>
      </c>
      <c r="T345" s="37">
        <f>'03_原始数据'!C345-0.635*'03_原始数据'!B345-OtherCost</f>
        <v/>
      </c>
      <c r="U345" s="37">
        <f>'03_原始数据'!C345-0.64*'03_原始数据'!B345-OtherCost</f>
        <v/>
      </c>
      <c r="V345" s="37">
        <f>'03_原始数据'!C345-0.645*'03_原始数据'!B345-OtherCost</f>
        <v/>
      </c>
      <c r="W345" s="37">
        <f>'03_原始数据'!C345-0.65*'03_原始数据'!B345-OtherCost</f>
        <v/>
      </c>
      <c r="X345" s="37">
        <f>'03_原始数据'!C345-0.655*'03_原始数据'!B345-OtherCost</f>
        <v/>
      </c>
      <c r="Y345" s="37">
        <f>'03_原始数据'!C345-0.66*'03_原始数据'!B345-OtherCost</f>
        <v/>
      </c>
      <c r="Z345" s="37">
        <f>'03_原始数据'!C345-0.665*'03_原始数据'!B345-OtherCost</f>
        <v/>
      </c>
      <c r="AA345" s="37">
        <f>'03_原始数据'!C345-0.67*'03_原始数据'!B345-OtherCost</f>
        <v/>
      </c>
      <c r="AB345" s="37">
        <f>'03_原始数据'!C345-0.675*'03_原始数据'!B345-OtherCost</f>
        <v/>
      </c>
      <c r="AC345" s="37">
        <f>'03_原始数据'!C345-0.68*'03_原始数据'!B345-OtherCost</f>
        <v/>
      </c>
      <c r="AD345" s="37">
        <f>'03_原始数据'!C345-0.685*'03_原始数据'!B345-OtherCost</f>
        <v/>
      </c>
      <c r="AE345" s="37">
        <f>'03_原始数据'!C345-0.69*'03_原始数据'!B345-OtherCost</f>
        <v/>
      </c>
      <c r="AF345" s="37">
        <f>'03_原始数据'!C345-0.695*'03_原始数据'!B345-OtherCost</f>
        <v/>
      </c>
      <c r="AG345" s="37">
        <f>'03_原始数据'!C345-0.7*'03_原始数据'!B345-OtherCost</f>
        <v/>
      </c>
    </row>
    <row r="346">
      <c r="M346" s="37">
        <f>'03_原始数据'!C346-0.6*'03_原始数据'!B346-OtherCost</f>
        <v/>
      </c>
      <c r="N346" s="37">
        <f>'03_原始数据'!C346-0.605*'03_原始数据'!B346-OtherCost</f>
        <v/>
      </c>
      <c r="O346" s="37">
        <f>'03_原始数据'!C346-0.61*'03_原始数据'!B346-OtherCost</f>
        <v/>
      </c>
      <c r="P346" s="37">
        <f>'03_原始数据'!C346-0.615*'03_原始数据'!B346-OtherCost</f>
        <v/>
      </c>
      <c r="Q346" s="37">
        <f>'03_原始数据'!C346-0.62*'03_原始数据'!B346-OtherCost</f>
        <v/>
      </c>
      <c r="R346" s="37">
        <f>'03_原始数据'!C346-0.625*'03_原始数据'!B346-OtherCost</f>
        <v/>
      </c>
      <c r="S346" s="37">
        <f>'03_原始数据'!C346-0.63*'03_原始数据'!B346-OtherCost</f>
        <v/>
      </c>
      <c r="T346" s="37">
        <f>'03_原始数据'!C346-0.635*'03_原始数据'!B346-OtherCost</f>
        <v/>
      </c>
      <c r="U346" s="37">
        <f>'03_原始数据'!C346-0.64*'03_原始数据'!B346-OtherCost</f>
        <v/>
      </c>
      <c r="V346" s="37">
        <f>'03_原始数据'!C346-0.645*'03_原始数据'!B346-OtherCost</f>
        <v/>
      </c>
      <c r="W346" s="37">
        <f>'03_原始数据'!C346-0.65*'03_原始数据'!B346-OtherCost</f>
        <v/>
      </c>
      <c r="X346" s="37">
        <f>'03_原始数据'!C346-0.655*'03_原始数据'!B346-OtherCost</f>
        <v/>
      </c>
      <c r="Y346" s="37">
        <f>'03_原始数据'!C346-0.66*'03_原始数据'!B346-OtherCost</f>
        <v/>
      </c>
      <c r="Z346" s="37">
        <f>'03_原始数据'!C346-0.665*'03_原始数据'!B346-OtherCost</f>
        <v/>
      </c>
      <c r="AA346" s="37">
        <f>'03_原始数据'!C346-0.67*'03_原始数据'!B346-OtherCost</f>
        <v/>
      </c>
      <c r="AB346" s="37">
        <f>'03_原始数据'!C346-0.675*'03_原始数据'!B346-OtherCost</f>
        <v/>
      </c>
      <c r="AC346" s="37">
        <f>'03_原始数据'!C346-0.68*'03_原始数据'!B346-OtherCost</f>
        <v/>
      </c>
      <c r="AD346" s="37">
        <f>'03_原始数据'!C346-0.685*'03_原始数据'!B346-OtherCost</f>
        <v/>
      </c>
      <c r="AE346" s="37">
        <f>'03_原始数据'!C346-0.69*'03_原始数据'!B346-OtherCost</f>
        <v/>
      </c>
      <c r="AF346" s="37">
        <f>'03_原始数据'!C346-0.695*'03_原始数据'!B346-OtherCost</f>
        <v/>
      </c>
      <c r="AG346" s="37">
        <f>'03_原始数据'!C346-0.7*'03_原始数据'!B346-OtherCost</f>
        <v/>
      </c>
    </row>
    <row r="347">
      <c r="M347" s="37">
        <f>'03_原始数据'!C347-0.6*'03_原始数据'!B347-OtherCost</f>
        <v/>
      </c>
      <c r="N347" s="37">
        <f>'03_原始数据'!C347-0.605*'03_原始数据'!B347-OtherCost</f>
        <v/>
      </c>
      <c r="O347" s="37">
        <f>'03_原始数据'!C347-0.61*'03_原始数据'!B347-OtherCost</f>
        <v/>
      </c>
      <c r="P347" s="37">
        <f>'03_原始数据'!C347-0.615*'03_原始数据'!B347-OtherCost</f>
        <v/>
      </c>
      <c r="Q347" s="37">
        <f>'03_原始数据'!C347-0.62*'03_原始数据'!B347-OtherCost</f>
        <v/>
      </c>
      <c r="R347" s="37">
        <f>'03_原始数据'!C347-0.625*'03_原始数据'!B347-OtherCost</f>
        <v/>
      </c>
      <c r="S347" s="37">
        <f>'03_原始数据'!C347-0.63*'03_原始数据'!B347-OtherCost</f>
        <v/>
      </c>
      <c r="T347" s="37">
        <f>'03_原始数据'!C347-0.635*'03_原始数据'!B347-OtherCost</f>
        <v/>
      </c>
      <c r="U347" s="37">
        <f>'03_原始数据'!C347-0.64*'03_原始数据'!B347-OtherCost</f>
        <v/>
      </c>
      <c r="V347" s="37">
        <f>'03_原始数据'!C347-0.645*'03_原始数据'!B347-OtherCost</f>
        <v/>
      </c>
      <c r="W347" s="37">
        <f>'03_原始数据'!C347-0.65*'03_原始数据'!B347-OtherCost</f>
        <v/>
      </c>
      <c r="X347" s="37">
        <f>'03_原始数据'!C347-0.655*'03_原始数据'!B347-OtherCost</f>
        <v/>
      </c>
      <c r="Y347" s="37">
        <f>'03_原始数据'!C347-0.66*'03_原始数据'!B347-OtherCost</f>
        <v/>
      </c>
      <c r="Z347" s="37">
        <f>'03_原始数据'!C347-0.665*'03_原始数据'!B347-OtherCost</f>
        <v/>
      </c>
      <c r="AA347" s="37">
        <f>'03_原始数据'!C347-0.67*'03_原始数据'!B347-OtherCost</f>
        <v/>
      </c>
      <c r="AB347" s="37">
        <f>'03_原始数据'!C347-0.675*'03_原始数据'!B347-OtherCost</f>
        <v/>
      </c>
      <c r="AC347" s="37">
        <f>'03_原始数据'!C347-0.68*'03_原始数据'!B347-OtherCost</f>
        <v/>
      </c>
      <c r="AD347" s="37">
        <f>'03_原始数据'!C347-0.685*'03_原始数据'!B347-OtherCost</f>
        <v/>
      </c>
      <c r="AE347" s="37">
        <f>'03_原始数据'!C347-0.69*'03_原始数据'!B347-OtherCost</f>
        <v/>
      </c>
      <c r="AF347" s="37">
        <f>'03_原始数据'!C347-0.695*'03_原始数据'!B347-OtherCost</f>
        <v/>
      </c>
      <c r="AG347" s="37">
        <f>'03_原始数据'!C347-0.7*'03_原始数据'!B347-OtherCost</f>
        <v/>
      </c>
    </row>
    <row r="348">
      <c r="M348" s="37">
        <f>'03_原始数据'!C348-0.6*'03_原始数据'!B348-OtherCost</f>
        <v/>
      </c>
      <c r="N348" s="37">
        <f>'03_原始数据'!C348-0.605*'03_原始数据'!B348-OtherCost</f>
        <v/>
      </c>
      <c r="O348" s="37">
        <f>'03_原始数据'!C348-0.61*'03_原始数据'!B348-OtherCost</f>
        <v/>
      </c>
      <c r="P348" s="37">
        <f>'03_原始数据'!C348-0.615*'03_原始数据'!B348-OtherCost</f>
        <v/>
      </c>
      <c r="Q348" s="37">
        <f>'03_原始数据'!C348-0.62*'03_原始数据'!B348-OtherCost</f>
        <v/>
      </c>
      <c r="R348" s="37">
        <f>'03_原始数据'!C348-0.625*'03_原始数据'!B348-OtherCost</f>
        <v/>
      </c>
      <c r="S348" s="37">
        <f>'03_原始数据'!C348-0.63*'03_原始数据'!B348-OtherCost</f>
        <v/>
      </c>
      <c r="T348" s="37">
        <f>'03_原始数据'!C348-0.635*'03_原始数据'!B348-OtherCost</f>
        <v/>
      </c>
      <c r="U348" s="37">
        <f>'03_原始数据'!C348-0.64*'03_原始数据'!B348-OtherCost</f>
        <v/>
      </c>
      <c r="V348" s="37">
        <f>'03_原始数据'!C348-0.645*'03_原始数据'!B348-OtherCost</f>
        <v/>
      </c>
      <c r="W348" s="37">
        <f>'03_原始数据'!C348-0.65*'03_原始数据'!B348-OtherCost</f>
        <v/>
      </c>
      <c r="X348" s="37">
        <f>'03_原始数据'!C348-0.655*'03_原始数据'!B348-OtherCost</f>
        <v/>
      </c>
      <c r="Y348" s="37">
        <f>'03_原始数据'!C348-0.66*'03_原始数据'!B348-OtherCost</f>
        <v/>
      </c>
      <c r="Z348" s="37">
        <f>'03_原始数据'!C348-0.665*'03_原始数据'!B348-OtherCost</f>
        <v/>
      </c>
      <c r="AA348" s="37">
        <f>'03_原始数据'!C348-0.67*'03_原始数据'!B348-OtherCost</f>
        <v/>
      </c>
      <c r="AB348" s="37">
        <f>'03_原始数据'!C348-0.675*'03_原始数据'!B348-OtherCost</f>
        <v/>
      </c>
      <c r="AC348" s="37">
        <f>'03_原始数据'!C348-0.68*'03_原始数据'!B348-OtherCost</f>
        <v/>
      </c>
      <c r="AD348" s="37">
        <f>'03_原始数据'!C348-0.685*'03_原始数据'!B348-OtherCost</f>
        <v/>
      </c>
      <c r="AE348" s="37">
        <f>'03_原始数据'!C348-0.69*'03_原始数据'!B348-OtherCost</f>
        <v/>
      </c>
      <c r="AF348" s="37">
        <f>'03_原始数据'!C348-0.695*'03_原始数据'!B348-OtherCost</f>
        <v/>
      </c>
      <c r="AG348" s="37">
        <f>'03_原始数据'!C348-0.7*'03_原始数据'!B348-OtherCost</f>
        <v/>
      </c>
    </row>
    <row r="349">
      <c r="M349" s="37">
        <f>'03_原始数据'!C349-0.6*'03_原始数据'!B349-OtherCost</f>
        <v/>
      </c>
      <c r="N349" s="37">
        <f>'03_原始数据'!C349-0.605*'03_原始数据'!B349-OtherCost</f>
        <v/>
      </c>
      <c r="O349" s="37">
        <f>'03_原始数据'!C349-0.61*'03_原始数据'!B349-OtherCost</f>
        <v/>
      </c>
      <c r="P349" s="37">
        <f>'03_原始数据'!C349-0.615*'03_原始数据'!B349-OtherCost</f>
        <v/>
      </c>
      <c r="Q349" s="37">
        <f>'03_原始数据'!C349-0.62*'03_原始数据'!B349-OtherCost</f>
        <v/>
      </c>
      <c r="R349" s="37">
        <f>'03_原始数据'!C349-0.625*'03_原始数据'!B349-OtherCost</f>
        <v/>
      </c>
      <c r="S349" s="37">
        <f>'03_原始数据'!C349-0.63*'03_原始数据'!B349-OtherCost</f>
        <v/>
      </c>
      <c r="T349" s="37">
        <f>'03_原始数据'!C349-0.635*'03_原始数据'!B349-OtherCost</f>
        <v/>
      </c>
      <c r="U349" s="37">
        <f>'03_原始数据'!C349-0.64*'03_原始数据'!B349-OtherCost</f>
        <v/>
      </c>
      <c r="V349" s="37">
        <f>'03_原始数据'!C349-0.645*'03_原始数据'!B349-OtherCost</f>
        <v/>
      </c>
      <c r="W349" s="37">
        <f>'03_原始数据'!C349-0.65*'03_原始数据'!B349-OtherCost</f>
        <v/>
      </c>
      <c r="X349" s="37">
        <f>'03_原始数据'!C349-0.655*'03_原始数据'!B349-OtherCost</f>
        <v/>
      </c>
      <c r="Y349" s="37">
        <f>'03_原始数据'!C349-0.66*'03_原始数据'!B349-OtherCost</f>
        <v/>
      </c>
      <c r="Z349" s="37">
        <f>'03_原始数据'!C349-0.665*'03_原始数据'!B349-OtherCost</f>
        <v/>
      </c>
      <c r="AA349" s="37">
        <f>'03_原始数据'!C349-0.67*'03_原始数据'!B349-OtherCost</f>
        <v/>
      </c>
      <c r="AB349" s="37">
        <f>'03_原始数据'!C349-0.675*'03_原始数据'!B349-OtherCost</f>
        <v/>
      </c>
      <c r="AC349" s="37">
        <f>'03_原始数据'!C349-0.68*'03_原始数据'!B349-OtherCost</f>
        <v/>
      </c>
      <c r="AD349" s="37">
        <f>'03_原始数据'!C349-0.685*'03_原始数据'!B349-OtherCost</f>
        <v/>
      </c>
      <c r="AE349" s="37">
        <f>'03_原始数据'!C349-0.69*'03_原始数据'!B349-OtherCost</f>
        <v/>
      </c>
      <c r="AF349" s="37">
        <f>'03_原始数据'!C349-0.695*'03_原始数据'!B349-OtherCost</f>
        <v/>
      </c>
      <c r="AG349" s="37">
        <f>'03_原始数据'!C349-0.7*'03_原始数据'!B349-OtherCost</f>
        <v/>
      </c>
    </row>
    <row r="350">
      <c r="M350" s="37">
        <f>'03_原始数据'!C350-0.6*'03_原始数据'!B350-OtherCost</f>
        <v/>
      </c>
      <c r="N350" s="37">
        <f>'03_原始数据'!C350-0.605*'03_原始数据'!B350-OtherCost</f>
        <v/>
      </c>
      <c r="O350" s="37">
        <f>'03_原始数据'!C350-0.61*'03_原始数据'!B350-OtherCost</f>
        <v/>
      </c>
      <c r="P350" s="37">
        <f>'03_原始数据'!C350-0.615*'03_原始数据'!B350-OtherCost</f>
        <v/>
      </c>
      <c r="Q350" s="37">
        <f>'03_原始数据'!C350-0.62*'03_原始数据'!B350-OtherCost</f>
        <v/>
      </c>
      <c r="R350" s="37">
        <f>'03_原始数据'!C350-0.625*'03_原始数据'!B350-OtherCost</f>
        <v/>
      </c>
      <c r="S350" s="37">
        <f>'03_原始数据'!C350-0.63*'03_原始数据'!B350-OtherCost</f>
        <v/>
      </c>
      <c r="T350" s="37">
        <f>'03_原始数据'!C350-0.635*'03_原始数据'!B350-OtherCost</f>
        <v/>
      </c>
      <c r="U350" s="37">
        <f>'03_原始数据'!C350-0.64*'03_原始数据'!B350-OtherCost</f>
        <v/>
      </c>
      <c r="V350" s="37">
        <f>'03_原始数据'!C350-0.645*'03_原始数据'!B350-OtherCost</f>
        <v/>
      </c>
      <c r="W350" s="37">
        <f>'03_原始数据'!C350-0.65*'03_原始数据'!B350-OtherCost</f>
        <v/>
      </c>
      <c r="X350" s="37">
        <f>'03_原始数据'!C350-0.655*'03_原始数据'!B350-OtherCost</f>
        <v/>
      </c>
      <c r="Y350" s="37">
        <f>'03_原始数据'!C350-0.66*'03_原始数据'!B350-OtherCost</f>
        <v/>
      </c>
      <c r="Z350" s="37">
        <f>'03_原始数据'!C350-0.665*'03_原始数据'!B350-OtherCost</f>
        <v/>
      </c>
      <c r="AA350" s="37">
        <f>'03_原始数据'!C350-0.67*'03_原始数据'!B350-OtherCost</f>
        <v/>
      </c>
      <c r="AB350" s="37">
        <f>'03_原始数据'!C350-0.675*'03_原始数据'!B350-OtherCost</f>
        <v/>
      </c>
      <c r="AC350" s="37">
        <f>'03_原始数据'!C350-0.68*'03_原始数据'!B350-OtherCost</f>
        <v/>
      </c>
      <c r="AD350" s="37">
        <f>'03_原始数据'!C350-0.685*'03_原始数据'!B350-OtherCost</f>
        <v/>
      </c>
      <c r="AE350" s="37">
        <f>'03_原始数据'!C350-0.69*'03_原始数据'!B350-OtherCost</f>
        <v/>
      </c>
      <c r="AF350" s="37">
        <f>'03_原始数据'!C350-0.695*'03_原始数据'!B350-OtherCost</f>
        <v/>
      </c>
      <c r="AG350" s="37">
        <f>'03_原始数据'!C350-0.7*'03_原始数据'!B350-OtherCost</f>
        <v/>
      </c>
    </row>
    <row r="351">
      <c r="M351" s="37">
        <f>'03_原始数据'!C351-0.6*'03_原始数据'!B351-OtherCost</f>
        <v/>
      </c>
      <c r="N351" s="37">
        <f>'03_原始数据'!C351-0.605*'03_原始数据'!B351-OtherCost</f>
        <v/>
      </c>
      <c r="O351" s="37">
        <f>'03_原始数据'!C351-0.61*'03_原始数据'!B351-OtherCost</f>
        <v/>
      </c>
      <c r="P351" s="37">
        <f>'03_原始数据'!C351-0.615*'03_原始数据'!B351-OtherCost</f>
        <v/>
      </c>
      <c r="Q351" s="37">
        <f>'03_原始数据'!C351-0.62*'03_原始数据'!B351-OtherCost</f>
        <v/>
      </c>
      <c r="R351" s="37">
        <f>'03_原始数据'!C351-0.625*'03_原始数据'!B351-OtherCost</f>
        <v/>
      </c>
      <c r="S351" s="37">
        <f>'03_原始数据'!C351-0.63*'03_原始数据'!B351-OtherCost</f>
        <v/>
      </c>
      <c r="T351" s="37">
        <f>'03_原始数据'!C351-0.635*'03_原始数据'!B351-OtherCost</f>
        <v/>
      </c>
      <c r="U351" s="37">
        <f>'03_原始数据'!C351-0.64*'03_原始数据'!B351-OtherCost</f>
        <v/>
      </c>
      <c r="V351" s="37">
        <f>'03_原始数据'!C351-0.645*'03_原始数据'!B351-OtherCost</f>
        <v/>
      </c>
      <c r="W351" s="37">
        <f>'03_原始数据'!C351-0.65*'03_原始数据'!B351-OtherCost</f>
        <v/>
      </c>
      <c r="X351" s="37">
        <f>'03_原始数据'!C351-0.655*'03_原始数据'!B351-OtherCost</f>
        <v/>
      </c>
      <c r="Y351" s="37">
        <f>'03_原始数据'!C351-0.66*'03_原始数据'!B351-OtherCost</f>
        <v/>
      </c>
      <c r="Z351" s="37">
        <f>'03_原始数据'!C351-0.665*'03_原始数据'!B351-OtherCost</f>
        <v/>
      </c>
      <c r="AA351" s="37">
        <f>'03_原始数据'!C351-0.67*'03_原始数据'!B351-OtherCost</f>
        <v/>
      </c>
      <c r="AB351" s="37">
        <f>'03_原始数据'!C351-0.675*'03_原始数据'!B351-OtherCost</f>
        <v/>
      </c>
      <c r="AC351" s="37">
        <f>'03_原始数据'!C351-0.68*'03_原始数据'!B351-OtherCost</f>
        <v/>
      </c>
      <c r="AD351" s="37">
        <f>'03_原始数据'!C351-0.685*'03_原始数据'!B351-OtherCost</f>
        <v/>
      </c>
      <c r="AE351" s="37">
        <f>'03_原始数据'!C351-0.69*'03_原始数据'!B351-OtherCost</f>
        <v/>
      </c>
      <c r="AF351" s="37">
        <f>'03_原始数据'!C351-0.695*'03_原始数据'!B351-OtherCost</f>
        <v/>
      </c>
      <c r="AG351" s="37">
        <f>'03_原始数据'!C351-0.7*'03_原始数据'!B351-OtherCost</f>
        <v/>
      </c>
    </row>
    <row r="352">
      <c r="M352" s="37">
        <f>'03_原始数据'!C352-0.6*'03_原始数据'!B352-OtherCost</f>
        <v/>
      </c>
      <c r="N352" s="37">
        <f>'03_原始数据'!C352-0.605*'03_原始数据'!B352-OtherCost</f>
        <v/>
      </c>
      <c r="O352" s="37">
        <f>'03_原始数据'!C352-0.61*'03_原始数据'!B352-OtherCost</f>
        <v/>
      </c>
      <c r="P352" s="37">
        <f>'03_原始数据'!C352-0.615*'03_原始数据'!B352-OtherCost</f>
        <v/>
      </c>
      <c r="Q352" s="37">
        <f>'03_原始数据'!C352-0.62*'03_原始数据'!B352-OtherCost</f>
        <v/>
      </c>
      <c r="R352" s="37">
        <f>'03_原始数据'!C352-0.625*'03_原始数据'!B352-OtherCost</f>
        <v/>
      </c>
      <c r="S352" s="37">
        <f>'03_原始数据'!C352-0.63*'03_原始数据'!B352-OtherCost</f>
        <v/>
      </c>
      <c r="T352" s="37">
        <f>'03_原始数据'!C352-0.635*'03_原始数据'!B352-OtherCost</f>
        <v/>
      </c>
      <c r="U352" s="37">
        <f>'03_原始数据'!C352-0.64*'03_原始数据'!B352-OtherCost</f>
        <v/>
      </c>
      <c r="V352" s="37">
        <f>'03_原始数据'!C352-0.645*'03_原始数据'!B352-OtherCost</f>
        <v/>
      </c>
      <c r="W352" s="37">
        <f>'03_原始数据'!C352-0.65*'03_原始数据'!B352-OtherCost</f>
        <v/>
      </c>
      <c r="X352" s="37">
        <f>'03_原始数据'!C352-0.655*'03_原始数据'!B352-OtherCost</f>
        <v/>
      </c>
      <c r="Y352" s="37">
        <f>'03_原始数据'!C352-0.66*'03_原始数据'!B352-OtherCost</f>
        <v/>
      </c>
      <c r="Z352" s="37">
        <f>'03_原始数据'!C352-0.665*'03_原始数据'!B352-OtherCost</f>
        <v/>
      </c>
      <c r="AA352" s="37">
        <f>'03_原始数据'!C352-0.67*'03_原始数据'!B352-OtherCost</f>
        <v/>
      </c>
      <c r="AB352" s="37">
        <f>'03_原始数据'!C352-0.675*'03_原始数据'!B352-OtherCost</f>
        <v/>
      </c>
      <c r="AC352" s="37">
        <f>'03_原始数据'!C352-0.68*'03_原始数据'!B352-OtherCost</f>
        <v/>
      </c>
      <c r="AD352" s="37">
        <f>'03_原始数据'!C352-0.685*'03_原始数据'!B352-OtherCost</f>
        <v/>
      </c>
      <c r="AE352" s="37">
        <f>'03_原始数据'!C352-0.69*'03_原始数据'!B352-OtherCost</f>
        <v/>
      </c>
      <c r="AF352" s="37">
        <f>'03_原始数据'!C352-0.695*'03_原始数据'!B352-OtherCost</f>
        <v/>
      </c>
      <c r="AG352" s="37">
        <f>'03_原始数据'!C352-0.7*'03_原始数据'!B352-OtherCost</f>
        <v/>
      </c>
    </row>
    <row r="353">
      <c r="M353" s="37">
        <f>'03_原始数据'!C353-0.6*'03_原始数据'!B353-OtherCost</f>
        <v/>
      </c>
      <c r="N353" s="37">
        <f>'03_原始数据'!C353-0.605*'03_原始数据'!B353-OtherCost</f>
        <v/>
      </c>
      <c r="O353" s="37">
        <f>'03_原始数据'!C353-0.61*'03_原始数据'!B353-OtherCost</f>
        <v/>
      </c>
      <c r="P353" s="37">
        <f>'03_原始数据'!C353-0.615*'03_原始数据'!B353-OtherCost</f>
        <v/>
      </c>
      <c r="Q353" s="37">
        <f>'03_原始数据'!C353-0.62*'03_原始数据'!B353-OtherCost</f>
        <v/>
      </c>
      <c r="R353" s="37">
        <f>'03_原始数据'!C353-0.625*'03_原始数据'!B353-OtherCost</f>
        <v/>
      </c>
      <c r="S353" s="37">
        <f>'03_原始数据'!C353-0.63*'03_原始数据'!B353-OtherCost</f>
        <v/>
      </c>
      <c r="T353" s="37">
        <f>'03_原始数据'!C353-0.635*'03_原始数据'!B353-OtherCost</f>
        <v/>
      </c>
      <c r="U353" s="37">
        <f>'03_原始数据'!C353-0.64*'03_原始数据'!B353-OtherCost</f>
        <v/>
      </c>
      <c r="V353" s="37">
        <f>'03_原始数据'!C353-0.645*'03_原始数据'!B353-OtherCost</f>
        <v/>
      </c>
      <c r="W353" s="37">
        <f>'03_原始数据'!C353-0.65*'03_原始数据'!B353-OtherCost</f>
        <v/>
      </c>
      <c r="X353" s="37">
        <f>'03_原始数据'!C353-0.655*'03_原始数据'!B353-OtherCost</f>
        <v/>
      </c>
      <c r="Y353" s="37">
        <f>'03_原始数据'!C353-0.66*'03_原始数据'!B353-OtherCost</f>
        <v/>
      </c>
      <c r="Z353" s="37">
        <f>'03_原始数据'!C353-0.665*'03_原始数据'!B353-OtherCost</f>
        <v/>
      </c>
      <c r="AA353" s="37">
        <f>'03_原始数据'!C353-0.67*'03_原始数据'!B353-OtherCost</f>
        <v/>
      </c>
      <c r="AB353" s="37">
        <f>'03_原始数据'!C353-0.675*'03_原始数据'!B353-OtherCost</f>
        <v/>
      </c>
      <c r="AC353" s="37">
        <f>'03_原始数据'!C353-0.68*'03_原始数据'!B353-OtherCost</f>
        <v/>
      </c>
      <c r="AD353" s="37">
        <f>'03_原始数据'!C353-0.685*'03_原始数据'!B353-OtherCost</f>
        <v/>
      </c>
      <c r="AE353" s="37">
        <f>'03_原始数据'!C353-0.69*'03_原始数据'!B353-OtherCost</f>
        <v/>
      </c>
      <c r="AF353" s="37">
        <f>'03_原始数据'!C353-0.695*'03_原始数据'!B353-OtherCost</f>
        <v/>
      </c>
      <c r="AG353" s="37">
        <f>'03_原始数据'!C353-0.7*'03_原始数据'!B353-OtherCost</f>
        <v/>
      </c>
    </row>
    <row r="354">
      <c r="M354" s="37">
        <f>'03_原始数据'!C354-0.6*'03_原始数据'!B354-OtherCost</f>
        <v/>
      </c>
      <c r="N354" s="37">
        <f>'03_原始数据'!C354-0.605*'03_原始数据'!B354-OtherCost</f>
        <v/>
      </c>
      <c r="O354" s="37">
        <f>'03_原始数据'!C354-0.61*'03_原始数据'!B354-OtherCost</f>
        <v/>
      </c>
      <c r="P354" s="37">
        <f>'03_原始数据'!C354-0.615*'03_原始数据'!B354-OtherCost</f>
        <v/>
      </c>
      <c r="Q354" s="37">
        <f>'03_原始数据'!C354-0.62*'03_原始数据'!B354-OtherCost</f>
        <v/>
      </c>
      <c r="R354" s="37">
        <f>'03_原始数据'!C354-0.625*'03_原始数据'!B354-OtherCost</f>
        <v/>
      </c>
      <c r="S354" s="37">
        <f>'03_原始数据'!C354-0.63*'03_原始数据'!B354-OtherCost</f>
        <v/>
      </c>
      <c r="T354" s="37">
        <f>'03_原始数据'!C354-0.635*'03_原始数据'!B354-OtherCost</f>
        <v/>
      </c>
      <c r="U354" s="37">
        <f>'03_原始数据'!C354-0.64*'03_原始数据'!B354-OtherCost</f>
        <v/>
      </c>
      <c r="V354" s="37">
        <f>'03_原始数据'!C354-0.645*'03_原始数据'!B354-OtherCost</f>
        <v/>
      </c>
      <c r="W354" s="37">
        <f>'03_原始数据'!C354-0.65*'03_原始数据'!B354-OtherCost</f>
        <v/>
      </c>
      <c r="X354" s="37">
        <f>'03_原始数据'!C354-0.655*'03_原始数据'!B354-OtherCost</f>
        <v/>
      </c>
      <c r="Y354" s="37">
        <f>'03_原始数据'!C354-0.66*'03_原始数据'!B354-OtherCost</f>
        <v/>
      </c>
      <c r="Z354" s="37">
        <f>'03_原始数据'!C354-0.665*'03_原始数据'!B354-OtherCost</f>
        <v/>
      </c>
      <c r="AA354" s="37">
        <f>'03_原始数据'!C354-0.67*'03_原始数据'!B354-OtherCost</f>
        <v/>
      </c>
      <c r="AB354" s="37">
        <f>'03_原始数据'!C354-0.675*'03_原始数据'!B354-OtherCost</f>
        <v/>
      </c>
      <c r="AC354" s="37">
        <f>'03_原始数据'!C354-0.68*'03_原始数据'!B354-OtherCost</f>
        <v/>
      </c>
      <c r="AD354" s="37">
        <f>'03_原始数据'!C354-0.685*'03_原始数据'!B354-OtherCost</f>
        <v/>
      </c>
      <c r="AE354" s="37">
        <f>'03_原始数据'!C354-0.69*'03_原始数据'!B354-OtherCost</f>
        <v/>
      </c>
      <c r="AF354" s="37">
        <f>'03_原始数据'!C354-0.695*'03_原始数据'!B354-OtherCost</f>
        <v/>
      </c>
      <c r="AG354" s="37">
        <f>'03_原始数据'!C354-0.7*'03_原始数据'!B354-OtherCost</f>
        <v/>
      </c>
    </row>
    <row r="355">
      <c r="M355" s="37">
        <f>'03_原始数据'!C355-0.6*'03_原始数据'!B355-OtherCost</f>
        <v/>
      </c>
      <c r="N355" s="37">
        <f>'03_原始数据'!C355-0.605*'03_原始数据'!B355-OtherCost</f>
        <v/>
      </c>
      <c r="O355" s="37">
        <f>'03_原始数据'!C355-0.61*'03_原始数据'!B355-OtherCost</f>
        <v/>
      </c>
      <c r="P355" s="37">
        <f>'03_原始数据'!C355-0.615*'03_原始数据'!B355-OtherCost</f>
        <v/>
      </c>
      <c r="Q355" s="37">
        <f>'03_原始数据'!C355-0.62*'03_原始数据'!B355-OtherCost</f>
        <v/>
      </c>
      <c r="R355" s="37">
        <f>'03_原始数据'!C355-0.625*'03_原始数据'!B355-OtherCost</f>
        <v/>
      </c>
      <c r="S355" s="37">
        <f>'03_原始数据'!C355-0.63*'03_原始数据'!B355-OtherCost</f>
        <v/>
      </c>
      <c r="T355" s="37">
        <f>'03_原始数据'!C355-0.635*'03_原始数据'!B355-OtherCost</f>
        <v/>
      </c>
      <c r="U355" s="37">
        <f>'03_原始数据'!C355-0.64*'03_原始数据'!B355-OtherCost</f>
        <v/>
      </c>
      <c r="V355" s="37">
        <f>'03_原始数据'!C355-0.645*'03_原始数据'!B355-OtherCost</f>
        <v/>
      </c>
      <c r="W355" s="37">
        <f>'03_原始数据'!C355-0.65*'03_原始数据'!B355-OtherCost</f>
        <v/>
      </c>
      <c r="X355" s="37">
        <f>'03_原始数据'!C355-0.655*'03_原始数据'!B355-OtherCost</f>
        <v/>
      </c>
      <c r="Y355" s="37">
        <f>'03_原始数据'!C355-0.66*'03_原始数据'!B355-OtherCost</f>
        <v/>
      </c>
      <c r="Z355" s="37">
        <f>'03_原始数据'!C355-0.665*'03_原始数据'!B355-OtherCost</f>
        <v/>
      </c>
      <c r="AA355" s="37">
        <f>'03_原始数据'!C355-0.67*'03_原始数据'!B355-OtherCost</f>
        <v/>
      </c>
      <c r="AB355" s="37">
        <f>'03_原始数据'!C355-0.675*'03_原始数据'!B355-OtherCost</f>
        <v/>
      </c>
      <c r="AC355" s="37">
        <f>'03_原始数据'!C355-0.68*'03_原始数据'!B355-OtherCost</f>
        <v/>
      </c>
      <c r="AD355" s="37">
        <f>'03_原始数据'!C355-0.685*'03_原始数据'!B355-OtherCost</f>
        <v/>
      </c>
      <c r="AE355" s="37">
        <f>'03_原始数据'!C355-0.69*'03_原始数据'!B355-OtherCost</f>
        <v/>
      </c>
      <c r="AF355" s="37">
        <f>'03_原始数据'!C355-0.695*'03_原始数据'!B355-OtherCost</f>
        <v/>
      </c>
      <c r="AG355" s="37">
        <f>'03_原始数据'!C355-0.7*'03_原始数据'!B355-OtherCost</f>
        <v/>
      </c>
    </row>
    <row r="356">
      <c r="M356" s="37">
        <f>'03_原始数据'!C356-0.6*'03_原始数据'!B356-OtherCost</f>
        <v/>
      </c>
      <c r="N356" s="37">
        <f>'03_原始数据'!C356-0.605*'03_原始数据'!B356-OtherCost</f>
        <v/>
      </c>
      <c r="O356" s="37">
        <f>'03_原始数据'!C356-0.61*'03_原始数据'!B356-OtherCost</f>
        <v/>
      </c>
      <c r="P356" s="37">
        <f>'03_原始数据'!C356-0.615*'03_原始数据'!B356-OtherCost</f>
        <v/>
      </c>
      <c r="Q356" s="37">
        <f>'03_原始数据'!C356-0.62*'03_原始数据'!B356-OtherCost</f>
        <v/>
      </c>
      <c r="R356" s="37">
        <f>'03_原始数据'!C356-0.625*'03_原始数据'!B356-OtherCost</f>
        <v/>
      </c>
      <c r="S356" s="37">
        <f>'03_原始数据'!C356-0.63*'03_原始数据'!B356-OtherCost</f>
        <v/>
      </c>
      <c r="T356" s="37">
        <f>'03_原始数据'!C356-0.635*'03_原始数据'!B356-OtherCost</f>
        <v/>
      </c>
      <c r="U356" s="37">
        <f>'03_原始数据'!C356-0.64*'03_原始数据'!B356-OtherCost</f>
        <v/>
      </c>
      <c r="V356" s="37">
        <f>'03_原始数据'!C356-0.645*'03_原始数据'!B356-OtherCost</f>
        <v/>
      </c>
      <c r="W356" s="37">
        <f>'03_原始数据'!C356-0.65*'03_原始数据'!B356-OtherCost</f>
        <v/>
      </c>
      <c r="X356" s="37">
        <f>'03_原始数据'!C356-0.655*'03_原始数据'!B356-OtherCost</f>
        <v/>
      </c>
      <c r="Y356" s="37">
        <f>'03_原始数据'!C356-0.66*'03_原始数据'!B356-OtherCost</f>
        <v/>
      </c>
      <c r="Z356" s="37">
        <f>'03_原始数据'!C356-0.665*'03_原始数据'!B356-OtherCost</f>
        <v/>
      </c>
      <c r="AA356" s="37">
        <f>'03_原始数据'!C356-0.67*'03_原始数据'!B356-OtherCost</f>
        <v/>
      </c>
      <c r="AB356" s="37">
        <f>'03_原始数据'!C356-0.675*'03_原始数据'!B356-OtherCost</f>
        <v/>
      </c>
      <c r="AC356" s="37">
        <f>'03_原始数据'!C356-0.68*'03_原始数据'!B356-OtherCost</f>
        <v/>
      </c>
      <c r="AD356" s="37">
        <f>'03_原始数据'!C356-0.685*'03_原始数据'!B356-OtherCost</f>
        <v/>
      </c>
      <c r="AE356" s="37">
        <f>'03_原始数据'!C356-0.69*'03_原始数据'!B356-OtherCost</f>
        <v/>
      </c>
      <c r="AF356" s="37">
        <f>'03_原始数据'!C356-0.695*'03_原始数据'!B356-OtherCost</f>
        <v/>
      </c>
      <c r="AG356" s="37">
        <f>'03_原始数据'!C356-0.7*'03_原始数据'!B356-OtherCost</f>
        <v/>
      </c>
    </row>
    <row r="357">
      <c r="M357" s="37">
        <f>'03_原始数据'!C357-0.6*'03_原始数据'!B357-OtherCost</f>
        <v/>
      </c>
      <c r="N357" s="37">
        <f>'03_原始数据'!C357-0.605*'03_原始数据'!B357-OtherCost</f>
        <v/>
      </c>
      <c r="O357" s="37">
        <f>'03_原始数据'!C357-0.61*'03_原始数据'!B357-OtherCost</f>
        <v/>
      </c>
      <c r="P357" s="37">
        <f>'03_原始数据'!C357-0.615*'03_原始数据'!B357-OtherCost</f>
        <v/>
      </c>
      <c r="Q357" s="37">
        <f>'03_原始数据'!C357-0.62*'03_原始数据'!B357-OtherCost</f>
        <v/>
      </c>
      <c r="R357" s="37">
        <f>'03_原始数据'!C357-0.625*'03_原始数据'!B357-OtherCost</f>
        <v/>
      </c>
      <c r="S357" s="37">
        <f>'03_原始数据'!C357-0.63*'03_原始数据'!B357-OtherCost</f>
        <v/>
      </c>
      <c r="T357" s="37">
        <f>'03_原始数据'!C357-0.635*'03_原始数据'!B357-OtherCost</f>
        <v/>
      </c>
      <c r="U357" s="37">
        <f>'03_原始数据'!C357-0.64*'03_原始数据'!B357-OtherCost</f>
        <v/>
      </c>
      <c r="V357" s="37">
        <f>'03_原始数据'!C357-0.645*'03_原始数据'!B357-OtherCost</f>
        <v/>
      </c>
      <c r="W357" s="37">
        <f>'03_原始数据'!C357-0.65*'03_原始数据'!B357-OtherCost</f>
        <v/>
      </c>
      <c r="X357" s="37">
        <f>'03_原始数据'!C357-0.655*'03_原始数据'!B357-OtherCost</f>
        <v/>
      </c>
      <c r="Y357" s="37">
        <f>'03_原始数据'!C357-0.66*'03_原始数据'!B357-OtherCost</f>
        <v/>
      </c>
      <c r="Z357" s="37">
        <f>'03_原始数据'!C357-0.665*'03_原始数据'!B357-OtherCost</f>
        <v/>
      </c>
      <c r="AA357" s="37">
        <f>'03_原始数据'!C357-0.67*'03_原始数据'!B357-OtherCost</f>
        <v/>
      </c>
      <c r="AB357" s="37">
        <f>'03_原始数据'!C357-0.675*'03_原始数据'!B357-OtherCost</f>
        <v/>
      </c>
      <c r="AC357" s="37">
        <f>'03_原始数据'!C357-0.68*'03_原始数据'!B357-OtherCost</f>
        <v/>
      </c>
      <c r="AD357" s="37">
        <f>'03_原始数据'!C357-0.685*'03_原始数据'!B357-OtherCost</f>
        <v/>
      </c>
      <c r="AE357" s="37">
        <f>'03_原始数据'!C357-0.69*'03_原始数据'!B357-OtherCost</f>
        <v/>
      </c>
      <c r="AF357" s="37">
        <f>'03_原始数据'!C357-0.695*'03_原始数据'!B357-OtherCost</f>
        <v/>
      </c>
      <c r="AG357" s="37">
        <f>'03_原始数据'!C357-0.7*'03_原始数据'!B357-OtherCost</f>
        <v/>
      </c>
    </row>
    <row r="358">
      <c r="M358" s="37">
        <f>'03_原始数据'!C358-0.6*'03_原始数据'!B358-OtherCost</f>
        <v/>
      </c>
      <c r="N358" s="37">
        <f>'03_原始数据'!C358-0.605*'03_原始数据'!B358-OtherCost</f>
        <v/>
      </c>
      <c r="O358" s="37">
        <f>'03_原始数据'!C358-0.61*'03_原始数据'!B358-OtherCost</f>
        <v/>
      </c>
      <c r="P358" s="37">
        <f>'03_原始数据'!C358-0.615*'03_原始数据'!B358-OtherCost</f>
        <v/>
      </c>
      <c r="Q358" s="37">
        <f>'03_原始数据'!C358-0.62*'03_原始数据'!B358-OtherCost</f>
        <v/>
      </c>
      <c r="R358" s="37">
        <f>'03_原始数据'!C358-0.625*'03_原始数据'!B358-OtherCost</f>
        <v/>
      </c>
      <c r="S358" s="37">
        <f>'03_原始数据'!C358-0.63*'03_原始数据'!B358-OtherCost</f>
        <v/>
      </c>
      <c r="T358" s="37">
        <f>'03_原始数据'!C358-0.635*'03_原始数据'!B358-OtherCost</f>
        <v/>
      </c>
      <c r="U358" s="37">
        <f>'03_原始数据'!C358-0.64*'03_原始数据'!B358-OtherCost</f>
        <v/>
      </c>
      <c r="V358" s="37">
        <f>'03_原始数据'!C358-0.645*'03_原始数据'!B358-OtherCost</f>
        <v/>
      </c>
      <c r="W358" s="37">
        <f>'03_原始数据'!C358-0.65*'03_原始数据'!B358-OtherCost</f>
        <v/>
      </c>
      <c r="X358" s="37">
        <f>'03_原始数据'!C358-0.655*'03_原始数据'!B358-OtherCost</f>
        <v/>
      </c>
      <c r="Y358" s="37">
        <f>'03_原始数据'!C358-0.66*'03_原始数据'!B358-OtherCost</f>
        <v/>
      </c>
      <c r="Z358" s="37">
        <f>'03_原始数据'!C358-0.665*'03_原始数据'!B358-OtherCost</f>
        <v/>
      </c>
      <c r="AA358" s="37">
        <f>'03_原始数据'!C358-0.67*'03_原始数据'!B358-OtherCost</f>
        <v/>
      </c>
      <c r="AB358" s="37">
        <f>'03_原始数据'!C358-0.675*'03_原始数据'!B358-OtherCost</f>
        <v/>
      </c>
      <c r="AC358" s="37">
        <f>'03_原始数据'!C358-0.68*'03_原始数据'!B358-OtherCost</f>
        <v/>
      </c>
      <c r="AD358" s="37">
        <f>'03_原始数据'!C358-0.685*'03_原始数据'!B358-OtherCost</f>
        <v/>
      </c>
      <c r="AE358" s="37">
        <f>'03_原始数据'!C358-0.69*'03_原始数据'!B358-OtherCost</f>
        <v/>
      </c>
      <c r="AF358" s="37">
        <f>'03_原始数据'!C358-0.695*'03_原始数据'!B358-OtherCost</f>
        <v/>
      </c>
      <c r="AG358" s="37">
        <f>'03_原始数据'!C358-0.7*'03_原始数据'!B358-OtherCost</f>
        <v/>
      </c>
    </row>
    <row r="359">
      <c r="M359" s="37">
        <f>'03_原始数据'!C359-0.6*'03_原始数据'!B359-OtherCost</f>
        <v/>
      </c>
      <c r="N359" s="37">
        <f>'03_原始数据'!C359-0.605*'03_原始数据'!B359-OtherCost</f>
        <v/>
      </c>
      <c r="O359" s="37">
        <f>'03_原始数据'!C359-0.61*'03_原始数据'!B359-OtherCost</f>
        <v/>
      </c>
      <c r="P359" s="37">
        <f>'03_原始数据'!C359-0.615*'03_原始数据'!B359-OtherCost</f>
        <v/>
      </c>
      <c r="Q359" s="37">
        <f>'03_原始数据'!C359-0.62*'03_原始数据'!B359-OtherCost</f>
        <v/>
      </c>
      <c r="R359" s="37">
        <f>'03_原始数据'!C359-0.625*'03_原始数据'!B359-OtherCost</f>
        <v/>
      </c>
      <c r="S359" s="37">
        <f>'03_原始数据'!C359-0.63*'03_原始数据'!B359-OtherCost</f>
        <v/>
      </c>
      <c r="T359" s="37">
        <f>'03_原始数据'!C359-0.635*'03_原始数据'!B359-OtherCost</f>
        <v/>
      </c>
      <c r="U359" s="37">
        <f>'03_原始数据'!C359-0.64*'03_原始数据'!B359-OtherCost</f>
        <v/>
      </c>
      <c r="V359" s="37">
        <f>'03_原始数据'!C359-0.645*'03_原始数据'!B359-OtherCost</f>
        <v/>
      </c>
      <c r="W359" s="37">
        <f>'03_原始数据'!C359-0.65*'03_原始数据'!B359-OtherCost</f>
        <v/>
      </c>
      <c r="X359" s="37">
        <f>'03_原始数据'!C359-0.655*'03_原始数据'!B359-OtherCost</f>
        <v/>
      </c>
      <c r="Y359" s="37">
        <f>'03_原始数据'!C359-0.66*'03_原始数据'!B359-OtherCost</f>
        <v/>
      </c>
      <c r="Z359" s="37">
        <f>'03_原始数据'!C359-0.665*'03_原始数据'!B359-OtherCost</f>
        <v/>
      </c>
      <c r="AA359" s="37">
        <f>'03_原始数据'!C359-0.67*'03_原始数据'!B359-OtherCost</f>
        <v/>
      </c>
      <c r="AB359" s="37">
        <f>'03_原始数据'!C359-0.675*'03_原始数据'!B359-OtherCost</f>
        <v/>
      </c>
      <c r="AC359" s="37">
        <f>'03_原始数据'!C359-0.68*'03_原始数据'!B359-OtherCost</f>
        <v/>
      </c>
      <c r="AD359" s="37">
        <f>'03_原始数据'!C359-0.685*'03_原始数据'!B359-OtherCost</f>
        <v/>
      </c>
      <c r="AE359" s="37">
        <f>'03_原始数据'!C359-0.69*'03_原始数据'!B359-OtherCost</f>
        <v/>
      </c>
      <c r="AF359" s="37">
        <f>'03_原始数据'!C359-0.695*'03_原始数据'!B359-OtherCost</f>
        <v/>
      </c>
      <c r="AG359" s="37">
        <f>'03_原始数据'!C359-0.7*'03_原始数据'!B359-OtherCost</f>
        <v/>
      </c>
    </row>
    <row r="360">
      <c r="M360" s="37">
        <f>'03_原始数据'!C360-0.6*'03_原始数据'!B360-OtherCost</f>
        <v/>
      </c>
      <c r="N360" s="37">
        <f>'03_原始数据'!C360-0.605*'03_原始数据'!B360-OtherCost</f>
        <v/>
      </c>
      <c r="O360" s="37">
        <f>'03_原始数据'!C360-0.61*'03_原始数据'!B360-OtherCost</f>
        <v/>
      </c>
      <c r="P360" s="37">
        <f>'03_原始数据'!C360-0.615*'03_原始数据'!B360-OtherCost</f>
        <v/>
      </c>
      <c r="Q360" s="37">
        <f>'03_原始数据'!C360-0.62*'03_原始数据'!B360-OtherCost</f>
        <v/>
      </c>
      <c r="R360" s="37">
        <f>'03_原始数据'!C360-0.625*'03_原始数据'!B360-OtherCost</f>
        <v/>
      </c>
      <c r="S360" s="37">
        <f>'03_原始数据'!C360-0.63*'03_原始数据'!B360-OtherCost</f>
        <v/>
      </c>
      <c r="T360" s="37">
        <f>'03_原始数据'!C360-0.635*'03_原始数据'!B360-OtherCost</f>
        <v/>
      </c>
      <c r="U360" s="37">
        <f>'03_原始数据'!C360-0.64*'03_原始数据'!B360-OtherCost</f>
        <v/>
      </c>
      <c r="V360" s="37">
        <f>'03_原始数据'!C360-0.645*'03_原始数据'!B360-OtherCost</f>
        <v/>
      </c>
      <c r="W360" s="37">
        <f>'03_原始数据'!C360-0.65*'03_原始数据'!B360-OtherCost</f>
        <v/>
      </c>
      <c r="X360" s="37">
        <f>'03_原始数据'!C360-0.655*'03_原始数据'!B360-OtherCost</f>
        <v/>
      </c>
      <c r="Y360" s="37">
        <f>'03_原始数据'!C360-0.66*'03_原始数据'!B360-OtherCost</f>
        <v/>
      </c>
      <c r="Z360" s="37">
        <f>'03_原始数据'!C360-0.665*'03_原始数据'!B360-OtherCost</f>
        <v/>
      </c>
      <c r="AA360" s="37">
        <f>'03_原始数据'!C360-0.67*'03_原始数据'!B360-OtherCost</f>
        <v/>
      </c>
      <c r="AB360" s="37">
        <f>'03_原始数据'!C360-0.675*'03_原始数据'!B360-OtherCost</f>
        <v/>
      </c>
      <c r="AC360" s="37">
        <f>'03_原始数据'!C360-0.68*'03_原始数据'!B360-OtherCost</f>
        <v/>
      </c>
      <c r="AD360" s="37">
        <f>'03_原始数据'!C360-0.685*'03_原始数据'!B360-OtherCost</f>
        <v/>
      </c>
      <c r="AE360" s="37">
        <f>'03_原始数据'!C360-0.69*'03_原始数据'!B360-OtherCost</f>
        <v/>
      </c>
      <c r="AF360" s="37">
        <f>'03_原始数据'!C360-0.695*'03_原始数据'!B360-OtherCost</f>
        <v/>
      </c>
      <c r="AG360" s="37">
        <f>'03_原始数据'!C360-0.7*'03_原始数据'!B360-OtherCost</f>
        <v/>
      </c>
    </row>
    <row r="361">
      <c r="M361" s="37">
        <f>'03_原始数据'!C361-0.6*'03_原始数据'!B361-OtherCost</f>
        <v/>
      </c>
      <c r="N361" s="37">
        <f>'03_原始数据'!C361-0.605*'03_原始数据'!B361-OtherCost</f>
        <v/>
      </c>
      <c r="O361" s="37">
        <f>'03_原始数据'!C361-0.61*'03_原始数据'!B361-OtherCost</f>
        <v/>
      </c>
      <c r="P361" s="37">
        <f>'03_原始数据'!C361-0.615*'03_原始数据'!B361-OtherCost</f>
        <v/>
      </c>
      <c r="Q361" s="37">
        <f>'03_原始数据'!C361-0.62*'03_原始数据'!B361-OtherCost</f>
        <v/>
      </c>
      <c r="R361" s="37">
        <f>'03_原始数据'!C361-0.625*'03_原始数据'!B361-OtherCost</f>
        <v/>
      </c>
      <c r="S361" s="37">
        <f>'03_原始数据'!C361-0.63*'03_原始数据'!B361-OtherCost</f>
        <v/>
      </c>
      <c r="T361" s="37">
        <f>'03_原始数据'!C361-0.635*'03_原始数据'!B361-OtherCost</f>
        <v/>
      </c>
      <c r="U361" s="37">
        <f>'03_原始数据'!C361-0.64*'03_原始数据'!B361-OtherCost</f>
        <v/>
      </c>
      <c r="V361" s="37">
        <f>'03_原始数据'!C361-0.645*'03_原始数据'!B361-OtherCost</f>
        <v/>
      </c>
      <c r="W361" s="37">
        <f>'03_原始数据'!C361-0.65*'03_原始数据'!B361-OtherCost</f>
        <v/>
      </c>
      <c r="X361" s="37">
        <f>'03_原始数据'!C361-0.655*'03_原始数据'!B361-OtherCost</f>
        <v/>
      </c>
      <c r="Y361" s="37">
        <f>'03_原始数据'!C361-0.66*'03_原始数据'!B361-OtherCost</f>
        <v/>
      </c>
      <c r="Z361" s="37">
        <f>'03_原始数据'!C361-0.665*'03_原始数据'!B361-OtherCost</f>
        <v/>
      </c>
      <c r="AA361" s="37">
        <f>'03_原始数据'!C361-0.67*'03_原始数据'!B361-OtherCost</f>
        <v/>
      </c>
      <c r="AB361" s="37">
        <f>'03_原始数据'!C361-0.675*'03_原始数据'!B361-OtherCost</f>
        <v/>
      </c>
      <c r="AC361" s="37">
        <f>'03_原始数据'!C361-0.68*'03_原始数据'!B361-OtherCost</f>
        <v/>
      </c>
      <c r="AD361" s="37">
        <f>'03_原始数据'!C361-0.685*'03_原始数据'!B361-OtherCost</f>
        <v/>
      </c>
      <c r="AE361" s="37">
        <f>'03_原始数据'!C361-0.69*'03_原始数据'!B361-OtherCost</f>
        <v/>
      </c>
      <c r="AF361" s="37">
        <f>'03_原始数据'!C361-0.695*'03_原始数据'!B361-OtherCost</f>
        <v/>
      </c>
      <c r="AG361" s="37">
        <f>'03_原始数据'!C361-0.7*'03_原始数据'!B361-OtherCost</f>
        <v/>
      </c>
    </row>
    <row r="362">
      <c r="M362" s="37">
        <f>'03_原始数据'!C362-0.6*'03_原始数据'!B362-OtherCost</f>
        <v/>
      </c>
      <c r="N362" s="37">
        <f>'03_原始数据'!C362-0.605*'03_原始数据'!B362-OtherCost</f>
        <v/>
      </c>
      <c r="O362" s="37">
        <f>'03_原始数据'!C362-0.61*'03_原始数据'!B362-OtherCost</f>
        <v/>
      </c>
      <c r="P362" s="37">
        <f>'03_原始数据'!C362-0.615*'03_原始数据'!B362-OtherCost</f>
        <v/>
      </c>
      <c r="Q362" s="37">
        <f>'03_原始数据'!C362-0.62*'03_原始数据'!B362-OtherCost</f>
        <v/>
      </c>
      <c r="R362" s="37">
        <f>'03_原始数据'!C362-0.625*'03_原始数据'!B362-OtherCost</f>
        <v/>
      </c>
      <c r="S362" s="37">
        <f>'03_原始数据'!C362-0.63*'03_原始数据'!B362-OtherCost</f>
        <v/>
      </c>
      <c r="T362" s="37">
        <f>'03_原始数据'!C362-0.635*'03_原始数据'!B362-OtherCost</f>
        <v/>
      </c>
      <c r="U362" s="37">
        <f>'03_原始数据'!C362-0.64*'03_原始数据'!B362-OtherCost</f>
        <v/>
      </c>
      <c r="V362" s="37">
        <f>'03_原始数据'!C362-0.645*'03_原始数据'!B362-OtherCost</f>
        <v/>
      </c>
      <c r="W362" s="37">
        <f>'03_原始数据'!C362-0.65*'03_原始数据'!B362-OtherCost</f>
        <v/>
      </c>
      <c r="X362" s="37">
        <f>'03_原始数据'!C362-0.655*'03_原始数据'!B362-OtherCost</f>
        <v/>
      </c>
      <c r="Y362" s="37">
        <f>'03_原始数据'!C362-0.66*'03_原始数据'!B362-OtherCost</f>
        <v/>
      </c>
      <c r="Z362" s="37">
        <f>'03_原始数据'!C362-0.665*'03_原始数据'!B362-OtherCost</f>
        <v/>
      </c>
      <c r="AA362" s="37">
        <f>'03_原始数据'!C362-0.67*'03_原始数据'!B362-OtherCost</f>
        <v/>
      </c>
      <c r="AB362" s="37">
        <f>'03_原始数据'!C362-0.675*'03_原始数据'!B362-OtherCost</f>
        <v/>
      </c>
      <c r="AC362" s="37">
        <f>'03_原始数据'!C362-0.68*'03_原始数据'!B362-OtherCost</f>
        <v/>
      </c>
      <c r="AD362" s="37">
        <f>'03_原始数据'!C362-0.685*'03_原始数据'!B362-OtherCost</f>
        <v/>
      </c>
      <c r="AE362" s="37">
        <f>'03_原始数据'!C362-0.69*'03_原始数据'!B362-OtherCost</f>
        <v/>
      </c>
      <c r="AF362" s="37">
        <f>'03_原始数据'!C362-0.695*'03_原始数据'!B362-OtherCost</f>
        <v/>
      </c>
      <c r="AG362" s="37">
        <f>'03_原始数据'!C362-0.7*'03_原始数据'!B362-OtherCost</f>
        <v/>
      </c>
    </row>
    <row r="363">
      <c r="M363" s="37">
        <f>'03_原始数据'!C363-0.6*'03_原始数据'!B363-OtherCost</f>
        <v/>
      </c>
      <c r="N363" s="37">
        <f>'03_原始数据'!C363-0.605*'03_原始数据'!B363-OtherCost</f>
        <v/>
      </c>
      <c r="O363" s="37">
        <f>'03_原始数据'!C363-0.61*'03_原始数据'!B363-OtherCost</f>
        <v/>
      </c>
      <c r="P363" s="37">
        <f>'03_原始数据'!C363-0.615*'03_原始数据'!B363-OtherCost</f>
        <v/>
      </c>
      <c r="Q363" s="37">
        <f>'03_原始数据'!C363-0.62*'03_原始数据'!B363-OtherCost</f>
        <v/>
      </c>
      <c r="R363" s="37">
        <f>'03_原始数据'!C363-0.625*'03_原始数据'!B363-OtherCost</f>
        <v/>
      </c>
      <c r="S363" s="37">
        <f>'03_原始数据'!C363-0.63*'03_原始数据'!B363-OtherCost</f>
        <v/>
      </c>
      <c r="T363" s="37">
        <f>'03_原始数据'!C363-0.635*'03_原始数据'!B363-OtherCost</f>
        <v/>
      </c>
      <c r="U363" s="37">
        <f>'03_原始数据'!C363-0.64*'03_原始数据'!B363-OtherCost</f>
        <v/>
      </c>
      <c r="V363" s="37">
        <f>'03_原始数据'!C363-0.645*'03_原始数据'!B363-OtherCost</f>
        <v/>
      </c>
      <c r="W363" s="37">
        <f>'03_原始数据'!C363-0.65*'03_原始数据'!B363-OtherCost</f>
        <v/>
      </c>
      <c r="X363" s="37">
        <f>'03_原始数据'!C363-0.655*'03_原始数据'!B363-OtherCost</f>
        <v/>
      </c>
      <c r="Y363" s="37">
        <f>'03_原始数据'!C363-0.66*'03_原始数据'!B363-OtherCost</f>
        <v/>
      </c>
      <c r="Z363" s="37">
        <f>'03_原始数据'!C363-0.665*'03_原始数据'!B363-OtherCost</f>
        <v/>
      </c>
      <c r="AA363" s="37">
        <f>'03_原始数据'!C363-0.67*'03_原始数据'!B363-OtherCost</f>
        <v/>
      </c>
      <c r="AB363" s="37">
        <f>'03_原始数据'!C363-0.675*'03_原始数据'!B363-OtherCost</f>
        <v/>
      </c>
      <c r="AC363" s="37">
        <f>'03_原始数据'!C363-0.68*'03_原始数据'!B363-OtherCost</f>
        <v/>
      </c>
      <c r="AD363" s="37">
        <f>'03_原始数据'!C363-0.685*'03_原始数据'!B363-OtherCost</f>
        <v/>
      </c>
      <c r="AE363" s="37">
        <f>'03_原始数据'!C363-0.69*'03_原始数据'!B363-OtherCost</f>
        <v/>
      </c>
      <c r="AF363" s="37">
        <f>'03_原始数据'!C363-0.695*'03_原始数据'!B363-OtherCost</f>
        <v/>
      </c>
      <c r="AG363" s="37">
        <f>'03_原始数据'!C363-0.7*'03_原始数据'!B363-OtherCost</f>
        <v/>
      </c>
    </row>
    <row r="364">
      <c r="M364" s="37">
        <f>'03_原始数据'!C364-0.6*'03_原始数据'!B364-OtherCost</f>
        <v/>
      </c>
      <c r="N364" s="37">
        <f>'03_原始数据'!C364-0.605*'03_原始数据'!B364-OtherCost</f>
        <v/>
      </c>
      <c r="O364" s="37">
        <f>'03_原始数据'!C364-0.61*'03_原始数据'!B364-OtherCost</f>
        <v/>
      </c>
      <c r="P364" s="37">
        <f>'03_原始数据'!C364-0.615*'03_原始数据'!B364-OtherCost</f>
        <v/>
      </c>
      <c r="Q364" s="37">
        <f>'03_原始数据'!C364-0.62*'03_原始数据'!B364-OtherCost</f>
        <v/>
      </c>
      <c r="R364" s="37">
        <f>'03_原始数据'!C364-0.625*'03_原始数据'!B364-OtherCost</f>
        <v/>
      </c>
      <c r="S364" s="37">
        <f>'03_原始数据'!C364-0.63*'03_原始数据'!B364-OtherCost</f>
        <v/>
      </c>
      <c r="T364" s="37">
        <f>'03_原始数据'!C364-0.635*'03_原始数据'!B364-OtherCost</f>
        <v/>
      </c>
      <c r="U364" s="37">
        <f>'03_原始数据'!C364-0.64*'03_原始数据'!B364-OtherCost</f>
        <v/>
      </c>
      <c r="V364" s="37">
        <f>'03_原始数据'!C364-0.645*'03_原始数据'!B364-OtherCost</f>
        <v/>
      </c>
      <c r="W364" s="37">
        <f>'03_原始数据'!C364-0.65*'03_原始数据'!B364-OtherCost</f>
        <v/>
      </c>
      <c r="X364" s="37">
        <f>'03_原始数据'!C364-0.655*'03_原始数据'!B364-OtherCost</f>
        <v/>
      </c>
      <c r="Y364" s="37">
        <f>'03_原始数据'!C364-0.66*'03_原始数据'!B364-OtherCost</f>
        <v/>
      </c>
      <c r="Z364" s="37">
        <f>'03_原始数据'!C364-0.665*'03_原始数据'!B364-OtherCost</f>
        <v/>
      </c>
      <c r="AA364" s="37">
        <f>'03_原始数据'!C364-0.67*'03_原始数据'!B364-OtherCost</f>
        <v/>
      </c>
      <c r="AB364" s="37">
        <f>'03_原始数据'!C364-0.675*'03_原始数据'!B364-OtherCost</f>
        <v/>
      </c>
      <c r="AC364" s="37">
        <f>'03_原始数据'!C364-0.68*'03_原始数据'!B364-OtherCost</f>
        <v/>
      </c>
      <c r="AD364" s="37">
        <f>'03_原始数据'!C364-0.685*'03_原始数据'!B364-OtherCost</f>
        <v/>
      </c>
      <c r="AE364" s="37">
        <f>'03_原始数据'!C364-0.69*'03_原始数据'!B364-OtherCost</f>
        <v/>
      </c>
      <c r="AF364" s="37">
        <f>'03_原始数据'!C364-0.695*'03_原始数据'!B364-OtherCost</f>
        <v/>
      </c>
      <c r="AG364" s="37">
        <f>'03_原始数据'!C364-0.7*'03_原始数据'!B364-OtherCost</f>
        <v/>
      </c>
    </row>
    <row r="365">
      <c r="M365" s="37">
        <f>'03_原始数据'!C365-0.6*'03_原始数据'!B365-OtherCost</f>
        <v/>
      </c>
      <c r="N365" s="37">
        <f>'03_原始数据'!C365-0.605*'03_原始数据'!B365-OtherCost</f>
        <v/>
      </c>
      <c r="O365" s="37">
        <f>'03_原始数据'!C365-0.61*'03_原始数据'!B365-OtherCost</f>
        <v/>
      </c>
      <c r="P365" s="37">
        <f>'03_原始数据'!C365-0.615*'03_原始数据'!B365-OtherCost</f>
        <v/>
      </c>
      <c r="Q365" s="37">
        <f>'03_原始数据'!C365-0.62*'03_原始数据'!B365-OtherCost</f>
        <v/>
      </c>
      <c r="R365" s="37">
        <f>'03_原始数据'!C365-0.625*'03_原始数据'!B365-OtherCost</f>
        <v/>
      </c>
      <c r="S365" s="37">
        <f>'03_原始数据'!C365-0.63*'03_原始数据'!B365-OtherCost</f>
        <v/>
      </c>
      <c r="T365" s="37">
        <f>'03_原始数据'!C365-0.635*'03_原始数据'!B365-OtherCost</f>
        <v/>
      </c>
      <c r="U365" s="37">
        <f>'03_原始数据'!C365-0.64*'03_原始数据'!B365-OtherCost</f>
        <v/>
      </c>
      <c r="V365" s="37">
        <f>'03_原始数据'!C365-0.645*'03_原始数据'!B365-OtherCost</f>
        <v/>
      </c>
      <c r="W365" s="37">
        <f>'03_原始数据'!C365-0.65*'03_原始数据'!B365-OtherCost</f>
        <v/>
      </c>
      <c r="X365" s="37">
        <f>'03_原始数据'!C365-0.655*'03_原始数据'!B365-OtherCost</f>
        <v/>
      </c>
      <c r="Y365" s="37">
        <f>'03_原始数据'!C365-0.66*'03_原始数据'!B365-OtherCost</f>
        <v/>
      </c>
      <c r="Z365" s="37">
        <f>'03_原始数据'!C365-0.665*'03_原始数据'!B365-OtherCost</f>
        <v/>
      </c>
      <c r="AA365" s="37">
        <f>'03_原始数据'!C365-0.67*'03_原始数据'!B365-OtherCost</f>
        <v/>
      </c>
      <c r="AB365" s="37">
        <f>'03_原始数据'!C365-0.675*'03_原始数据'!B365-OtherCost</f>
        <v/>
      </c>
      <c r="AC365" s="37">
        <f>'03_原始数据'!C365-0.68*'03_原始数据'!B365-OtherCost</f>
        <v/>
      </c>
      <c r="AD365" s="37">
        <f>'03_原始数据'!C365-0.685*'03_原始数据'!B365-OtherCost</f>
        <v/>
      </c>
      <c r="AE365" s="37">
        <f>'03_原始数据'!C365-0.69*'03_原始数据'!B365-OtherCost</f>
        <v/>
      </c>
      <c r="AF365" s="37">
        <f>'03_原始数据'!C365-0.695*'03_原始数据'!B365-OtherCost</f>
        <v/>
      </c>
      <c r="AG365" s="37">
        <f>'03_原始数据'!C365-0.7*'03_原始数据'!B365-OtherCost</f>
        <v/>
      </c>
    </row>
    <row r="366">
      <c r="M366" s="37">
        <f>'03_原始数据'!C366-0.6*'03_原始数据'!B366-OtherCost</f>
        <v/>
      </c>
      <c r="N366" s="37">
        <f>'03_原始数据'!C366-0.605*'03_原始数据'!B366-OtherCost</f>
        <v/>
      </c>
      <c r="O366" s="37">
        <f>'03_原始数据'!C366-0.61*'03_原始数据'!B366-OtherCost</f>
        <v/>
      </c>
      <c r="P366" s="37">
        <f>'03_原始数据'!C366-0.615*'03_原始数据'!B366-OtherCost</f>
        <v/>
      </c>
      <c r="Q366" s="37">
        <f>'03_原始数据'!C366-0.62*'03_原始数据'!B366-OtherCost</f>
        <v/>
      </c>
      <c r="R366" s="37">
        <f>'03_原始数据'!C366-0.625*'03_原始数据'!B366-OtherCost</f>
        <v/>
      </c>
      <c r="S366" s="37">
        <f>'03_原始数据'!C366-0.63*'03_原始数据'!B366-OtherCost</f>
        <v/>
      </c>
      <c r="T366" s="37">
        <f>'03_原始数据'!C366-0.635*'03_原始数据'!B366-OtherCost</f>
        <v/>
      </c>
      <c r="U366" s="37">
        <f>'03_原始数据'!C366-0.64*'03_原始数据'!B366-OtherCost</f>
        <v/>
      </c>
      <c r="V366" s="37">
        <f>'03_原始数据'!C366-0.645*'03_原始数据'!B366-OtherCost</f>
        <v/>
      </c>
      <c r="W366" s="37">
        <f>'03_原始数据'!C366-0.65*'03_原始数据'!B366-OtherCost</f>
        <v/>
      </c>
      <c r="X366" s="37">
        <f>'03_原始数据'!C366-0.655*'03_原始数据'!B366-OtherCost</f>
        <v/>
      </c>
      <c r="Y366" s="37">
        <f>'03_原始数据'!C366-0.66*'03_原始数据'!B366-OtherCost</f>
        <v/>
      </c>
      <c r="Z366" s="37">
        <f>'03_原始数据'!C366-0.665*'03_原始数据'!B366-OtherCost</f>
        <v/>
      </c>
      <c r="AA366" s="37">
        <f>'03_原始数据'!C366-0.67*'03_原始数据'!B366-OtherCost</f>
        <v/>
      </c>
      <c r="AB366" s="37">
        <f>'03_原始数据'!C366-0.675*'03_原始数据'!B366-OtherCost</f>
        <v/>
      </c>
      <c r="AC366" s="37">
        <f>'03_原始数据'!C366-0.68*'03_原始数据'!B366-OtherCost</f>
        <v/>
      </c>
      <c r="AD366" s="37">
        <f>'03_原始数据'!C366-0.685*'03_原始数据'!B366-OtherCost</f>
        <v/>
      </c>
      <c r="AE366" s="37">
        <f>'03_原始数据'!C366-0.69*'03_原始数据'!B366-OtherCost</f>
        <v/>
      </c>
      <c r="AF366" s="37">
        <f>'03_原始数据'!C366-0.695*'03_原始数据'!B366-OtherCost</f>
        <v/>
      </c>
      <c r="AG366" s="37">
        <f>'03_原始数据'!C366-0.7*'03_原始数据'!B366-OtherCost</f>
        <v/>
      </c>
    </row>
    <row r="367">
      <c r="M367" s="37">
        <f>'03_原始数据'!C367-0.6*'03_原始数据'!B367-OtherCost</f>
        <v/>
      </c>
      <c r="N367" s="37">
        <f>'03_原始数据'!C367-0.605*'03_原始数据'!B367-OtherCost</f>
        <v/>
      </c>
      <c r="O367" s="37">
        <f>'03_原始数据'!C367-0.61*'03_原始数据'!B367-OtherCost</f>
        <v/>
      </c>
      <c r="P367" s="37">
        <f>'03_原始数据'!C367-0.615*'03_原始数据'!B367-OtherCost</f>
        <v/>
      </c>
      <c r="Q367" s="37">
        <f>'03_原始数据'!C367-0.62*'03_原始数据'!B367-OtherCost</f>
        <v/>
      </c>
      <c r="R367" s="37">
        <f>'03_原始数据'!C367-0.625*'03_原始数据'!B367-OtherCost</f>
        <v/>
      </c>
      <c r="S367" s="37">
        <f>'03_原始数据'!C367-0.63*'03_原始数据'!B367-OtherCost</f>
        <v/>
      </c>
      <c r="T367" s="37">
        <f>'03_原始数据'!C367-0.635*'03_原始数据'!B367-OtherCost</f>
        <v/>
      </c>
      <c r="U367" s="37">
        <f>'03_原始数据'!C367-0.64*'03_原始数据'!B367-OtherCost</f>
        <v/>
      </c>
      <c r="V367" s="37">
        <f>'03_原始数据'!C367-0.645*'03_原始数据'!B367-OtherCost</f>
        <v/>
      </c>
      <c r="W367" s="37">
        <f>'03_原始数据'!C367-0.65*'03_原始数据'!B367-OtherCost</f>
        <v/>
      </c>
      <c r="X367" s="37">
        <f>'03_原始数据'!C367-0.655*'03_原始数据'!B367-OtherCost</f>
        <v/>
      </c>
      <c r="Y367" s="37">
        <f>'03_原始数据'!C367-0.66*'03_原始数据'!B367-OtherCost</f>
        <v/>
      </c>
      <c r="Z367" s="37">
        <f>'03_原始数据'!C367-0.665*'03_原始数据'!B367-OtherCost</f>
        <v/>
      </c>
      <c r="AA367" s="37">
        <f>'03_原始数据'!C367-0.67*'03_原始数据'!B367-OtherCost</f>
        <v/>
      </c>
      <c r="AB367" s="37">
        <f>'03_原始数据'!C367-0.675*'03_原始数据'!B367-OtherCost</f>
        <v/>
      </c>
      <c r="AC367" s="37">
        <f>'03_原始数据'!C367-0.68*'03_原始数据'!B367-OtherCost</f>
        <v/>
      </c>
      <c r="AD367" s="37">
        <f>'03_原始数据'!C367-0.685*'03_原始数据'!B367-OtherCost</f>
        <v/>
      </c>
      <c r="AE367" s="37">
        <f>'03_原始数据'!C367-0.69*'03_原始数据'!B367-OtherCost</f>
        <v/>
      </c>
      <c r="AF367" s="37">
        <f>'03_原始数据'!C367-0.695*'03_原始数据'!B367-OtherCost</f>
        <v/>
      </c>
      <c r="AG367" s="37">
        <f>'03_原始数据'!C367-0.7*'03_原始数据'!B367-OtherCost</f>
        <v/>
      </c>
    </row>
    <row r="368">
      <c r="M368" s="37">
        <f>'03_原始数据'!C368-0.6*'03_原始数据'!B368-OtherCost</f>
        <v/>
      </c>
      <c r="N368" s="37">
        <f>'03_原始数据'!C368-0.605*'03_原始数据'!B368-OtherCost</f>
        <v/>
      </c>
      <c r="O368" s="37">
        <f>'03_原始数据'!C368-0.61*'03_原始数据'!B368-OtherCost</f>
        <v/>
      </c>
      <c r="P368" s="37">
        <f>'03_原始数据'!C368-0.615*'03_原始数据'!B368-OtherCost</f>
        <v/>
      </c>
      <c r="Q368" s="37">
        <f>'03_原始数据'!C368-0.62*'03_原始数据'!B368-OtherCost</f>
        <v/>
      </c>
      <c r="R368" s="37">
        <f>'03_原始数据'!C368-0.625*'03_原始数据'!B368-OtherCost</f>
        <v/>
      </c>
      <c r="S368" s="37">
        <f>'03_原始数据'!C368-0.63*'03_原始数据'!B368-OtherCost</f>
        <v/>
      </c>
      <c r="T368" s="37">
        <f>'03_原始数据'!C368-0.635*'03_原始数据'!B368-OtherCost</f>
        <v/>
      </c>
      <c r="U368" s="37">
        <f>'03_原始数据'!C368-0.64*'03_原始数据'!B368-OtherCost</f>
        <v/>
      </c>
      <c r="V368" s="37">
        <f>'03_原始数据'!C368-0.645*'03_原始数据'!B368-OtherCost</f>
        <v/>
      </c>
      <c r="W368" s="37">
        <f>'03_原始数据'!C368-0.65*'03_原始数据'!B368-OtherCost</f>
        <v/>
      </c>
      <c r="X368" s="37">
        <f>'03_原始数据'!C368-0.655*'03_原始数据'!B368-OtherCost</f>
        <v/>
      </c>
      <c r="Y368" s="37">
        <f>'03_原始数据'!C368-0.66*'03_原始数据'!B368-OtherCost</f>
        <v/>
      </c>
      <c r="Z368" s="37">
        <f>'03_原始数据'!C368-0.665*'03_原始数据'!B368-OtherCost</f>
        <v/>
      </c>
      <c r="AA368" s="37">
        <f>'03_原始数据'!C368-0.67*'03_原始数据'!B368-OtherCost</f>
        <v/>
      </c>
      <c r="AB368" s="37">
        <f>'03_原始数据'!C368-0.675*'03_原始数据'!B368-OtherCost</f>
        <v/>
      </c>
      <c r="AC368" s="37">
        <f>'03_原始数据'!C368-0.68*'03_原始数据'!B368-OtherCost</f>
        <v/>
      </c>
      <c r="AD368" s="37">
        <f>'03_原始数据'!C368-0.685*'03_原始数据'!B368-OtherCost</f>
        <v/>
      </c>
      <c r="AE368" s="37">
        <f>'03_原始数据'!C368-0.69*'03_原始数据'!B368-OtherCost</f>
        <v/>
      </c>
      <c r="AF368" s="37">
        <f>'03_原始数据'!C368-0.695*'03_原始数据'!B368-OtherCost</f>
        <v/>
      </c>
      <c r="AG368" s="37">
        <f>'03_原始数据'!C368-0.7*'03_原始数据'!B368-OtherCost</f>
        <v/>
      </c>
    </row>
    <row r="369">
      <c r="M369" s="37">
        <f>'03_原始数据'!C369-0.6*'03_原始数据'!B369-OtherCost</f>
        <v/>
      </c>
      <c r="N369" s="37">
        <f>'03_原始数据'!C369-0.605*'03_原始数据'!B369-OtherCost</f>
        <v/>
      </c>
      <c r="O369" s="37">
        <f>'03_原始数据'!C369-0.61*'03_原始数据'!B369-OtherCost</f>
        <v/>
      </c>
      <c r="P369" s="37">
        <f>'03_原始数据'!C369-0.615*'03_原始数据'!B369-OtherCost</f>
        <v/>
      </c>
      <c r="Q369" s="37">
        <f>'03_原始数据'!C369-0.62*'03_原始数据'!B369-OtherCost</f>
        <v/>
      </c>
      <c r="R369" s="37">
        <f>'03_原始数据'!C369-0.625*'03_原始数据'!B369-OtherCost</f>
        <v/>
      </c>
      <c r="S369" s="37">
        <f>'03_原始数据'!C369-0.63*'03_原始数据'!B369-OtherCost</f>
        <v/>
      </c>
      <c r="T369" s="37">
        <f>'03_原始数据'!C369-0.635*'03_原始数据'!B369-OtherCost</f>
        <v/>
      </c>
      <c r="U369" s="37">
        <f>'03_原始数据'!C369-0.64*'03_原始数据'!B369-OtherCost</f>
        <v/>
      </c>
      <c r="V369" s="37">
        <f>'03_原始数据'!C369-0.645*'03_原始数据'!B369-OtherCost</f>
        <v/>
      </c>
      <c r="W369" s="37">
        <f>'03_原始数据'!C369-0.65*'03_原始数据'!B369-OtherCost</f>
        <v/>
      </c>
      <c r="X369" s="37">
        <f>'03_原始数据'!C369-0.655*'03_原始数据'!B369-OtherCost</f>
        <v/>
      </c>
      <c r="Y369" s="37">
        <f>'03_原始数据'!C369-0.66*'03_原始数据'!B369-OtherCost</f>
        <v/>
      </c>
      <c r="Z369" s="37">
        <f>'03_原始数据'!C369-0.665*'03_原始数据'!B369-OtherCost</f>
        <v/>
      </c>
      <c r="AA369" s="37">
        <f>'03_原始数据'!C369-0.67*'03_原始数据'!B369-OtherCost</f>
        <v/>
      </c>
      <c r="AB369" s="37">
        <f>'03_原始数据'!C369-0.675*'03_原始数据'!B369-OtherCost</f>
        <v/>
      </c>
      <c r="AC369" s="37">
        <f>'03_原始数据'!C369-0.68*'03_原始数据'!B369-OtherCost</f>
        <v/>
      </c>
      <c r="AD369" s="37">
        <f>'03_原始数据'!C369-0.685*'03_原始数据'!B369-OtherCost</f>
        <v/>
      </c>
      <c r="AE369" s="37">
        <f>'03_原始数据'!C369-0.69*'03_原始数据'!B369-OtherCost</f>
        <v/>
      </c>
      <c r="AF369" s="37">
        <f>'03_原始数据'!C369-0.695*'03_原始数据'!B369-OtherCost</f>
        <v/>
      </c>
      <c r="AG369" s="37">
        <f>'03_原始数据'!C369-0.7*'03_原始数据'!B369-OtherCost</f>
        <v/>
      </c>
    </row>
    <row r="370">
      <c r="M370" s="37">
        <f>'03_原始数据'!C370-0.6*'03_原始数据'!B370-OtherCost</f>
        <v/>
      </c>
      <c r="N370" s="37">
        <f>'03_原始数据'!C370-0.605*'03_原始数据'!B370-OtherCost</f>
        <v/>
      </c>
      <c r="O370" s="37">
        <f>'03_原始数据'!C370-0.61*'03_原始数据'!B370-OtherCost</f>
        <v/>
      </c>
      <c r="P370" s="37">
        <f>'03_原始数据'!C370-0.615*'03_原始数据'!B370-OtherCost</f>
        <v/>
      </c>
      <c r="Q370" s="37">
        <f>'03_原始数据'!C370-0.62*'03_原始数据'!B370-OtherCost</f>
        <v/>
      </c>
      <c r="R370" s="37">
        <f>'03_原始数据'!C370-0.625*'03_原始数据'!B370-OtherCost</f>
        <v/>
      </c>
      <c r="S370" s="37">
        <f>'03_原始数据'!C370-0.63*'03_原始数据'!B370-OtherCost</f>
        <v/>
      </c>
      <c r="T370" s="37">
        <f>'03_原始数据'!C370-0.635*'03_原始数据'!B370-OtherCost</f>
        <v/>
      </c>
      <c r="U370" s="37">
        <f>'03_原始数据'!C370-0.64*'03_原始数据'!B370-OtherCost</f>
        <v/>
      </c>
      <c r="V370" s="37">
        <f>'03_原始数据'!C370-0.645*'03_原始数据'!B370-OtherCost</f>
        <v/>
      </c>
      <c r="W370" s="37">
        <f>'03_原始数据'!C370-0.65*'03_原始数据'!B370-OtherCost</f>
        <v/>
      </c>
      <c r="X370" s="37">
        <f>'03_原始数据'!C370-0.655*'03_原始数据'!B370-OtherCost</f>
        <v/>
      </c>
      <c r="Y370" s="37">
        <f>'03_原始数据'!C370-0.66*'03_原始数据'!B370-OtherCost</f>
        <v/>
      </c>
      <c r="Z370" s="37">
        <f>'03_原始数据'!C370-0.665*'03_原始数据'!B370-OtherCost</f>
        <v/>
      </c>
      <c r="AA370" s="37">
        <f>'03_原始数据'!C370-0.67*'03_原始数据'!B370-OtherCost</f>
        <v/>
      </c>
      <c r="AB370" s="37">
        <f>'03_原始数据'!C370-0.675*'03_原始数据'!B370-OtherCost</f>
        <v/>
      </c>
      <c r="AC370" s="37">
        <f>'03_原始数据'!C370-0.68*'03_原始数据'!B370-OtherCost</f>
        <v/>
      </c>
      <c r="AD370" s="37">
        <f>'03_原始数据'!C370-0.685*'03_原始数据'!B370-OtherCost</f>
        <v/>
      </c>
      <c r="AE370" s="37">
        <f>'03_原始数据'!C370-0.69*'03_原始数据'!B370-OtherCost</f>
        <v/>
      </c>
      <c r="AF370" s="37">
        <f>'03_原始数据'!C370-0.695*'03_原始数据'!B370-OtherCost</f>
        <v/>
      </c>
      <c r="AG370" s="37">
        <f>'03_原始数据'!C370-0.7*'03_原始数据'!B370-OtherCost</f>
        <v/>
      </c>
    </row>
    <row r="371">
      <c r="M371" s="37">
        <f>'03_原始数据'!C371-0.6*'03_原始数据'!B371-OtherCost</f>
        <v/>
      </c>
      <c r="N371" s="37">
        <f>'03_原始数据'!C371-0.605*'03_原始数据'!B371-OtherCost</f>
        <v/>
      </c>
      <c r="O371" s="37">
        <f>'03_原始数据'!C371-0.61*'03_原始数据'!B371-OtherCost</f>
        <v/>
      </c>
      <c r="P371" s="37">
        <f>'03_原始数据'!C371-0.615*'03_原始数据'!B371-OtherCost</f>
        <v/>
      </c>
      <c r="Q371" s="37">
        <f>'03_原始数据'!C371-0.62*'03_原始数据'!B371-OtherCost</f>
        <v/>
      </c>
      <c r="R371" s="37">
        <f>'03_原始数据'!C371-0.625*'03_原始数据'!B371-OtherCost</f>
        <v/>
      </c>
      <c r="S371" s="37">
        <f>'03_原始数据'!C371-0.63*'03_原始数据'!B371-OtherCost</f>
        <v/>
      </c>
      <c r="T371" s="37">
        <f>'03_原始数据'!C371-0.635*'03_原始数据'!B371-OtherCost</f>
        <v/>
      </c>
      <c r="U371" s="37">
        <f>'03_原始数据'!C371-0.64*'03_原始数据'!B371-OtherCost</f>
        <v/>
      </c>
      <c r="V371" s="37">
        <f>'03_原始数据'!C371-0.645*'03_原始数据'!B371-OtherCost</f>
        <v/>
      </c>
      <c r="W371" s="37">
        <f>'03_原始数据'!C371-0.65*'03_原始数据'!B371-OtherCost</f>
        <v/>
      </c>
      <c r="X371" s="37">
        <f>'03_原始数据'!C371-0.655*'03_原始数据'!B371-OtherCost</f>
        <v/>
      </c>
      <c r="Y371" s="37">
        <f>'03_原始数据'!C371-0.66*'03_原始数据'!B371-OtherCost</f>
        <v/>
      </c>
      <c r="Z371" s="37">
        <f>'03_原始数据'!C371-0.665*'03_原始数据'!B371-OtherCost</f>
        <v/>
      </c>
      <c r="AA371" s="37">
        <f>'03_原始数据'!C371-0.67*'03_原始数据'!B371-OtherCost</f>
        <v/>
      </c>
      <c r="AB371" s="37">
        <f>'03_原始数据'!C371-0.675*'03_原始数据'!B371-OtherCost</f>
        <v/>
      </c>
      <c r="AC371" s="37">
        <f>'03_原始数据'!C371-0.68*'03_原始数据'!B371-OtherCost</f>
        <v/>
      </c>
      <c r="AD371" s="37">
        <f>'03_原始数据'!C371-0.685*'03_原始数据'!B371-OtherCost</f>
        <v/>
      </c>
      <c r="AE371" s="37">
        <f>'03_原始数据'!C371-0.69*'03_原始数据'!B371-OtherCost</f>
        <v/>
      </c>
      <c r="AF371" s="37">
        <f>'03_原始数据'!C371-0.695*'03_原始数据'!B371-OtherCost</f>
        <v/>
      </c>
      <c r="AG371" s="37">
        <f>'03_原始数据'!C371-0.7*'03_原始数据'!B371-OtherCost</f>
        <v/>
      </c>
    </row>
    <row r="372">
      <c r="M372" s="37">
        <f>'03_原始数据'!C372-0.6*'03_原始数据'!B372-OtherCost</f>
        <v/>
      </c>
      <c r="N372" s="37">
        <f>'03_原始数据'!C372-0.605*'03_原始数据'!B372-OtherCost</f>
        <v/>
      </c>
      <c r="O372" s="37">
        <f>'03_原始数据'!C372-0.61*'03_原始数据'!B372-OtherCost</f>
        <v/>
      </c>
      <c r="P372" s="37">
        <f>'03_原始数据'!C372-0.615*'03_原始数据'!B372-OtherCost</f>
        <v/>
      </c>
      <c r="Q372" s="37">
        <f>'03_原始数据'!C372-0.62*'03_原始数据'!B372-OtherCost</f>
        <v/>
      </c>
      <c r="R372" s="37">
        <f>'03_原始数据'!C372-0.625*'03_原始数据'!B372-OtherCost</f>
        <v/>
      </c>
      <c r="S372" s="37">
        <f>'03_原始数据'!C372-0.63*'03_原始数据'!B372-OtherCost</f>
        <v/>
      </c>
      <c r="T372" s="37">
        <f>'03_原始数据'!C372-0.635*'03_原始数据'!B372-OtherCost</f>
        <v/>
      </c>
      <c r="U372" s="37">
        <f>'03_原始数据'!C372-0.64*'03_原始数据'!B372-OtherCost</f>
        <v/>
      </c>
      <c r="V372" s="37">
        <f>'03_原始数据'!C372-0.645*'03_原始数据'!B372-OtherCost</f>
        <v/>
      </c>
      <c r="W372" s="37">
        <f>'03_原始数据'!C372-0.65*'03_原始数据'!B372-OtherCost</f>
        <v/>
      </c>
      <c r="X372" s="37">
        <f>'03_原始数据'!C372-0.655*'03_原始数据'!B372-OtherCost</f>
        <v/>
      </c>
      <c r="Y372" s="37">
        <f>'03_原始数据'!C372-0.66*'03_原始数据'!B372-OtherCost</f>
        <v/>
      </c>
      <c r="Z372" s="37">
        <f>'03_原始数据'!C372-0.665*'03_原始数据'!B372-OtherCost</f>
        <v/>
      </c>
      <c r="AA372" s="37">
        <f>'03_原始数据'!C372-0.67*'03_原始数据'!B372-OtherCost</f>
        <v/>
      </c>
      <c r="AB372" s="37">
        <f>'03_原始数据'!C372-0.675*'03_原始数据'!B372-OtherCost</f>
        <v/>
      </c>
      <c r="AC372" s="37">
        <f>'03_原始数据'!C372-0.68*'03_原始数据'!B372-OtherCost</f>
        <v/>
      </c>
      <c r="AD372" s="37">
        <f>'03_原始数据'!C372-0.685*'03_原始数据'!B372-OtherCost</f>
        <v/>
      </c>
      <c r="AE372" s="37">
        <f>'03_原始数据'!C372-0.69*'03_原始数据'!B372-OtherCost</f>
        <v/>
      </c>
      <c r="AF372" s="37">
        <f>'03_原始数据'!C372-0.695*'03_原始数据'!B372-OtherCost</f>
        <v/>
      </c>
      <c r="AG372" s="37">
        <f>'03_原始数据'!C372-0.7*'03_原始数据'!B372-OtherCost</f>
        <v/>
      </c>
    </row>
    <row r="373">
      <c r="M373" s="37">
        <f>'03_原始数据'!C373-0.6*'03_原始数据'!B373-OtherCost</f>
        <v/>
      </c>
      <c r="N373" s="37">
        <f>'03_原始数据'!C373-0.605*'03_原始数据'!B373-OtherCost</f>
        <v/>
      </c>
      <c r="O373" s="37">
        <f>'03_原始数据'!C373-0.61*'03_原始数据'!B373-OtherCost</f>
        <v/>
      </c>
      <c r="P373" s="37">
        <f>'03_原始数据'!C373-0.615*'03_原始数据'!B373-OtherCost</f>
        <v/>
      </c>
      <c r="Q373" s="37">
        <f>'03_原始数据'!C373-0.62*'03_原始数据'!B373-OtherCost</f>
        <v/>
      </c>
      <c r="R373" s="37">
        <f>'03_原始数据'!C373-0.625*'03_原始数据'!B373-OtherCost</f>
        <v/>
      </c>
      <c r="S373" s="37">
        <f>'03_原始数据'!C373-0.63*'03_原始数据'!B373-OtherCost</f>
        <v/>
      </c>
      <c r="T373" s="37">
        <f>'03_原始数据'!C373-0.635*'03_原始数据'!B373-OtherCost</f>
        <v/>
      </c>
      <c r="U373" s="37">
        <f>'03_原始数据'!C373-0.64*'03_原始数据'!B373-OtherCost</f>
        <v/>
      </c>
      <c r="V373" s="37">
        <f>'03_原始数据'!C373-0.645*'03_原始数据'!B373-OtherCost</f>
        <v/>
      </c>
      <c r="W373" s="37">
        <f>'03_原始数据'!C373-0.65*'03_原始数据'!B373-OtherCost</f>
        <v/>
      </c>
      <c r="X373" s="37">
        <f>'03_原始数据'!C373-0.655*'03_原始数据'!B373-OtherCost</f>
        <v/>
      </c>
      <c r="Y373" s="37">
        <f>'03_原始数据'!C373-0.66*'03_原始数据'!B373-OtherCost</f>
        <v/>
      </c>
      <c r="Z373" s="37">
        <f>'03_原始数据'!C373-0.665*'03_原始数据'!B373-OtherCost</f>
        <v/>
      </c>
      <c r="AA373" s="37">
        <f>'03_原始数据'!C373-0.67*'03_原始数据'!B373-OtherCost</f>
        <v/>
      </c>
      <c r="AB373" s="37">
        <f>'03_原始数据'!C373-0.675*'03_原始数据'!B373-OtherCost</f>
        <v/>
      </c>
      <c r="AC373" s="37">
        <f>'03_原始数据'!C373-0.68*'03_原始数据'!B373-OtherCost</f>
        <v/>
      </c>
      <c r="AD373" s="37">
        <f>'03_原始数据'!C373-0.685*'03_原始数据'!B373-OtherCost</f>
        <v/>
      </c>
      <c r="AE373" s="37">
        <f>'03_原始数据'!C373-0.69*'03_原始数据'!B373-OtherCost</f>
        <v/>
      </c>
      <c r="AF373" s="37">
        <f>'03_原始数据'!C373-0.695*'03_原始数据'!B373-OtherCost</f>
        <v/>
      </c>
      <c r="AG373" s="37">
        <f>'03_原始数据'!C373-0.7*'03_原始数据'!B373-OtherCost</f>
        <v/>
      </c>
    </row>
    <row r="374">
      <c r="M374" s="37">
        <f>'03_原始数据'!C374-0.6*'03_原始数据'!B374-OtherCost</f>
        <v/>
      </c>
      <c r="N374" s="37">
        <f>'03_原始数据'!C374-0.605*'03_原始数据'!B374-OtherCost</f>
        <v/>
      </c>
      <c r="O374" s="37">
        <f>'03_原始数据'!C374-0.61*'03_原始数据'!B374-OtherCost</f>
        <v/>
      </c>
      <c r="P374" s="37">
        <f>'03_原始数据'!C374-0.615*'03_原始数据'!B374-OtherCost</f>
        <v/>
      </c>
      <c r="Q374" s="37">
        <f>'03_原始数据'!C374-0.62*'03_原始数据'!B374-OtherCost</f>
        <v/>
      </c>
      <c r="R374" s="37">
        <f>'03_原始数据'!C374-0.625*'03_原始数据'!B374-OtherCost</f>
        <v/>
      </c>
      <c r="S374" s="37">
        <f>'03_原始数据'!C374-0.63*'03_原始数据'!B374-OtherCost</f>
        <v/>
      </c>
      <c r="T374" s="37">
        <f>'03_原始数据'!C374-0.635*'03_原始数据'!B374-OtherCost</f>
        <v/>
      </c>
      <c r="U374" s="37">
        <f>'03_原始数据'!C374-0.64*'03_原始数据'!B374-OtherCost</f>
        <v/>
      </c>
      <c r="V374" s="37">
        <f>'03_原始数据'!C374-0.645*'03_原始数据'!B374-OtherCost</f>
        <v/>
      </c>
      <c r="W374" s="37">
        <f>'03_原始数据'!C374-0.65*'03_原始数据'!B374-OtherCost</f>
        <v/>
      </c>
      <c r="X374" s="37">
        <f>'03_原始数据'!C374-0.655*'03_原始数据'!B374-OtherCost</f>
        <v/>
      </c>
      <c r="Y374" s="37">
        <f>'03_原始数据'!C374-0.66*'03_原始数据'!B374-OtherCost</f>
        <v/>
      </c>
      <c r="Z374" s="37">
        <f>'03_原始数据'!C374-0.665*'03_原始数据'!B374-OtherCost</f>
        <v/>
      </c>
      <c r="AA374" s="37">
        <f>'03_原始数据'!C374-0.67*'03_原始数据'!B374-OtherCost</f>
        <v/>
      </c>
      <c r="AB374" s="37">
        <f>'03_原始数据'!C374-0.675*'03_原始数据'!B374-OtherCost</f>
        <v/>
      </c>
      <c r="AC374" s="37">
        <f>'03_原始数据'!C374-0.68*'03_原始数据'!B374-OtherCost</f>
        <v/>
      </c>
      <c r="AD374" s="37">
        <f>'03_原始数据'!C374-0.685*'03_原始数据'!B374-OtherCost</f>
        <v/>
      </c>
      <c r="AE374" s="37">
        <f>'03_原始数据'!C374-0.69*'03_原始数据'!B374-OtherCost</f>
        <v/>
      </c>
      <c r="AF374" s="37">
        <f>'03_原始数据'!C374-0.695*'03_原始数据'!B374-OtherCost</f>
        <v/>
      </c>
      <c r="AG374" s="37">
        <f>'03_原始数据'!C374-0.7*'03_原始数据'!B374-OtherCost</f>
        <v/>
      </c>
    </row>
    <row r="375">
      <c r="M375" s="37">
        <f>'03_原始数据'!C375-0.6*'03_原始数据'!B375-OtherCost</f>
        <v/>
      </c>
      <c r="N375" s="37">
        <f>'03_原始数据'!C375-0.605*'03_原始数据'!B375-OtherCost</f>
        <v/>
      </c>
      <c r="O375" s="37">
        <f>'03_原始数据'!C375-0.61*'03_原始数据'!B375-OtherCost</f>
        <v/>
      </c>
      <c r="P375" s="37">
        <f>'03_原始数据'!C375-0.615*'03_原始数据'!B375-OtherCost</f>
        <v/>
      </c>
      <c r="Q375" s="37">
        <f>'03_原始数据'!C375-0.62*'03_原始数据'!B375-OtherCost</f>
        <v/>
      </c>
      <c r="R375" s="37">
        <f>'03_原始数据'!C375-0.625*'03_原始数据'!B375-OtherCost</f>
        <v/>
      </c>
      <c r="S375" s="37">
        <f>'03_原始数据'!C375-0.63*'03_原始数据'!B375-OtherCost</f>
        <v/>
      </c>
      <c r="T375" s="37">
        <f>'03_原始数据'!C375-0.635*'03_原始数据'!B375-OtherCost</f>
        <v/>
      </c>
      <c r="U375" s="37">
        <f>'03_原始数据'!C375-0.64*'03_原始数据'!B375-OtherCost</f>
        <v/>
      </c>
      <c r="V375" s="37">
        <f>'03_原始数据'!C375-0.645*'03_原始数据'!B375-OtherCost</f>
        <v/>
      </c>
      <c r="W375" s="37">
        <f>'03_原始数据'!C375-0.65*'03_原始数据'!B375-OtherCost</f>
        <v/>
      </c>
      <c r="X375" s="37">
        <f>'03_原始数据'!C375-0.655*'03_原始数据'!B375-OtherCost</f>
        <v/>
      </c>
      <c r="Y375" s="37">
        <f>'03_原始数据'!C375-0.66*'03_原始数据'!B375-OtherCost</f>
        <v/>
      </c>
      <c r="Z375" s="37">
        <f>'03_原始数据'!C375-0.665*'03_原始数据'!B375-OtherCost</f>
        <v/>
      </c>
      <c r="AA375" s="37">
        <f>'03_原始数据'!C375-0.67*'03_原始数据'!B375-OtherCost</f>
        <v/>
      </c>
      <c r="AB375" s="37">
        <f>'03_原始数据'!C375-0.675*'03_原始数据'!B375-OtherCost</f>
        <v/>
      </c>
      <c r="AC375" s="37">
        <f>'03_原始数据'!C375-0.68*'03_原始数据'!B375-OtherCost</f>
        <v/>
      </c>
      <c r="AD375" s="37">
        <f>'03_原始数据'!C375-0.685*'03_原始数据'!B375-OtherCost</f>
        <v/>
      </c>
      <c r="AE375" s="37">
        <f>'03_原始数据'!C375-0.69*'03_原始数据'!B375-OtherCost</f>
        <v/>
      </c>
      <c r="AF375" s="37">
        <f>'03_原始数据'!C375-0.695*'03_原始数据'!B375-OtherCost</f>
        <v/>
      </c>
      <c r="AG375" s="37">
        <f>'03_原始数据'!C375-0.7*'03_原始数据'!B375-OtherCost</f>
        <v/>
      </c>
    </row>
    <row r="376">
      <c r="M376" s="37">
        <f>'03_原始数据'!C376-0.6*'03_原始数据'!B376-OtherCost</f>
        <v/>
      </c>
      <c r="N376" s="37">
        <f>'03_原始数据'!C376-0.605*'03_原始数据'!B376-OtherCost</f>
        <v/>
      </c>
      <c r="O376" s="37">
        <f>'03_原始数据'!C376-0.61*'03_原始数据'!B376-OtherCost</f>
        <v/>
      </c>
      <c r="P376" s="37">
        <f>'03_原始数据'!C376-0.615*'03_原始数据'!B376-OtherCost</f>
        <v/>
      </c>
      <c r="Q376" s="37">
        <f>'03_原始数据'!C376-0.62*'03_原始数据'!B376-OtherCost</f>
        <v/>
      </c>
      <c r="R376" s="37">
        <f>'03_原始数据'!C376-0.625*'03_原始数据'!B376-OtherCost</f>
        <v/>
      </c>
      <c r="S376" s="37">
        <f>'03_原始数据'!C376-0.63*'03_原始数据'!B376-OtherCost</f>
        <v/>
      </c>
      <c r="T376" s="37">
        <f>'03_原始数据'!C376-0.635*'03_原始数据'!B376-OtherCost</f>
        <v/>
      </c>
      <c r="U376" s="37">
        <f>'03_原始数据'!C376-0.64*'03_原始数据'!B376-OtherCost</f>
        <v/>
      </c>
      <c r="V376" s="37">
        <f>'03_原始数据'!C376-0.645*'03_原始数据'!B376-OtherCost</f>
        <v/>
      </c>
      <c r="W376" s="37">
        <f>'03_原始数据'!C376-0.65*'03_原始数据'!B376-OtherCost</f>
        <v/>
      </c>
      <c r="X376" s="37">
        <f>'03_原始数据'!C376-0.655*'03_原始数据'!B376-OtherCost</f>
        <v/>
      </c>
      <c r="Y376" s="37">
        <f>'03_原始数据'!C376-0.66*'03_原始数据'!B376-OtherCost</f>
        <v/>
      </c>
      <c r="Z376" s="37">
        <f>'03_原始数据'!C376-0.665*'03_原始数据'!B376-OtherCost</f>
        <v/>
      </c>
      <c r="AA376" s="37">
        <f>'03_原始数据'!C376-0.67*'03_原始数据'!B376-OtherCost</f>
        <v/>
      </c>
      <c r="AB376" s="37">
        <f>'03_原始数据'!C376-0.675*'03_原始数据'!B376-OtherCost</f>
        <v/>
      </c>
      <c r="AC376" s="37">
        <f>'03_原始数据'!C376-0.68*'03_原始数据'!B376-OtherCost</f>
        <v/>
      </c>
      <c r="AD376" s="37">
        <f>'03_原始数据'!C376-0.685*'03_原始数据'!B376-OtherCost</f>
        <v/>
      </c>
      <c r="AE376" s="37">
        <f>'03_原始数据'!C376-0.69*'03_原始数据'!B376-OtherCost</f>
        <v/>
      </c>
      <c r="AF376" s="37">
        <f>'03_原始数据'!C376-0.695*'03_原始数据'!B376-OtherCost</f>
        <v/>
      </c>
      <c r="AG376" s="37">
        <f>'03_原始数据'!C376-0.7*'03_原始数据'!B376-OtherCost</f>
        <v/>
      </c>
    </row>
    <row r="377">
      <c r="M377" s="37">
        <f>'03_原始数据'!C377-0.6*'03_原始数据'!B377-OtherCost</f>
        <v/>
      </c>
      <c r="N377" s="37">
        <f>'03_原始数据'!C377-0.605*'03_原始数据'!B377-OtherCost</f>
        <v/>
      </c>
      <c r="O377" s="37">
        <f>'03_原始数据'!C377-0.61*'03_原始数据'!B377-OtherCost</f>
        <v/>
      </c>
      <c r="P377" s="37">
        <f>'03_原始数据'!C377-0.615*'03_原始数据'!B377-OtherCost</f>
        <v/>
      </c>
      <c r="Q377" s="37">
        <f>'03_原始数据'!C377-0.62*'03_原始数据'!B377-OtherCost</f>
        <v/>
      </c>
      <c r="R377" s="37">
        <f>'03_原始数据'!C377-0.625*'03_原始数据'!B377-OtherCost</f>
        <v/>
      </c>
      <c r="S377" s="37">
        <f>'03_原始数据'!C377-0.63*'03_原始数据'!B377-OtherCost</f>
        <v/>
      </c>
      <c r="T377" s="37">
        <f>'03_原始数据'!C377-0.635*'03_原始数据'!B377-OtherCost</f>
        <v/>
      </c>
      <c r="U377" s="37">
        <f>'03_原始数据'!C377-0.64*'03_原始数据'!B377-OtherCost</f>
        <v/>
      </c>
      <c r="V377" s="37">
        <f>'03_原始数据'!C377-0.645*'03_原始数据'!B377-OtherCost</f>
        <v/>
      </c>
      <c r="W377" s="37">
        <f>'03_原始数据'!C377-0.65*'03_原始数据'!B377-OtherCost</f>
        <v/>
      </c>
      <c r="X377" s="37">
        <f>'03_原始数据'!C377-0.655*'03_原始数据'!B377-OtherCost</f>
        <v/>
      </c>
      <c r="Y377" s="37">
        <f>'03_原始数据'!C377-0.66*'03_原始数据'!B377-OtherCost</f>
        <v/>
      </c>
      <c r="Z377" s="37">
        <f>'03_原始数据'!C377-0.665*'03_原始数据'!B377-OtherCost</f>
        <v/>
      </c>
      <c r="AA377" s="37">
        <f>'03_原始数据'!C377-0.67*'03_原始数据'!B377-OtherCost</f>
        <v/>
      </c>
      <c r="AB377" s="37">
        <f>'03_原始数据'!C377-0.675*'03_原始数据'!B377-OtherCost</f>
        <v/>
      </c>
      <c r="AC377" s="37">
        <f>'03_原始数据'!C377-0.68*'03_原始数据'!B377-OtherCost</f>
        <v/>
      </c>
      <c r="AD377" s="37">
        <f>'03_原始数据'!C377-0.685*'03_原始数据'!B377-OtherCost</f>
        <v/>
      </c>
      <c r="AE377" s="37">
        <f>'03_原始数据'!C377-0.69*'03_原始数据'!B377-OtherCost</f>
        <v/>
      </c>
      <c r="AF377" s="37">
        <f>'03_原始数据'!C377-0.695*'03_原始数据'!B377-OtherCost</f>
        <v/>
      </c>
      <c r="AG377" s="37">
        <f>'03_原始数据'!C377-0.7*'03_原始数据'!B377-OtherCost</f>
        <v/>
      </c>
    </row>
    <row r="378">
      <c r="M378" s="37">
        <f>'03_原始数据'!C378-0.6*'03_原始数据'!B378-OtherCost</f>
        <v/>
      </c>
      <c r="N378" s="37">
        <f>'03_原始数据'!C378-0.605*'03_原始数据'!B378-OtherCost</f>
        <v/>
      </c>
      <c r="O378" s="37">
        <f>'03_原始数据'!C378-0.61*'03_原始数据'!B378-OtherCost</f>
        <v/>
      </c>
      <c r="P378" s="37">
        <f>'03_原始数据'!C378-0.615*'03_原始数据'!B378-OtherCost</f>
        <v/>
      </c>
      <c r="Q378" s="37">
        <f>'03_原始数据'!C378-0.62*'03_原始数据'!B378-OtherCost</f>
        <v/>
      </c>
      <c r="R378" s="37">
        <f>'03_原始数据'!C378-0.625*'03_原始数据'!B378-OtherCost</f>
        <v/>
      </c>
      <c r="S378" s="37">
        <f>'03_原始数据'!C378-0.63*'03_原始数据'!B378-OtherCost</f>
        <v/>
      </c>
      <c r="T378" s="37">
        <f>'03_原始数据'!C378-0.635*'03_原始数据'!B378-OtherCost</f>
        <v/>
      </c>
      <c r="U378" s="37">
        <f>'03_原始数据'!C378-0.64*'03_原始数据'!B378-OtherCost</f>
        <v/>
      </c>
      <c r="V378" s="37">
        <f>'03_原始数据'!C378-0.645*'03_原始数据'!B378-OtherCost</f>
        <v/>
      </c>
      <c r="W378" s="37">
        <f>'03_原始数据'!C378-0.65*'03_原始数据'!B378-OtherCost</f>
        <v/>
      </c>
      <c r="X378" s="37">
        <f>'03_原始数据'!C378-0.655*'03_原始数据'!B378-OtherCost</f>
        <v/>
      </c>
      <c r="Y378" s="37">
        <f>'03_原始数据'!C378-0.66*'03_原始数据'!B378-OtherCost</f>
        <v/>
      </c>
      <c r="Z378" s="37">
        <f>'03_原始数据'!C378-0.665*'03_原始数据'!B378-OtherCost</f>
        <v/>
      </c>
      <c r="AA378" s="37">
        <f>'03_原始数据'!C378-0.67*'03_原始数据'!B378-OtherCost</f>
        <v/>
      </c>
      <c r="AB378" s="37">
        <f>'03_原始数据'!C378-0.675*'03_原始数据'!B378-OtherCost</f>
        <v/>
      </c>
      <c r="AC378" s="37">
        <f>'03_原始数据'!C378-0.68*'03_原始数据'!B378-OtherCost</f>
        <v/>
      </c>
      <c r="AD378" s="37">
        <f>'03_原始数据'!C378-0.685*'03_原始数据'!B378-OtherCost</f>
        <v/>
      </c>
      <c r="AE378" s="37">
        <f>'03_原始数据'!C378-0.69*'03_原始数据'!B378-OtherCost</f>
        <v/>
      </c>
      <c r="AF378" s="37">
        <f>'03_原始数据'!C378-0.695*'03_原始数据'!B378-OtherCost</f>
        <v/>
      </c>
      <c r="AG378" s="37">
        <f>'03_原始数据'!C378-0.7*'03_原始数据'!B378-OtherCost</f>
        <v/>
      </c>
    </row>
    <row r="379">
      <c r="M379" s="37">
        <f>'03_原始数据'!C379-0.6*'03_原始数据'!B379-OtherCost</f>
        <v/>
      </c>
      <c r="N379" s="37">
        <f>'03_原始数据'!C379-0.605*'03_原始数据'!B379-OtherCost</f>
        <v/>
      </c>
      <c r="O379" s="37">
        <f>'03_原始数据'!C379-0.61*'03_原始数据'!B379-OtherCost</f>
        <v/>
      </c>
      <c r="P379" s="37">
        <f>'03_原始数据'!C379-0.615*'03_原始数据'!B379-OtherCost</f>
        <v/>
      </c>
      <c r="Q379" s="37">
        <f>'03_原始数据'!C379-0.62*'03_原始数据'!B379-OtherCost</f>
        <v/>
      </c>
      <c r="R379" s="37">
        <f>'03_原始数据'!C379-0.625*'03_原始数据'!B379-OtherCost</f>
        <v/>
      </c>
      <c r="S379" s="37">
        <f>'03_原始数据'!C379-0.63*'03_原始数据'!B379-OtherCost</f>
        <v/>
      </c>
      <c r="T379" s="37">
        <f>'03_原始数据'!C379-0.635*'03_原始数据'!B379-OtherCost</f>
        <v/>
      </c>
      <c r="U379" s="37">
        <f>'03_原始数据'!C379-0.64*'03_原始数据'!B379-OtherCost</f>
        <v/>
      </c>
      <c r="V379" s="37">
        <f>'03_原始数据'!C379-0.645*'03_原始数据'!B379-OtherCost</f>
        <v/>
      </c>
      <c r="W379" s="37">
        <f>'03_原始数据'!C379-0.65*'03_原始数据'!B379-OtherCost</f>
        <v/>
      </c>
      <c r="X379" s="37">
        <f>'03_原始数据'!C379-0.655*'03_原始数据'!B379-OtherCost</f>
        <v/>
      </c>
      <c r="Y379" s="37">
        <f>'03_原始数据'!C379-0.66*'03_原始数据'!B379-OtherCost</f>
        <v/>
      </c>
      <c r="Z379" s="37">
        <f>'03_原始数据'!C379-0.665*'03_原始数据'!B379-OtherCost</f>
        <v/>
      </c>
      <c r="AA379" s="37">
        <f>'03_原始数据'!C379-0.67*'03_原始数据'!B379-OtherCost</f>
        <v/>
      </c>
      <c r="AB379" s="37">
        <f>'03_原始数据'!C379-0.675*'03_原始数据'!B379-OtherCost</f>
        <v/>
      </c>
      <c r="AC379" s="37">
        <f>'03_原始数据'!C379-0.68*'03_原始数据'!B379-OtherCost</f>
        <v/>
      </c>
      <c r="AD379" s="37">
        <f>'03_原始数据'!C379-0.685*'03_原始数据'!B379-OtherCost</f>
        <v/>
      </c>
      <c r="AE379" s="37">
        <f>'03_原始数据'!C379-0.69*'03_原始数据'!B379-OtherCost</f>
        <v/>
      </c>
      <c r="AF379" s="37">
        <f>'03_原始数据'!C379-0.695*'03_原始数据'!B379-OtherCost</f>
        <v/>
      </c>
      <c r="AG379" s="37">
        <f>'03_原始数据'!C379-0.7*'03_原始数据'!B379-OtherCost</f>
        <v/>
      </c>
    </row>
    <row r="380">
      <c r="M380" s="37">
        <f>'03_原始数据'!C380-0.6*'03_原始数据'!B380-OtherCost</f>
        <v/>
      </c>
      <c r="N380" s="37">
        <f>'03_原始数据'!C380-0.605*'03_原始数据'!B380-OtherCost</f>
        <v/>
      </c>
      <c r="O380" s="37">
        <f>'03_原始数据'!C380-0.61*'03_原始数据'!B380-OtherCost</f>
        <v/>
      </c>
      <c r="P380" s="37">
        <f>'03_原始数据'!C380-0.615*'03_原始数据'!B380-OtherCost</f>
        <v/>
      </c>
      <c r="Q380" s="37">
        <f>'03_原始数据'!C380-0.62*'03_原始数据'!B380-OtherCost</f>
        <v/>
      </c>
      <c r="R380" s="37">
        <f>'03_原始数据'!C380-0.625*'03_原始数据'!B380-OtherCost</f>
        <v/>
      </c>
      <c r="S380" s="37">
        <f>'03_原始数据'!C380-0.63*'03_原始数据'!B380-OtherCost</f>
        <v/>
      </c>
      <c r="T380" s="37">
        <f>'03_原始数据'!C380-0.635*'03_原始数据'!B380-OtherCost</f>
        <v/>
      </c>
      <c r="U380" s="37">
        <f>'03_原始数据'!C380-0.64*'03_原始数据'!B380-OtherCost</f>
        <v/>
      </c>
      <c r="V380" s="37">
        <f>'03_原始数据'!C380-0.645*'03_原始数据'!B380-OtherCost</f>
        <v/>
      </c>
      <c r="W380" s="37">
        <f>'03_原始数据'!C380-0.65*'03_原始数据'!B380-OtherCost</f>
        <v/>
      </c>
      <c r="X380" s="37">
        <f>'03_原始数据'!C380-0.655*'03_原始数据'!B380-OtherCost</f>
        <v/>
      </c>
      <c r="Y380" s="37">
        <f>'03_原始数据'!C380-0.66*'03_原始数据'!B380-OtherCost</f>
        <v/>
      </c>
      <c r="Z380" s="37">
        <f>'03_原始数据'!C380-0.665*'03_原始数据'!B380-OtherCost</f>
        <v/>
      </c>
      <c r="AA380" s="37">
        <f>'03_原始数据'!C380-0.67*'03_原始数据'!B380-OtherCost</f>
        <v/>
      </c>
      <c r="AB380" s="37">
        <f>'03_原始数据'!C380-0.675*'03_原始数据'!B380-OtherCost</f>
        <v/>
      </c>
      <c r="AC380" s="37">
        <f>'03_原始数据'!C380-0.68*'03_原始数据'!B380-OtherCost</f>
        <v/>
      </c>
      <c r="AD380" s="37">
        <f>'03_原始数据'!C380-0.685*'03_原始数据'!B380-OtherCost</f>
        <v/>
      </c>
      <c r="AE380" s="37">
        <f>'03_原始数据'!C380-0.69*'03_原始数据'!B380-OtherCost</f>
        <v/>
      </c>
      <c r="AF380" s="37">
        <f>'03_原始数据'!C380-0.695*'03_原始数据'!B380-OtherCost</f>
        <v/>
      </c>
      <c r="AG380" s="37">
        <f>'03_原始数据'!C380-0.7*'03_原始数据'!B380-OtherCost</f>
        <v/>
      </c>
    </row>
    <row r="381">
      <c r="M381" s="37">
        <f>'03_原始数据'!C381-0.6*'03_原始数据'!B381-OtherCost</f>
        <v/>
      </c>
      <c r="N381" s="37">
        <f>'03_原始数据'!C381-0.605*'03_原始数据'!B381-OtherCost</f>
        <v/>
      </c>
      <c r="O381" s="37">
        <f>'03_原始数据'!C381-0.61*'03_原始数据'!B381-OtherCost</f>
        <v/>
      </c>
      <c r="P381" s="37">
        <f>'03_原始数据'!C381-0.615*'03_原始数据'!B381-OtherCost</f>
        <v/>
      </c>
      <c r="Q381" s="37">
        <f>'03_原始数据'!C381-0.62*'03_原始数据'!B381-OtherCost</f>
        <v/>
      </c>
      <c r="R381" s="37">
        <f>'03_原始数据'!C381-0.625*'03_原始数据'!B381-OtherCost</f>
        <v/>
      </c>
      <c r="S381" s="37">
        <f>'03_原始数据'!C381-0.63*'03_原始数据'!B381-OtherCost</f>
        <v/>
      </c>
      <c r="T381" s="37">
        <f>'03_原始数据'!C381-0.635*'03_原始数据'!B381-OtherCost</f>
        <v/>
      </c>
      <c r="U381" s="37">
        <f>'03_原始数据'!C381-0.64*'03_原始数据'!B381-OtherCost</f>
        <v/>
      </c>
      <c r="V381" s="37">
        <f>'03_原始数据'!C381-0.645*'03_原始数据'!B381-OtherCost</f>
        <v/>
      </c>
      <c r="W381" s="37">
        <f>'03_原始数据'!C381-0.65*'03_原始数据'!B381-OtherCost</f>
        <v/>
      </c>
      <c r="X381" s="37">
        <f>'03_原始数据'!C381-0.655*'03_原始数据'!B381-OtherCost</f>
        <v/>
      </c>
      <c r="Y381" s="37">
        <f>'03_原始数据'!C381-0.66*'03_原始数据'!B381-OtherCost</f>
        <v/>
      </c>
      <c r="Z381" s="37">
        <f>'03_原始数据'!C381-0.665*'03_原始数据'!B381-OtherCost</f>
        <v/>
      </c>
      <c r="AA381" s="37">
        <f>'03_原始数据'!C381-0.67*'03_原始数据'!B381-OtherCost</f>
        <v/>
      </c>
      <c r="AB381" s="37">
        <f>'03_原始数据'!C381-0.675*'03_原始数据'!B381-OtherCost</f>
        <v/>
      </c>
      <c r="AC381" s="37">
        <f>'03_原始数据'!C381-0.68*'03_原始数据'!B381-OtherCost</f>
        <v/>
      </c>
      <c r="AD381" s="37">
        <f>'03_原始数据'!C381-0.685*'03_原始数据'!B381-OtherCost</f>
        <v/>
      </c>
      <c r="AE381" s="37">
        <f>'03_原始数据'!C381-0.69*'03_原始数据'!B381-OtherCost</f>
        <v/>
      </c>
      <c r="AF381" s="37">
        <f>'03_原始数据'!C381-0.695*'03_原始数据'!B381-OtherCost</f>
        <v/>
      </c>
      <c r="AG381" s="37">
        <f>'03_原始数据'!C381-0.7*'03_原始数据'!B381-OtherCost</f>
        <v/>
      </c>
    </row>
    <row r="382">
      <c r="M382" s="37">
        <f>'03_原始数据'!C382-0.6*'03_原始数据'!B382-OtherCost</f>
        <v/>
      </c>
      <c r="N382" s="37">
        <f>'03_原始数据'!C382-0.605*'03_原始数据'!B382-OtherCost</f>
        <v/>
      </c>
      <c r="O382" s="37">
        <f>'03_原始数据'!C382-0.61*'03_原始数据'!B382-OtherCost</f>
        <v/>
      </c>
      <c r="P382" s="37">
        <f>'03_原始数据'!C382-0.615*'03_原始数据'!B382-OtherCost</f>
        <v/>
      </c>
      <c r="Q382" s="37">
        <f>'03_原始数据'!C382-0.62*'03_原始数据'!B382-OtherCost</f>
        <v/>
      </c>
      <c r="R382" s="37">
        <f>'03_原始数据'!C382-0.625*'03_原始数据'!B382-OtherCost</f>
        <v/>
      </c>
      <c r="S382" s="37">
        <f>'03_原始数据'!C382-0.63*'03_原始数据'!B382-OtherCost</f>
        <v/>
      </c>
      <c r="T382" s="37">
        <f>'03_原始数据'!C382-0.635*'03_原始数据'!B382-OtherCost</f>
        <v/>
      </c>
      <c r="U382" s="37">
        <f>'03_原始数据'!C382-0.64*'03_原始数据'!B382-OtherCost</f>
        <v/>
      </c>
      <c r="V382" s="37">
        <f>'03_原始数据'!C382-0.645*'03_原始数据'!B382-OtherCost</f>
        <v/>
      </c>
      <c r="W382" s="37">
        <f>'03_原始数据'!C382-0.65*'03_原始数据'!B382-OtherCost</f>
        <v/>
      </c>
      <c r="X382" s="37">
        <f>'03_原始数据'!C382-0.655*'03_原始数据'!B382-OtherCost</f>
        <v/>
      </c>
      <c r="Y382" s="37">
        <f>'03_原始数据'!C382-0.66*'03_原始数据'!B382-OtherCost</f>
        <v/>
      </c>
      <c r="Z382" s="37">
        <f>'03_原始数据'!C382-0.665*'03_原始数据'!B382-OtherCost</f>
        <v/>
      </c>
      <c r="AA382" s="37">
        <f>'03_原始数据'!C382-0.67*'03_原始数据'!B382-OtherCost</f>
        <v/>
      </c>
      <c r="AB382" s="37">
        <f>'03_原始数据'!C382-0.675*'03_原始数据'!B382-OtherCost</f>
        <v/>
      </c>
      <c r="AC382" s="37">
        <f>'03_原始数据'!C382-0.68*'03_原始数据'!B382-OtherCost</f>
        <v/>
      </c>
      <c r="AD382" s="37">
        <f>'03_原始数据'!C382-0.685*'03_原始数据'!B382-OtherCost</f>
        <v/>
      </c>
      <c r="AE382" s="37">
        <f>'03_原始数据'!C382-0.69*'03_原始数据'!B382-OtherCost</f>
        <v/>
      </c>
      <c r="AF382" s="37">
        <f>'03_原始数据'!C382-0.695*'03_原始数据'!B382-OtherCost</f>
        <v/>
      </c>
      <c r="AG382" s="37">
        <f>'03_原始数据'!C382-0.7*'03_原始数据'!B382-OtherCost</f>
        <v/>
      </c>
    </row>
    <row r="383">
      <c r="M383" s="37">
        <f>'03_原始数据'!C383-0.6*'03_原始数据'!B383-OtherCost</f>
        <v/>
      </c>
      <c r="N383" s="37">
        <f>'03_原始数据'!C383-0.605*'03_原始数据'!B383-OtherCost</f>
        <v/>
      </c>
      <c r="O383" s="37">
        <f>'03_原始数据'!C383-0.61*'03_原始数据'!B383-OtherCost</f>
        <v/>
      </c>
      <c r="P383" s="37">
        <f>'03_原始数据'!C383-0.615*'03_原始数据'!B383-OtherCost</f>
        <v/>
      </c>
      <c r="Q383" s="37">
        <f>'03_原始数据'!C383-0.62*'03_原始数据'!B383-OtherCost</f>
        <v/>
      </c>
      <c r="R383" s="37">
        <f>'03_原始数据'!C383-0.625*'03_原始数据'!B383-OtherCost</f>
        <v/>
      </c>
      <c r="S383" s="37">
        <f>'03_原始数据'!C383-0.63*'03_原始数据'!B383-OtherCost</f>
        <v/>
      </c>
      <c r="T383" s="37">
        <f>'03_原始数据'!C383-0.635*'03_原始数据'!B383-OtherCost</f>
        <v/>
      </c>
      <c r="U383" s="37">
        <f>'03_原始数据'!C383-0.64*'03_原始数据'!B383-OtherCost</f>
        <v/>
      </c>
      <c r="V383" s="37">
        <f>'03_原始数据'!C383-0.645*'03_原始数据'!B383-OtherCost</f>
        <v/>
      </c>
      <c r="W383" s="37">
        <f>'03_原始数据'!C383-0.65*'03_原始数据'!B383-OtherCost</f>
        <v/>
      </c>
      <c r="X383" s="37">
        <f>'03_原始数据'!C383-0.655*'03_原始数据'!B383-OtherCost</f>
        <v/>
      </c>
      <c r="Y383" s="37">
        <f>'03_原始数据'!C383-0.66*'03_原始数据'!B383-OtherCost</f>
        <v/>
      </c>
      <c r="Z383" s="37">
        <f>'03_原始数据'!C383-0.665*'03_原始数据'!B383-OtherCost</f>
        <v/>
      </c>
      <c r="AA383" s="37">
        <f>'03_原始数据'!C383-0.67*'03_原始数据'!B383-OtherCost</f>
        <v/>
      </c>
      <c r="AB383" s="37">
        <f>'03_原始数据'!C383-0.675*'03_原始数据'!B383-OtherCost</f>
        <v/>
      </c>
      <c r="AC383" s="37">
        <f>'03_原始数据'!C383-0.68*'03_原始数据'!B383-OtherCost</f>
        <v/>
      </c>
      <c r="AD383" s="37">
        <f>'03_原始数据'!C383-0.685*'03_原始数据'!B383-OtherCost</f>
        <v/>
      </c>
      <c r="AE383" s="37">
        <f>'03_原始数据'!C383-0.69*'03_原始数据'!B383-OtherCost</f>
        <v/>
      </c>
      <c r="AF383" s="37">
        <f>'03_原始数据'!C383-0.695*'03_原始数据'!B383-OtherCost</f>
        <v/>
      </c>
      <c r="AG383" s="37">
        <f>'03_原始数据'!C383-0.7*'03_原始数据'!B383-OtherCost</f>
        <v/>
      </c>
    </row>
    <row r="384">
      <c r="M384" s="37">
        <f>'03_原始数据'!C384-0.6*'03_原始数据'!B384-OtherCost</f>
        <v/>
      </c>
      <c r="N384" s="37">
        <f>'03_原始数据'!C384-0.605*'03_原始数据'!B384-OtherCost</f>
        <v/>
      </c>
      <c r="O384" s="37">
        <f>'03_原始数据'!C384-0.61*'03_原始数据'!B384-OtherCost</f>
        <v/>
      </c>
      <c r="P384" s="37">
        <f>'03_原始数据'!C384-0.615*'03_原始数据'!B384-OtherCost</f>
        <v/>
      </c>
      <c r="Q384" s="37">
        <f>'03_原始数据'!C384-0.62*'03_原始数据'!B384-OtherCost</f>
        <v/>
      </c>
      <c r="R384" s="37">
        <f>'03_原始数据'!C384-0.625*'03_原始数据'!B384-OtherCost</f>
        <v/>
      </c>
      <c r="S384" s="37">
        <f>'03_原始数据'!C384-0.63*'03_原始数据'!B384-OtherCost</f>
        <v/>
      </c>
      <c r="T384" s="37">
        <f>'03_原始数据'!C384-0.635*'03_原始数据'!B384-OtherCost</f>
        <v/>
      </c>
      <c r="U384" s="37">
        <f>'03_原始数据'!C384-0.64*'03_原始数据'!B384-OtherCost</f>
        <v/>
      </c>
      <c r="V384" s="37">
        <f>'03_原始数据'!C384-0.645*'03_原始数据'!B384-OtherCost</f>
        <v/>
      </c>
      <c r="W384" s="37">
        <f>'03_原始数据'!C384-0.65*'03_原始数据'!B384-OtherCost</f>
        <v/>
      </c>
      <c r="X384" s="37">
        <f>'03_原始数据'!C384-0.655*'03_原始数据'!B384-OtherCost</f>
        <v/>
      </c>
      <c r="Y384" s="37">
        <f>'03_原始数据'!C384-0.66*'03_原始数据'!B384-OtherCost</f>
        <v/>
      </c>
      <c r="Z384" s="37">
        <f>'03_原始数据'!C384-0.665*'03_原始数据'!B384-OtherCost</f>
        <v/>
      </c>
      <c r="AA384" s="37">
        <f>'03_原始数据'!C384-0.67*'03_原始数据'!B384-OtherCost</f>
        <v/>
      </c>
      <c r="AB384" s="37">
        <f>'03_原始数据'!C384-0.675*'03_原始数据'!B384-OtherCost</f>
        <v/>
      </c>
      <c r="AC384" s="37">
        <f>'03_原始数据'!C384-0.68*'03_原始数据'!B384-OtherCost</f>
        <v/>
      </c>
      <c r="AD384" s="37">
        <f>'03_原始数据'!C384-0.685*'03_原始数据'!B384-OtherCost</f>
        <v/>
      </c>
      <c r="AE384" s="37">
        <f>'03_原始数据'!C384-0.69*'03_原始数据'!B384-OtherCost</f>
        <v/>
      </c>
      <c r="AF384" s="37">
        <f>'03_原始数据'!C384-0.695*'03_原始数据'!B384-OtherCost</f>
        <v/>
      </c>
      <c r="AG384" s="37">
        <f>'03_原始数据'!C384-0.7*'03_原始数据'!B384-OtherCost</f>
        <v/>
      </c>
    </row>
    <row r="385">
      <c r="M385" s="37">
        <f>'03_原始数据'!C385-0.6*'03_原始数据'!B385-OtherCost</f>
        <v/>
      </c>
      <c r="N385" s="37">
        <f>'03_原始数据'!C385-0.605*'03_原始数据'!B385-OtherCost</f>
        <v/>
      </c>
      <c r="O385" s="37">
        <f>'03_原始数据'!C385-0.61*'03_原始数据'!B385-OtherCost</f>
        <v/>
      </c>
      <c r="P385" s="37">
        <f>'03_原始数据'!C385-0.615*'03_原始数据'!B385-OtherCost</f>
        <v/>
      </c>
      <c r="Q385" s="37">
        <f>'03_原始数据'!C385-0.62*'03_原始数据'!B385-OtherCost</f>
        <v/>
      </c>
      <c r="R385" s="37">
        <f>'03_原始数据'!C385-0.625*'03_原始数据'!B385-OtherCost</f>
        <v/>
      </c>
      <c r="S385" s="37">
        <f>'03_原始数据'!C385-0.63*'03_原始数据'!B385-OtherCost</f>
        <v/>
      </c>
      <c r="T385" s="37">
        <f>'03_原始数据'!C385-0.635*'03_原始数据'!B385-OtherCost</f>
        <v/>
      </c>
      <c r="U385" s="37">
        <f>'03_原始数据'!C385-0.64*'03_原始数据'!B385-OtherCost</f>
        <v/>
      </c>
      <c r="V385" s="37">
        <f>'03_原始数据'!C385-0.645*'03_原始数据'!B385-OtherCost</f>
        <v/>
      </c>
      <c r="W385" s="37">
        <f>'03_原始数据'!C385-0.65*'03_原始数据'!B385-OtherCost</f>
        <v/>
      </c>
      <c r="X385" s="37">
        <f>'03_原始数据'!C385-0.655*'03_原始数据'!B385-OtherCost</f>
        <v/>
      </c>
      <c r="Y385" s="37">
        <f>'03_原始数据'!C385-0.66*'03_原始数据'!B385-OtherCost</f>
        <v/>
      </c>
      <c r="Z385" s="37">
        <f>'03_原始数据'!C385-0.665*'03_原始数据'!B385-OtherCost</f>
        <v/>
      </c>
      <c r="AA385" s="37">
        <f>'03_原始数据'!C385-0.67*'03_原始数据'!B385-OtherCost</f>
        <v/>
      </c>
      <c r="AB385" s="37">
        <f>'03_原始数据'!C385-0.675*'03_原始数据'!B385-OtherCost</f>
        <v/>
      </c>
      <c r="AC385" s="37">
        <f>'03_原始数据'!C385-0.68*'03_原始数据'!B385-OtherCost</f>
        <v/>
      </c>
      <c r="AD385" s="37">
        <f>'03_原始数据'!C385-0.685*'03_原始数据'!B385-OtherCost</f>
        <v/>
      </c>
      <c r="AE385" s="37">
        <f>'03_原始数据'!C385-0.69*'03_原始数据'!B385-OtherCost</f>
        <v/>
      </c>
      <c r="AF385" s="37">
        <f>'03_原始数据'!C385-0.695*'03_原始数据'!B385-OtherCost</f>
        <v/>
      </c>
      <c r="AG385" s="37">
        <f>'03_原始数据'!C385-0.7*'03_原始数据'!B385-OtherCost</f>
        <v/>
      </c>
    </row>
    <row r="386">
      <c r="M386" s="37">
        <f>'03_原始数据'!C386-0.6*'03_原始数据'!B386-OtherCost</f>
        <v/>
      </c>
      <c r="N386" s="37">
        <f>'03_原始数据'!C386-0.605*'03_原始数据'!B386-OtherCost</f>
        <v/>
      </c>
      <c r="O386" s="37">
        <f>'03_原始数据'!C386-0.61*'03_原始数据'!B386-OtherCost</f>
        <v/>
      </c>
      <c r="P386" s="37">
        <f>'03_原始数据'!C386-0.615*'03_原始数据'!B386-OtherCost</f>
        <v/>
      </c>
      <c r="Q386" s="37">
        <f>'03_原始数据'!C386-0.62*'03_原始数据'!B386-OtherCost</f>
        <v/>
      </c>
      <c r="R386" s="37">
        <f>'03_原始数据'!C386-0.625*'03_原始数据'!B386-OtherCost</f>
        <v/>
      </c>
      <c r="S386" s="37">
        <f>'03_原始数据'!C386-0.63*'03_原始数据'!B386-OtherCost</f>
        <v/>
      </c>
      <c r="T386" s="37">
        <f>'03_原始数据'!C386-0.635*'03_原始数据'!B386-OtherCost</f>
        <v/>
      </c>
      <c r="U386" s="37">
        <f>'03_原始数据'!C386-0.64*'03_原始数据'!B386-OtherCost</f>
        <v/>
      </c>
      <c r="V386" s="37">
        <f>'03_原始数据'!C386-0.645*'03_原始数据'!B386-OtherCost</f>
        <v/>
      </c>
      <c r="W386" s="37">
        <f>'03_原始数据'!C386-0.65*'03_原始数据'!B386-OtherCost</f>
        <v/>
      </c>
      <c r="X386" s="37">
        <f>'03_原始数据'!C386-0.655*'03_原始数据'!B386-OtherCost</f>
        <v/>
      </c>
      <c r="Y386" s="37">
        <f>'03_原始数据'!C386-0.66*'03_原始数据'!B386-OtherCost</f>
        <v/>
      </c>
      <c r="Z386" s="37">
        <f>'03_原始数据'!C386-0.665*'03_原始数据'!B386-OtherCost</f>
        <v/>
      </c>
      <c r="AA386" s="37">
        <f>'03_原始数据'!C386-0.67*'03_原始数据'!B386-OtherCost</f>
        <v/>
      </c>
      <c r="AB386" s="37">
        <f>'03_原始数据'!C386-0.675*'03_原始数据'!B386-OtherCost</f>
        <v/>
      </c>
      <c r="AC386" s="37">
        <f>'03_原始数据'!C386-0.68*'03_原始数据'!B386-OtherCost</f>
        <v/>
      </c>
      <c r="AD386" s="37">
        <f>'03_原始数据'!C386-0.685*'03_原始数据'!B386-OtherCost</f>
        <v/>
      </c>
      <c r="AE386" s="37">
        <f>'03_原始数据'!C386-0.69*'03_原始数据'!B386-OtherCost</f>
        <v/>
      </c>
      <c r="AF386" s="37">
        <f>'03_原始数据'!C386-0.695*'03_原始数据'!B386-OtherCost</f>
        <v/>
      </c>
      <c r="AG386" s="37">
        <f>'03_原始数据'!C386-0.7*'03_原始数据'!B386-OtherCost</f>
        <v/>
      </c>
    </row>
    <row r="387">
      <c r="M387" s="37">
        <f>'03_原始数据'!C387-0.6*'03_原始数据'!B387-OtherCost</f>
        <v/>
      </c>
      <c r="N387" s="37">
        <f>'03_原始数据'!C387-0.605*'03_原始数据'!B387-OtherCost</f>
        <v/>
      </c>
      <c r="O387" s="37">
        <f>'03_原始数据'!C387-0.61*'03_原始数据'!B387-OtherCost</f>
        <v/>
      </c>
      <c r="P387" s="37">
        <f>'03_原始数据'!C387-0.615*'03_原始数据'!B387-OtherCost</f>
        <v/>
      </c>
      <c r="Q387" s="37">
        <f>'03_原始数据'!C387-0.62*'03_原始数据'!B387-OtherCost</f>
        <v/>
      </c>
      <c r="R387" s="37">
        <f>'03_原始数据'!C387-0.625*'03_原始数据'!B387-OtherCost</f>
        <v/>
      </c>
      <c r="S387" s="37">
        <f>'03_原始数据'!C387-0.63*'03_原始数据'!B387-OtherCost</f>
        <v/>
      </c>
      <c r="T387" s="37">
        <f>'03_原始数据'!C387-0.635*'03_原始数据'!B387-OtherCost</f>
        <v/>
      </c>
      <c r="U387" s="37">
        <f>'03_原始数据'!C387-0.64*'03_原始数据'!B387-OtherCost</f>
        <v/>
      </c>
      <c r="V387" s="37">
        <f>'03_原始数据'!C387-0.645*'03_原始数据'!B387-OtherCost</f>
        <v/>
      </c>
      <c r="W387" s="37">
        <f>'03_原始数据'!C387-0.65*'03_原始数据'!B387-OtherCost</f>
        <v/>
      </c>
      <c r="X387" s="37">
        <f>'03_原始数据'!C387-0.655*'03_原始数据'!B387-OtherCost</f>
        <v/>
      </c>
      <c r="Y387" s="37">
        <f>'03_原始数据'!C387-0.66*'03_原始数据'!B387-OtherCost</f>
        <v/>
      </c>
      <c r="Z387" s="37">
        <f>'03_原始数据'!C387-0.665*'03_原始数据'!B387-OtherCost</f>
        <v/>
      </c>
      <c r="AA387" s="37">
        <f>'03_原始数据'!C387-0.67*'03_原始数据'!B387-OtherCost</f>
        <v/>
      </c>
      <c r="AB387" s="37">
        <f>'03_原始数据'!C387-0.675*'03_原始数据'!B387-OtherCost</f>
        <v/>
      </c>
      <c r="AC387" s="37">
        <f>'03_原始数据'!C387-0.68*'03_原始数据'!B387-OtherCost</f>
        <v/>
      </c>
      <c r="AD387" s="37">
        <f>'03_原始数据'!C387-0.685*'03_原始数据'!B387-OtherCost</f>
        <v/>
      </c>
      <c r="AE387" s="37">
        <f>'03_原始数据'!C387-0.69*'03_原始数据'!B387-OtherCost</f>
        <v/>
      </c>
      <c r="AF387" s="37">
        <f>'03_原始数据'!C387-0.695*'03_原始数据'!B387-OtherCost</f>
        <v/>
      </c>
      <c r="AG387" s="37">
        <f>'03_原始数据'!C387-0.7*'03_原始数据'!B387-OtherCost</f>
        <v/>
      </c>
    </row>
    <row r="388">
      <c r="M388" s="37">
        <f>'03_原始数据'!C388-0.6*'03_原始数据'!B388-OtherCost</f>
        <v/>
      </c>
      <c r="N388" s="37">
        <f>'03_原始数据'!C388-0.605*'03_原始数据'!B388-OtherCost</f>
        <v/>
      </c>
      <c r="O388" s="37">
        <f>'03_原始数据'!C388-0.61*'03_原始数据'!B388-OtherCost</f>
        <v/>
      </c>
      <c r="P388" s="37">
        <f>'03_原始数据'!C388-0.615*'03_原始数据'!B388-OtherCost</f>
        <v/>
      </c>
      <c r="Q388" s="37">
        <f>'03_原始数据'!C388-0.62*'03_原始数据'!B388-OtherCost</f>
        <v/>
      </c>
      <c r="R388" s="37">
        <f>'03_原始数据'!C388-0.625*'03_原始数据'!B388-OtherCost</f>
        <v/>
      </c>
      <c r="S388" s="37">
        <f>'03_原始数据'!C388-0.63*'03_原始数据'!B388-OtherCost</f>
        <v/>
      </c>
      <c r="T388" s="37">
        <f>'03_原始数据'!C388-0.635*'03_原始数据'!B388-OtherCost</f>
        <v/>
      </c>
      <c r="U388" s="37">
        <f>'03_原始数据'!C388-0.64*'03_原始数据'!B388-OtherCost</f>
        <v/>
      </c>
      <c r="V388" s="37">
        <f>'03_原始数据'!C388-0.645*'03_原始数据'!B388-OtherCost</f>
        <v/>
      </c>
      <c r="W388" s="37">
        <f>'03_原始数据'!C388-0.65*'03_原始数据'!B388-OtherCost</f>
        <v/>
      </c>
      <c r="X388" s="37">
        <f>'03_原始数据'!C388-0.655*'03_原始数据'!B388-OtherCost</f>
        <v/>
      </c>
      <c r="Y388" s="37">
        <f>'03_原始数据'!C388-0.66*'03_原始数据'!B388-OtherCost</f>
        <v/>
      </c>
      <c r="Z388" s="37">
        <f>'03_原始数据'!C388-0.665*'03_原始数据'!B388-OtherCost</f>
        <v/>
      </c>
      <c r="AA388" s="37">
        <f>'03_原始数据'!C388-0.67*'03_原始数据'!B388-OtherCost</f>
        <v/>
      </c>
      <c r="AB388" s="37">
        <f>'03_原始数据'!C388-0.675*'03_原始数据'!B388-OtherCost</f>
        <v/>
      </c>
      <c r="AC388" s="37">
        <f>'03_原始数据'!C388-0.68*'03_原始数据'!B388-OtherCost</f>
        <v/>
      </c>
      <c r="AD388" s="37">
        <f>'03_原始数据'!C388-0.685*'03_原始数据'!B388-OtherCost</f>
        <v/>
      </c>
      <c r="AE388" s="37">
        <f>'03_原始数据'!C388-0.69*'03_原始数据'!B388-OtherCost</f>
        <v/>
      </c>
      <c r="AF388" s="37">
        <f>'03_原始数据'!C388-0.695*'03_原始数据'!B388-OtherCost</f>
        <v/>
      </c>
      <c r="AG388" s="37">
        <f>'03_原始数据'!C388-0.7*'03_原始数据'!B388-OtherCost</f>
        <v/>
      </c>
    </row>
    <row r="389">
      <c r="M389" s="37">
        <f>'03_原始数据'!C389-0.6*'03_原始数据'!B389-OtherCost</f>
        <v/>
      </c>
      <c r="N389" s="37">
        <f>'03_原始数据'!C389-0.605*'03_原始数据'!B389-OtherCost</f>
        <v/>
      </c>
      <c r="O389" s="37">
        <f>'03_原始数据'!C389-0.61*'03_原始数据'!B389-OtherCost</f>
        <v/>
      </c>
      <c r="P389" s="37">
        <f>'03_原始数据'!C389-0.615*'03_原始数据'!B389-OtherCost</f>
        <v/>
      </c>
      <c r="Q389" s="37">
        <f>'03_原始数据'!C389-0.62*'03_原始数据'!B389-OtherCost</f>
        <v/>
      </c>
      <c r="R389" s="37">
        <f>'03_原始数据'!C389-0.625*'03_原始数据'!B389-OtherCost</f>
        <v/>
      </c>
      <c r="S389" s="37">
        <f>'03_原始数据'!C389-0.63*'03_原始数据'!B389-OtherCost</f>
        <v/>
      </c>
      <c r="T389" s="37">
        <f>'03_原始数据'!C389-0.635*'03_原始数据'!B389-OtherCost</f>
        <v/>
      </c>
      <c r="U389" s="37">
        <f>'03_原始数据'!C389-0.64*'03_原始数据'!B389-OtherCost</f>
        <v/>
      </c>
      <c r="V389" s="37">
        <f>'03_原始数据'!C389-0.645*'03_原始数据'!B389-OtherCost</f>
        <v/>
      </c>
      <c r="W389" s="37">
        <f>'03_原始数据'!C389-0.65*'03_原始数据'!B389-OtherCost</f>
        <v/>
      </c>
      <c r="X389" s="37">
        <f>'03_原始数据'!C389-0.655*'03_原始数据'!B389-OtherCost</f>
        <v/>
      </c>
      <c r="Y389" s="37">
        <f>'03_原始数据'!C389-0.66*'03_原始数据'!B389-OtherCost</f>
        <v/>
      </c>
      <c r="Z389" s="37">
        <f>'03_原始数据'!C389-0.665*'03_原始数据'!B389-OtherCost</f>
        <v/>
      </c>
      <c r="AA389" s="37">
        <f>'03_原始数据'!C389-0.67*'03_原始数据'!B389-OtherCost</f>
        <v/>
      </c>
      <c r="AB389" s="37">
        <f>'03_原始数据'!C389-0.675*'03_原始数据'!B389-OtherCost</f>
        <v/>
      </c>
      <c r="AC389" s="37">
        <f>'03_原始数据'!C389-0.68*'03_原始数据'!B389-OtherCost</f>
        <v/>
      </c>
      <c r="AD389" s="37">
        <f>'03_原始数据'!C389-0.685*'03_原始数据'!B389-OtherCost</f>
        <v/>
      </c>
      <c r="AE389" s="37">
        <f>'03_原始数据'!C389-0.69*'03_原始数据'!B389-OtherCost</f>
        <v/>
      </c>
      <c r="AF389" s="37">
        <f>'03_原始数据'!C389-0.695*'03_原始数据'!B389-OtherCost</f>
        <v/>
      </c>
      <c r="AG389" s="37">
        <f>'03_原始数据'!C389-0.7*'03_原始数据'!B389-OtherCost</f>
        <v/>
      </c>
    </row>
    <row r="390">
      <c r="M390" s="37">
        <f>'03_原始数据'!C390-0.6*'03_原始数据'!B390-OtherCost</f>
        <v/>
      </c>
      <c r="N390" s="37">
        <f>'03_原始数据'!C390-0.605*'03_原始数据'!B390-OtherCost</f>
        <v/>
      </c>
      <c r="O390" s="37">
        <f>'03_原始数据'!C390-0.61*'03_原始数据'!B390-OtherCost</f>
        <v/>
      </c>
      <c r="P390" s="37">
        <f>'03_原始数据'!C390-0.615*'03_原始数据'!B390-OtherCost</f>
        <v/>
      </c>
      <c r="Q390" s="37">
        <f>'03_原始数据'!C390-0.62*'03_原始数据'!B390-OtherCost</f>
        <v/>
      </c>
      <c r="R390" s="37">
        <f>'03_原始数据'!C390-0.625*'03_原始数据'!B390-OtherCost</f>
        <v/>
      </c>
      <c r="S390" s="37">
        <f>'03_原始数据'!C390-0.63*'03_原始数据'!B390-OtherCost</f>
        <v/>
      </c>
      <c r="T390" s="37">
        <f>'03_原始数据'!C390-0.635*'03_原始数据'!B390-OtherCost</f>
        <v/>
      </c>
      <c r="U390" s="37">
        <f>'03_原始数据'!C390-0.64*'03_原始数据'!B390-OtherCost</f>
        <v/>
      </c>
      <c r="V390" s="37">
        <f>'03_原始数据'!C390-0.645*'03_原始数据'!B390-OtherCost</f>
        <v/>
      </c>
      <c r="W390" s="37">
        <f>'03_原始数据'!C390-0.65*'03_原始数据'!B390-OtherCost</f>
        <v/>
      </c>
      <c r="X390" s="37">
        <f>'03_原始数据'!C390-0.655*'03_原始数据'!B390-OtherCost</f>
        <v/>
      </c>
      <c r="Y390" s="37">
        <f>'03_原始数据'!C390-0.66*'03_原始数据'!B390-OtherCost</f>
        <v/>
      </c>
      <c r="Z390" s="37">
        <f>'03_原始数据'!C390-0.665*'03_原始数据'!B390-OtherCost</f>
        <v/>
      </c>
      <c r="AA390" s="37">
        <f>'03_原始数据'!C390-0.67*'03_原始数据'!B390-OtherCost</f>
        <v/>
      </c>
      <c r="AB390" s="37">
        <f>'03_原始数据'!C390-0.675*'03_原始数据'!B390-OtherCost</f>
        <v/>
      </c>
      <c r="AC390" s="37">
        <f>'03_原始数据'!C390-0.68*'03_原始数据'!B390-OtherCost</f>
        <v/>
      </c>
      <c r="AD390" s="37">
        <f>'03_原始数据'!C390-0.685*'03_原始数据'!B390-OtherCost</f>
        <v/>
      </c>
      <c r="AE390" s="37">
        <f>'03_原始数据'!C390-0.69*'03_原始数据'!B390-OtherCost</f>
        <v/>
      </c>
      <c r="AF390" s="37">
        <f>'03_原始数据'!C390-0.695*'03_原始数据'!B390-OtherCost</f>
        <v/>
      </c>
      <c r="AG390" s="37">
        <f>'03_原始数据'!C390-0.7*'03_原始数据'!B390-OtherCost</f>
        <v/>
      </c>
    </row>
    <row r="391">
      <c r="M391" s="37">
        <f>'03_原始数据'!C391-0.6*'03_原始数据'!B391-OtherCost</f>
        <v/>
      </c>
      <c r="N391" s="37">
        <f>'03_原始数据'!C391-0.605*'03_原始数据'!B391-OtherCost</f>
        <v/>
      </c>
      <c r="O391" s="37">
        <f>'03_原始数据'!C391-0.61*'03_原始数据'!B391-OtherCost</f>
        <v/>
      </c>
      <c r="P391" s="37">
        <f>'03_原始数据'!C391-0.615*'03_原始数据'!B391-OtherCost</f>
        <v/>
      </c>
      <c r="Q391" s="37">
        <f>'03_原始数据'!C391-0.62*'03_原始数据'!B391-OtherCost</f>
        <v/>
      </c>
      <c r="R391" s="37">
        <f>'03_原始数据'!C391-0.625*'03_原始数据'!B391-OtherCost</f>
        <v/>
      </c>
      <c r="S391" s="37">
        <f>'03_原始数据'!C391-0.63*'03_原始数据'!B391-OtherCost</f>
        <v/>
      </c>
      <c r="T391" s="37">
        <f>'03_原始数据'!C391-0.635*'03_原始数据'!B391-OtherCost</f>
        <v/>
      </c>
      <c r="U391" s="37">
        <f>'03_原始数据'!C391-0.64*'03_原始数据'!B391-OtherCost</f>
        <v/>
      </c>
      <c r="V391" s="37">
        <f>'03_原始数据'!C391-0.645*'03_原始数据'!B391-OtherCost</f>
        <v/>
      </c>
      <c r="W391" s="37">
        <f>'03_原始数据'!C391-0.65*'03_原始数据'!B391-OtherCost</f>
        <v/>
      </c>
      <c r="X391" s="37">
        <f>'03_原始数据'!C391-0.655*'03_原始数据'!B391-OtherCost</f>
        <v/>
      </c>
      <c r="Y391" s="37">
        <f>'03_原始数据'!C391-0.66*'03_原始数据'!B391-OtherCost</f>
        <v/>
      </c>
      <c r="Z391" s="37">
        <f>'03_原始数据'!C391-0.665*'03_原始数据'!B391-OtherCost</f>
        <v/>
      </c>
      <c r="AA391" s="37">
        <f>'03_原始数据'!C391-0.67*'03_原始数据'!B391-OtherCost</f>
        <v/>
      </c>
      <c r="AB391" s="37">
        <f>'03_原始数据'!C391-0.675*'03_原始数据'!B391-OtherCost</f>
        <v/>
      </c>
      <c r="AC391" s="37">
        <f>'03_原始数据'!C391-0.68*'03_原始数据'!B391-OtherCost</f>
        <v/>
      </c>
      <c r="AD391" s="37">
        <f>'03_原始数据'!C391-0.685*'03_原始数据'!B391-OtherCost</f>
        <v/>
      </c>
      <c r="AE391" s="37">
        <f>'03_原始数据'!C391-0.69*'03_原始数据'!B391-OtherCost</f>
        <v/>
      </c>
      <c r="AF391" s="37">
        <f>'03_原始数据'!C391-0.695*'03_原始数据'!B391-OtherCost</f>
        <v/>
      </c>
      <c r="AG391" s="37">
        <f>'03_原始数据'!C391-0.7*'03_原始数据'!B391-OtherCost</f>
        <v/>
      </c>
    </row>
    <row r="392">
      <c r="M392" s="37">
        <f>'03_原始数据'!C392-0.6*'03_原始数据'!B392-OtherCost</f>
        <v/>
      </c>
      <c r="N392" s="37">
        <f>'03_原始数据'!C392-0.605*'03_原始数据'!B392-OtherCost</f>
        <v/>
      </c>
      <c r="O392" s="37">
        <f>'03_原始数据'!C392-0.61*'03_原始数据'!B392-OtherCost</f>
        <v/>
      </c>
      <c r="P392" s="37">
        <f>'03_原始数据'!C392-0.615*'03_原始数据'!B392-OtherCost</f>
        <v/>
      </c>
      <c r="Q392" s="37">
        <f>'03_原始数据'!C392-0.62*'03_原始数据'!B392-OtherCost</f>
        <v/>
      </c>
      <c r="R392" s="37">
        <f>'03_原始数据'!C392-0.625*'03_原始数据'!B392-OtherCost</f>
        <v/>
      </c>
      <c r="S392" s="37">
        <f>'03_原始数据'!C392-0.63*'03_原始数据'!B392-OtherCost</f>
        <v/>
      </c>
      <c r="T392" s="37">
        <f>'03_原始数据'!C392-0.635*'03_原始数据'!B392-OtherCost</f>
        <v/>
      </c>
      <c r="U392" s="37">
        <f>'03_原始数据'!C392-0.64*'03_原始数据'!B392-OtherCost</f>
        <v/>
      </c>
      <c r="V392" s="37">
        <f>'03_原始数据'!C392-0.645*'03_原始数据'!B392-OtherCost</f>
        <v/>
      </c>
      <c r="W392" s="37">
        <f>'03_原始数据'!C392-0.65*'03_原始数据'!B392-OtherCost</f>
        <v/>
      </c>
      <c r="X392" s="37">
        <f>'03_原始数据'!C392-0.655*'03_原始数据'!B392-OtherCost</f>
        <v/>
      </c>
      <c r="Y392" s="37">
        <f>'03_原始数据'!C392-0.66*'03_原始数据'!B392-OtherCost</f>
        <v/>
      </c>
      <c r="Z392" s="37">
        <f>'03_原始数据'!C392-0.665*'03_原始数据'!B392-OtherCost</f>
        <v/>
      </c>
      <c r="AA392" s="37">
        <f>'03_原始数据'!C392-0.67*'03_原始数据'!B392-OtherCost</f>
        <v/>
      </c>
      <c r="AB392" s="37">
        <f>'03_原始数据'!C392-0.675*'03_原始数据'!B392-OtherCost</f>
        <v/>
      </c>
      <c r="AC392" s="37">
        <f>'03_原始数据'!C392-0.68*'03_原始数据'!B392-OtherCost</f>
        <v/>
      </c>
      <c r="AD392" s="37">
        <f>'03_原始数据'!C392-0.685*'03_原始数据'!B392-OtherCost</f>
        <v/>
      </c>
      <c r="AE392" s="37">
        <f>'03_原始数据'!C392-0.69*'03_原始数据'!B392-OtherCost</f>
        <v/>
      </c>
      <c r="AF392" s="37">
        <f>'03_原始数据'!C392-0.695*'03_原始数据'!B392-OtherCost</f>
        <v/>
      </c>
      <c r="AG392" s="37">
        <f>'03_原始数据'!C392-0.7*'03_原始数据'!B392-OtherCost</f>
        <v/>
      </c>
    </row>
    <row r="393">
      <c r="M393" s="37">
        <f>'03_原始数据'!C393-0.6*'03_原始数据'!B393-OtherCost</f>
        <v/>
      </c>
      <c r="N393" s="37">
        <f>'03_原始数据'!C393-0.605*'03_原始数据'!B393-OtherCost</f>
        <v/>
      </c>
      <c r="O393" s="37">
        <f>'03_原始数据'!C393-0.61*'03_原始数据'!B393-OtherCost</f>
        <v/>
      </c>
      <c r="P393" s="37">
        <f>'03_原始数据'!C393-0.615*'03_原始数据'!B393-OtherCost</f>
        <v/>
      </c>
      <c r="Q393" s="37">
        <f>'03_原始数据'!C393-0.62*'03_原始数据'!B393-OtherCost</f>
        <v/>
      </c>
      <c r="R393" s="37">
        <f>'03_原始数据'!C393-0.625*'03_原始数据'!B393-OtherCost</f>
        <v/>
      </c>
      <c r="S393" s="37">
        <f>'03_原始数据'!C393-0.63*'03_原始数据'!B393-OtherCost</f>
        <v/>
      </c>
      <c r="T393" s="37">
        <f>'03_原始数据'!C393-0.635*'03_原始数据'!B393-OtherCost</f>
        <v/>
      </c>
      <c r="U393" s="37">
        <f>'03_原始数据'!C393-0.64*'03_原始数据'!B393-OtherCost</f>
        <v/>
      </c>
      <c r="V393" s="37">
        <f>'03_原始数据'!C393-0.645*'03_原始数据'!B393-OtherCost</f>
        <v/>
      </c>
      <c r="W393" s="37">
        <f>'03_原始数据'!C393-0.65*'03_原始数据'!B393-OtherCost</f>
        <v/>
      </c>
      <c r="X393" s="37">
        <f>'03_原始数据'!C393-0.655*'03_原始数据'!B393-OtherCost</f>
        <v/>
      </c>
      <c r="Y393" s="37">
        <f>'03_原始数据'!C393-0.66*'03_原始数据'!B393-OtherCost</f>
        <v/>
      </c>
      <c r="Z393" s="37">
        <f>'03_原始数据'!C393-0.665*'03_原始数据'!B393-OtherCost</f>
        <v/>
      </c>
      <c r="AA393" s="37">
        <f>'03_原始数据'!C393-0.67*'03_原始数据'!B393-OtherCost</f>
        <v/>
      </c>
      <c r="AB393" s="37">
        <f>'03_原始数据'!C393-0.675*'03_原始数据'!B393-OtherCost</f>
        <v/>
      </c>
      <c r="AC393" s="37">
        <f>'03_原始数据'!C393-0.68*'03_原始数据'!B393-OtherCost</f>
        <v/>
      </c>
      <c r="AD393" s="37">
        <f>'03_原始数据'!C393-0.685*'03_原始数据'!B393-OtherCost</f>
        <v/>
      </c>
      <c r="AE393" s="37">
        <f>'03_原始数据'!C393-0.69*'03_原始数据'!B393-OtherCost</f>
        <v/>
      </c>
      <c r="AF393" s="37">
        <f>'03_原始数据'!C393-0.695*'03_原始数据'!B393-OtherCost</f>
        <v/>
      </c>
      <c r="AG393" s="37">
        <f>'03_原始数据'!C393-0.7*'03_原始数据'!B393-OtherCost</f>
        <v/>
      </c>
    </row>
    <row r="394">
      <c r="M394" s="37">
        <f>'03_原始数据'!C394-0.6*'03_原始数据'!B394-OtherCost</f>
        <v/>
      </c>
      <c r="N394" s="37">
        <f>'03_原始数据'!C394-0.605*'03_原始数据'!B394-OtherCost</f>
        <v/>
      </c>
      <c r="O394" s="37">
        <f>'03_原始数据'!C394-0.61*'03_原始数据'!B394-OtherCost</f>
        <v/>
      </c>
      <c r="P394" s="37">
        <f>'03_原始数据'!C394-0.615*'03_原始数据'!B394-OtherCost</f>
        <v/>
      </c>
      <c r="Q394" s="37">
        <f>'03_原始数据'!C394-0.62*'03_原始数据'!B394-OtherCost</f>
        <v/>
      </c>
      <c r="R394" s="37">
        <f>'03_原始数据'!C394-0.625*'03_原始数据'!B394-OtherCost</f>
        <v/>
      </c>
      <c r="S394" s="37">
        <f>'03_原始数据'!C394-0.63*'03_原始数据'!B394-OtherCost</f>
        <v/>
      </c>
      <c r="T394" s="37">
        <f>'03_原始数据'!C394-0.635*'03_原始数据'!B394-OtherCost</f>
        <v/>
      </c>
      <c r="U394" s="37">
        <f>'03_原始数据'!C394-0.64*'03_原始数据'!B394-OtherCost</f>
        <v/>
      </c>
      <c r="V394" s="37">
        <f>'03_原始数据'!C394-0.645*'03_原始数据'!B394-OtherCost</f>
        <v/>
      </c>
      <c r="W394" s="37">
        <f>'03_原始数据'!C394-0.65*'03_原始数据'!B394-OtherCost</f>
        <v/>
      </c>
      <c r="X394" s="37">
        <f>'03_原始数据'!C394-0.655*'03_原始数据'!B394-OtherCost</f>
        <v/>
      </c>
      <c r="Y394" s="37">
        <f>'03_原始数据'!C394-0.66*'03_原始数据'!B394-OtherCost</f>
        <v/>
      </c>
      <c r="Z394" s="37">
        <f>'03_原始数据'!C394-0.665*'03_原始数据'!B394-OtherCost</f>
        <v/>
      </c>
      <c r="AA394" s="37">
        <f>'03_原始数据'!C394-0.67*'03_原始数据'!B394-OtherCost</f>
        <v/>
      </c>
      <c r="AB394" s="37">
        <f>'03_原始数据'!C394-0.675*'03_原始数据'!B394-OtherCost</f>
        <v/>
      </c>
      <c r="AC394" s="37">
        <f>'03_原始数据'!C394-0.68*'03_原始数据'!B394-OtherCost</f>
        <v/>
      </c>
      <c r="AD394" s="37">
        <f>'03_原始数据'!C394-0.685*'03_原始数据'!B394-OtherCost</f>
        <v/>
      </c>
      <c r="AE394" s="37">
        <f>'03_原始数据'!C394-0.69*'03_原始数据'!B394-OtherCost</f>
        <v/>
      </c>
      <c r="AF394" s="37">
        <f>'03_原始数据'!C394-0.695*'03_原始数据'!B394-OtherCost</f>
        <v/>
      </c>
      <c r="AG394" s="37">
        <f>'03_原始数据'!C394-0.7*'03_原始数据'!B394-OtherCost</f>
        <v/>
      </c>
    </row>
    <row r="395">
      <c r="M395" s="37">
        <f>'03_原始数据'!C395-0.6*'03_原始数据'!B395-OtherCost</f>
        <v/>
      </c>
      <c r="N395" s="37">
        <f>'03_原始数据'!C395-0.605*'03_原始数据'!B395-OtherCost</f>
        <v/>
      </c>
      <c r="O395" s="37">
        <f>'03_原始数据'!C395-0.61*'03_原始数据'!B395-OtherCost</f>
        <v/>
      </c>
      <c r="P395" s="37">
        <f>'03_原始数据'!C395-0.615*'03_原始数据'!B395-OtherCost</f>
        <v/>
      </c>
      <c r="Q395" s="37">
        <f>'03_原始数据'!C395-0.62*'03_原始数据'!B395-OtherCost</f>
        <v/>
      </c>
      <c r="R395" s="37">
        <f>'03_原始数据'!C395-0.625*'03_原始数据'!B395-OtherCost</f>
        <v/>
      </c>
      <c r="S395" s="37">
        <f>'03_原始数据'!C395-0.63*'03_原始数据'!B395-OtherCost</f>
        <v/>
      </c>
      <c r="T395" s="37">
        <f>'03_原始数据'!C395-0.635*'03_原始数据'!B395-OtherCost</f>
        <v/>
      </c>
      <c r="U395" s="37">
        <f>'03_原始数据'!C395-0.64*'03_原始数据'!B395-OtherCost</f>
        <v/>
      </c>
      <c r="V395" s="37">
        <f>'03_原始数据'!C395-0.645*'03_原始数据'!B395-OtherCost</f>
        <v/>
      </c>
      <c r="W395" s="37">
        <f>'03_原始数据'!C395-0.65*'03_原始数据'!B395-OtherCost</f>
        <v/>
      </c>
      <c r="X395" s="37">
        <f>'03_原始数据'!C395-0.655*'03_原始数据'!B395-OtherCost</f>
        <v/>
      </c>
      <c r="Y395" s="37">
        <f>'03_原始数据'!C395-0.66*'03_原始数据'!B395-OtherCost</f>
        <v/>
      </c>
      <c r="Z395" s="37">
        <f>'03_原始数据'!C395-0.665*'03_原始数据'!B395-OtherCost</f>
        <v/>
      </c>
      <c r="AA395" s="37">
        <f>'03_原始数据'!C395-0.67*'03_原始数据'!B395-OtherCost</f>
        <v/>
      </c>
      <c r="AB395" s="37">
        <f>'03_原始数据'!C395-0.675*'03_原始数据'!B395-OtherCost</f>
        <v/>
      </c>
      <c r="AC395" s="37">
        <f>'03_原始数据'!C395-0.68*'03_原始数据'!B395-OtherCost</f>
        <v/>
      </c>
      <c r="AD395" s="37">
        <f>'03_原始数据'!C395-0.685*'03_原始数据'!B395-OtherCost</f>
        <v/>
      </c>
      <c r="AE395" s="37">
        <f>'03_原始数据'!C395-0.69*'03_原始数据'!B395-OtherCost</f>
        <v/>
      </c>
      <c r="AF395" s="37">
        <f>'03_原始数据'!C395-0.695*'03_原始数据'!B395-OtherCost</f>
        <v/>
      </c>
      <c r="AG395" s="37">
        <f>'03_原始数据'!C395-0.7*'03_原始数据'!B395-OtherCost</f>
        <v/>
      </c>
    </row>
    <row r="396">
      <c r="M396" s="37">
        <f>'03_原始数据'!C396-0.6*'03_原始数据'!B396-OtherCost</f>
        <v/>
      </c>
      <c r="N396" s="37">
        <f>'03_原始数据'!C396-0.605*'03_原始数据'!B396-OtherCost</f>
        <v/>
      </c>
      <c r="O396" s="37">
        <f>'03_原始数据'!C396-0.61*'03_原始数据'!B396-OtherCost</f>
        <v/>
      </c>
      <c r="P396" s="37">
        <f>'03_原始数据'!C396-0.615*'03_原始数据'!B396-OtherCost</f>
        <v/>
      </c>
      <c r="Q396" s="37">
        <f>'03_原始数据'!C396-0.62*'03_原始数据'!B396-OtherCost</f>
        <v/>
      </c>
      <c r="R396" s="37">
        <f>'03_原始数据'!C396-0.625*'03_原始数据'!B396-OtherCost</f>
        <v/>
      </c>
      <c r="S396" s="37">
        <f>'03_原始数据'!C396-0.63*'03_原始数据'!B396-OtherCost</f>
        <v/>
      </c>
      <c r="T396" s="37">
        <f>'03_原始数据'!C396-0.635*'03_原始数据'!B396-OtherCost</f>
        <v/>
      </c>
      <c r="U396" s="37">
        <f>'03_原始数据'!C396-0.64*'03_原始数据'!B396-OtherCost</f>
        <v/>
      </c>
      <c r="V396" s="37">
        <f>'03_原始数据'!C396-0.645*'03_原始数据'!B396-OtherCost</f>
        <v/>
      </c>
      <c r="W396" s="37">
        <f>'03_原始数据'!C396-0.65*'03_原始数据'!B396-OtherCost</f>
        <v/>
      </c>
      <c r="X396" s="37">
        <f>'03_原始数据'!C396-0.655*'03_原始数据'!B396-OtherCost</f>
        <v/>
      </c>
      <c r="Y396" s="37">
        <f>'03_原始数据'!C396-0.66*'03_原始数据'!B396-OtherCost</f>
        <v/>
      </c>
      <c r="Z396" s="37">
        <f>'03_原始数据'!C396-0.665*'03_原始数据'!B396-OtherCost</f>
        <v/>
      </c>
      <c r="AA396" s="37">
        <f>'03_原始数据'!C396-0.67*'03_原始数据'!B396-OtherCost</f>
        <v/>
      </c>
      <c r="AB396" s="37">
        <f>'03_原始数据'!C396-0.675*'03_原始数据'!B396-OtherCost</f>
        <v/>
      </c>
      <c r="AC396" s="37">
        <f>'03_原始数据'!C396-0.68*'03_原始数据'!B396-OtherCost</f>
        <v/>
      </c>
      <c r="AD396" s="37">
        <f>'03_原始数据'!C396-0.685*'03_原始数据'!B396-OtherCost</f>
        <v/>
      </c>
      <c r="AE396" s="37">
        <f>'03_原始数据'!C396-0.69*'03_原始数据'!B396-OtherCost</f>
        <v/>
      </c>
      <c r="AF396" s="37">
        <f>'03_原始数据'!C396-0.695*'03_原始数据'!B396-OtherCost</f>
        <v/>
      </c>
      <c r="AG396" s="37">
        <f>'03_原始数据'!C396-0.7*'03_原始数据'!B396-OtherCost</f>
        <v/>
      </c>
    </row>
    <row r="397">
      <c r="M397" s="37">
        <f>'03_原始数据'!C397-0.6*'03_原始数据'!B397-OtherCost</f>
        <v/>
      </c>
      <c r="N397" s="37">
        <f>'03_原始数据'!C397-0.605*'03_原始数据'!B397-OtherCost</f>
        <v/>
      </c>
      <c r="O397" s="37">
        <f>'03_原始数据'!C397-0.61*'03_原始数据'!B397-OtherCost</f>
        <v/>
      </c>
      <c r="P397" s="37">
        <f>'03_原始数据'!C397-0.615*'03_原始数据'!B397-OtherCost</f>
        <v/>
      </c>
      <c r="Q397" s="37">
        <f>'03_原始数据'!C397-0.62*'03_原始数据'!B397-OtherCost</f>
        <v/>
      </c>
      <c r="R397" s="37">
        <f>'03_原始数据'!C397-0.625*'03_原始数据'!B397-OtherCost</f>
        <v/>
      </c>
      <c r="S397" s="37">
        <f>'03_原始数据'!C397-0.63*'03_原始数据'!B397-OtherCost</f>
        <v/>
      </c>
      <c r="T397" s="37">
        <f>'03_原始数据'!C397-0.635*'03_原始数据'!B397-OtherCost</f>
        <v/>
      </c>
      <c r="U397" s="37">
        <f>'03_原始数据'!C397-0.64*'03_原始数据'!B397-OtherCost</f>
        <v/>
      </c>
      <c r="V397" s="37">
        <f>'03_原始数据'!C397-0.645*'03_原始数据'!B397-OtherCost</f>
        <v/>
      </c>
      <c r="W397" s="37">
        <f>'03_原始数据'!C397-0.65*'03_原始数据'!B397-OtherCost</f>
        <v/>
      </c>
      <c r="X397" s="37">
        <f>'03_原始数据'!C397-0.655*'03_原始数据'!B397-OtherCost</f>
        <v/>
      </c>
      <c r="Y397" s="37">
        <f>'03_原始数据'!C397-0.66*'03_原始数据'!B397-OtherCost</f>
        <v/>
      </c>
      <c r="Z397" s="37">
        <f>'03_原始数据'!C397-0.665*'03_原始数据'!B397-OtherCost</f>
        <v/>
      </c>
      <c r="AA397" s="37">
        <f>'03_原始数据'!C397-0.67*'03_原始数据'!B397-OtherCost</f>
        <v/>
      </c>
      <c r="AB397" s="37">
        <f>'03_原始数据'!C397-0.675*'03_原始数据'!B397-OtherCost</f>
        <v/>
      </c>
      <c r="AC397" s="37">
        <f>'03_原始数据'!C397-0.68*'03_原始数据'!B397-OtherCost</f>
        <v/>
      </c>
      <c r="AD397" s="37">
        <f>'03_原始数据'!C397-0.685*'03_原始数据'!B397-OtherCost</f>
        <v/>
      </c>
      <c r="AE397" s="37">
        <f>'03_原始数据'!C397-0.69*'03_原始数据'!B397-OtherCost</f>
        <v/>
      </c>
      <c r="AF397" s="37">
        <f>'03_原始数据'!C397-0.695*'03_原始数据'!B397-OtherCost</f>
        <v/>
      </c>
      <c r="AG397" s="37">
        <f>'03_原始数据'!C397-0.7*'03_原始数据'!B397-OtherCost</f>
        <v/>
      </c>
    </row>
    <row r="398">
      <c r="M398" s="37">
        <f>'03_原始数据'!C398-0.6*'03_原始数据'!B398-OtherCost</f>
        <v/>
      </c>
      <c r="N398" s="37">
        <f>'03_原始数据'!C398-0.605*'03_原始数据'!B398-OtherCost</f>
        <v/>
      </c>
      <c r="O398" s="37">
        <f>'03_原始数据'!C398-0.61*'03_原始数据'!B398-OtherCost</f>
        <v/>
      </c>
      <c r="P398" s="37">
        <f>'03_原始数据'!C398-0.615*'03_原始数据'!B398-OtherCost</f>
        <v/>
      </c>
      <c r="Q398" s="37">
        <f>'03_原始数据'!C398-0.62*'03_原始数据'!B398-OtherCost</f>
        <v/>
      </c>
      <c r="R398" s="37">
        <f>'03_原始数据'!C398-0.625*'03_原始数据'!B398-OtherCost</f>
        <v/>
      </c>
      <c r="S398" s="37">
        <f>'03_原始数据'!C398-0.63*'03_原始数据'!B398-OtherCost</f>
        <v/>
      </c>
      <c r="T398" s="37">
        <f>'03_原始数据'!C398-0.635*'03_原始数据'!B398-OtherCost</f>
        <v/>
      </c>
      <c r="U398" s="37">
        <f>'03_原始数据'!C398-0.64*'03_原始数据'!B398-OtherCost</f>
        <v/>
      </c>
      <c r="V398" s="37">
        <f>'03_原始数据'!C398-0.645*'03_原始数据'!B398-OtherCost</f>
        <v/>
      </c>
      <c r="W398" s="37">
        <f>'03_原始数据'!C398-0.65*'03_原始数据'!B398-OtherCost</f>
        <v/>
      </c>
      <c r="X398" s="37">
        <f>'03_原始数据'!C398-0.655*'03_原始数据'!B398-OtherCost</f>
        <v/>
      </c>
      <c r="Y398" s="37">
        <f>'03_原始数据'!C398-0.66*'03_原始数据'!B398-OtherCost</f>
        <v/>
      </c>
      <c r="Z398" s="37">
        <f>'03_原始数据'!C398-0.665*'03_原始数据'!B398-OtherCost</f>
        <v/>
      </c>
      <c r="AA398" s="37">
        <f>'03_原始数据'!C398-0.67*'03_原始数据'!B398-OtherCost</f>
        <v/>
      </c>
      <c r="AB398" s="37">
        <f>'03_原始数据'!C398-0.675*'03_原始数据'!B398-OtherCost</f>
        <v/>
      </c>
      <c r="AC398" s="37">
        <f>'03_原始数据'!C398-0.68*'03_原始数据'!B398-OtherCost</f>
        <v/>
      </c>
      <c r="AD398" s="37">
        <f>'03_原始数据'!C398-0.685*'03_原始数据'!B398-OtherCost</f>
        <v/>
      </c>
      <c r="AE398" s="37">
        <f>'03_原始数据'!C398-0.69*'03_原始数据'!B398-OtherCost</f>
        <v/>
      </c>
      <c r="AF398" s="37">
        <f>'03_原始数据'!C398-0.695*'03_原始数据'!B398-OtherCost</f>
        <v/>
      </c>
      <c r="AG398" s="37">
        <f>'03_原始数据'!C398-0.7*'03_原始数据'!B398-OtherCost</f>
        <v/>
      </c>
    </row>
    <row r="399">
      <c r="M399" s="37">
        <f>'03_原始数据'!C399-0.6*'03_原始数据'!B399-OtherCost</f>
        <v/>
      </c>
      <c r="N399" s="37">
        <f>'03_原始数据'!C399-0.605*'03_原始数据'!B399-OtherCost</f>
        <v/>
      </c>
      <c r="O399" s="37">
        <f>'03_原始数据'!C399-0.61*'03_原始数据'!B399-OtherCost</f>
        <v/>
      </c>
      <c r="P399" s="37">
        <f>'03_原始数据'!C399-0.615*'03_原始数据'!B399-OtherCost</f>
        <v/>
      </c>
      <c r="Q399" s="37">
        <f>'03_原始数据'!C399-0.62*'03_原始数据'!B399-OtherCost</f>
        <v/>
      </c>
      <c r="R399" s="37">
        <f>'03_原始数据'!C399-0.625*'03_原始数据'!B399-OtherCost</f>
        <v/>
      </c>
      <c r="S399" s="37">
        <f>'03_原始数据'!C399-0.63*'03_原始数据'!B399-OtherCost</f>
        <v/>
      </c>
      <c r="T399" s="37">
        <f>'03_原始数据'!C399-0.635*'03_原始数据'!B399-OtherCost</f>
        <v/>
      </c>
      <c r="U399" s="37">
        <f>'03_原始数据'!C399-0.64*'03_原始数据'!B399-OtherCost</f>
        <v/>
      </c>
      <c r="V399" s="37">
        <f>'03_原始数据'!C399-0.645*'03_原始数据'!B399-OtherCost</f>
        <v/>
      </c>
      <c r="W399" s="37">
        <f>'03_原始数据'!C399-0.65*'03_原始数据'!B399-OtherCost</f>
        <v/>
      </c>
      <c r="X399" s="37">
        <f>'03_原始数据'!C399-0.655*'03_原始数据'!B399-OtherCost</f>
        <v/>
      </c>
      <c r="Y399" s="37">
        <f>'03_原始数据'!C399-0.66*'03_原始数据'!B399-OtherCost</f>
        <v/>
      </c>
      <c r="Z399" s="37">
        <f>'03_原始数据'!C399-0.665*'03_原始数据'!B399-OtherCost</f>
        <v/>
      </c>
      <c r="AA399" s="37">
        <f>'03_原始数据'!C399-0.67*'03_原始数据'!B399-OtherCost</f>
        <v/>
      </c>
      <c r="AB399" s="37">
        <f>'03_原始数据'!C399-0.675*'03_原始数据'!B399-OtherCost</f>
        <v/>
      </c>
      <c r="AC399" s="37">
        <f>'03_原始数据'!C399-0.68*'03_原始数据'!B399-OtherCost</f>
        <v/>
      </c>
      <c r="AD399" s="37">
        <f>'03_原始数据'!C399-0.685*'03_原始数据'!B399-OtherCost</f>
        <v/>
      </c>
      <c r="AE399" s="37">
        <f>'03_原始数据'!C399-0.69*'03_原始数据'!B399-OtherCost</f>
        <v/>
      </c>
      <c r="AF399" s="37">
        <f>'03_原始数据'!C399-0.695*'03_原始数据'!B399-OtherCost</f>
        <v/>
      </c>
      <c r="AG399" s="37">
        <f>'03_原始数据'!C399-0.7*'03_原始数据'!B399-OtherCost</f>
        <v/>
      </c>
    </row>
    <row r="400">
      <c r="M400" s="37">
        <f>'03_原始数据'!C400-0.6*'03_原始数据'!B400-OtherCost</f>
        <v/>
      </c>
      <c r="N400" s="37">
        <f>'03_原始数据'!C400-0.605*'03_原始数据'!B400-OtherCost</f>
        <v/>
      </c>
      <c r="O400" s="37">
        <f>'03_原始数据'!C400-0.61*'03_原始数据'!B400-OtherCost</f>
        <v/>
      </c>
      <c r="P400" s="37">
        <f>'03_原始数据'!C400-0.615*'03_原始数据'!B400-OtherCost</f>
        <v/>
      </c>
      <c r="Q400" s="37">
        <f>'03_原始数据'!C400-0.62*'03_原始数据'!B400-OtherCost</f>
        <v/>
      </c>
      <c r="R400" s="37">
        <f>'03_原始数据'!C400-0.625*'03_原始数据'!B400-OtherCost</f>
        <v/>
      </c>
      <c r="S400" s="37">
        <f>'03_原始数据'!C400-0.63*'03_原始数据'!B400-OtherCost</f>
        <v/>
      </c>
      <c r="T400" s="37">
        <f>'03_原始数据'!C400-0.635*'03_原始数据'!B400-OtherCost</f>
        <v/>
      </c>
      <c r="U400" s="37">
        <f>'03_原始数据'!C400-0.64*'03_原始数据'!B400-OtherCost</f>
        <v/>
      </c>
      <c r="V400" s="37">
        <f>'03_原始数据'!C400-0.645*'03_原始数据'!B400-OtherCost</f>
        <v/>
      </c>
      <c r="W400" s="37">
        <f>'03_原始数据'!C400-0.65*'03_原始数据'!B400-OtherCost</f>
        <v/>
      </c>
      <c r="X400" s="37">
        <f>'03_原始数据'!C400-0.655*'03_原始数据'!B400-OtherCost</f>
        <v/>
      </c>
      <c r="Y400" s="37">
        <f>'03_原始数据'!C400-0.66*'03_原始数据'!B400-OtherCost</f>
        <v/>
      </c>
      <c r="Z400" s="37">
        <f>'03_原始数据'!C400-0.665*'03_原始数据'!B400-OtherCost</f>
        <v/>
      </c>
      <c r="AA400" s="37">
        <f>'03_原始数据'!C400-0.67*'03_原始数据'!B400-OtherCost</f>
        <v/>
      </c>
      <c r="AB400" s="37">
        <f>'03_原始数据'!C400-0.675*'03_原始数据'!B400-OtherCost</f>
        <v/>
      </c>
      <c r="AC400" s="37">
        <f>'03_原始数据'!C400-0.68*'03_原始数据'!B400-OtherCost</f>
        <v/>
      </c>
      <c r="AD400" s="37">
        <f>'03_原始数据'!C400-0.685*'03_原始数据'!B400-OtherCost</f>
        <v/>
      </c>
      <c r="AE400" s="37">
        <f>'03_原始数据'!C400-0.69*'03_原始数据'!B400-OtherCost</f>
        <v/>
      </c>
      <c r="AF400" s="37">
        <f>'03_原始数据'!C400-0.695*'03_原始数据'!B400-OtherCost</f>
        <v/>
      </c>
      <c r="AG400" s="37">
        <f>'03_原始数据'!C400-0.7*'03_原始数据'!B400-OtherCost</f>
        <v/>
      </c>
    </row>
    <row r="401">
      <c r="M401" s="37">
        <f>'03_原始数据'!C401-0.6*'03_原始数据'!B401-OtherCost</f>
        <v/>
      </c>
      <c r="N401" s="37">
        <f>'03_原始数据'!C401-0.605*'03_原始数据'!B401-OtherCost</f>
        <v/>
      </c>
      <c r="O401" s="37">
        <f>'03_原始数据'!C401-0.61*'03_原始数据'!B401-OtherCost</f>
        <v/>
      </c>
      <c r="P401" s="37">
        <f>'03_原始数据'!C401-0.615*'03_原始数据'!B401-OtherCost</f>
        <v/>
      </c>
      <c r="Q401" s="37">
        <f>'03_原始数据'!C401-0.62*'03_原始数据'!B401-OtherCost</f>
        <v/>
      </c>
      <c r="R401" s="37">
        <f>'03_原始数据'!C401-0.625*'03_原始数据'!B401-OtherCost</f>
        <v/>
      </c>
      <c r="S401" s="37">
        <f>'03_原始数据'!C401-0.63*'03_原始数据'!B401-OtherCost</f>
        <v/>
      </c>
      <c r="T401" s="37">
        <f>'03_原始数据'!C401-0.635*'03_原始数据'!B401-OtherCost</f>
        <v/>
      </c>
      <c r="U401" s="37">
        <f>'03_原始数据'!C401-0.64*'03_原始数据'!B401-OtherCost</f>
        <v/>
      </c>
      <c r="V401" s="37">
        <f>'03_原始数据'!C401-0.645*'03_原始数据'!B401-OtherCost</f>
        <v/>
      </c>
      <c r="W401" s="37">
        <f>'03_原始数据'!C401-0.65*'03_原始数据'!B401-OtherCost</f>
        <v/>
      </c>
      <c r="X401" s="37">
        <f>'03_原始数据'!C401-0.655*'03_原始数据'!B401-OtherCost</f>
        <v/>
      </c>
      <c r="Y401" s="37">
        <f>'03_原始数据'!C401-0.66*'03_原始数据'!B401-OtherCost</f>
        <v/>
      </c>
      <c r="Z401" s="37">
        <f>'03_原始数据'!C401-0.665*'03_原始数据'!B401-OtherCost</f>
        <v/>
      </c>
      <c r="AA401" s="37">
        <f>'03_原始数据'!C401-0.67*'03_原始数据'!B401-OtherCost</f>
        <v/>
      </c>
      <c r="AB401" s="37">
        <f>'03_原始数据'!C401-0.675*'03_原始数据'!B401-OtherCost</f>
        <v/>
      </c>
      <c r="AC401" s="37">
        <f>'03_原始数据'!C401-0.68*'03_原始数据'!B401-OtherCost</f>
        <v/>
      </c>
      <c r="AD401" s="37">
        <f>'03_原始数据'!C401-0.685*'03_原始数据'!B401-OtherCost</f>
        <v/>
      </c>
      <c r="AE401" s="37">
        <f>'03_原始数据'!C401-0.69*'03_原始数据'!B401-OtherCost</f>
        <v/>
      </c>
      <c r="AF401" s="37">
        <f>'03_原始数据'!C401-0.695*'03_原始数据'!B401-OtherCost</f>
        <v/>
      </c>
      <c r="AG401" s="37">
        <f>'03_原始数据'!C401-0.7*'03_原始数据'!B401-OtherCost</f>
        <v/>
      </c>
    </row>
    <row r="402">
      <c r="M402" s="37">
        <f>'03_原始数据'!C402-0.6*'03_原始数据'!B402-OtherCost</f>
        <v/>
      </c>
      <c r="N402" s="37">
        <f>'03_原始数据'!C402-0.605*'03_原始数据'!B402-OtherCost</f>
        <v/>
      </c>
      <c r="O402" s="37">
        <f>'03_原始数据'!C402-0.61*'03_原始数据'!B402-OtherCost</f>
        <v/>
      </c>
      <c r="P402" s="37">
        <f>'03_原始数据'!C402-0.615*'03_原始数据'!B402-OtherCost</f>
        <v/>
      </c>
      <c r="Q402" s="37">
        <f>'03_原始数据'!C402-0.62*'03_原始数据'!B402-OtherCost</f>
        <v/>
      </c>
      <c r="R402" s="37">
        <f>'03_原始数据'!C402-0.625*'03_原始数据'!B402-OtherCost</f>
        <v/>
      </c>
      <c r="S402" s="37">
        <f>'03_原始数据'!C402-0.63*'03_原始数据'!B402-OtherCost</f>
        <v/>
      </c>
      <c r="T402" s="37">
        <f>'03_原始数据'!C402-0.635*'03_原始数据'!B402-OtherCost</f>
        <v/>
      </c>
      <c r="U402" s="37">
        <f>'03_原始数据'!C402-0.64*'03_原始数据'!B402-OtherCost</f>
        <v/>
      </c>
      <c r="V402" s="37">
        <f>'03_原始数据'!C402-0.645*'03_原始数据'!B402-OtherCost</f>
        <v/>
      </c>
      <c r="W402" s="37">
        <f>'03_原始数据'!C402-0.65*'03_原始数据'!B402-OtherCost</f>
        <v/>
      </c>
      <c r="X402" s="37">
        <f>'03_原始数据'!C402-0.655*'03_原始数据'!B402-OtherCost</f>
        <v/>
      </c>
      <c r="Y402" s="37">
        <f>'03_原始数据'!C402-0.66*'03_原始数据'!B402-OtherCost</f>
        <v/>
      </c>
      <c r="Z402" s="37">
        <f>'03_原始数据'!C402-0.665*'03_原始数据'!B402-OtherCost</f>
        <v/>
      </c>
      <c r="AA402" s="37">
        <f>'03_原始数据'!C402-0.67*'03_原始数据'!B402-OtherCost</f>
        <v/>
      </c>
      <c r="AB402" s="37">
        <f>'03_原始数据'!C402-0.675*'03_原始数据'!B402-OtherCost</f>
        <v/>
      </c>
      <c r="AC402" s="37">
        <f>'03_原始数据'!C402-0.68*'03_原始数据'!B402-OtherCost</f>
        <v/>
      </c>
      <c r="AD402" s="37">
        <f>'03_原始数据'!C402-0.685*'03_原始数据'!B402-OtherCost</f>
        <v/>
      </c>
      <c r="AE402" s="37">
        <f>'03_原始数据'!C402-0.69*'03_原始数据'!B402-OtherCost</f>
        <v/>
      </c>
      <c r="AF402" s="37">
        <f>'03_原始数据'!C402-0.695*'03_原始数据'!B402-OtherCost</f>
        <v/>
      </c>
      <c r="AG402" s="37">
        <f>'03_原始数据'!C402-0.7*'03_原始数据'!B402-OtherCost</f>
        <v/>
      </c>
    </row>
    <row r="403">
      <c r="M403" s="37">
        <f>'03_原始数据'!C403-0.6*'03_原始数据'!B403-OtherCost</f>
        <v/>
      </c>
      <c r="N403" s="37">
        <f>'03_原始数据'!C403-0.605*'03_原始数据'!B403-OtherCost</f>
        <v/>
      </c>
      <c r="O403" s="37">
        <f>'03_原始数据'!C403-0.61*'03_原始数据'!B403-OtherCost</f>
        <v/>
      </c>
      <c r="P403" s="37">
        <f>'03_原始数据'!C403-0.615*'03_原始数据'!B403-OtherCost</f>
        <v/>
      </c>
      <c r="Q403" s="37">
        <f>'03_原始数据'!C403-0.62*'03_原始数据'!B403-OtherCost</f>
        <v/>
      </c>
      <c r="R403" s="37">
        <f>'03_原始数据'!C403-0.625*'03_原始数据'!B403-OtherCost</f>
        <v/>
      </c>
      <c r="S403" s="37">
        <f>'03_原始数据'!C403-0.63*'03_原始数据'!B403-OtherCost</f>
        <v/>
      </c>
      <c r="T403" s="37">
        <f>'03_原始数据'!C403-0.635*'03_原始数据'!B403-OtherCost</f>
        <v/>
      </c>
      <c r="U403" s="37">
        <f>'03_原始数据'!C403-0.64*'03_原始数据'!B403-OtherCost</f>
        <v/>
      </c>
      <c r="V403" s="37">
        <f>'03_原始数据'!C403-0.645*'03_原始数据'!B403-OtherCost</f>
        <v/>
      </c>
      <c r="W403" s="37">
        <f>'03_原始数据'!C403-0.65*'03_原始数据'!B403-OtherCost</f>
        <v/>
      </c>
      <c r="X403" s="37">
        <f>'03_原始数据'!C403-0.655*'03_原始数据'!B403-OtherCost</f>
        <v/>
      </c>
      <c r="Y403" s="37">
        <f>'03_原始数据'!C403-0.66*'03_原始数据'!B403-OtherCost</f>
        <v/>
      </c>
      <c r="Z403" s="37">
        <f>'03_原始数据'!C403-0.665*'03_原始数据'!B403-OtherCost</f>
        <v/>
      </c>
      <c r="AA403" s="37">
        <f>'03_原始数据'!C403-0.67*'03_原始数据'!B403-OtherCost</f>
        <v/>
      </c>
      <c r="AB403" s="37">
        <f>'03_原始数据'!C403-0.675*'03_原始数据'!B403-OtherCost</f>
        <v/>
      </c>
      <c r="AC403" s="37">
        <f>'03_原始数据'!C403-0.68*'03_原始数据'!B403-OtherCost</f>
        <v/>
      </c>
      <c r="AD403" s="37">
        <f>'03_原始数据'!C403-0.685*'03_原始数据'!B403-OtherCost</f>
        <v/>
      </c>
      <c r="AE403" s="37">
        <f>'03_原始数据'!C403-0.69*'03_原始数据'!B403-OtherCost</f>
        <v/>
      </c>
      <c r="AF403" s="37">
        <f>'03_原始数据'!C403-0.695*'03_原始数据'!B403-OtherCost</f>
        <v/>
      </c>
      <c r="AG403" s="37">
        <f>'03_原始数据'!C403-0.7*'03_原始数据'!B403-OtherCost</f>
        <v/>
      </c>
    </row>
    <row r="404">
      <c r="M404" s="37">
        <f>'03_原始数据'!C404-0.6*'03_原始数据'!B404-OtherCost</f>
        <v/>
      </c>
      <c r="N404" s="37">
        <f>'03_原始数据'!C404-0.605*'03_原始数据'!B404-OtherCost</f>
        <v/>
      </c>
      <c r="O404" s="37">
        <f>'03_原始数据'!C404-0.61*'03_原始数据'!B404-OtherCost</f>
        <v/>
      </c>
      <c r="P404" s="37">
        <f>'03_原始数据'!C404-0.615*'03_原始数据'!B404-OtherCost</f>
        <v/>
      </c>
      <c r="Q404" s="37">
        <f>'03_原始数据'!C404-0.62*'03_原始数据'!B404-OtherCost</f>
        <v/>
      </c>
      <c r="R404" s="37">
        <f>'03_原始数据'!C404-0.625*'03_原始数据'!B404-OtherCost</f>
        <v/>
      </c>
      <c r="S404" s="37">
        <f>'03_原始数据'!C404-0.63*'03_原始数据'!B404-OtherCost</f>
        <v/>
      </c>
      <c r="T404" s="37">
        <f>'03_原始数据'!C404-0.635*'03_原始数据'!B404-OtherCost</f>
        <v/>
      </c>
      <c r="U404" s="37">
        <f>'03_原始数据'!C404-0.64*'03_原始数据'!B404-OtherCost</f>
        <v/>
      </c>
      <c r="V404" s="37">
        <f>'03_原始数据'!C404-0.645*'03_原始数据'!B404-OtherCost</f>
        <v/>
      </c>
      <c r="W404" s="37">
        <f>'03_原始数据'!C404-0.65*'03_原始数据'!B404-OtherCost</f>
        <v/>
      </c>
      <c r="X404" s="37">
        <f>'03_原始数据'!C404-0.655*'03_原始数据'!B404-OtherCost</f>
        <v/>
      </c>
      <c r="Y404" s="37">
        <f>'03_原始数据'!C404-0.66*'03_原始数据'!B404-OtherCost</f>
        <v/>
      </c>
      <c r="Z404" s="37">
        <f>'03_原始数据'!C404-0.665*'03_原始数据'!B404-OtherCost</f>
        <v/>
      </c>
      <c r="AA404" s="37">
        <f>'03_原始数据'!C404-0.67*'03_原始数据'!B404-OtherCost</f>
        <v/>
      </c>
      <c r="AB404" s="37">
        <f>'03_原始数据'!C404-0.675*'03_原始数据'!B404-OtherCost</f>
        <v/>
      </c>
      <c r="AC404" s="37">
        <f>'03_原始数据'!C404-0.68*'03_原始数据'!B404-OtherCost</f>
        <v/>
      </c>
      <c r="AD404" s="37">
        <f>'03_原始数据'!C404-0.685*'03_原始数据'!B404-OtherCost</f>
        <v/>
      </c>
      <c r="AE404" s="37">
        <f>'03_原始数据'!C404-0.69*'03_原始数据'!B404-OtherCost</f>
        <v/>
      </c>
      <c r="AF404" s="37">
        <f>'03_原始数据'!C404-0.695*'03_原始数据'!B404-OtherCost</f>
        <v/>
      </c>
      <c r="AG404" s="37">
        <f>'03_原始数据'!C404-0.7*'03_原始数据'!B404-OtherCost</f>
        <v/>
      </c>
    </row>
    <row r="405">
      <c r="M405" s="37">
        <f>'03_原始数据'!C405-0.6*'03_原始数据'!B405-OtherCost</f>
        <v/>
      </c>
      <c r="N405" s="37">
        <f>'03_原始数据'!C405-0.605*'03_原始数据'!B405-OtherCost</f>
        <v/>
      </c>
      <c r="O405" s="37">
        <f>'03_原始数据'!C405-0.61*'03_原始数据'!B405-OtherCost</f>
        <v/>
      </c>
      <c r="P405" s="37">
        <f>'03_原始数据'!C405-0.615*'03_原始数据'!B405-OtherCost</f>
        <v/>
      </c>
      <c r="Q405" s="37">
        <f>'03_原始数据'!C405-0.62*'03_原始数据'!B405-OtherCost</f>
        <v/>
      </c>
      <c r="R405" s="37">
        <f>'03_原始数据'!C405-0.625*'03_原始数据'!B405-OtherCost</f>
        <v/>
      </c>
      <c r="S405" s="37">
        <f>'03_原始数据'!C405-0.63*'03_原始数据'!B405-OtherCost</f>
        <v/>
      </c>
      <c r="T405" s="37">
        <f>'03_原始数据'!C405-0.635*'03_原始数据'!B405-OtherCost</f>
        <v/>
      </c>
      <c r="U405" s="37">
        <f>'03_原始数据'!C405-0.64*'03_原始数据'!B405-OtherCost</f>
        <v/>
      </c>
      <c r="V405" s="37">
        <f>'03_原始数据'!C405-0.645*'03_原始数据'!B405-OtherCost</f>
        <v/>
      </c>
      <c r="W405" s="37">
        <f>'03_原始数据'!C405-0.65*'03_原始数据'!B405-OtherCost</f>
        <v/>
      </c>
      <c r="X405" s="37">
        <f>'03_原始数据'!C405-0.655*'03_原始数据'!B405-OtherCost</f>
        <v/>
      </c>
      <c r="Y405" s="37">
        <f>'03_原始数据'!C405-0.66*'03_原始数据'!B405-OtherCost</f>
        <v/>
      </c>
      <c r="Z405" s="37">
        <f>'03_原始数据'!C405-0.665*'03_原始数据'!B405-OtherCost</f>
        <v/>
      </c>
      <c r="AA405" s="37">
        <f>'03_原始数据'!C405-0.67*'03_原始数据'!B405-OtherCost</f>
        <v/>
      </c>
      <c r="AB405" s="37">
        <f>'03_原始数据'!C405-0.675*'03_原始数据'!B405-OtherCost</f>
        <v/>
      </c>
      <c r="AC405" s="37">
        <f>'03_原始数据'!C405-0.68*'03_原始数据'!B405-OtherCost</f>
        <v/>
      </c>
      <c r="AD405" s="37">
        <f>'03_原始数据'!C405-0.685*'03_原始数据'!B405-OtherCost</f>
        <v/>
      </c>
      <c r="AE405" s="37">
        <f>'03_原始数据'!C405-0.69*'03_原始数据'!B405-OtherCost</f>
        <v/>
      </c>
      <c r="AF405" s="37">
        <f>'03_原始数据'!C405-0.695*'03_原始数据'!B405-OtherCost</f>
        <v/>
      </c>
      <c r="AG405" s="37">
        <f>'03_原始数据'!C405-0.7*'03_原始数据'!B405-OtherCost</f>
        <v/>
      </c>
    </row>
    <row r="406">
      <c r="M406" s="37">
        <f>'03_原始数据'!C406-0.6*'03_原始数据'!B406-OtherCost</f>
        <v/>
      </c>
      <c r="N406" s="37">
        <f>'03_原始数据'!C406-0.605*'03_原始数据'!B406-OtherCost</f>
        <v/>
      </c>
      <c r="O406" s="37">
        <f>'03_原始数据'!C406-0.61*'03_原始数据'!B406-OtherCost</f>
        <v/>
      </c>
      <c r="P406" s="37">
        <f>'03_原始数据'!C406-0.615*'03_原始数据'!B406-OtherCost</f>
        <v/>
      </c>
      <c r="Q406" s="37">
        <f>'03_原始数据'!C406-0.62*'03_原始数据'!B406-OtherCost</f>
        <v/>
      </c>
      <c r="R406" s="37">
        <f>'03_原始数据'!C406-0.625*'03_原始数据'!B406-OtherCost</f>
        <v/>
      </c>
      <c r="S406" s="37">
        <f>'03_原始数据'!C406-0.63*'03_原始数据'!B406-OtherCost</f>
        <v/>
      </c>
      <c r="T406" s="37">
        <f>'03_原始数据'!C406-0.635*'03_原始数据'!B406-OtherCost</f>
        <v/>
      </c>
      <c r="U406" s="37">
        <f>'03_原始数据'!C406-0.64*'03_原始数据'!B406-OtherCost</f>
        <v/>
      </c>
      <c r="V406" s="37">
        <f>'03_原始数据'!C406-0.645*'03_原始数据'!B406-OtherCost</f>
        <v/>
      </c>
      <c r="W406" s="37">
        <f>'03_原始数据'!C406-0.65*'03_原始数据'!B406-OtherCost</f>
        <v/>
      </c>
      <c r="X406" s="37">
        <f>'03_原始数据'!C406-0.655*'03_原始数据'!B406-OtherCost</f>
        <v/>
      </c>
      <c r="Y406" s="37">
        <f>'03_原始数据'!C406-0.66*'03_原始数据'!B406-OtherCost</f>
        <v/>
      </c>
      <c r="Z406" s="37">
        <f>'03_原始数据'!C406-0.665*'03_原始数据'!B406-OtherCost</f>
        <v/>
      </c>
      <c r="AA406" s="37">
        <f>'03_原始数据'!C406-0.67*'03_原始数据'!B406-OtherCost</f>
        <v/>
      </c>
      <c r="AB406" s="37">
        <f>'03_原始数据'!C406-0.675*'03_原始数据'!B406-OtherCost</f>
        <v/>
      </c>
      <c r="AC406" s="37">
        <f>'03_原始数据'!C406-0.68*'03_原始数据'!B406-OtherCost</f>
        <v/>
      </c>
      <c r="AD406" s="37">
        <f>'03_原始数据'!C406-0.685*'03_原始数据'!B406-OtherCost</f>
        <v/>
      </c>
      <c r="AE406" s="37">
        <f>'03_原始数据'!C406-0.69*'03_原始数据'!B406-OtherCost</f>
        <v/>
      </c>
      <c r="AF406" s="37">
        <f>'03_原始数据'!C406-0.695*'03_原始数据'!B406-OtherCost</f>
        <v/>
      </c>
      <c r="AG406" s="37">
        <f>'03_原始数据'!C406-0.7*'03_原始数据'!B406-OtherCost</f>
        <v/>
      </c>
    </row>
    <row r="407">
      <c r="M407" s="37">
        <f>'03_原始数据'!C407-0.6*'03_原始数据'!B407-OtherCost</f>
        <v/>
      </c>
      <c r="N407" s="37">
        <f>'03_原始数据'!C407-0.605*'03_原始数据'!B407-OtherCost</f>
        <v/>
      </c>
      <c r="O407" s="37">
        <f>'03_原始数据'!C407-0.61*'03_原始数据'!B407-OtherCost</f>
        <v/>
      </c>
      <c r="P407" s="37">
        <f>'03_原始数据'!C407-0.615*'03_原始数据'!B407-OtherCost</f>
        <v/>
      </c>
      <c r="Q407" s="37">
        <f>'03_原始数据'!C407-0.62*'03_原始数据'!B407-OtherCost</f>
        <v/>
      </c>
      <c r="R407" s="37">
        <f>'03_原始数据'!C407-0.625*'03_原始数据'!B407-OtherCost</f>
        <v/>
      </c>
      <c r="S407" s="37">
        <f>'03_原始数据'!C407-0.63*'03_原始数据'!B407-OtherCost</f>
        <v/>
      </c>
      <c r="T407" s="37">
        <f>'03_原始数据'!C407-0.635*'03_原始数据'!B407-OtherCost</f>
        <v/>
      </c>
      <c r="U407" s="37">
        <f>'03_原始数据'!C407-0.64*'03_原始数据'!B407-OtherCost</f>
        <v/>
      </c>
      <c r="V407" s="37">
        <f>'03_原始数据'!C407-0.645*'03_原始数据'!B407-OtherCost</f>
        <v/>
      </c>
      <c r="W407" s="37">
        <f>'03_原始数据'!C407-0.65*'03_原始数据'!B407-OtherCost</f>
        <v/>
      </c>
      <c r="X407" s="37">
        <f>'03_原始数据'!C407-0.655*'03_原始数据'!B407-OtherCost</f>
        <v/>
      </c>
      <c r="Y407" s="37">
        <f>'03_原始数据'!C407-0.66*'03_原始数据'!B407-OtherCost</f>
        <v/>
      </c>
      <c r="Z407" s="37">
        <f>'03_原始数据'!C407-0.665*'03_原始数据'!B407-OtherCost</f>
        <v/>
      </c>
      <c r="AA407" s="37">
        <f>'03_原始数据'!C407-0.67*'03_原始数据'!B407-OtherCost</f>
        <v/>
      </c>
      <c r="AB407" s="37">
        <f>'03_原始数据'!C407-0.675*'03_原始数据'!B407-OtherCost</f>
        <v/>
      </c>
      <c r="AC407" s="37">
        <f>'03_原始数据'!C407-0.68*'03_原始数据'!B407-OtherCost</f>
        <v/>
      </c>
      <c r="AD407" s="37">
        <f>'03_原始数据'!C407-0.685*'03_原始数据'!B407-OtherCost</f>
        <v/>
      </c>
      <c r="AE407" s="37">
        <f>'03_原始数据'!C407-0.69*'03_原始数据'!B407-OtherCost</f>
        <v/>
      </c>
      <c r="AF407" s="37">
        <f>'03_原始数据'!C407-0.695*'03_原始数据'!B407-OtherCost</f>
        <v/>
      </c>
      <c r="AG407" s="37">
        <f>'03_原始数据'!C407-0.7*'03_原始数据'!B407-OtherCost</f>
        <v/>
      </c>
    </row>
    <row r="408">
      <c r="M408" s="37">
        <f>'03_原始数据'!C408-0.6*'03_原始数据'!B408-OtherCost</f>
        <v/>
      </c>
      <c r="N408" s="37">
        <f>'03_原始数据'!C408-0.605*'03_原始数据'!B408-OtherCost</f>
        <v/>
      </c>
      <c r="O408" s="37">
        <f>'03_原始数据'!C408-0.61*'03_原始数据'!B408-OtherCost</f>
        <v/>
      </c>
      <c r="P408" s="37">
        <f>'03_原始数据'!C408-0.615*'03_原始数据'!B408-OtherCost</f>
        <v/>
      </c>
      <c r="Q408" s="37">
        <f>'03_原始数据'!C408-0.62*'03_原始数据'!B408-OtherCost</f>
        <v/>
      </c>
      <c r="R408" s="37">
        <f>'03_原始数据'!C408-0.625*'03_原始数据'!B408-OtherCost</f>
        <v/>
      </c>
      <c r="S408" s="37">
        <f>'03_原始数据'!C408-0.63*'03_原始数据'!B408-OtherCost</f>
        <v/>
      </c>
      <c r="T408" s="37">
        <f>'03_原始数据'!C408-0.635*'03_原始数据'!B408-OtherCost</f>
        <v/>
      </c>
      <c r="U408" s="37">
        <f>'03_原始数据'!C408-0.64*'03_原始数据'!B408-OtherCost</f>
        <v/>
      </c>
      <c r="V408" s="37">
        <f>'03_原始数据'!C408-0.645*'03_原始数据'!B408-OtherCost</f>
        <v/>
      </c>
      <c r="W408" s="37">
        <f>'03_原始数据'!C408-0.65*'03_原始数据'!B408-OtherCost</f>
        <v/>
      </c>
      <c r="X408" s="37">
        <f>'03_原始数据'!C408-0.655*'03_原始数据'!B408-OtherCost</f>
        <v/>
      </c>
      <c r="Y408" s="37">
        <f>'03_原始数据'!C408-0.66*'03_原始数据'!B408-OtherCost</f>
        <v/>
      </c>
      <c r="Z408" s="37">
        <f>'03_原始数据'!C408-0.665*'03_原始数据'!B408-OtherCost</f>
        <v/>
      </c>
      <c r="AA408" s="37">
        <f>'03_原始数据'!C408-0.67*'03_原始数据'!B408-OtherCost</f>
        <v/>
      </c>
      <c r="AB408" s="37">
        <f>'03_原始数据'!C408-0.675*'03_原始数据'!B408-OtherCost</f>
        <v/>
      </c>
      <c r="AC408" s="37">
        <f>'03_原始数据'!C408-0.68*'03_原始数据'!B408-OtherCost</f>
        <v/>
      </c>
      <c r="AD408" s="37">
        <f>'03_原始数据'!C408-0.685*'03_原始数据'!B408-OtherCost</f>
        <v/>
      </c>
      <c r="AE408" s="37">
        <f>'03_原始数据'!C408-0.69*'03_原始数据'!B408-OtherCost</f>
        <v/>
      </c>
      <c r="AF408" s="37">
        <f>'03_原始数据'!C408-0.695*'03_原始数据'!B408-OtherCost</f>
        <v/>
      </c>
      <c r="AG408" s="37">
        <f>'03_原始数据'!C408-0.7*'03_原始数据'!B408-OtherCost</f>
        <v/>
      </c>
    </row>
    <row r="409">
      <c r="M409" s="37">
        <f>'03_原始数据'!C409-0.6*'03_原始数据'!B409-OtherCost</f>
        <v/>
      </c>
      <c r="N409" s="37">
        <f>'03_原始数据'!C409-0.605*'03_原始数据'!B409-OtherCost</f>
        <v/>
      </c>
      <c r="O409" s="37">
        <f>'03_原始数据'!C409-0.61*'03_原始数据'!B409-OtherCost</f>
        <v/>
      </c>
      <c r="P409" s="37">
        <f>'03_原始数据'!C409-0.615*'03_原始数据'!B409-OtherCost</f>
        <v/>
      </c>
      <c r="Q409" s="37">
        <f>'03_原始数据'!C409-0.62*'03_原始数据'!B409-OtherCost</f>
        <v/>
      </c>
      <c r="R409" s="37">
        <f>'03_原始数据'!C409-0.625*'03_原始数据'!B409-OtherCost</f>
        <v/>
      </c>
      <c r="S409" s="37">
        <f>'03_原始数据'!C409-0.63*'03_原始数据'!B409-OtherCost</f>
        <v/>
      </c>
      <c r="T409" s="37">
        <f>'03_原始数据'!C409-0.635*'03_原始数据'!B409-OtherCost</f>
        <v/>
      </c>
      <c r="U409" s="37">
        <f>'03_原始数据'!C409-0.64*'03_原始数据'!B409-OtherCost</f>
        <v/>
      </c>
      <c r="V409" s="37">
        <f>'03_原始数据'!C409-0.645*'03_原始数据'!B409-OtherCost</f>
        <v/>
      </c>
      <c r="W409" s="37">
        <f>'03_原始数据'!C409-0.65*'03_原始数据'!B409-OtherCost</f>
        <v/>
      </c>
      <c r="X409" s="37">
        <f>'03_原始数据'!C409-0.655*'03_原始数据'!B409-OtherCost</f>
        <v/>
      </c>
      <c r="Y409" s="37">
        <f>'03_原始数据'!C409-0.66*'03_原始数据'!B409-OtherCost</f>
        <v/>
      </c>
      <c r="Z409" s="37">
        <f>'03_原始数据'!C409-0.665*'03_原始数据'!B409-OtherCost</f>
        <v/>
      </c>
      <c r="AA409" s="37">
        <f>'03_原始数据'!C409-0.67*'03_原始数据'!B409-OtherCost</f>
        <v/>
      </c>
      <c r="AB409" s="37">
        <f>'03_原始数据'!C409-0.675*'03_原始数据'!B409-OtherCost</f>
        <v/>
      </c>
      <c r="AC409" s="37">
        <f>'03_原始数据'!C409-0.68*'03_原始数据'!B409-OtherCost</f>
        <v/>
      </c>
      <c r="AD409" s="37">
        <f>'03_原始数据'!C409-0.685*'03_原始数据'!B409-OtherCost</f>
        <v/>
      </c>
      <c r="AE409" s="37">
        <f>'03_原始数据'!C409-0.69*'03_原始数据'!B409-OtherCost</f>
        <v/>
      </c>
      <c r="AF409" s="37">
        <f>'03_原始数据'!C409-0.695*'03_原始数据'!B409-OtherCost</f>
        <v/>
      </c>
      <c r="AG409" s="37">
        <f>'03_原始数据'!C409-0.7*'03_原始数据'!B409-OtherCost</f>
        <v/>
      </c>
    </row>
    <row r="410">
      <c r="M410" s="37">
        <f>'03_原始数据'!C410-0.6*'03_原始数据'!B410-OtherCost</f>
        <v/>
      </c>
      <c r="N410" s="37">
        <f>'03_原始数据'!C410-0.605*'03_原始数据'!B410-OtherCost</f>
        <v/>
      </c>
      <c r="O410" s="37">
        <f>'03_原始数据'!C410-0.61*'03_原始数据'!B410-OtherCost</f>
        <v/>
      </c>
      <c r="P410" s="37">
        <f>'03_原始数据'!C410-0.615*'03_原始数据'!B410-OtherCost</f>
        <v/>
      </c>
      <c r="Q410" s="37">
        <f>'03_原始数据'!C410-0.62*'03_原始数据'!B410-OtherCost</f>
        <v/>
      </c>
      <c r="R410" s="37">
        <f>'03_原始数据'!C410-0.625*'03_原始数据'!B410-OtherCost</f>
        <v/>
      </c>
      <c r="S410" s="37">
        <f>'03_原始数据'!C410-0.63*'03_原始数据'!B410-OtherCost</f>
        <v/>
      </c>
      <c r="T410" s="37">
        <f>'03_原始数据'!C410-0.635*'03_原始数据'!B410-OtherCost</f>
        <v/>
      </c>
      <c r="U410" s="37">
        <f>'03_原始数据'!C410-0.64*'03_原始数据'!B410-OtherCost</f>
        <v/>
      </c>
      <c r="V410" s="37">
        <f>'03_原始数据'!C410-0.645*'03_原始数据'!B410-OtherCost</f>
        <v/>
      </c>
      <c r="W410" s="37">
        <f>'03_原始数据'!C410-0.65*'03_原始数据'!B410-OtherCost</f>
        <v/>
      </c>
      <c r="X410" s="37">
        <f>'03_原始数据'!C410-0.655*'03_原始数据'!B410-OtherCost</f>
        <v/>
      </c>
      <c r="Y410" s="37">
        <f>'03_原始数据'!C410-0.66*'03_原始数据'!B410-OtherCost</f>
        <v/>
      </c>
      <c r="Z410" s="37">
        <f>'03_原始数据'!C410-0.665*'03_原始数据'!B410-OtherCost</f>
        <v/>
      </c>
      <c r="AA410" s="37">
        <f>'03_原始数据'!C410-0.67*'03_原始数据'!B410-OtherCost</f>
        <v/>
      </c>
      <c r="AB410" s="37">
        <f>'03_原始数据'!C410-0.675*'03_原始数据'!B410-OtherCost</f>
        <v/>
      </c>
      <c r="AC410" s="37">
        <f>'03_原始数据'!C410-0.68*'03_原始数据'!B410-OtherCost</f>
        <v/>
      </c>
      <c r="AD410" s="37">
        <f>'03_原始数据'!C410-0.685*'03_原始数据'!B410-OtherCost</f>
        <v/>
      </c>
      <c r="AE410" s="37">
        <f>'03_原始数据'!C410-0.69*'03_原始数据'!B410-OtherCost</f>
        <v/>
      </c>
      <c r="AF410" s="37">
        <f>'03_原始数据'!C410-0.695*'03_原始数据'!B410-OtherCost</f>
        <v/>
      </c>
      <c r="AG410" s="37">
        <f>'03_原始数据'!C410-0.7*'03_原始数据'!B410-OtherCost</f>
        <v/>
      </c>
    </row>
    <row r="411">
      <c r="M411" s="37">
        <f>'03_原始数据'!C411-0.6*'03_原始数据'!B411-OtherCost</f>
        <v/>
      </c>
      <c r="N411" s="37">
        <f>'03_原始数据'!C411-0.605*'03_原始数据'!B411-OtherCost</f>
        <v/>
      </c>
      <c r="O411" s="37">
        <f>'03_原始数据'!C411-0.61*'03_原始数据'!B411-OtherCost</f>
        <v/>
      </c>
      <c r="P411" s="37">
        <f>'03_原始数据'!C411-0.615*'03_原始数据'!B411-OtherCost</f>
        <v/>
      </c>
      <c r="Q411" s="37">
        <f>'03_原始数据'!C411-0.62*'03_原始数据'!B411-OtherCost</f>
        <v/>
      </c>
      <c r="R411" s="37">
        <f>'03_原始数据'!C411-0.625*'03_原始数据'!B411-OtherCost</f>
        <v/>
      </c>
      <c r="S411" s="37">
        <f>'03_原始数据'!C411-0.63*'03_原始数据'!B411-OtherCost</f>
        <v/>
      </c>
      <c r="T411" s="37">
        <f>'03_原始数据'!C411-0.635*'03_原始数据'!B411-OtherCost</f>
        <v/>
      </c>
      <c r="U411" s="37">
        <f>'03_原始数据'!C411-0.64*'03_原始数据'!B411-OtherCost</f>
        <v/>
      </c>
      <c r="V411" s="37">
        <f>'03_原始数据'!C411-0.645*'03_原始数据'!B411-OtherCost</f>
        <v/>
      </c>
      <c r="W411" s="37">
        <f>'03_原始数据'!C411-0.65*'03_原始数据'!B411-OtherCost</f>
        <v/>
      </c>
      <c r="X411" s="37">
        <f>'03_原始数据'!C411-0.655*'03_原始数据'!B411-OtherCost</f>
        <v/>
      </c>
      <c r="Y411" s="37">
        <f>'03_原始数据'!C411-0.66*'03_原始数据'!B411-OtherCost</f>
        <v/>
      </c>
      <c r="Z411" s="37">
        <f>'03_原始数据'!C411-0.665*'03_原始数据'!B411-OtherCost</f>
        <v/>
      </c>
      <c r="AA411" s="37">
        <f>'03_原始数据'!C411-0.67*'03_原始数据'!B411-OtherCost</f>
        <v/>
      </c>
      <c r="AB411" s="37">
        <f>'03_原始数据'!C411-0.675*'03_原始数据'!B411-OtherCost</f>
        <v/>
      </c>
      <c r="AC411" s="37">
        <f>'03_原始数据'!C411-0.68*'03_原始数据'!B411-OtherCost</f>
        <v/>
      </c>
      <c r="AD411" s="37">
        <f>'03_原始数据'!C411-0.685*'03_原始数据'!B411-OtherCost</f>
        <v/>
      </c>
      <c r="AE411" s="37">
        <f>'03_原始数据'!C411-0.69*'03_原始数据'!B411-OtherCost</f>
        <v/>
      </c>
      <c r="AF411" s="37">
        <f>'03_原始数据'!C411-0.695*'03_原始数据'!B411-OtherCost</f>
        <v/>
      </c>
      <c r="AG411" s="37">
        <f>'03_原始数据'!C411-0.7*'03_原始数据'!B411-OtherCost</f>
        <v/>
      </c>
    </row>
    <row r="412">
      <c r="M412" s="37">
        <f>'03_原始数据'!C412-0.6*'03_原始数据'!B412-OtherCost</f>
        <v/>
      </c>
      <c r="N412" s="37">
        <f>'03_原始数据'!C412-0.605*'03_原始数据'!B412-OtherCost</f>
        <v/>
      </c>
      <c r="O412" s="37">
        <f>'03_原始数据'!C412-0.61*'03_原始数据'!B412-OtherCost</f>
        <v/>
      </c>
      <c r="P412" s="37">
        <f>'03_原始数据'!C412-0.615*'03_原始数据'!B412-OtherCost</f>
        <v/>
      </c>
      <c r="Q412" s="37">
        <f>'03_原始数据'!C412-0.62*'03_原始数据'!B412-OtherCost</f>
        <v/>
      </c>
      <c r="R412" s="37">
        <f>'03_原始数据'!C412-0.625*'03_原始数据'!B412-OtherCost</f>
        <v/>
      </c>
      <c r="S412" s="37">
        <f>'03_原始数据'!C412-0.63*'03_原始数据'!B412-OtherCost</f>
        <v/>
      </c>
      <c r="T412" s="37">
        <f>'03_原始数据'!C412-0.635*'03_原始数据'!B412-OtherCost</f>
        <v/>
      </c>
      <c r="U412" s="37">
        <f>'03_原始数据'!C412-0.64*'03_原始数据'!B412-OtherCost</f>
        <v/>
      </c>
      <c r="V412" s="37">
        <f>'03_原始数据'!C412-0.645*'03_原始数据'!B412-OtherCost</f>
        <v/>
      </c>
      <c r="W412" s="37">
        <f>'03_原始数据'!C412-0.65*'03_原始数据'!B412-OtherCost</f>
        <v/>
      </c>
      <c r="X412" s="37">
        <f>'03_原始数据'!C412-0.655*'03_原始数据'!B412-OtherCost</f>
        <v/>
      </c>
      <c r="Y412" s="37">
        <f>'03_原始数据'!C412-0.66*'03_原始数据'!B412-OtherCost</f>
        <v/>
      </c>
      <c r="Z412" s="37">
        <f>'03_原始数据'!C412-0.665*'03_原始数据'!B412-OtherCost</f>
        <v/>
      </c>
      <c r="AA412" s="37">
        <f>'03_原始数据'!C412-0.67*'03_原始数据'!B412-OtherCost</f>
        <v/>
      </c>
      <c r="AB412" s="37">
        <f>'03_原始数据'!C412-0.675*'03_原始数据'!B412-OtherCost</f>
        <v/>
      </c>
      <c r="AC412" s="37">
        <f>'03_原始数据'!C412-0.68*'03_原始数据'!B412-OtherCost</f>
        <v/>
      </c>
      <c r="AD412" s="37">
        <f>'03_原始数据'!C412-0.685*'03_原始数据'!B412-OtherCost</f>
        <v/>
      </c>
      <c r="AE412" s="37">
        <f>'03_原始数据'!C412-0.69*'03_原始数据'!B412-OtherCost</f>
        <v/>
      </c>
      <c r="AF412" s="37">
        <f>'03_原始数据'!C412-0.695*'03_原始数据'!B412-OtherCost</f>
        <v/>
      </c>
      <c r="AG412" s="37">
        <f>'03_原始数据'!C412-0.7*'03_原始数据'!B412-OtherCost</f>
        <v/>
      </c>
    </row>
    <row r="413">
      <c r="M413" s="37">
        <f>'03_原始数据'!C413-0.6*'03_原始数据'!B413-OtherCost</f>
        <v/>
      </c>
      <c r="N413" s="37">
        <f>'03_原始数据'!C413-0.605*'03_原始数据'!B413-OtherCost</f>
        <v/>
      </c>
      <c r="O413" s="37">
        <f>'03_原始数据'!C413-0.61*'03_原始数据'!B413-OtherCost</f>
        <v/>
      </c>
      <c r="P413" s="37">
        <f>'03_原始数据'!C413-0.615*'03_原始数据'!B413-OtherCost</f>
        <v/>
      </c>
      <c r="Q413" s="37">
        <f>'03_原始数据'!C413-0.62*'03_原始数据'!B413-OtherCost</f>
        <v/>
      </c>
      <c r="R413" s="37">
        <f>'03_原始数据'!C413-0.625*'03_原始数据'!B413-OtherCost</f>
        <v/>
      </c>
      <c r="S413" s="37">
        <f>'03_原始数据'!C413-0.63*'03_原始数据'!B413-OtherCost</f>
        <v/>
      </c>
      <c r="T413" s="37">
        <f>'03_原始数据'!C413-0.635*'03_原始数据'!B413-OtherCost</f>
        <v/>
      </c>
      <c r="U413" s="37">
        <f>'03_原始数据'!C413-0.64*'03_原始数据'!B413-OtherCost</f>
        <v/>
      </c>
      <c r="V413" s="37">
        <f>'03_原始数据'!C413-0.645*'03_原始数据'!B413-OtherCost</f>
        <v/>
      </c>
      <c r="W413" s="37">
        <f>'03_原始数据'!C413-0.65*'03_原始数据'!B413-OtherCost</f>
        <v/>
      </c>
      <c r="X413" s="37">
        <f>'03_原始数据'!C413-0.655*'03_原始数据'!B413-OtherCost</f>
        <v/>
      </c>
      <c r="Y413" s="37">
        <f>'03_原始数据'!C413-0.66*'03_原始数据'!B413-OtherCost</f>
        <v/>
      </c>
      <c r="Z413" s="37">
        <f>'03_原始数据'!C413-0.665*'03_原始数据'!B413-OtherCost</f>
        <v/>
      </c>
      <c r="AA413" s="37">
        <f>'03_原始数据'!C413-0.67*'03_原始数据'!B413-OtherCost</f>
        <v/>
      </c>
      <c r="AB413" s="37">
        <f>'03_原始数据'!C413-0.675*'03_原始数据'!B413-OtherCost</f>
        <v/>
      </c>
      <c r="AC413" s="37">
        <f>'03_原始数据'!C413-0.68*'03_原始数据'!B413-OtherCost</f>
        <v/>
      </c>
      <c r="AD413" s="37">
        <f>'03_原始数据'!C413-0.685*'03_原始数据'!B413-OtherCost</f>
        <v/>
      </c>
      <c r="AE413" s="37">
        <f>'03_原始数据'!C413-0.69*'03_原始数据'!B413-OtherCost</f>
        <v/>
      </c>
      <c r="AF413" s="37">
        <f>'03_原始数据'!C413-0.695*'03_原始数据'!B413-OtherCost</f>
        <v/>
      </c>
      <c r="AG413" s="37">
        <f>'03_原始数据'!C413-0.7*'03_原始数据'!B413-OtherCost</f>
        <v/>
      </c>
    </row>
    <row r="414">
      <c r="M414" s="37">
        <f>'03_原始数据'!C414-0.6*'03_原始数据'!B414-OtherCost</f>
        <v/>
      </c>
      <c r="N414" s="37">
        <f>'03_原始数据'!C414-0.605*'03_原始数据'!B414-OtherCost</f>
        <v/>
      </c>
      <c r="O414" s="37">
        <f>'03_原始数据'!C414-0.61*'03_原始数据'!B414-OtherCost</f>
        <v/>
      </c>
      <c r="P414" s="37">
        <f>'03_原始数据'!C414-0.615*'03_原始数据'!B414-OtherCost</f>
        <v/>
      </c>
      <c r="Q414" s="37">
        <f>'03_原始数据'!C414-0.62*'03_原始数据'!B414-OtherCost</f>
        <v/>
      </c>
      <c r="R414" s="37">
        <f>'03_原始数据'!C414-0.625*'03_原始数据'!B414-OtherCost</f>
        <v/>
      </c>
      <c r="S414" s="37">
        <f>'03_原始数据'!C414-0.63*'03_原始数据'!B414-OtherCost</f>
        <v/>
      </c>
      <c r="T414" s="37">
        <f>'03_原始数据'!C414-0.635*'03_原始数据'!B414-OtherCost</f>
        <v/>
      </c>
      <c r="U414" s="37">
        <f>'03_原始数据'!C414-0.64*'03_原始数据'!B414-OtherCost</f>
        <v/>
      </c>
      <c r="V414" s="37">
        <f>'03_原始数据'!C414-0.645*'03_原始数据'!B414-OtherCost</f>
        <v/>
      </c>
      <c r="W414" s="37">
        <f>'03_原始数据'!C414-0.65*'03_原始数据'!B414-OtherCost</f>
        <v/>
      </c>
      <c r="X414" s="37">
        <f>'03_原始数据'!C414-0.655*'03_原始数据'!B414-OtherCost</f>
        <v/>
      </c>
      <c r="Y414" s="37">
        <f>'03_原始数据'!C414-0.66*'03_原始数据'!B414-OtherCost</f>
        <v/>
      </c>
      <c r="Z414" s="37">
        <f>'03_原始数据'!C414-0.665*'03_原始数据'!B414-OtherCost</f>
        <v/>
      </c>
      <c r="AA414" s="37">
        <f>'03_原始数据'!C414-0.67*'03_原始数据'!B414-OtherCost</f>
        <v/>
      </c>
      <c r="AB414" s="37">
        <f>'03_原始数据'!C414-0.675*'03_原始数据'!B414-OtherCost</f>
        <v/>
      </c>
      <c r="AC414" s="37">
        <f>'03_原始数据'!C414-0.68*'03_原始数据'!B414-OtherCost</f>
        <v/>
      </c>
      <c r="AD414" s="37">
        <f>'03_原始数据'!C414-0.685*'03_原始数据'!B414-OtherCost</f>
        <v/>
      </c>
      <c r="AE414" s="37">
        <f>'03_原始数据'!C414-0.69*'03_原始数据'!B414-OtherCost</f>
        <v/>
      </c>
      <c r="AF414" s="37">
        <f>'03_原始数据'!C414-0.695*'03_原始数据'!B414-OtherCost</f>
        <v/>
      </c>
      <c r="AG414" s="37">
        <f>'03_原始数据'!C414-0.7*'03_原始数据'!B414-OtherCost</f>
        <v/>
      </c>
    </row>
    <row r="415">
      <c r="M415" s="37">
        <f>'03_原始数据'!C415-0.6*'03_原始数据'!B415-OtherCost</f>
        <v/>
      </c>
      <c r="N415" s="37">
        <f>'03_原始数据'!C415-0.605*'03_原始数据'!B415-OtherCost</f>
        <v/>
      </c>
      <c r="O415" s="37">
        <f>'03_原始数据'!C415-0.61*'03_原始数据'!B415-OtherCost</f>
        <v/>
      </c>
      <c r="P415" s="37">
        <f>'03_原始数据'!C415-0.615*'03_原始数据'!B415-OtherCost</f>
        <v/>
      </c>
      <c r="Q415" s="37">
        <f>'03_原始数据'!C415-0.62*'03_原始数据'!B415-OtherCost</f>
        <v/>
      </c>
      <c r="R415" s="37">
        <f>'03_原始数据'!C415-0.625*'03_原始数据'!B415-OtherCost</f>
        <v/>
      </c>
      <c r="S415" s="37">
        <f>'03_原始数据'!C415-0.63*'03_原始数据'!B415-OtherCost</f>
        <v/>
      </c>
      <c r="T415" s="37">
        <f>'03_原始数据'!C415-0.635*'03_原始数据'!B415-OtherCost</f>
        <v/>
      </c>
      <c r="U415" s="37">
        <f>'03_原始数据'!C415-0.64*'03_原始数据'!B415-OtherCost</f>
        <v/>
      </c>
      <c r="V415" s="37">
        <f>'03_原始数据'!C415-0.645*'03_原始数据'!B415-OtherCost</f>
        <v/>
      </c>
      <c r="W415" s="37">
        <f>'03_原始数据'!C415-0.65*'03_原始数据'!B415-OtherCost</f>
        <v/>
      </c>
      <c r="X415" s="37">
        <f>'03_原始数据'!C415-0.655*'03_原始数据'!B415-OtherCost</f>
        <v/>
      </c>
      <c r="Y415" s="37">
        <f>'03_原始数据'!C415-0.66*'03_原始数据'!B415-OtherCost</f>
        <v/>
      </c>
      <c r="Z415" s="37">
        <f>'03_原始数据'!C415-0.665*'03_原始数据'!B415-OtherCost</f>
        <v/>
      </c>
      <c r="AA415" s="37">
        <f>'03_原始数据'!C415-0.67*'03_原始数据'!B415-OtherCost</f>
        <v/>
      </c>
      <c r="AB415" s="37">
        <f>'03_原始数据'!C415-0.675*'03_原始数据'!B415-OtherCost</f>
        <v/>
      </c>
      <c r="AC415" s="37">
        <f>'03_原始数据'!C415-0.68*'03_原始数据'!B415-OtherCost</f>
        <v/>
      </c>
      <c r="AD415" s="37">
        <f>'03_原始数据'!C415-0.685*'03_原始数据'!B415-OtherCost</f>
        <v/>
      </c>
      <c r="AE415" s="37">
        <f>'03_原始数据'!C415-0.69*'03_原始数据'!B415-OtherCost</f>
        <v/>
      </c>
      <c r="AF415" s="37">
        <f>'03_原始数据'!C415-0.695*'03_原始数据'!B415-OtherCost</f>
        <v/>
      </c>
      <c r="AG415" s="37">
        <f>'03_原始数据'!C415-0.7*'03_原始数据'!B415-OtherCost</f>
        <v/>
      </c>
    </row>
    <row r="416">
      <c r="M416" s="37">
        <f>'03_原始数据'!C416-0.6*'03_原始数据'!B416-OtherCost</f>
        <v/>
      </c>
      <c r="N416" s="37">
        <f>'03_原始数据'!C416-0.605*'03_原始数据'!B416-OtherCost</f>
        <v/>
      </c>
      <c r="O416" s="37">
        <f>'03_原始数据'!C416-0.61*'03_原始数据'!B416-OtherCost</f>
        <v/>
      </c>
      <c r="P416" s="37">
        <f>'03_原始数据'!C416-0.615*'03_原始数据'!B416-OtherCost</f>
        <v/>
      </c>
      <c r="Q416" s="37">
        <f>'03_原始数据'!C416-0.62*'03_原始数据'!B416-OtherCost</f>
        <v/>
      </c>
      <c r="R416" s="37">
        <f>'03_原始数据'!C416-0.625*'03_原始数据'!B416-OtherCost</f>
        <v/>
      </c>
      <c r="S416" s="37">
        <f>'03_原始数据'!C416-0.63*'03_原始数据'!B416-OtherCost</f>
        <v/>
      </c>
      <c r="T416" s="37">
        <f>'03_原始数据'!C416-0.635*'03_原始数据'!B416-OtherCost</f>
        <v/>
      </c>
      <c r="U416" s="37">
        <f>'03_原始数据'!C416-0.64*'03_原始数据'!B416-OtherCost</f>
        <v/>
      </c>
      <c r="V416" s="37">
        <f>'03_原始数据'!C416-0.645*'03_原始数据'!B416-OtherCost</f>
        <v/>
      </c>
      <c r="W416" s="37">
        <f>'03_原始数据'!C416-0.65*'03_原始数据'!B416-OtherCost</f>
        <v/>
      </c>
      <c r="X416" s="37">
        <f>'03_原始数据'!C416-0.655*'03_原始数据'!B416-OtherCost</f>
        <v/>
      </c>
      <c r="Y416" s="37">
        <f>'03_原始数据'!C416-0.66*'03_原始数据'!B416-OtherCost</f>
        <v/>
      </c>
      <c r="Z416" s="37">
        <f>'03_原始数据'!C416-0.665*'03_原始数据'!B416-OtherCost</f>
        <v/>
      </c>
      <c r="AA416" s="37">
        <f>'03_原始数据'!C416-0.67*'03_原始数据'!B416-OtherCost</f>
        <v/>
      </c>
      <c r="AB416" s="37">
        <f>'03_原始数据'!C416-0.675*'03_原始数据'!B416-OtherCost</f>
        <v/>
      </c>
      <c r="AC416" s="37">
        <f>'03_原始数据'!C416-0.68*'03_原始数据'!B416-OtherCost</f>
        <v/>
      </c>
      <c r="AD416" s="37">
        <f>'03_原始数据'!C416-0.685*'03_原始数据'!B416-OtherCost</f>
        <v/>
      </c>
      <c r="AE416" s="37">
        <f>'03_原始数据'!C416-0.69*'03_原始数据'!B416-OtherCost</f>
        <v/>
      </c>
      <c r="AF416" s="37">
        <f>'03_原始数据'!C416-0.695*'03_原始数据'!B416-OtherCost</f>
        <v/>
      </c>
      <c r="AG416" s="37">
        <f>'03_原始数据'!C416-0.7*'03_原始数据'!B416-OtherCost</f>
        <v/>
      </c>
    </row>
    <row r="417">
      <c r="M417" s="37">
        <f>'03_原始数据'!C417-0.6*'03_原始数据'!B417-OtherCost</f>
        <v/>
      </c>
      <c r="N417" s="37">
        <f>'03_原始数据'!C417-0.605*'03_原始数据'!B417-OtherCost</f>
        <v/>
      </c>
      <c r="O417" s="37">
        <f>'03_原始数据'!C417-0.61*'03_原始数据'!B417-OtherCost</f>
        <v/>
      </c>
      <c r="P417" s="37">
        <f>'03_原始数据'!C417-0.615*'03_原始数据'!B417-OtherCost</f>
        <v/>
      </c>
      <c r="Q417" s="37">
        <f>'03_原始数据'!C417-0.62*'03_原始数据'!B417-OtherCost</f>
        <v/>
      </c>
      <c r="R417" s="37">
        <f>'03_原始数据'!C417-0.625*'03_原始数据'!B417-OtherCost</f>
        <v/>
      </c>
      <c r="S417" s="37">
        <f>'03_原始数据'!C417-0.63*'03_原始数据'!B417-OtherCost</f>
        <v/>
      </c>
      <c r="T417" s="37">
        <f>'03_原始数据'!C417-0.635*'03_原始数据'!B417-OtherCost</f>
        <v/>
      </c>
      <c r="U417" s="37">
        <f>'03_原始数据'!C417-0.64*'03_原始数据'!B417-OtherCost</f>
        <v/>
      </c>
      <c r="V417" s="37">
        <f>'03_原始数据'!C417-0.645*'03_原始数据'!B417-OtherCost</f>
        <v/>
      </c>
      <c r="W417" s="37">
        <f>'03_原始数据'!C417-0.65*'03_原始数据'!B417-OtherCost</f>
        <v/>
      </c>
      <c r="X417" s="37">
        <f>'03_原始数据'!C417-0.655*'03_原始数据'!B417-OtherCost</f>
        <v/>
      </c>
      <c r="Y417" s="37">
        <f>'03_原始数据'!C417-0.66*'03_原始数据'!B417-OtherCost</f>
        <v/>
      </c>
      <c r="Z417" s="37">
        <f>'03_原始数据'!C417-0.665*'03_原始数据'!B417-OtherCost</f>
        <v/>
      </c>
      <c r="AA417" s="37">
        <f>'03_原始数据'!C417-0.67*'03_原始数据'!B417-OtherCost</f>
        <v/>
      </c>
      <c r="AB417" s="37">
        <f>'03_原始数据'!C417-0.675*'03_原始数据'!B417-OtherCost</f>
        <v/>
      </c>
      <c r="AC417" s="37">
        <f>'03_原始数据'!C417-0.68*'03_原始数据'!B417-OtherCost</f>
        <v/>
      </c>
      <c r="AD417" s="37">
        <f>'03_原始数据'!C417-0.685*'03_原始数据'!B417-OtherCost</f>
        <v/>
      </c>
      <c r="AE417" s="37">
        <f>'03_原始数据'!C417-0.69*'03_原始数据'!B417-OtherCost</f>
        <v/>
      </c>
      <c r="AF417" s="37">
        <f>'03_原始数据'!C417-0.695*'03_原始数据'!B417-OtherCost</f>
        <v/>
      </c>
      <c r="AG417" s="37">
        <f>'03_原始数据'!C417-0.7*'03_原始数据'!B417-OtherCost</f>
        <v/>
      </c>
    </row>
    <row r="418">
      <c r="M418" s="37">
        <f>'03_原始数据'!C418-0.6*'03_原始数据'!B418-OtherCost</f>
        <v/>
      </c>
      <c r="N418" s="37">
        <f>'03_原始数据'!C418-0.605*'03_原始数据'!B418-OtherCost</f>
        <v/>
      </c>
      <c r="O418" s="37">
        <f>'03_原始数据'!C418-0.61*'03_原始数据'!B418-OtherCost</f>
        <v/>
      </c>
      <c r="P418" s="37">
        <f>'03_原始数据'!C418-0.615*'03_原始数据'!B418-OtherCost</f>
        <v/>
      </c>
      <c r="Q418" s="37">
        <f>'03_原始数据'!C418-0.62*'03_原始数据'!B418-OtherCost</f>
        <v/>
      </c>
      <c r="R418" s="37">
        <f>'03_原始数据'!C418-0.625*'03_原始数据'!B418-OtherCost</f>
        <v/>
      </c>
      <c r="S418" s="37">
        <f>'03_原始数据'!C418-0.63*'03_原始数据'!B418-OtherCost</f>
        <v/>
      </c>
      <c r="T418" s="37">
        <f>'03_原始数据'!C418-0.635*'03_原始数据'!B418-OtherCost</f>
        <v/>
      </c>
      <c r="U418" s="37">
        <f>'03_原始数据'!C418-0.64*'03_原始数据'!B418-OtherCost</f>
        <v/>
      </c>
      <c r="V418" s="37">
        <f>'03_原始数据'!C418-0.645*'03_原始数据'!B418-OtherCost</f>
        <v/>
      </c>
      <c r="W418" s="37">
        <f>'03_原始数据'!C418-0.65*'03_原始数据'!B418-OtherCost</f>
        <v/>
      </c>
      <c r="X418" s="37">
        <f>'03_原始数据'!C418-0.655*'03_原始数据'!B418-OtherCost</f>
        <v/>
      </c>
      <c r="Y418" s="37">
        <f>'03_原始数据'!C418-0.66*'03_原始数据'!B418-OtherCost</f>
        <v/>
      </c>
      <c r="Z418" s="37">
        <f>'03_原始数据'!C418-0.665*'03_原始数据'!B418-OtherCost</f>
        <v/>
      </c>
      <c r="AA418" s="37">
        <f>'03_原始数据'!C418-0.67*'03_原始数据'!B418-OtherCost</f>
        <v/>
      </c>
      <c r="AB418" s="37">
        <f>'03_原始数据'!C418-0.675*'03_原始数据'!B418-OtherCost</f>
        <v/>
      </c>
      <c r="AC418" s="37">
        <f>'03_原始数据'!C418-0.68*'03_原始数据'!B418-OtherCost</f>
        <v/>
      </c>
      <c r="AD418" s="37">
        <f>'03_原始数据'!C418-0.685*'03_原始数据'!B418-OtherCost</f>
        <v/>
      </c>
      <c r="AE418" s="37">
        <f>'03_原始数据'!C418-0.69*'03_原始数据'!B418-OtherCost</f>
        <v/>
      </c>
      <c r="AF418" s="37">
        <f>'03_原始数据'!C418-0.695*'03_原始数据'!B418-OtherCost</f>
        <v/>
      </c>
      <c r="AG418" s="37">
        <f>'03_原始数据'!C418-0.7*'03_原始数据'!B418-OtherCost</f>
        <v/>
      </c>
    </row>
    <row r="419">
      <c r="M419" s="37">
        <f>'03_原始数据'!C419-0.6*'03_原始数据'!B419-OtherCost</f>
        <v/>
      </c>
      <c r="N419" s="37">
        <f>'03_原始数据'!C419-0.605*'03_原始数据'!B419-OtherCost</f>
        <v/>
      </c>
      <c r="O419" s="37">
        <f>'03_原始数据'!C419-0.61*'03_原始数据'!B419-OtherCost</f>
        <v/>
      </c>
      <c r="P419" s="37">
        <f>'03_原始数据'!C419-0.615*'03_原始数据'!B419-OtherCost</f>
        <v/>
      </c>
      <c r="Q419" s="37">
        <f>'03_原始数据'!C419-0.62*'03_原始数据'!B419-OtherCost</f>
        <v/>
      </c>
      <c r="R419" s="37">
        <f>'03_原始数据'!C419-0.625*'03_原始数据'!B419-OtherCost</f>
        <v/>
      </c>
      <c r="S419" s="37">
        <f>'03_原始数据'!C419-0.63*'03_原始数据'!B419-OtherCost</f>
        <v/>
      </c>
      <c r="T419" s="37">
        <f>'03_原始数据'!C419-0.635*'03_原始数据'!B419-OtherCost</f>
        <v/>
      </c>
      <c r="U419" s="37">
        <f>'03_原始数据'!C419-0.64*'03_原始数据'!B419-OtherCost</f>
        <v/>
      </c>
      <c r="V419" s="37">
        <f>'03_原始数据'!C419-0.645*'03_原始数据'!B419-OtherCost</f>
        <v/>
      </c>
      <c r="W419" s="37">
        <f>'03_原始数据'!C419-0.65*'03_原始数据'!B419-OtherCost</f>
        <v/>
      </c>
      <c r="X419" s="37">
        <f>'03_原始数据'!C419-0.655*'03_原始数据'!B419-OtherCost</f>
        <v/>
      </c>
      <c r="Y419" s="37">
        <f>'03_原始数据'!C419-0.66*'03_原始数据'!B419-OtherCost</f>
        <v/>
      </c>
      <c r="Z419" s="37">
        <f>'03_原始数据'!C419-0.665*'03_原始数据'!B419-OtherCost</f>
        <v/>
      </c>
      <c r="AA419" s="37">
        <f>'03_原始数据'!C419-0.67*'03_原始数据'!B419-OtherCost</f>
        <v/>
      </c>
      <c r="AB419" s="37">
        <f>'03_原始数据'!C419-0.675*'03_原始数据'!B419-OtherCost</f>
        <v/>
      </c>
      <c r="AC419" s="37">
        <f>'03_原始数据'!C419-0.68*'03_原始数据'!B419-OtherCost</f>
        <v/>
      </c>
      <c r="AD419" s="37">
        <f>'03_原始数据'!C419-0.685*'03_原始数据'!B419-OtherCost</f>
        <v/>
      </c>
      <c r="AE419" s="37">
        <f>'03_原始数据'!C419-0.69*'03_原始数据'!B419-OtherCost</f>
        <v/>
      </c>
      <c r="AF419" s="37">
        <f>'03_原始数据'!C419-0.695*'03_原始数据'!B419-OtherCost</f>
        <v/>
      </c>
      <c r="AG419" s="37">
        <f>'03_原始数据'!C419-0.7*'03_原始数据'!B419-OtherCost</f>
        <v/>
      </c>
    </row>
    <row r="420">
      <c r="M420" s="37">
        <f>'03_原始数据'!C420-0.6*'03_原始数据'!B420-OtherCost</f>
        <v/>
      </c>
      <c r="N420" s="37">
        <f>'03_原始数据'!C420-0.605*'03_原始数据'!B420-OtherCost</f>
        <v/>
      </c>
      <c r="O420" s="37">
        <f>'03_原始数据'!C420-0.61*'03_原始数据'!B420-OtherCost</f>
        <v/>
      </c>
      <c r="P420" s="37">
        <f>'03_原始数据'!C420-0.615*'03_原始数据'!B420-OtherCost</f>
        <v/>
      </c>
      <c r="Q420" s="37">
        <f>'03_原始数据'!C420-0.62*'03_原始数据'!B420-OtherCost</f>
        <v/>
      </c>
      <c r="R420" s="37">
        <f>'03_原始数据'!C420-0.625*'03_原始数据'!B420-OtherCost</f>
        <v/>
      </c>
      <c r="S420" s="37">
        <f>'03_原始数据'!C420-0.63*'03_原始数据'!B420-OtherCost</f>
        <v/>
      </c>
      <c r="T420" s="37">
        <f>'03_原始数据'!C420-0.635*'03_原始数据'!B420-OtherCost</f>
        <v/>
      </c>
      <c r="U420" s="37">
        <f>'03_原始数据'!C420-0.64*'03_原始数据'!B420-OtherCost</f>
        <v/>
      </c>
      <c r="V420" s="37">
        <f>'03_原始数据'!C420-0.645*'03_原始数据'!B420-OtherCost</f>
        <v/>
      </c>
      <c r="W420" s="37">
        <f>'03_原始数据'!C420-0.65*'03_原始数据'!B420-OtherCost</f>
        <v/>
      </c>
      <c r="X420" s="37">
        <f>'03_原始数据'!C420-0.655*'03_原始数据'!B420-OtherCost</f>
        <v/>
      </c>
      <c r="Y420" s="37">
        <f>'03_原始数据'!C420-0.66*'03_原始数据'!B420-OtherCost</f>
        <v/>
      </c>
      <c r="Z420" s="37">
        <f>'03_原始数据'!C420-0.665*'03_原始数据'!B420-OtherCost</f>
        <v/>
      </c>
      <c r="AA420" s="37">
        <f>'03_原始数据'!C420-0.67*'03_原始数据'!B420-OtherCost</f>
        <v/>
      </c>
      <c r="AB420" s="37">
        <f>'03_原始数据'!C420-0.675*'03_原始数据'!B420-OtherCost</f>
        <v/>
      </c>
      <c r="AC420" s="37">
        <f>'03_原始数据'!C420-0.68*'03_原始数据'!B420-OtherCost</f>
        <v/>
      </c>
      <c r="AD420" s="37">
        <f>'03_原始数据'!C420-0.685*'03_原始数据'!B420-OtherCost</f>
        <v/>
      </c>
      <c r="AE420" s="37">
        <f>'03_原始数据'!C420-0.69*'03_原始数据'!B420-OtherCost</f>
        <v/>
      </c>
      <c r="AF420" s="37">
        <f>'03_原始数据'!C420-0.695*'03_原始数据'!B420-OtherCost</f>
        <v/>
      </c>
      <c r="AG420" s="37">
        <f>'03_原始数据'!C420-0.7*'03_原始数据'!B420-OtherCost</f>
        <v/>
      </c>
    </row>
    <row r="421">
      <c r="M421" s="37">
        <f>'03_原始数据'!C421-0.6*'03_原始数据'!B421-OtherCost</f>
        <v/>
      </c>
      <c r="N421" s="37">
        <f>'03_原始数据'!C421-0.605*'03_原始数据'!B421-OtherCost</f>
        <v/>
      </c>
      <c r="O421" s="37">
        <f>'03_原始数据'!C421-0.61*'03_原始数据'!B421-OtherCost</f>
        <v/>
      </c>
      <c r="P421" s="37">
        <f>'03_原始数据'!C421-0.615*'03_原始数据'!B421-OtherCost</f>
        <v/>
      </c>
      <c r="Q421" s="37">
        <f>'03_原始数据'!C421-0.62*'03_原始数据'!B421-OtherCost</f>
        <v/>
      </c>
      <c r="R421" s="37">
        <f>'03_原始数据'!C421-0.625*'03_原始数据'!B421-OtherCost</f>
        <v/>
      </c>
      <c r="S421" s="37">
        <f>'03_原始数据'!C421-0.63*'03_原始数据'!B421-OtherCost</f>
        <v/>
      </c>
      <c r="T421" s="37">
        <f>'03_原始数据'!C421-0.635*'03_原始数据'!B421-OtherCost</f>
        <v/>
      </c>
      <c r="U421" s="37">
        <f>'03_原始数据'!C421-0.64*'03_原始数据'!B421-OtherCost</f>
        <v/>
      </c>
      <c r="V421" s="37">
        <f>'03_原始数据'!C421-0.645*'03_原始数据'!B421-OtherCost</f>
        <v/>
      </c>
      <c r="W421" s="37">
        <f>'03_原始数据'!C421-0.65*'03_原始数据'!B421-OtherCost</f>
        <v/>
      </c>
      <c r="X421" s="37">
        <f>'03_原始数据'!C421-0.655*'03_原始数据'!B421-OtherCost</f>
        <v/>
      </c>
      <c r="Y421" s="37">
        <f>'03_原始数据'!C421-0.66*'03_原始数据'!B421-OtherCost</f>
        <v/>
      </c>
      <c r="Z421" s="37">
        <f>'03_原始数据'!C421-0.665*'03_原始数据'!B421-OtherCost</f>
        <v/>
      </c>
      <c r="AA421" s="37">
        <f>'03_原始数据'!C421-0.67*'03_原始数据'!B421-OtherCost</f>
        <v/>
      </c>
      <c r="AB421" s="37">
        <f>'03_原始数据'!C421-0.675*'03_原始数据'!B421-OtherCost</f>
        <v/>
      </c>
      <c r="AC421" s="37">
        <f>'03_原始数据'!C421-0.68*'03_原始数据'!B421-OtherCost</f>
        <v/>
      </c>
      <c r="AD421" s="37">
        <f>'03_原始数据'!C421-0.685*'03_原始数据'!B421-OtherCost</f>
        <v/>
      </c>
      <c r="AE421" s="37">
        <f>'03_原始数据'!C421-0.69*'03_原始数据'!B421-OtherCost</f>
        <v/>
      </c>
      <c r="AF421" s="37">
        <f>'03_原始数据'!C421-0.695*'03_原始数据'!B421-OtherCost</f>
        <v/>
      </c>
      <c r="AG421" s="37">
        <f>'03_原始数据'!C421-0.7*'03_原始数据'!B421-OtherCost</f>
        <v/>
      </c>
    </row>
    <row r="422">
      <c r="M422" s="37">
        <f>'03_原始数据'!C422-0.6*'03_原始数据'!B422-OtherCost</f>
        <v/>
      </c>
      <c r="N422" s="37">
        <f>'03_原始数据'!C422-0.605*'03_原始数据'!B422-OtherCost</f>
        <v/>
      </c>
      <c r="O422" s="37">
        <f>'03_原始数据'!C422-0.61*'03_原始数据'!B422-OtherCost</f>
        <v/>
      </c>
      <c r="P422" s="37">
        <f>'03_原始数据'!C422-0.615*'03_原始数据'!B422-OtherCost</f>
        <v/>
      </c>
      <c r="Q422" s="37">
        <f>'03_原始数据'!C422-0.62*'03_原始数据'!B422-OtherCost</f>
        <v/>
      </c>
      <c r="R422" s="37">
        <f>'03_原始数据'!C422-0.625*'03_原始数据'!B422-OtherCost</f>
        <v/>
      </c>
      <c r="S422" s="37">
        <f>'03_原始数据'!C422-0.63*'03_原始数据'!B422-OtherCost</f>
        <v/>
      </c>
      <c r="T422" s="37">
        <f>'03_原始数据'!C422-0.635*'03_原始数据'!B422-OtherCost</f>
        <v/>
      </c>
      <c r="U422" s="37">
        <f>'03_原始数据'!C422-0.64*'03_原始数据'!B422-OtherCost</f>
        <v/>
      </c>
      <c r="V422" s="37">
        <f>'03_原始数据'!C422-0.645*'03_原始数据'!B422-OtherCost</f>
        <v/>
      </c>
      <c r="W422" s="37">
        <f>'03_原始数据'!C422-0.65*'03_原始数据'!B422-OtherCost</f>
        <v/>
      </c>
      <c r="X422" s="37">
        <f>'03_原始数据'!C422-0.655*'03_原始数据'!B422-OtherCost</f>
        <v/>
      </c>
      <c r="Y422" s="37">
        <f>'03_原始数据'!C422-0.66*'03_原始数据'!B422-OtherCost</f>
        <v/>
      </c>
      <c r="Z422" s="37">
        <f>'03_原始数据'!C422-0.665*'03_原始数据'!B422-OtherCost</f>
        <v/>
      </c>
      <c r="AA422" s="37">
        <f>'03_原始数据'!C422-0.67*'03_原始数据'!B422-OtherCost</f>
        <v/>
      </c>
      <c r="AB422" s="37">
        <f>'03_原始数据'!C422-0.675*'03_原始数据'!B422-OtherCost</f>
        <v/>
      </c>
      <c r="AC422" s="37">
        <f>'03_原始数据'!C422-0.68*'03_原始数据'!B422-OtherCost</f>
        <v/>
      </c>
      <c r="AD422" s="37">
        <f>'03_原始数据'!C422-0.685*'03_原始数据'!B422-OtherCost</f>
        <v/>
      </c>
      <c r="AE422" s="37">
        <f>'03_原始数据'!C422-0.69*'03_原始数据'!B422-OtherCost</f>
        <v/>
      </c>
      <c r="AF422" s="37">
        <f>'03_原始数据'!C422-0.695*'03_原始数据'!B422-OtherCost</f>
        <v/>
      </c>
      <c r="AG422" s="37">
        <f>'03_原始数据'!C422-0.7*'03_原始数据'!B422-OtherCost</f>
        <v/>
      </c>
    </row>
    <row r="423">
      <c r="M423" s="37">
        <f>'03_原始数据'!C423-0.6*'03_原始数据'!B423-OtherCost</f>
        <v/>
      </c>
      <c r="N423" s="37">
        <f>'03_原始数据'!C423-0.605*'03_原始数据'!B423-OtherCost</f>
        <v/>
      </c>
      <c r="O423" s="37">
        <f>'03_原始数据'!C423-0.61*'03_原始数据'!B423-OtherCost</f>
        <v/>
      </c>
      <c r="P423" s="37">
        <f>'03_原始数据'!C423-0.615*'03_原始数据'!B423-OtherCost</f>
        <v/>
      </c>
      <c r="Q423" s="37">
        <f>'03_原始数据'!C423-0.62*'03_原始数据'!B423-OtherCost</f>
        <v/>
      </c>
      <c r="R423" s="37">
        <f>'03_原始数据'!C423-0.625*'03_原始数据'!B423-OtherCost</f>
        <v/>
      </c>
      <c r="S423" s="37">
        <f>'03_原始数据'!C423-0.63*'03_原始数据'!B423-OtherCost</f>
        <v/>
      </c>
      <c r="T423" s="37">
        <f>'03_原始数据'!C423-0.635*'03_原始数据'!B423-OtherCost</f>
        <v/>
      </c>
      <c r="U423" s="37">
        <f>'03_原始数据'!C423-0.64*'03_原始数据'!B423-OtherCost</f>
        <v/>
      </c>
      <c r="V423" s="37">
        <f>'03_原始数据'!C423-0.645*'03_原始数据'!B423-OtherCost</f>
        <v/>
      </c>
      <c r="W423" s="37">
        <f>'03_原始数据'!C423-0.65*'03_原始数据'!B423-OtherCost</f>
        <v/>
      </c>
      <c r="X423" s="37">
        <f>'03_原始数据'!C423-0.655*'03_原始数据'!B423-OtherCost</f>
        <v/>
      </c>
      <c r="Y423" s="37">
        <f>'03_原始数据'!C423-0.66*'03_原始数据'!B423-OtherCost</f>
        <v/>
      </c>
      <c r="Z423" s="37">
        <f>'03_原始数据'!C423-0.665*'03_原始数据'!B423-OtherCost</f>
        <v/>
      </c>
      <c r="AA423" s="37">
        <f>'03_原始数据'!C423-0.67*'03_原始数据'!B423-OtherCost</f>
        <v/>
      </c>
      <c r="AB423" s="37">
        <f>'03_原始数据'!C423-0.675*'03_原始数据'!B423-OtherCost</f>
        <v/>
      </c>
      <c r="AC423" s="37">
        <f>'03_原始数据'!C423-0.68*'03_原始数据'!B423-OtherCost</f>
        <v/>
      </c>
      <c r="AD423" s="37">
        <f>'03_原始数据'!C423-0.685*'03_原始数据'!B423-OtherCost</f>
        <v/>
      </c>
      <c r="AE423" s="37">
        <f>'03_原始数据'!C423-0.69*'03_原始数据'!B423-OtherCost</f>
        <v/>
      </c>
      <c r="AF423" s="37">
        <f>'03_原始数据'!C423-0.695*'03_原始数据'!B423-OtherCost</f>
        <v/>
      </c>
      <c r="AG423" s="37">
        <f>'03_原始数据'!C423-0.7*'03_原始数据'!B423-OtherCost</f>
        <v/>
      </c>
    </row>
    <row r="424">
      <c r="M424" s="37">
        <f>'03_原始数据'!C424-0.6*'03_原始数据'!B424-OtherCost</f>
        <v/>
      </c>
      <c r="N424" s="37">
        <f>'03_原始数据'!C424-0.605*'03_原始数据'!B424-OtherCost</f>
        <v/>
      </c>
      <c r="O424" s="37">
        <f>'03_原始数据'!C424-0.61*'03_原始数据'!B424-OtherCost</f>
        <v/>
      </c>
      <c r="P424" s="37">
        <f>'03_原始数据'!C424-0.615*'03_原始数据'!B424-OtherCost</f>
        <v/>
      </c>
      <c r="Q424" s="37">
        <f>'03_原始数据'!C424-0.62*'03_原始数据'!B424-OtherCost</f>
        <v/>
      </c>
      <c r="R424" s="37">
        <f>'03_原始数据'!C424-0.625*'03_原始数据'!B424-OtherCost</f>
        <v/>
      </c>
      <c r="S424" s="37">
        <f>'03_原始数据'!C424-0.63*'03_原始数据'!B424-OtherCost</f>
        <v/>
      </c>
      <c r="T424" s="37">
        <f>'03_原始数据'!C424-0.635*'03_原始数据'!B424-OtherCost</f>
        <v/>
      </c>
      <c r="U424" s="37">
        <f>'03_原始数据'!C424-0.64*'03_原始数据'!B424-OtherCost</f>
        <v/>
      </c>
      <c r="V424" s="37">
        <f>'03_原始数据'!C424-0.645*'03_原始数据'!B424-OtherCost</f>
        <v/>
      </c>
      <c r="W424" s="37">
        <f>'03_原始数据'!C424-0.65*'03_原始数据'!B424-OtherCost</f>
        <v/>
      </c>
      <c r="X424" s="37">
        <f>'03_原始数据'!C424-0.655*'03_原始数据'!B424-OtherCost</f>
        <v/>
      </c>
      <c r="Y424" s="37">
        <f>'03_原始数据'!C424-0.66*'03_原始数据'!B424-OtherCost</f>
        <v/>
      </c>
      <c r="Z424" s="37">
        <f>'03_原始数据'!C424-0.665*'03_原始数据'!B424-OtherCost</f>
        <v/>
      </c>
      <c r="AA424" s="37">
        <f>'03_原始数据'!C424-0.67*'03_原始数据'!B424-OtherCost</f>
        <v/>
      </c>
      <c r="AB424" s="37">
        <f>'03_原始数据'!C424-0.675*'03_原始数据'!B424-OtherCost</f>
        <v/>
      </c>
      <c r="AC424" s="37">
        <f>'03_原始数据'!C424-0.68*'03_原始数据'!B424-OtherCost</f>
        <v/>
      </c>
      <c r="AD424" s="37">
        <f>'03_原始数据'!C424-0.685*'03_原始数据'!B424-OtherCost</f>
        <v/>
      </c>
      <c r="AE424" s="37">
        <f>'03_原始数据'!C424-0.69*'03_原始数据'!B424-OtherCost</f>
        <v/>
      </c>
      <c r="AF424" s="37">
        <f>'03_原始数据'!C424-0.695*'03_原始数据'!B424-OtherCost</f>
        <v/>
      </c>
      <c r="AG424" s="37">
        <f>'03_原始数据'!C424-0.7*'03_原始数据'!B424-OtherCost</f>
        <v/>
      </c>
    </row>
    <row r="425">
      <c r="M425" s="37">
        <f>'03_原始数据'!C425-0.6*'03_原始数据'!B425-OtherCost</f>
        <v/>
      </c>
      <c r="N425" s="37">
        <f>'03_原始数据'!C425-0.605*'03_原始数据'!B425-OtherCost</f>
        <v/>
      </c>
      <c r="O425" s="37">
        <f>'03_原始数据'!C425-0.61*'03_原始数据'!B425-OtherCost</f>
        <v/>
      </c>
      <c r="P425" s="37">
        <f>'03_原始数据'!C425-0.615*'03_原始数据'!B425-OtherCost</f>
        <v/>
      </c>
      <c r="Q425" s="37">
        <f>'03_原始数据'!C425-0.62*'03_原始数据'!B425-OtherCost</f>
        <v/>
      </c>
      <c r="R425" s="37">
        <f>'03_原始数据'!C425-0.625*'03_原始数据'!B425-OtherCost</f>
        <v/>
      </c>
      <c r="S425" s="37">
        <f>'03_原始数据'!C425-0.63*'03_原始数据'!B425-OtherCost</f>
        <v/>
      </c>
      <c r="T425" s="37">
        <f>'03_原始数据'!C425-0.635*'03_原始数据'!B425-OtherCost</f>
        <v/>
      </c>
      <c r="U425" s="37">
        <f>'03_原始数据'!C425-0.64*'03_原始数据'!B425-OtherCost</f>
        <v/>
      </c>
      <c r="V425" s="37">
        <f>'03_原始数据'!C425-0.645*'03_原始数据'!B425-OtherCost</f>
        <v/>
      </c>
      <c r="W425" s="37">
        <f>'03_原始数据'!C425-0.65*'03_原始数据'!B425-OtherCost</f>
        <v/>
      </c>
      <c r="X425" s="37">
        <f>'03_原始数据'!C425-0.655*'03_原始数据'!B425-OtherCost</f>
        <v/>
      </c>
      <c r="Y425" s="37">
        <f>'03_原始数据'!C425-0.66*'03_原始数据'!B425-OtherCost</f>
        <v/>
      </c>
      <c r="Z425" s="37">
        <f>'03_原始数据'!C425-0.665*'03_原始数据'!B425-OtherCost</f>
        <v/>
      </c>
      <c r="AA425" s="37">
        <f>'03_原始数据'!C425-0.67*'03_原始数据'!B425-OtherCost</f>
        <v/>
      </c>
      <c r="AB425" s="37">
        <f>'03_原始数据'!C425-0.675*'03_原始数据'!B425-OtherCost</f>
        <v/>
      </c>
      <c r="AC425" s="37">
        <f>'03_原始数据'!C425-0.68*'03_原始数据'!B425-OtherCost</f>
        <v/>
      </c>
      <c r="AD425" s="37">
        <f>'03_原始数据'!C425-0.685*'03_原始数据'!B425-OtherCost</f>
        <v/>
      </c>
      <c r="AE425" s="37">
        <f>'03_原始数据'!C425-0.69*'03_原始数据'!B425-OtherCost</f>
        <v/>
      </c>
      <c r="AF425" s="37">
        <f>'03_原始数据'!C425-0.695*'03_原始数据'!B425-OtherCost</f>
        <v/>
      </c>
      <c r="AG425" s="37">
        <f>'03_原始数据'!C425-0.7*'03_原始数据'!B425-OtherCost</f>
        <v/>
      </c>
    </row>
    <row r="426">
      <c r="M426" s="37">
        <f>'03_原始数据'!C426-0.6*'03_原始数据'!B426-OtherCost</f>
        <v/>
      </c>
      <c r="N426" s="37">
        <f>'03_原始数据'!C426-0.605*'03_原始数据'!B426-OtherCost</f>
        <v/>
      </c>
      <c r="O426" s="37">
        <f>'03_原始数据'!C426-0.61*'03_原始数据'!B426-OtherCost</f>
        <v/>
      </c>
      <c r="P426" s="37">
        <f>'03_原始数据'!C426-0.615*'03_原始数据'!B426-OtherCost</f>
        <v/>
      </c>
      <c r="Q426" s="37">
        <f>'03_原始数据'!C426-0.62*'03_原始数据'!B426-OtherCost</f>
        <v/>
      </c>
      <c r="R426" s="37">
        <f>'03_原始数据'!C426-0.625*'03_原始数据'!B426-OtherCost</f>
        <v/>
      </c>
      <c r="S426" s="37">
        <f>'03_原始数据'!C426-0.63*'03_原始数据'!B426-OtherCost</f>
        <v/>
      </c>
      <c r="T426" s="37">
        <f>'03_原始数据'!C426-0.635*'03_原始数据'!B426-OtherCost</f>
        <v/>
      </c>
      <c r="U426" s="37">
        <f>'03_原始数据'!C426-0.64*'03_原始数据'!B426-OtherCost</f>
        <v/>
      </c>
      <c r="V426" s="37">
        <f>'03_原始数据'!C426-0.645*'03_原始数据'!B426-OtherCost</f>
        <v/>
      </c>
      <c r="W426" s="37">
        <f>'03_原始数据'!C426-0.65*'03_原始数据'!B426-OtherCost</f>
        <v/>
      </c>
      <c r="X426" s="37">
        <f>'03_原始数据'!C426-0.655*'03_原始数据'!B426-OtherCost</f>
        <v/>
      </c>
      <c r="Y426" s="37">
        <f>'03_原始数据'!C426-0.66*'03_原始数据'!B426-OtherCost</f>
        <v/>
      </c>
      <c r="Z426" s="37">
        <f>'03_原始数据'!C426-0.665*'03_原始数据'!B426-OtherCost</f>
        <v/>
      </c>
      <c r="AA426" s="37">
        <f>'03_原始数据'!C426-0.67*'03_原始数据'!B426-OtherCost</f>
        <v/>
      </c>
      <c r="AB426" s="37">
        <f>'03_原始数据'!C426-0.675*'03_原始数据'!B426-OtherCost</f>
        <v/>
      </c>
      <c r="AC426" s="37">
        <f>'03_原始数据'!C426-0.68*'03_原始数据'!B426-OtherCost</f>
        <v/>
      </c>
      <c r="AD426" s="37">
        <f>'03_原始数据'!C426-0.685*'03_原始数据'!B426-OtherCost</f>
        <v/>
      </c>
      <c r="AE426" s="37">
        <f>'03_原始数据'!C426-0.69*'03_原始数据'!B426-OtherCost</f>
        <v/>
      </c>
      <c r="AF426" s="37">
        <f>'03_原始数据'!C426-0.695*'03_原始数据'!B426-OtherCost</f>
        <v/>
      </c>
      <c r="AG426" s="37">
        <f>'03_原始数据'!C426-0.7*'03_原始数据'!B426-OtherCost</f>
        <v/>
      </c>
    </row>
    <row r="427">
      <c r="M427" s="37">
        <f>'03_原始数据'!C427-0.6*'03_原始数据'!B427-OtherCost</f>
        <v/>
      </c>
      <c r="N427" s="37">
        <f>'03_原始数据'!C427-0.605*'03_原始数据'!B427-OtherCost</f>
        <v/>
      </c>
      <c r="O427" s="37">
        <f>'03_原始数据'!C427-0.61*'03_原始数据'!B427-OtherCost</f>
        <v/>
      </c>
      <c r="P427" s="37">
        <f>'03_原始数据'!C427-0.615*'03_原始数据'!B427-OtherCost</f>
        <v/>
      </c>
      <c r="Q427" s="37">
        <f>'03_原始数据'!C427-0.62*'03_原始数据'!B427-OtherCost</f>
        <v/>
      </c>
      <c r="R427" s="37">
        <f>'03_原始数据'!C427-0.625*'03_原始数据'!B427-OtherCost</f>
        <v/>
      </c>
      <c r="S427" s="37">
        <f>'03_原始数据'!C427-0.63*'03_原始数据'!B427-OtherCost</f>
        <v/>
      </c>
      <c r="T427" s="37">
        <f>'03_原始数据'!C427-0.635*'03_原始数据'!B427-OtherCost</f>
        <v/>
      </c>
      <c r="U427" s="37">
        <f>'03_原始数据'!C427-0.64*'03_原始数据'!B427-OtherCost</f>
        <v/>
      </c>
      <c r="V427" s="37">
        <f>'03_原始数据'!C427-0.645*'03_原始数据'!B427-OtherCost</f>
        <v/>
      </c>
      <c r="W427" s="37">
        <f>'03_原始数据'!C427-0.65*'03_原始数据'!B427-OtherCost</f>
        <v/>
      </c>
      <c r="X427" s="37">
        <f>'03_原始数据'!C427-0.655*'03_原始数据'!B427-OtherCost</f>
        <v/>
      </c>
      <c r="Y427" s="37">
        <f>'03_原始数据'!C427-0.66*'03_原始数据'!B427-OtherCost</f>
        <v/>
      </c>
      <c r="Z427" s="37">
        <f>'03_原始数据'!C427-0.665*'03_原始数据'!B427-OtherCost</f>
        <v/>
      </c>
      <c r="AA427" s="37">
        <f>'03_原始数据'!C427-0.67*'03_原始数据'!B427-OtherCost</f>
        <v/>
      </c>
      <c r="AB427" s="37">
        <f>'03_原始数据'!C427-0.675*'03_原始数据'!B427-OtherCost</f>
        <v/>
      </c>
      <c r="AC427" s="37">
        <f>'03_原始数据'!C427-0.68*'03_原始数据'!B427-OtherCost</f>
        <v/>
      </c>
      <c r="AD427" s="37">
        <f>'03_原始数据'!C427-0.685*'03_原始数据'!B427-OtherCost</f>
        <v/>
      </c>
      <c r="AE427" s="37">
        <f>'03_原始数据'!C427-0.69*'03_原始数据'!B427-OtherCost</f>
        <v/>
      </c>
      <c r="AF427" s="37">
        <f>'03_原始数据'!C427-0.695*'03_原始数据'!B427-OtherCost</f>
        <v/>
      </c>
      <c r="AG427" s="37">
        <f>'03_原始数据'!C427-0.7*'03_原始数据'!B427-OtherCost</f>
        <v/>
      </c>
    </row>
    <row r="428">
      <c r="M428" s="37">
        <f>'03_原始数据'!C428-0.6*'03_原始数据'!B428-OtherCost</f>
        <v/>
      </c>
      <c r="N428" s="37">
        <f>'03_原始数据'!C428-0.605*'03_原始数据'!B428-OtherCost</f>
        <v/>
      </c>
      <c r="O428" s="37">
        <f>'03_原始数据'!C428-0.61*'03_原始数据'!B428-OtherCost</f>
        <v/>
      </c>
      <c r="P428" s="37">
        <f>'03_原始数据'!C428-0.615*'03_原始数据'!B428-OtherCost</f>
        <v/>
      </c>
      <c r="Q428" s="37">
        <f>'03_原始数据'!C428-0.62*'03_原始数据'!B428-OtherCost</f>
        <v/>
      </c>
      <c r="R428" s="37">
        <f>'03_原始数据'!C428-0.625*'03_原始数据'!B428-OtherCost</f>
        <v/>
      </c>
      <c r="S428" s="37">
        <f>'03_原始数据'!C428-0.63*'03_原始数据'!B428-OtherCost</f>
        <v/>
      </c>
      <c r="T428" s="37">
        <f>'03_原始数据'!C428-0.635*'03_原始数据'!B428-OtherCost</f>
        <v/>
      </c>
      <c r="U428" s="37">
        <f>'03_原始数据'!C428-0.64*'03_原始数据'!B428-OtherCost</f>
        <v/>
      </c>
      <c r="V428" s="37">
        <f>'03_原始数据'!C428-0.645*'03_原始数据'!B428-OtherCost</f>
        <v/>
      </c>
      <c r="W428" s="37">
        <f>'03_原始数据'!C428-0.65*'03_原始数据'!B428-OtherCost</f>
        <v/>
      </c>
      <c r="X428" s="37">
        <f>'03_原始数据'!C428-0.655*'03_原始数据'!B428-OtherCost</f>
        <v/>
      </c>
      <c r="Y428" s="37">
        <f>'03_原始数据'!C428-0.66*'03_原始数据'!B428-OtherCost</f>
        <v/>
      </c>
      <c r="Z428" s="37">
        <f>'03_原始数据'!C428-0.665*'03_原始数据'!B428-OtherCost</f>
        <v/>
      </c>
      <c r="AA428" s="37">
        <f>'03_原始数据'!C428-0.67*'03_原始数据'!B428-OtherCost</f>
        <v/>
      </c>
      <c r="AB428" s="37">
        <f>'03_原始数据'!C428-0.675*'03_原始数据'!B428-OtherCost</f>
        <v/>
      </c>
      <c r="AC428" s="37">
        <f>'03_原始数据'!C428-0.68*'03_原始数据'!B428-OtherCost</f>
        <v/>
      </c>
      <c r="AD428" s="37">
        <f>'03_原始数据'!C428-0.685*'03_原始数据'!B428-OtherCost</f>
        <v/>
      </c>
      <c r="AE428" s="37">
        <f>'03_原始数据'!C428-0.69*'03_原始数据'!B428-OtherCost</f>
        <v/>
      </c>
      <c r="AF428" s="37">
        <f>'03_原始数据'!C428-0.695*'03_原始数据'!B428-OtherCost</f>
        <v/>
      </c>
      <c r="AG428" s="37">
        <f>'03_原始数据'!C428-0.7*'03_原始数据'!B428-OtherCost</f>
        <v/>
      </c>
    </row>
    <row r="429">
      <c r="M429" s="37">
        <f>'03_原始数据'!C429-0.6*'03_原始数据'!B429-OtherCost</f>
        <v/>
      </c>
      <c r="N429" s="37">
        <f>'03_原始数据'!C429-0.605*'03_原始数据'!B429-OtherCost</f>
        <v/>
      </c>
      <c r="O429" s="37">
        <f>'03_原始数据'!C429-0.61*'03_原始数据'!B429-OtherCost</f>
        <v/>
      </c>
      <c r="P429" s="37">
        <f>'03_原始数据'!C429-0.615*'03_原始数据'!B429-OtherCost</f>
        <v/>
      </c>
      <c r="Q429" s="37">
        <f>'03_原始数据'!C429-0.62*'03_原始数据'!B429-OtherCost</f>
        <v/>
      </c>
      <c r="R429" s="37">
        <f>'03_原始数据'!C429-0.625*'03_原始数据'!B429-OtherCost</f>
        <v/>
      </c>
      <c r="S429" s="37">
        <f>'03_原始数据'!C429-0.63*'03_原始数据'!B429-OtherCost</f>
        <v/>
      </c>
      <c r="T429" s="37">
        <f>'03_原始数据'!C429-0.635*'03_原始数据'!B429-OtherCost</f>
        <v/>
      </c>
      <c r="U429" s="37">
        <f>'03_原始数据'!C429-0.64*'03_原始数据'!B429-OtherCost</f>
        <v/>
      </c>
      <c r="V429" s="37">
        <f>'03_原始数据'!C429-0.645*'03_原始数据'!B429-OtherCost</f>
        <v/>
      </c>
      <c r="W429" s="37">
        <f>'03_原始数据'!C429-0.65*'03_原始数据'!B429-OtherCost</f>
        <v/>
      </c>
      <c r="X429" s="37">
        <f>'03_原始数据'!C429-0.655*'03_原始数据'!B429-OtherCost</f>
        <v/>
      </c>
      <c r="Y429" s="37">
        <f>'03_原始数据'!C429-0.66*'03_原始数据'!B429-OtherCost</f>
        <v/>
      </c>
      <c r="Z429" s="37">
        <f>'03_原始数据'!C429-0.665*'03_原始数据'!B429-OtherCost</f>
        <v/>
      </c>
      <c r="AA429" s="37">
        <f>'03_原始数据'!C429-0.67*'03_原始数据'!B429-OtherCost</f>
        <v/>
      </c>
      <c r="AB429" s="37">
        <f>'03_原始数据'!C429-0.675*'03_原始数据'!B429-OtherCost</f>
        <v/>
      </c>
      <c r="AC429" s="37">
        <f>'03_原始数据'!C429-0.68*'03_原始数据'!B429-OtherCost</f>
        <v/>
      </c>
      <c r="AD429" s="37">
        <f>'03_原始数据'!C429-0.685*'03_原始数据'!B429-OtherCost</f>
        <v/>
      </c>
      <c r="AE429" s="37">
        <f>'03_原始数据'!C429-0.69*'03_原始数据'!B429-OtherCost</f>
        <v/>
      </c>
      <c r="AF429" s="37">
        <f>'03_原始数据'!C429-0.695*'03_原始数据'!B429-OtherCost</f>
        <v/>
      </c>
      <c r="AG429" s="37">
        <f>'03_原始数据'!C429-0.7*'03_原始数据'!B429-OtherCost</f>
        <v/>
      </c>
    </row>
    <row r="430">
      <c r="M430" s="37">
        <f>'03_原始数据'!C430-0.6*'03_原始数据'!B430-OtherCost</f>
        <v/>
      </c>
      <c r="N430" s="37">
        <f>'03_原始数据'!C430-0.605*'03_原始数据'!B430-OtherCost</f>
        <v/>
      </c>
      <c r="O430" s="37">
        <f>'03_原始数据'!C430-0.61*'03_原始数据'!B430-OtherCost</f>
        <v/>
      </c>
      <c r="P430" s="37">
        <f>'03_原始数据'!C430-0.615*'03_原始数据'!B430-OtherCost</f>
        <v/>
      </c>
      <c r="Q430" s="37">
        <f>'03_原始数据'!C430-0.62*'03_原始数据'!B430-OtherCost</f>
        <v/>
      </c>
      <c r="R430" s="37">
        <f>'03_原始数据'!C430-0.625*'03_原始数据'!B430-OtherCost</f>
        <v/>
      </c>
      <c r="S430" s="37">
        <f>'03_原始数据'!C430-0.63*'03_原始数据'!B430-OtherCost</f>
        <v/>
      </c>
      <c r="T430" s="37">
        <f>'03_原始数据'!C430-0.635*'03_原始数据'!B430-OtherCost</f>
        <v/>
      </c>
      <c r="U430" s="37">
        <f>'03_原始数据'!C430-0.64*'03_原始数据'!B430-OtherCost</f>
        <v/>
      </c>
      <c r="V430" s="37">
        <f>'03_原始数据'!C430-0.645*'03_原始数据'!B430-OtherCost</f>
        <v/>
      </c>
      <c r="W430" s="37">
        <f>'03_原始数据'!C430-0.65*'03_原始数据'!B430-OtherCost</f>
        <v/>
      </c>
      <c r="X430" s="37">
        <f>'03_原始数据'!C430-0.655*'03_原始数据'!B430-OtherCost</f>
        <v/>
      </c>
      <c r="Y430" s="37">
        <f>'03_原始数据'!C430-0.66*'03_原始数据'!B430-OtherCost</f>
        <v/>
      </c>
      <c r="Z430" s="37">
        <f>'03_原始数据'!C430-0.665*'03_原始数据'!B430-OtherCost</f>
        <v/>
      </c>
      <c r="AA430" s="37">
        <f>'03_原始数据'!C430-0.67*'03_原始数据'!B430-OtherCost</f>
        <v/>
      </c>
      <c r="AB430" s="37">
        <f>'03_原始数据'!C430-0.675*'03_原始数据'!B430-OtherCost</f>
        <v/>
      </c>
      <c r="AC430" s="37">
        <f>'03_原始数据'!C430-0.68*'03_原始数据'!B430-OtherCost</f>
        <v/>
      </c>
      <c r="AD430" s="37">
        <f>'03_原始数据'!C430-0.685*'03_原始数据'!B430-OtherCost</f>
        <v/>
      </c>
      <c r="AE430" s="37">
        <f>'03_原始数据'!C430-0.69*'03_原始数据'!B430-OtherCost</f>
        <v/>
      </c>
      <c r="AF430" s="37">
        <f>'03_原始数据'!C430-0.695*'03_原始数据'!B430-OtherCost</f>
        <v/>
      </c>
      <c r="AG430" s="37">
        <f>'03_原始数据'!C430-0.7*'03_原始数据'!B430-OtherCost</f>
        <v/>
      </c>
    </row>
    <row r="431">
      <c r="M431" s="37">
        <f>'03_原始数据'!C431-0.6*'03_原始数据'!B431-OtherCost</f>
        <v/>
      </c>
      <c r="N431" s="37">
        <f>'03_原始数据'!C431-0.605*'03_原始数据'!B431-OtherCost</f>
        <v/>
      </c>
      <c r="O431" s="37">
        <f>'03_原始数据'!C431-0.61*'03_原始数据'!B431-OtherCost</f>
        <v/>
      </c>
      <c r="P431" s="37">
        <f>'03_原始数据'!C431-0.615*'03_原始数据'!B431-OtherCost</f>
        <v/>
      </c>
      <c r="Q431" s="37">
        <f>'03_原始数据'!C431-0.62*'03_原始数据'!B431-OtherCost</f>
        <v/>
      </c>
      <c r="R431" s="37">
        <f>'03_原始数据'!C431-0.625*'03_原始数据'!B431-OtherCost</f>
        <v/>
      </c>
      <c r="S431" s="37">
        <f>'03_原始数据'!C431-0.63*'03_原始数据'!B431-OtherCost</f>
        <v/>
      </c>
      <c r="T431" s="37">
        <f>'03_原始数据'!C431-0.635*'03_原始数据'!B431-OtherCost</f>
        <v/>
      </c>
      <c r="U431" s="37">
        <f>'03_原始数据'!C431-0.64*'03_原始数据'!B431-OtherCost</f>
        <v/>
      </c>
      <c r="V431" s="37">
        <f>'03_原始数据'!C431-0.645*'03_原始数据'!B431-OtherCost</f>
        <v/>
      </c>
      <c r="W431" s="37">
        <f>'03_原始数据'!C431-0.65*'03_原始数据'!B431-OtherCost</f>
        <v/>
      </c>
      <c r="X431" s="37">
        <f>'03_原始数据'!C431-0.655*'03_原始数据'!B431-OtherCost</f>
        <v/>
      </c>
      <c r="Y431" s="37">
        <f>'03_原始数据'!C431-0.66*'03_原始数据'!B431-OtherCost</f>
        <v/>
      </c>
      <c r="Z431" s="37">
        <f>'03_原始数据'!C431-0.665*'03_原始数据'!B431-OtherCost</f>
        <v/>
      </c>
      <c r="AA431" s="37">
        <f>'03_原始数据'!C431-0.67*'03_原始数据'!B431-OtherCost</f>
        <v/>
      </c>
      <c r="AB431" s="37">
        <f>'03_原始数据'!C431-0.675*'03_原始数据'!B431-OtherCost</f>
        <v/>
      </c>
      <c r="AC431" s="37">
        <f>'03_原始数据'!C431-0.68*'03_原始数据'!B431-OtherCost</f>
        <v/>
      </c>
      <c r="AD431" s="37">
        <f>'03_原始数据'!C431-0.685*'03_原始数据'!B431-OtherCost</f>
        <v/>
      </c>
      <c r="AE431" s="37">
        <f>'03_原始数据'!C431-0.69*'03_原始数据'!B431-OtherCost</f>
        <v/>
      </c>
      <c r="AF431" s="37">
        <f>'03_原始数据'!C431-0.695*'03_原始数据'!B431-OtherCost</f>
        <v/>
      </c>
      <c r="AG431" s="37">
        <f>'03_原始数据'!C431-0.7*'03_原始数据'!B431-OtherCost</f>
        <v/>
      </c>
    </row>
    <row r="432">
      <c r="M432" s="37">
        <f>'03_原始数据'!C432-0.6*'03_原始数据'!B432-OtherCost</f>
        <v/>
      </c>
      <c r="N432" s="37">
        <f>'03_原始数据'!C432-0.605*'03_原始数据'!B432-OtherCost</f>
        <v/>
      </c>
      <c r="O432" s="37">
        <f>'03_原始数据'!C432-0.61*'03_原始数据'!B432-OtherCost</f>
        <v/>
      </c>
      <c r="P432" s="37">
        <f>'03_原始数据'!C432-0.615*'03_原始数据'!B432-OtherCost</f>
        <v/>
      </c>
      <c r="Q432" s="37">
        <f>'03_原始数据'!C432-0.62*'03_原始数据'!B432-OtherCost</f>
        <v/>
      </c>
      <c r="R432" s="37">
        <f>'03_原始数据'!C432-0.625*'03_原始数据'!B432-OtherCost</f>
        <v/>
      </c>
      <c r="S432" s="37">
        <f>'03_原始数据'!C432-0.63*'03_原始数据'!B432-OtherCost</f>
        <v/>
      </c>
      <c r="T432" s="37">
        <f>'03_原始数据'!C432-0.635*'03_原始数据'!B432-OtherCost</f>
        <v/>
      </c>
      <c r="U432" s="37">
        <f>'03_原始数据'!C432-0.64*'03_原始数据'!B432-OtherCost</f>
        <v/>
      </c>
      <c r="V432" s="37">
        <f>'03_原始数据'!C432-0.645*'03_原始数据'!B432-OtherCost</f>
        <v/>
      </c>
      <c r="W432" s="37">
        <f>'03_原始数据'!C432-0.65*'03_原始数据'!B432-OtherCost</f>
        <v/>
      </c>
      <c r="X432" s="37">
        <f>'03_原始数据'!C432-0.655*'03_原始数据'!B432-OtherCost</f>
        <v/>
      </c>
      <c r="Y432" s="37">
        <f>'03_原始数据'!C432-0.66*'03_原始数据'!B432-OtherCost</f>
        <v/>
      </c>
      <c r="Z432" s="37">
        <f>'03_原始数据'!C432-0.665*'03_原始数据'!B432-OtherCost</f>
        <v/>
      </c>
      <c r="AA432" s="37">
        <f>'03_原始数据'!C432-0.67*'03_原始数据'!B432-OtherCost</f>
        <v/>
      </c>
      <c r="AB432" s="37">
        <f>'03_原始数据'!C432-0.675*'03_原始数据'!B432-OtherCost</f>
        <v/>
      </c>
      <c r="AC432" s="37">
        <f>'03_原始数据'!C432-0.68*'03_原始数据'!B432-OtherCost</f>
        <v/>
      </c>
      <c r="AD432" s="37">
        <f>'03_原始数据'!C432-0.685*'03_原始数据'!B432-OtherCost</f>
        <v/>
      </c>
      <c r="AE432" s="37">
        <f>'03_原始数据'!C432-0.69*'03_原始数据'!B432-OtherCost</f>
        <v/>
      </c>
      <c r="AF432" s="37">
        <f>'03_原始数据'!C432-0.695*'03_原始数据'!B432-OtherCost</f>
        <v/>
      </c>
      <c r="AG432" s="37">
        <f>'03_原始数据'!C432-0.7*'03_原始数据'!B432-OtherCost</f>
        <v/>
      </c>
    </row>
    <row r="433">
      <c r="M433" s="37">
        <f>'03_原始数据'!C433-0.6*'03_原始数据'!B433-OtherCost</f>
        <v/>
      </c>
      <c r="N433" s="37">
        <f>'03_原始数据'!C433-0.605*'03_原始数据'!B433-OtherCost</f>
        <v/>
      </c>
      <c r="O433" s="37">
        <f>'03_原始数据'!C433-0.61*'03_原始数据'!B433-OtherCost</f>
        <v/>
      </c>
      <c r="P433" s="37">
        <f>'03_原始数据'!C433-0.615*'03_原始数据'!B433-OtherCost</f>
        <v/>
      </c>
      <c r="Q433" s="37">
        <f>'03_原始数据'!C433-0.62*'03_原始数据'!B433-OtherCost</f>
        <v/>
      </c>
      <c r="R433" s="37">
        <f>'03_原始数据'!C433-0.625*'03_原始数据'!B433-OtherCost</f>
        <v/>
      </c>
      <c r="S433" s="37">
        <f>'03_原始数据'!C433-0.63*'03_原始数据'!B433-OtherCost</f>
        <v/>
      </c>
      <c r="T433" s="37">
        <f>'03_原始数据'!C433-0.635*'03_原始数据'!B433-OtherCost</f>
        <v/>
      </c>
      <c r="U433" s="37">
        <f>'03_原始数据'!C433-0.64*'03_原始数据'!B433-OtherCost</f>
        <v/>
      </c>
      <c r="V433" s="37">
        <f>'03_原始数据'!C433-0.645*'03_原始数据'!B433-OtherCost</f>
        <v/>
      </c>
      <c r="W433" s="37">
        <f>'03_原始数据'!C433-0.65*'03_原始数据'!B433-OtherCost</f>
        <v/>
      </c>
      <c r="X433" s="37">
        <f>'03_原始数据'!C433-0.655*'03_原始数据'!B433-OtherCost</f>
        <v/>
      </c>
      <c r="Y433" s="37">
        <f>'03_原始数据'!C433-0.66*'03_原始数据'!B433-OtherCost</f>
        <v/>
      </c>
      <c r="Z433" s="37">
        <f>'03_原始数据'!C433-0.665*'03_原始数据'!B433-OtherCost</f>
        <v/>
      </c>
      <c r="AA433" s="37">
        <f>'03_原始数据'!C433-0.67*'03_原始数据'!B433-OtherCost</f>
        <v/>
      </c>
      <c r="AB433" s="37">
        <f>'03_原始数据'!C433-0.675*'03_原始数据'!B433-OtherCost</f>
        <v/>
      </c>
      <c r="AC433" s="37">
        <f>'03_原始数据'!C433-0.68*'03_原始数据'!B433-OtherCost</f>
        <v/>
      </c>
      <c r="AD433" s="37">
        <f>'03_原始数据'!C433-0.685*'03_原始数据'!B433-OtherCost</f>
        <v/>
      </c>
      <c r="AE433" s="37">
        <f>'03_原始数据'!C433-0.69*'03_原始数据'!B433-OtherCost</f>
        <v/>
      </c>
      <c r="AF433" s="37">
        <f>'03_原始数据'!C433-0.695*'03_原始数据'!B433-OtherCost</f>
        <v/>
      </c>
      <c r="AG433" s="37">
        <f>'03_原始数据'!C433-0.7*'03_原始数据'!B433-OtherCost</f>
        <v/>
      </c>
    </row>
    <row r="434">
      <c r="M434" s="37">
        <f>'03_原始数据'!C434-0.6*'03_原始数据'!B434-OtherCost</f>
        <v/>
      </c>
      <c r="N434" s="37">
        <f>'03_原始数据'!C434-0.605*'03_原始数据'!B434-OtherCost</f>
        <v/>
      </c>
      <c r="O434" s="37">
        <f>'03_原始数据'!C434-0.61*'03_原始数据'!B434-OtherCost</f>
        <v/>
      </c>
      <c r="P434" s="37">
        <f>'03_原始数据'!C434-0.615*'03_原始数据'!B434-OtherCost</f>
        <v/>
      </c>
      <c r="Q434" s="37">
        <f>'03_原始数据'!C434-0.62*'03_原始数据'!B434-OtherCost</f>
        <v/>
      </c>
      <c r="R434" s="37">
        <f>'03_原始数据'!C434-0.625*'03_原始数据'!B434-OtherCost</f>
        <v/>
      </c>
      <c r="S434" s="37">
        <f>'03_原始数据'!C434-0.63*'03_原始数据'!B434-OtherCost</f>
        <v/>
      </c>
      <c r="T434" s="37">
        <f>'03_原始数据'!C434-0.635*'03_原始数据'!B434-OtherCost</f>
        <v/>
      </c>
      <c r="U434" s="37">
        <f>'03_原始数据'!C434-0.64*'03_原始数据'!B434-OtherCost</f>
        <v/>
      </c>
      <c r="V434" s="37">
        <f>'03_原始数据'!C434-0.645*'03_原始数据'!B434-OtherCost</f>
        <v/>
      </c>
      <c r="W434" s="37">
        <f>'03_原始数据'!C434-0.65*'03_原始数据'!B434-OtherCost</f>
        <v/>
      </c>
      <c r="X434" s="37">
        <f>'03_原始数据'!C434-0.655*'03_原始数据'!B434-OtherCost</f>
        <v/>
      </c>
      <c r="Y434" s="37">
        <f>'03_原始数据'!C434-0.66*'03_原始数据'!B434-OtherCost</f>
        <v/>
      </c>
      <c r="Z434" s="37">
        <f>'03_原始数据'!C434-0.665*'03_原始数据'!B434-OtherCost</f>
        <v/>
      </c>
      <c r="AA434" s="37">
        <f>'03_原始数据'!C434-0.67*'03_原始数据'!B434-OtherCost</f>
        <v/>
      </c>
      <c r="AB434" s="37">
        <f>'03_原始数据'!C434-0.675*'03_原始数据'!B434-OtherCost</f>
        <v/>
      </c>
      <c r="AC434" s="37">
        <f>'03_原始数据'!C434-0.68*'03_原始数据'!B434-OtherCost</f>
        <v/>
      </c>
      <c r="AD434" s="37">
        <f>'03_原始数据'!C434-0.685*'03_原始数据'!B434-OtherCost</f>
        <v/>
      </c>
      <c r="AE434" s="37">
        <f>'03_原始数据'!C434-0.69*'03_原始数据'!B434-OtherCost</f>
        <v/>
      </c>
      <c r="AF434" s="37">
        <f>'03_原始数据'!C434-0.695*'03_原始数据'!B434-OtherCost</f>
        <v/>
      </c>
      <c r="AG434" s="37">
        <f>'03_原始数据'!C434-0.7*'03_原始数据'!B434-OtherCost</f>
        <v/>
      </c>
    </row>
    <row r="435">
      <c r="M435" s="37">
        <f>'03_原始数据'!C435-0.6*'03_原始数据'!B435-OtherCost</f>
        <v/>
      </c>
      <c r="N435" s="37">
        <f>'03_原始数据'!C435-0.605*'03_原始数据'!B435-OtherCost</f>
        <v/>
      </c>
      <c r="O435" s="37">
        <f>'03_原始数据'!C435-0.61*'03_原始数据'!B435-OtherCost</f>
        <v/>
      </c>
      <c r="P435" s="37">
        <f>'03_原始数据'!C435-0.615*'03_原始数据'!B435-OtherCost</f>
        <v/>
      </c>
      <c r="Q435" s="37">
        <f>'03_原始数据'!C435-0.62*'03_原始数据'!B435-OtherCost</f>
        <v/>
      </c>
      <c r="R435" s="37">
        <f>'03_原始数据'!C435-0.625*'03_原始数据'!B435-OtherCost</f>
        <v/>
      </c>
      <c r="S435" s="37">
        <f>'03_原始数据'!C435-0.63*'03_原始数据'!B435-OtherCost</f>
        <v/>
      </c>
      <c r="T435" s="37">
        <f>'03_原始数据'!C435-0.635*'03_原始数据'!B435-OtherCost</f>
        <v/>
      </c>
      <c r="U435" s="37">
        <f>'03_原始数据'!C435-0.64*'03_原始数据'!B435-OtherCost</f>
        <v/>
      </c>
      <c r="V435" s="37">
        <f>'03_原始数据'!C435-0.645*'03_原始数据'!B435-OtherCost</f>
        <v/>
      </c>
      <c r="W435" s="37">
        <f>'03_原始数据'!C435-0.65*'03_原始数据'!B435-OtherCost</f>
        <v/>
      </c>
      <c r="X435" s="37">
        <f>'03_原始数据'!C435-0.655*'03_原始数据'!B435-OtherCost</f>
        <v/>
      </c>
      <c r="Y435" s="37">
        <f>'03_原始数据'!C435-0.66*'03_原始数据'!B435-OtherCost</f>
        <v/>
      </c>
      <c r="Z435" s="37">
        <f>'03_原始数据'!C435-0.665*'03_原始数据'!B435-OtherCost</f>
        <v/>
      </c>
      <c r="AA435" s="37">
        <f>'03_原始数据'!C435-0.67*'03_原始数据'!B435-OtherCost</f>
        <v/>
      </c>
      <c r="AB435" s="37">
        <f>'03_原始数据'!C435-0.675*'03_原始数据'!B435-OtherCost</f>
        <v/>
      </c>
      <c r="AC435" s="37">
        <f>'03_原始数据'!C435-0.68*'03_原始数据'!B435-OtherCost</f>
        <v/>
      </c>
      <c r="AD435" s="37">
        <f>'03_原始数据'!C435-0.685*'03_原始数据'!B435-OtherCost</f>
        <v/>
      </c>
      <c r="AE435" s="37">
        <f>'03_原始数据'!C435-0.69*'03_原始数据'!B435-OtherCost</f>
        <v/>
      </c>
      <c r="AF435" s="37">
        <f>'03_原始数据'!C435-0.695*'03_原始数据'!B435-OtherCost</f>
        <v/>
      </c>
      <c r="AG435" s="37">
        <f>'03_原始数据'!C435-0.7*'03_原始数据'!B435-OtherCost</f>
        <v/>
      </c>
    </row>
    <row r="436">
      <c r="M436" s="37">
        <f>'03_原始数据'!C436-0.6*'03_原始数据'!B436-OtherCost</f>
        <v/>
      </c>
      <c r="N436" s="37">
        <f>'03_原始数据'!C436-0.605*'03_原始数据'!B436-OtherCost</f>
        <v/>
      </c>
      <c r="O436" s="37">
        <f>'03_原始数据'!C436-0.61*'03_原始数据'!B436-OtherCost</f>
        <v/>
      </c>
      <c r="P436" s="37">
        <f>'03_原始数据'!C436-0.615*'03_原始数据'!B436-OtherCost</f>
        <v/>
      </c>
      <c r="Q436" s="37">
        <f>'03_原始数据'!C436-0.62*'03_原始数据'!B436-OtherCost</f>
        <v/>
      </c>
      <c r="R436" s="37">
        <f>'03_原始数据'!C436-0.625*'03_原始数据'!B436-OtherCost</f>
        <v/>
      </c>
      <c r="S436" s="37">
        <f>'03_原始数据'!C436-0.63*'03_原始数据'!B436-OtherCost</f>
        <v/>
      </c>
      <c r="T436" s="37">
        <f>'03_原始数据'!C436-0.635*'03_原始数据'!B436-OtherCost</f>
        <v/>
      </c>
      <c r="U436" s="37">
        <f>'03_原始数据'!C436-0.64*'03_原始数据'!B436-OtherCost</f>
        <v/>
      </c>
      <c r="V436" s="37">
        <f>'03_原始数据'!C436-0.645*'03_原始数据'!B436-OtherCost</f>
        <v/>
      </c>
      <c r="W436" s="37">
        <f>'03_原始数据'!C436-0.65*'03_原始数据'!B436-OtherCost</f>
        <v/>
      </c>
      <c r="X436" s="37">
        <f>'03_原始数据'!C436-0.655*'03_原始数据'!B436-OtherCost</f>
        <v/>
      </c>
      <c r="Y436" s="37">
        <f>'03_原始数据'!C436-0.66*'03_原始数据'!B436-OtherCost</f>
        <v/>
      </c>
      <c r="Z436" s="37">
        <f>'03_原始数据'!C436-0.665*'03_原始数据'!B436-OtherCost</f>
        <v/>
      </c>
      <c r="AA436" s="37">
        <f>'03_原始数据'!C436-0.67*'03_原始数据'!B436-OtherCost</f>
        <v/>
      </c>
      <c r="AB436" s="37">
        <f>'03_原始数据'!C436-0.675*'03_原始数据'!B436-OtherCost</f>
        <v/>
      </c>
      <c r="AC436" s="37">
        <f>'03_原始数据'!C436-0.68*'03_原始数据'!B436-OtherCost</f>
        <v/>
      </c>
      <c r="AD436" s="37">
        <f>'03_原始数据'!C436-0.685*'03_原始数据'!B436-OtherCost</f>
        <v/>
      </c>
      <c r="AE436" s="37">
        <f>'03_原始数据'!C436-0.69*'03_原始数据'!B436-OtherCost</f>
        <v/>
      </c>
      <c r="AF436" s="37">
        <f>'03_原始数据'!C436-0.695*'03_原始数据'!B436-OtherCost</f>
        <v/>
      </c>
      <c r="AG436" s="37">
        <f>'03_原始数据'!C436-0.7*'03_原始数据'!B436-OtherCost</f>
        <v/>
      </c>
    </row>
    <row r="437">
      <c r="M437" s="37">
        <f>'03_原始数据'!C437-0.6*'03_原始数据'!B437-OtherCost</f>
        <v/>
      </c>
      <c r="N437" s="37">
        <f>'03_原始数据'!C437-0.605*'03_原始数据'!B437-OtherCost</f>
        <v/>
      </c>
      <c r="O437" s="37">
        <f>'03_原始数据'!C437-0.61*'03_原始数据'!B437-OtherCost</f>
        <v/>
      </c>
      <c r="P437" s="37">
        <f>'03_原始数据'!C437-0.615*'03_原始数据'!B437-OtherCost</f>
        <v/>
      </c>
      <c r="Q437" s="37">
        <f>'03_原始数据'!C437-0.62*'03_原始数据'!B437-OtherCost</f>
        <v/>
      </c>
      <c r="R437" s="37">
        <f>'03_原始数据'!C437-0.625*'03_原始数据'!B437-OtherCost</f>
        <v/>
      </c>
      <c r="S437" s="37">
        <f>'03_原始数据'!C437-0.63*'03_原始数据'!B437-OtherCost</f>
        <v/>
      </c>
      <c r="T437" s="37">
        <f>'03_原始数据'!C437-0.635*'03_原始数据'!B437-OtherCost</f>
        <v/>
      </c>
      <c r="U437" s="37">
        <f>'03_原始数据'!C437-0.64*'03_原始数据'!B437-OtherCost</f>
        <v/>
      </c>
      <c r="V437" s="37">
        <f>'03_原始数据'!C437-0.645*'03_原始数据'!B437-OtherCost</f>
        <v/>
      </c>
      <c r="W437" s="37">
        <f>'03_原始数据'!C437-0.65*'03_原始数据'!B437-OtherCost</f>
        <v/>
      </c>
      <c r="X437" s="37">
        <f>'03_原始数据'!C437-0.655*'03_原始数据'!B437-OtherCost</f>
        <v/>
      </c>
      <c r="Y437" s="37">
        <f>'03_原始数据'!C437-0.66*'03_原始数据'!B437-OtherCost</f>
        <v/>
      </c>
      <c r="Z437" s="37">
        <f>'03_原始数据'!C437-0.665*'03_原始数据'!B437-OtherCost</f>
        <v/>
      </c>
      <c r="AA437" s="37">
        <f>'03_原始数据'!C437-0.67*'03_原始数据'!B437-OtherCost</f>
        <v/>
      </c>
      <c r="AB437" s="37">
        <f>'03_原始数据'!C437-0.675*'03_原始数据'!B437-OtherCost</f>
        <v/>
      </c>
      <c r="AC437" s="37">
        <f>'03_原始数据'!C437-0.68*'03_原始数据'!B437-OtherCost</f>
        <v/>
      </c>
      <c r="AD437" s="37">
        <f>'03_原始数据'!C437-0.685*'03_原始数据'!B437-OtherCost</f>
        <v/>
      </c>
      <c r="AE437" s="37">
        <f>'03_原始数据'!C437-0.69*'03_原始数据'!B437-OtherCost</f>
        <v/>
      </c>
      <c r="AF437" s="37">
        <f>'03_原始数据'!C437-0.695*'03_原始数据'!B437-OtherCost</f>
        <v/>
      </c>
      <c r="AG437" s="37">
        <f>'03_原始数据'!C437-0.7*'03_原始数据'!B437-OtherCost</f>
        <v/>
      </c>
    </row>
    <row r="438">
      <c r="M438" s="37">
        <f>'03_原始数据'!C438-0.6*'03_原始数据'!B438-OtherCost</f>
        <v/>
      </c>
      <c r="N438" s="37">
        <f>'03_原始数据'!C438-0.605*'03_原始数据'!B438-OtherCost</f>
        <v/>
      </c>
      <c r="O438" s="37">
        <f>'03_原始数据'!C438-0.61*'03_原始数据'!B438-OtherCost</f>
        <v/>
      </c>
      <c r="P438" s="37">
        <f>'03_原始数据'!C438-0.615*'03_原始数据'!B438-OtherCost</f>
        <v/>
      </c>
      <c r="Q438" s="37">
        <f>'03_原始数据'!C438-0.62*'03_原始数据'!B438-OtherCost</f>
        <v/>
      </c>
      <c r="R438" s="37">
        <f>'03_原始数据'!C438-0.625*'03_原始数据'!B438-OtherCost</f>
        <v/>
      </c>
      <c r="S438" s="37">
        <f>'03_原始数据'!C438-0.63*'03_原始数据'!B438-OtherCost</f>
        <v/>
      </c>
      <c r="T438" s="37">
        <f>'03_原始数据'!C438-0.635*'03_原始数据'!B438-OtherCost</f>
        <v/>
      </c>
      <c r="U438" s="37">
        <f>'03_原始数据'!C438-0.64*'03_原始数据'!B438-OtherCost</f>
        <v/>
      </c>
      <c r="V438" s="37">
        <f>'03_原始数据'!C438-0.645*'03_原始数据'!B438-OtherCost</f>
        <v/>
      </c>
      <c r="W438" s="37">
        <f>'03_原始数据'!C438-0.65*'03_原始数据'!B438-OtherCost</f>
        <v/>
      </c>
      <c r="X438" s="37">
        <f>'03_原始数据'!C438-0.655*'03_原始数据'!B438-OtherCost</f>
        <v/>
      </c>
      <c r="Y438" s="37">
        <f>'03_原始数据'!C438-0.66*'03_原始数据'!B438-OtherCost</f>
        <v/>
      </c>
      <c r="Z438" s="37">
        <f>'03_原始数据'!C438-0.665*'03_原始数据'!B438-OtherCost</f>
        <v/>
      </c>
      <c r="AA438" s="37">
        <f>'03_原始数据'!C438-0.67*'03_原始数据'!B438-OtherCost</f>
        <v/>
      </c>
      <c r="AB438" s="37">
        <f>'03_原始数据'!C438-0.675*'03_原始数据'!B438-OtherCost</f>
        <v/>
      </c>
      <c r="AC438" s="37">
        <f>'03_原始数据'!C438-0.68*'03_原始数据'!B438-OtherCost</f>
        <v/>
      </c>
      <c r="AD438" s="37">
        <f>'03_原始数据'!C438-0.685*'03_原始数据'!B438-OtherCost</f>
        <v/>
      </c>
      <c r="AE438" s="37">
        <f>'03_原始数据'!C438-0.69*'03_原始数据'!B438-OtherCost</f>
        <v/>
      </c>
      <c r="AF438" s="37">
        <f>'03_原始数据'!C438-0.695*'03_原始数据'!B438-OtherCost</f>
        <v/>
      </c>
      <c r="AG438" s="37">
        <f>'03_原始数据'!C438-0.7*'03_原始数据'!B438-OtherCost</f>
        <v/>
      </c>
    </row>
    <row r="439">
      <c r="M439" s="37">
        <f>'03_原始数据'!C439-0.6*'03_原始数据'!B439-OtherCost</f>
        <v/>
      </c>
      <c r="N439" s="37">
        <f>'03_原始数据'!C439-0.605*'03_原始数据'!B439-OtherCost</f>
        <v/>
      </c>
      <c r="O439" s="37">
        <f>'03_原始数据'!C439-0.61*'03_原始数据'!B439-OtherCost</f>
        <v/>
      </c>
      <c r="P439" s="37">
        <f>'03_原始数据'!C439-0.615*'03_原始数据'!B439-OtherCost</f>
        <v/>
      </c>
      <c r="Q439" s="37">
        <f>'03_原始数据'!C439-0.62*'03_原始数据'!B439-OtherCost</f>
        <v/>
      </c>
      <c r="R439" s="37">
        <f>'03_原始数据'!C439-0.625*'03_原始数据'!B439-OtherCost</f>
        <v/>
      </c>
      <c r="S439" s="37">
        <f>'03_原始数据'!C439-0.63*'03_原始数据'!B439-OtherCost</f>
        <v/>
      </c>
      <c r="T439" s="37">
        <f>'03_原始数据'!C439-0.635*'03_原始数据'!B439-OtherCost</f>
        <v/>
      </c>
      <c r="U439" s="37">
        <f>'03_原始数据'!C439-0.64*'03_原始数据'!B439-OtherCost</f>
        <v/>
      </c>
      <c r="V439" s="37">
        <f>'03_原始数据'!C439-0.645*'03_原始数据'!B439-OtherCost</f>
        <v/>
      </c>
      <c r="W439" s="37">
        <f>'03_原始数据'!C439-0.65*'03_原始数据'!B439-OtherCost</f>
        <v/>
      </c>
      <c r="X439" s="37">
        <f>'03_原始数据'!C439-0.655*'03_原始数据'!B439-OtherCost</f>
        <v/>
      </c>
      <c r="Y439" s="37">
        <f>'03_原始数据'!C439-0.66*'03_原始数据'!B439-OtherCost</f>
        <v/>
      </c>
      <c r="Z439" s="37">
        <f>'03_原始数据'!C439-0.665*'03_原始数据'!B439-OtherCost</f>
        <v/>
      </c>
      <c r="AA439" s="37">
        <f>'03_原始数据'!C439-0.67*'03_原始数据'!B439-OtherCost</f>
        <v/>
      </c>
      <c r="AB439" s="37">
        <f>'03_原始数据'!C439-0.675*'03_原始数据'!B439-OtherCost</f>
        <v/>
      </c>
      <c r="AC439" s="37">
        <f>'03_原始数据'!C439-0.68*'03_原始数据'!B439-OtherCost</f>
        <v/>
      </c>
      <c r="AD439" s="37">
        <f>'03_原始数据'!C439-0.685*'03_原始数据'!B439-OtherCost</f>
        <v/>
      </c>
      <c r="AE439" s="37">
        <f>'03_原始数据'!C439-0.69*'03_原始数据'!B439-OtherCost</f>
        <v/>
      </c>
      <c r="AF439" s="37">
        <f>'03_原始数据'!C439-0.695*'03_原始数据'!B439-OtherCost</f>
        <v/>
      </c>
      <c r="AG439" s="37">
        <f>'03_原始数据'!C439-0.7*'03_原始数据'!B439-OtherCost</f>
        <v/>
      </c>
    </row>
    <row r="440">
      <c r="M440" s="37">
        <f>'03_原始数据'!C440-0.6*'03_原始数据'!B440-OtherCost</f>
        <v/>
      </c>
      <c r="N440" s="37">
        <f>'03_原始数据'!C440-0.605*'03_原始数据'!B440-OtherCost</f>
        <v/>
      </c>
      <c r="O440" s="37">
        <f>'03_原始数据'!C440-0.61*'03_原始数据'!B440-OtherCost</f>
        <v/>
      </c>
      <c r="P440" s="37">
        <f>'03_原始数据'!C440-0.615*'03_原始数据'!B440-OtherCost</f>
        <v/>
      </c>
      <c r="Q440" s="37">
        <f>'03_原始数据'!C440-0.62*'03_原始数据'!B440-OtherCost</f>
        <v/>
      </c>
      <c r="R440" s="37">
        <f>'03_原始数据'!C440-0.625*'03_原始数据'!B440-OtherCost</f>
        <v/>
      </c>
      <c r="S440" s="37">
        <f>'03_原始数据'!C440-0.63*'03_原始数据'!B440-OtherCost</f>
        <v/>
      </c>
      <c r="T440" s="37">
        <f>'03_原始数据'!C440-0.635*'03_原始数据'!B440-OtherCost</f>
        <v/>
      </c>
      <c r="U440" s="37">
        <f>'03_原始数据'!C440-0.64*'03_原始数据'!B440-OtherCost</f>
        <v/>
      </c>
      <c r="V440" s="37">
        <f>'03_原始数据'!C440-0.645*'03_原始数据'!B440-OtherCost</f>
        <v/>
      </c>
      <c r="W440" s="37">
        <f>'03_原始数据'!C440-0.65*'03_原始数据'!B440-OtherCost</f>
        <v/>
      </c>
      <c r="X440" s="37">
        <f>'03_原始数据'!C440-0.655*'03_原始数据'!B440-OtherCost</f>
        <v/>
      </c>
      <c r="Y440" s="37">
        <f>'03_原始数据'!C440-0.66*'03_原始数据'!B440-OtherCost</f>
        <v/>
      </c>
      <c r="Z440" s="37">
        <f>'03_原始数据'!C440-0.665*'03_原始数据'!B440-OtherCost</f>
        <v/>
      </c>
      <c r="AA440" s="37">
        <f>'03_原始数据'!C440-0.67*'03_原始数据'!B440-OtherCost</f>
        <v/>
      </c>
      <c r="AB440" s="37">
        <f>'03_原始数据'!C440-0.675*'03_原始数据'!B440-OtherCost</f>
        <v/>
      </c>
      <c r="AC440" s="37">
        <f>'03_原始数据'!C440-0.68*'03_原始数据'!B440-OtherCost</f>
        <v/>
      </c>
      <c r="AD440" s="37">
        <f>'03_原始数据'!C440-0.685*'03_原始数据'!B440-OtherCost</f>
        <v/>
      </c>
      <c r="AE440" s="37">
        <f>'03_原始数据'!C440-0.69*'03_原始数据'!B440-OtherCost</f>
        <v/>
      </c>
      <c r="AF440" s="37">
        <f>'03_原始数据'!C440-0.695*'03_原始数据'!B440-OtherCost</f>
        <v/>
      </c>
      <c r="AG440" s="37">
        <f>'03_原始数据'!C440-0.7*'03_原始数据'!B440-OtherCost</f>
        <v/>
      </c>
    </row>
    <row r="441">
      <c r="M441" s="37">
        <f>'03_原始数据'!C441-0.6*'03_原始数据'!B441-OtherCost</f>
        <v/>
      </c>
      <c r="N441" s="37">
        <f>'03_原始数据'!C441-0.605*'03_原始数据'!B441-OtherCost</f>
        <v/>
      </c>
      <c r="O441" s="37">
        <f>'03_原始数据'!C441-0.61*'03_原始数据'!B441-OtherCost</f>
        <v/>
      </c>
      <c r="P441" s="37">
        <f>'03_原始数据'!C441-0.615*'03_原始数据'!B441-OtherCost</f>
        <v/>
      </c>
      <c r="Q441" s="37">
        <f>'03_原始数据'!C441-0.62*'03_原始数据'!B441-OtherCost</f>
        <v/>
      </c>
      <c r="R441" s="37">
        <f>'03_原始数据'!C441-0.625*'03_原始数据'!B441-OtherCost</f>
        <v/>
      </c>
      <c r="S441" s="37">
        <f>'03_原始数据'!C441-0.63*'03_原始数据'!B441-OtherCost</f>
        <v/>
      </c>
      <c r="T441" s="37">
        <f>'03_原始数据'!C441-0.635*'03_原始数据'!B441-OtherCost</f>
        <v/>
      </c>
      <c r="U441" s="37">
        <f>'03_原始数据'!C441-0.64*'03_原始数据'!B441-OtherCost</f>
        <v/>
      </c>
      <c r="V441" s="37">
        <f>'03_原始数据'!C441-0.645*'03_原始数据'!B441-OtherCost</f>
        <v/>
      </c>
      <c r="W441" s="37">
        <f>'03_原始数据'!C441-0.65*'03_原始数据'!B441-OtherCost</f>
        <v/>
      </c>
      <c r="X441" s="37">
        <f>'03_原始数据'!C441-0.655*'03_原始数据'!B441-OtherCost</f>
        <v/>
      </c>
      <c r="Y441" s="37">
        <f>'03_原始数据'!C441-0.66*'03_原始数据'!B441-OtherCost</f>
        <v/>
      </c>
      <c r="Z441" s="37">
        <f>'03_原始数据'!C441-0.665*'03_原始数据'!B441-OtherCost</f>
        <v/>
      </c>
      <c r="AA441" s="37">
        <f>'03_原始数据'!C441-0.67*'03_原始数据'!B441-OtherCost</f>
        <v/>
      </c>
      <c r="AB441" s="37">
        <f>'03_原始数据'!C441-0.675*'03_原始数据'!B441-OtherCost</f>
        <v/>
      </c>
      <c r="AC441" s="37">
        <f>'03_原始数据'!C441-0.68*'03_原始数据'!B441-OtherCost</f>
        <v/>
      </c>
      <c r="AD441" s="37">
        <f>'03_原始数据'!C441-0.685*'03_原始数据'!B441-OtherCost</f>
        <v/>
      </c>
      <c r="AE441" s="37">
        <f>'03_原始数据'!C441-0.69*'03_原始数据'!B441-OtherCost</f>
        <v/>
      </c>
      <c r="AF441" s="37">
        <f>'03_原始数据'!C441-0.695*'03_原始数据'!B441-OtherCost</f>
        <v/>
      </c>
      <c r="AG441" s="37">
        <f>'03_原始数据'!C441-0.7*'03_原始数据'!B441-OtherCost</f>
        <v/>
      </c>
    </row>
    <row r="442">
      <c r="M442" s="37">
        <f>'03_原始数据'!C442-0.6*'03_原始数据'!B442-OtherCost</f>
        <v/>
      </c>
      <c r="N442" s="37">
        <f>'03_原始数据'!C442-0.605*'03_原始数据'!B442-OtherCost</f>
        <v/>
      </c>
      <c r="O442" s="37">
        <f>'03_原始数据'!C442-0.61*'03_原始数据'!B442-OtherCost</f>
        <v/>
      </c>
      <c r="P442" s="37">
        <f>'03_原始数据'!C442-0.615*'03_原始数据'!B442-OtherCost</f>
        <v/>
      </c>
      <c r="Q442" s="37">
        <f>'03_原始数据'!C442-0.62*'03_原始数据'!B442-OtherCost</f>
        <v/>
      </c>
      <c r="R442" s="37">
        <f>'03_原始数据'!C442-0.625*'03_原始数据'!B442-OtherCost</f>
        <v/>
      </c>
      <c r="S442" s="37">
        <f>'03_原始数据'!C442-0.63*'03_原始数据'!B442-OtherCost</f>
        <v/>
      </c>
      <c r="T442" s="37">
        <f>'03_原始数据'!C442-0.635*'03_原始数据'!B442-OtherCost</f>
        <v/>
      </c>
      <c r="U442" s="37">
        <f>'03_原始数据'!C442-0.64*'03_原始数据'!B442-OtherCost</f>
        <v/>
      </c>
      <c r="V442" s="37">
        <f>'03_原始数据'!C442-0.645*'03_原始数据'!B442-OtherCost</f>
        <v/>
      </c>
      <c r="W442" s="37">
        <f>'03_原始数据'!C442-0.65*'03_原始数据'!B442-OtherCost</f>
        <v/>
      </c>
      <c r="X442" s="37">
        <f>'03_原始数据'!C442-0.655*'03_原始数据'!B442-OtherCost</f>
        <v/>
      </c>
      <c r="Y442" s="37">
        <f>'03_原始数据'!C442-0.66*'03_原始数据'!B442-OtherCost</f>
        <v/>
      </c>
      <c r="Z442" s="37">
        <f>'03_原始数据'!C442-0.665*'03_原始数据'!B442-OtherCost</f>
        <v/>
      </c>
      <c r="AA442" s="37">
        <f>'03_原始数据'!C442-0.67*'03_原始数据'!B442-OtherCost</f>
        <v/>
      </c>
      <c r="AB442" s="37">
        <f>'03_原始数据'!C442-0.675*'03_原始数据'!B442-OtherCost</f>
        <v/>
      </c>
      <c r="AC442" s="37">
        <f>'03_原始数据'!C442-0.68*'03_原始数据'!B442-OtherCost</f>
        <v/>
      </c>
      <c r="AD442" s="37">
        <f>'03_原始数据'!C442-0.685*'03_原始数据'!B442-OtherCost</f>
        <v/>
      </c>
      <c r="AE442" s="37">
        <f>'03_原始数据'!C442-0.69*'03_原始数据'!B442-OtherCost</f>
        <v/>
      </c>
      <c r="AF442" s="37">
        <f>'03_原始数据'!C442-0.695*'03_原始数据'!B442-OtherCost</f>
        <v/>
      </c>
      <c r="AG442" s="37">
        <f>'03_原始数据'!C442-0.7*'03_原始数据'!B442-OtherCost</f>
        <v/>
      </c>
    </row>
    <row r="443">
      <c r="M443" s="37">
        <f>'03_原始数据'!C443-0.6*'03_原始数据'!B443-OtherCost</f>
        <v/>
      </c>
      <c r="N443" s="37">
        <f>'03_原始数据'!C443-0.605*'03_原始数据'!B443-OtherCost</f>
        <v/>
      </c>
      <c r="O443" s="37">
        <f>'03_原始数据'!C443-0.61*'03_原始数据'!B443-OtherCost</f>
        <v/>
      </c>
      <c r="P443" s="37">
        <f>'03_原始数据'!C443-0.615*'03_原始数据'!B443-OtherCost</f>
        <v/>
      </c>
      <c r="Q443" s="37">
        <f>'03_原始数据'!C443-0.62*'03_原始数据'!B443-OtherCost</f>
        <v/>
      </c>
      <c r="R443" s="37">
        <f>'03_原始数据'!C443-0.625*'03_原始数据'!B443-OtherCost</f>
        <v/>
      </c>
      <c r="S443" s="37">
        <f>'03_原始数据'!C443-0.63*'03_原始数据'!B443-OtherCost</f>
        <v/>
      </c>
      <c r="T443" s="37">
        <f>'03_原始数据'!C443-0.635*'03_原始数据'!B443-OtherCost</f>
        <v/>
      </c>
      <c r="U443" s="37">
        <f>'03_原始数据'!C443-0.64*'03_原始数据'!B443-OtherCost</f>
        <v/>
      </c>
      <c r="V443" s="37">
        <f>'03_原始数据'!C443-0.645*'03_原始数据'!B443-OtherCost</f>
        <v/>
      </c>
      <c r="W443" s="37">
        <f>'03_原始数据'!C443-0.65*'03_原始数据'!B443-OtherCost</f>
        <v/>
      </c>
      <c r="X443" s="37">
        <f>'03_原始数据'!C443-0.655*'03_原始数据'!B443-OtherCost</f>
        <v/>
      </c>
      <c r="Y443" s="37">
        <f>'03_原始数据'!C443-0.66*'03_原始数据'!B443-OtherCost</f>
        <v/>
      </c>
      <c r="Z443" s="37">
        <f>'03_原始数据'!C443-0.665*'03_原始数据'!B443-OtherCost</f>
        <v/>
      </c>
      <c r="AA443" s="37">
        <f>'03_原始数据'!C443-0.67*'03_原始数据'!B443-OtherCost</f>
        <v/>
      </c>
      <c r="AB443" s="37">
        <f>'03_原始数据'!C443-0.675*'03_原始数据'!B443-OtherCost</f>
        <v/>
      </c>
      <c r="AC443" s="37">
        <f>'03_原始数据'!C443-0.68*'03_原始数据'!B443-OtherCost</f>
        <v/>
      </c>
      <c r="AD443" s="37">
        <f>'03_原始数据'!C443-0.685*'03_原始数据'!B443-OtherCost</f>
        <v/>
      </c>
      <c r="AE443" s="37">
        <f>'03_原始数据'!C443-0.69*'03_原始数据'!B443-OtherCost</f>
        <v/>
      </c>
      <c r="AF443" s="37">
        <f>'03_原始数据'!C443-0.695*'03_原始数据'!B443-OtherCost</f>
        <v/>
      </c>
      <c r="AG443" s="37">
        <f>'03_原始数据'!C443-0.7*'03_原始数据'!B443-OtherCost</f>
        <v/>
      </c>
    </row>
    <row r="444">
      <c r="M444" s="37">
        <f>'03_原始数据'!C444-0.6*'03_原始数据'!B444-OtherCost</f>
        <v/>
      </c>
      <c r="N444" s="37">
        <f>'03_原始数据'!C444-0.605*'03_原始数据'!B444-OtherCost</f>
        <v/>
      </c>
      <c r="O444" s="37">
        <f>'03_原始数据'!C444-0.61*'03_原始数据'!B444-OtherCost</f>
        <v/>
      </c>
      <c r="P444" s="37">
        <f>'03_原始数据'!C444-0.615*'03_原始数据'!B444-OtherCost</f>
        <v/>
      </c>
      <c r="Q444" s="37">
        <f>'03_原始数据'!C444-0.62*'03_原始数据'!B444-OtherCost</f>
        <v/>
      </c>
      <c r="R444" s="37">
        <f>'03_原始数据'!C444-0.625*'03_原始数据'!B444-OtherCost</f>
        <v/>
      </c>
      <c r="S444" s="37">
        <f>'03_原始数据'!C444-0.63*'03_原始数据'!B444-OtherCost</f>
        <v/>
      </c>
      <c r="T444" s="37">
        <f>'03_原始数据'!C444-0.635*'03_原始数据'!B444-OtherCost</f>
        <v/>
      </c>
      <c r="U444" s="37">
        <f>'03_原始数据'!C444-0.64*'03_原始数据'!B444-OtherCost</f>
        <v/>
      </c>
      <c r="V444" s="37">
        <f>'03_原始数据'!C444-0.645*'03_原始数据'!B444-OtherCost</f>
        <v/>
      </c>
      <c r="W444" s="37">
        <f>'03_原始数据'!C444-0.65*'03_原始数据'!B444-OtherCost</f>
        <v/>
      </c>
      <c r="X444" s="37">
        <f>'03_原始数据'!C444-0.655*'03_原始数据'!B444-OtherCost</f>
        <v/>
      </c>
      <c r="Y444" s="37">
        <f>'03_原始数据'!C444-0.66*'03_原始数据'!B444-OtherCost</f>
        <v/>
      </c>
      <c r="Z444" s="37">
        <f>'03_原始数据'!C444-0.665*'03_原始数据'!B444-OtherCost</f>
        <v/>
      </c>
      <c r="AA444" s="37">
        <f>'03_原始数据'!C444-0.67*'03_原始数据'!B444-OtherCost</f>
        <v/>
      </c>
      <c r="AB444" s="37">
        <f>'03_原始数据'!C444-0.675*'03_原始数据'!B444-OtherCost</f>
        <v/>
      </c>
      <c r="AC444" s="37">
        <f>'03_原始数据'!C444-0.68*'03_原始数据'!B444-OtherCost</f>
        <v/>
      </c>
      <c r="AD444" s="37">
        <f>'03_原始数据'!C444-0.685*'03_原始数据'!B444-OtherCost</f>
        <v/>
      </c>
      <c r="AE444" s="37">
        <f>'03_原始数据'!C444-0.69*'03_原始数据'!B444-OtherCost</f>
        <v/>
      </c>
      <c r="AF444" s="37">
        <f>'03_原始数据'!C444-0.695*'03_原始数据'!B444-OtherCost</f>
        <v/>
      </c>
      <c r="AG444" s="37">
        <f>'03_原始数据'!C444-0.7*'03_原始数据'!B444-OtherCost</f>
        <v/>
      </c>
    </row>
    <row r="445">
      <c r="M445" s="37">
        <f>'03_原始数据'!C445-0.6*'03_原始数据'!B445-OtherCost</f>
        <v/>
      </c>
      <c r="N445" s="37">
        <f>'03_原始数据'!C445-0.605*'03_原始数据'!B445-OtherCost</f>
        <v/>
      </c>
      <c r="O445" s="37">
        <f>'03_原始数据'!C445-0.61*'03_原始数据'!B445-OtherCost</f>
        <v/>
      </c>
      <c r="P445" s="37">
        <f>'03_原始数据'!C445-0.615*'03_原始数据'!B445-OtherCost</f>
        <v/>
      </c>
      <c r="Q445" s="37">
        <f>'03_原始数据'!C445-0.62*'03_原始数据'!B445-OtherCost</f>
        <v/>
      </c>
      <c r="R445" s="37">
        <f>'03_原始数据'!C445-0.625*'03_原始数据'!B445-OtherCost</f>
        <v/>
      </c>
      <c r="S445" s="37">
        <f>'03_原始数据'!C445-0.63*'03_原始数据'!B445-OtherCost</f>
        <v/>
      </c>
      <c r="T445" s="37">
        <f>'03_原始数据'!C445-0.635*'03_原始数据'!B445-OtherCost</f>
        <v/>
      </c>
      <c r="U445" s="37">
        <f>'03_原始数据'!C445-0.64*'03_原始数据'!B445-OtherCost</f>
        <v/>
      </c>
      <c r="V445" s="37">
        <f>'03_原始数据'!C445-0.645*'03_原始数据'!B445-OtherCost</f>
        <v/>
      </c>
      <c r="W445" s="37">
        <f>'03_原始数据'!C445-0.65*'03_原始数据'!B445-OtherCost</f>
        <v/>
      </c>
      <c r="X445" s="37">
        <f>'03_原始数据'!C445-0.655*'03_原始数据'!B445-OtherCost</f>
        <v/>
      </c>
      <c r="Y445" s="37">
        <f>'03_原始数据'!C445-0.66*'03_原始数据'!B445-OtherCost</f>
        <v/>
      </c>
      <c r="Z445" s="37">
        <f>'03_原始数据'!C445-0.665*'03_原始数据'!B445-OtherCost</f>
        <v/>
      </c>
      <c r="AA445" s="37">
        <f>'03_原始数据'!C445-0.67*'03_原始数据'!B445-OtherCost</f>
        <v/>
      </c>
      <c r="AB445" s="37">
        <f>'03_原始数据'!C445-0.675*'03_原始数据'!B445-OtherCost</f>
        <v/>
      </c>
      <c r="AC445" s="37">
        <f>'03_原始数据'!C445-0.68*'03_原始数据'!B445-OtherCost</f>
        <v/>
      </c>
      <c r="AD445" s="37">
        <f>'03_原始数据'!C445-0.685*'03_原始数据'!B445-OtherCost</f>
        <v/>
      </c>
      <c r="AE445" s="37">
        <f>'03_原始数据'!C445-0.69*'03_原始数据'!B445-OtherCost</f>
        <v/>
      </c>
      <c r="AF445" s="37">
        <f>'03_原始数据'!C445-0.695*'03_原始数据'!B445-OtherCost</f>
        <v/>
      </c>
      <c r="AG445" s="37">
        <f>'03_原始数据'!C445-0.7*'03_原始数据'!B445-OtherCost</f>
        <v/>
      </c>
    </row>
    <row r="446">
      <c r="M446" s="37">
        <f>'03_原始数据'!C446-0.6*'03_原始数据'!B446-OtherCost</f>
        <v/>
      </c>
      <c r="N446" s="37">
        <f>'03_原始数据'!C446-0.605*'03_原始数据'!B446-OtherCost</f>
        <v/>
      </c>
      <c r="O446" s="37">
        <f>'03_原始数据'!C446-0.61*'03_原始数据'!B446-OtherCost</f>
        <v/>
      </c>
      <c r="P446" s="37">
        <f>'03_原始数据'!C446-0.615*'03_原始数据'!B446-OtherCost</f>
        <v/>
      </c>
      <c r="Q446" s="37">
        <f>'03_原始数据'!C446-0.62*'03_原始数据'!B446-OtherCost</f>
        <v/>
      </c>
      <c r="R446" s="37">
        <f>'03_原始数据'!C446-0.625*'03_原始数据'!B446-OtherCost</f>
        <v/>
      </c>
      <c r="S446" s="37">
        <f>'03_原始数据'!C446-0.63*'03_原始数据'!B446-OtherCost</f>
        <v/>
      </c>
      <c r="T446" s="37">
        <f>'03_原始数据'!C446-0.635*'03_原始数据'!B446-OtherCost</f>
        <v/>
      </c>
      <c r="U446" s="37">
        <f>'03_原始数据'!C446-0.64*'03_原始数据'!B446-OtherCost</f>
        <v/>
      </c>
      <c r="V446" s="37">
        <f>'03_原始数据'!C446-0.645*'03_原始数据'!B446-OtherCost</f>
        <v/>
      </c>
      <c r="W446" s="37">
        <f>'03_原始数据'!C446-0.65*'03_原始数据'!B446-OtherCost</f>
        <v/>
      </c>
      <c r="X446" s="37">
        <f>'03_原始数据'!C446-0.655*'03_原始数据'!B446-OtherCost</f>
        <v/>
      </c>
      <c r="Y446" s="37">
        <f>'03_原始数据'!C446-0.66*'03_原始数据'!B446-OtherCost</f>
        <v/>
      </c>
      <c r="Z446" s="37">
        <f>'03_原始数据'!C446-0.665*'03_原始数据'!B446-OtherCost</f>
        <v/>
      </c>
      <c r="AA446" s="37">
        <f>'03_原始数据'!C446-0.67*'03_原始数据'!B446-OtherCost</f>
        <v/>
      </c>
      <c r="AB446" s="37">
        <f>'03_原始数据'!C446-0.675*'03_原始数据'!B446-OtherCost</f>
        <v/>
      </c>
      <c r="AC446" s="37">
        <f>'03_原始数据'!C446-0.68*'03_原始数据'!B446-OtherCost</f>
        <v/>
      </c>
      <c r="AD446" s="37">
        <f>'03_原始数据'!C446-0.685*'03_原始数据'!B446-OtherCost</f>
        <v/>
      </c>
      <c r="AE446" s="37">
        <f>'03_原始数据'!C446-0.69*'03_原始数据'!B446-OtherCost</f>
        <v/>
      </c>
      <c r="AF446" s="37">
        <f>'03_原始数据'!C446-0.695*'03_原始数据'!B446-OtherCost</f>
        <v/>
      </c>
      <c r="AG446" s="37">
        <f>'03_原始数据'!C446-0.7*'03_原始数据'!B446-OtherCost</f>
        <v/>
      </c>
    </row>
    <row r="447">
      <c r="M447" s="37">
        <f>'03_原始数据'!C447-0.6*'03_原始数据'!B447-OtherCost</f>
        <v/>
      </c>
      <c r="N447" s="37">
        <f>'03_原始数据'!C447-0.605*'03_原始数据'!B447-OtherCost</f>
        <v/>
      </c>
      <c r="O447" s="37">
        <f>'03_原始数据'!C447-0.61*'03_原始数据'!B447-OtherCost</f>
        <v/>
      </c>
      <c r="P447" s="37">
        <f>'03_原始数据'!C447-0.615*'03_原始数据'!B447-OtherCost</f>
        <v/>
      </c>
      <c r="Q447" s="37">
        <f>'03_原始数据'!C447-0.62*'03_原始数据'!B447-OtherCost</f>
        <v/>
      </c>
      <c r="R447" s="37">
        <f>'03_原始数据'!C447-0.625*'03_原始数据'!B447-OtherCost</f>
        <v/>
      </c>
      <c r="S447" s="37">
        <f>'03_原始数据'!C447-0.63*'03_原始数据'!B447-OtherCost</f>
        <v/>
      </c>
      <c r="T447" s="37">
        <f>'03_原始数据'!C447-0.635*'03_原始数据'!B447-OtherCost</f>
        <v/>
      </c>
      <c r="U447" s="37">
        <f>'03_原始数据'!C447-0.64*'03_原始数据'!B447-OtherCost</f>
        <v/>
      </c>
      <c r="V447" s="37">
        <f>'03_原始数据'!C447-0.645*'03_原始数据'!B447-OtherCost</f>
        <v/>
      </c>
      <c r="W447" s="37">
        <f>'03_原始数据'!C447-0.65*'03_原始数据'!B447-OtherCost</f>
        <v/>
      </c>
      <c r="X447" s="37">
        <f>'03_原始数据'!C447-0.655*'03_原始数据'!B447-OtherCost</f>
        <v/>
      </c>
      <c r="Y447" s="37">
        <f>'03_原始数据'!C447-0.66*'03_原始数据'!B447-OtherCost</f>
        <v/>
      </c>
      <c r="Z447" s="37">
        <f>'03_原始数据'!C447-0.665*'03_原始数据'!B447-OtherCost</f>
        <v/>
      </c>
      <c r="AA447" s="37">
        <f>'03_原始数据'!C447-0.67*'03_原始数据'!B447-OtherCost</f>
        <v/>
      </c>
      <c r="AB447" s="37">
        <f>'03_原始数据'!C447-0.675*'03_原始数据'!B447-OtherCost</f>
        <v/>
      </c>
      <c r="AC447" s="37">
        <f>'03_原始数据'!C447-0.68*'03_原始数据'!B447-OtherCost</f>
        <v/>
      </c>
      <c r="AD447" s="37">
        <f>'03_原始数据'!C447-0.685*'03_原始数据'!B447-OtherCost</f>
        <v/>
      </c>
      <c r="AE447" s="37">
        <f>'03_原始数据'!C447-0.69*'03_原始数据'!B447-OtherCost</f>
        <v/>
      </c>
      <c r="AF447" s="37">
        <f>'03_原始数据'!C447-0.695*'03_原始数据'!B447-OtherCost</f>
        <v/>
      </c>
      <c r="AG447" s="37">
        <f>'03_原始数据'!C447-0.7*'03_原始数据'!B447-OtherCost</f>
        <v/>
      </c>
    </row>
    <row r="448">
      <c r="M448" s="37">
        <f>'03_原始数据'!C448-0.6*'03_原始数据'!B448-OtherCost</f>
        <v/>
      </c>
      <c r="N448" s="37">
        <f>'03_原始数据'!C448-0.605*'03_原始数据'!B448-OtherCost</f>
        <v/>
      </c>
      <c r="O448" s="37">
        <f>'03_原始数据'!C448-0.61*'03_原始数据'!B448-OtherCost</f>
        <v/>
      </c>
      <c r="P448" s="37">
        <f>'03_原始数据'!C448-0.615*'03_原始数据'!B448-OtherCost</f>
        <v/>
      </c>
      <c r="Q448" s="37">
        <f>'03_原始数据'!C448-0.62*'03_原始数据'!B448-OtherCost</f>
        <v/>
      </c>
      <c r="R448" s="37">
        <f>'03_原始数据'!C448-0.625*'03_原始数据'!B448-OtherCost</f>
        <v/>
      </c>
      <c r="S448" s="37">
        <f>'03_原始数据'!C448-0.63*'03_原始数据'!B448-OtherCost</f>
        <v/>
      </c>
      <c r="T448" s="37">
        <f>'03_原始数据'!C448-0.635*'03_原始数据'!B448-OtherCost</f>
        <v/>
      </c>
      <c r="U448" s="37">
        <f>'03_原始数据'!C448-0.64*'03_原始数据'!B448-OtherCost</f>
        <v/>
      </c>
      <c r="V448" s="37">
        <f>'03_原始数据'!C448-0.645*'03_原始数据'!B448-OtherCost</f>
        <v/>
      </c>
      <c r="W448" s="37">
        <f>'03_原始数据'!C448-0.65*'03_原始数据'!B448-OtherCost</f>
        <v/>
      </c>
      <c r="X448" s="37">
        <f>'03_原始数据'!C448-0.655*'03_原始数据'!B448-OtherCost</f>
        <v/>
      </c>
      <c r="Y448" s="37">
        <f>'03_原始数据'!C448-0.66*'03_原始数据'!B448-OtherCost</f>
        <v/>
      </c>
      <c r="Z448" s="37">
        <f>'03_原始数据'!C448-0.665*'03_原始数据'!B448-OtherCost</f>
        <v/>
      </c>
      <c r="AA448" s="37">
        <f>'03_原始数据'!C448-0.67*'03_原始数据'!B448-OtherCost</f>
        <v/>
      </c>
      <c r="AB448" s="37">
        <f>'03_原始数据'!C448-0.675*'03_原始数据'!B448-OtherCost</f>
        <v/>
      </c>
      <c r="AC448" s="37">
        <f>'03_原始数据'!C448-0.68*'03_原始数据'!B448-OtherCost</f>
        <v/>
      </c>
      <c r="AD448" s="37">
        <f>'03_原始数据'!C448-0.685*'03_原始数据'!B448-OtherCost</f>
        <v/>
      </c>
      <c r="AE448" s="37">
        <f>'03_原始数据'!C448-0.69*'03_原始数据'!B448-OtherCost</f>
        <v/>
      </c>
      <c r="AF448" s="37">
        <f>'03_原始数据'!C448-0.695*'03_原始数据'!B448-OtherCost</f>
        <v/>
      </c>
      <c r="AG448" s="37">
        <f>'03_原始数据'!C448-0.7*'03_原始数据'!B448-OtherCost</f>
        <v/>
      </c>
    </row>
    <row r="449">
      <c r="M449" s="37">
        <f>'03_原始数据'!C449-0.6*'03_原始数据'!B449-OtherCost</f>
        <v/>
      </c>
      <c r="N449" s="37">
        <f>'03_原始数据'!C449-0.605*'03_原始数据'!B449-OtherCost</f>
        <v/>
      </c>
      <c r="O449" s="37">
        <f>'03_原始数据'!C449-0.61*'03_原始数据'!B449-OtherCost</f>
        <v/>
      </c>
      <c r="P449" s="37">
        <f>'03_原始数据'!C449-0.615*'03_原始数据'!B449-OtherCost</f>
        <v/>
      </c>
      <c r="Q449" s="37">
        <f>'03_原始数据'!C449-0.62*'03_原始数据'!B449-OtherCost</f>
        <v/>
      </c>
      <c r="R449" s="37">
        <f>'03_原始数据'!C449-0.625*'03_原始数据'!B449-OtherCost</f>
        <v/>
      </c>
      <c r="S449" s="37">
        <f>'03_原始数据'!C449-0.63*'03_原始数据'!B449-OtherCost</f>
        <v/>
      </c>
      <c r="T449" s="37">
        <f>'03_原始数据'!C449-0.635*'03_原始数据'!B449-OtherCost</f>
        <v/>
      </c>
      <c r="U449" s="37">
        <f>'03_原始数据'!C449-0.64*'03_原始数据'!B449-OtherCost</f>
        <v/>
      </c>
      <c r="V449" s="37">
        <f>'03_原始数据'!C449-0.645*'03_原始数据'!B449-OtherCost</f>
        <v/>
      </c>
      <c r="W449" s="37">
        <f>'03_原始数据'!C449-0.65*'03_原始数据'!B449-OtherCost</f>
        <v/>
      </c>
      <c r="X449" s="37">
        <f>'03_原始数据'!C449-0.655*'03_原始数据'!B449-OtherCost</f>
        <v/>
      </c>
      <c r="Y449" s="37">
        <f>'03_原始数据'!C449-0.66*'03_原始数据'!B449-OtherCost</f>
        <v/>
      </c>
      <c r="Z449" s="37">
        <f>'03_原始数据'!C449-0.665*'03_原始数据'!B449-OtherCost</f>
        <v/>
      </c>
      <c r="AA449" s="37">
        <f>'03_原始数据'!C449-0.67*'03_原始数据'!B449-OtherCost</f>
        <v/>
      </c>
      <c r="AB449" s="37">
        <f>'03_原始数据'!C449-0.675*'03_原始数据'!B449-OtherCost</f>
        <v/>
      </c>
      <c r="AC449" s="37">
        <f>'03_原始数据'!C449-0.68*'03_原始数据'!B449-OtherCost</f>
        <v/>
      </c>
      <c r="AD449" s="37">
        <f>'03_原始数据'!C449-0.685*'03_原始数据'!B449-OtherCost</f>
        <v/>
      </c>
      <c r="AE449" s="37">
        <f>'03_原始数据'!C449-0.69*'03_原始数据'!B449-OtherCost</f>
        <v/>
      </c>
      <c r="AF449" s="37">
        <f>'03_原始数据'!C449-0.695*'03_原始数据'!B449-OtherCost</f>
        <v/>
      </c>
      <c r="AG449" s="37">
        <f>'03_原始数据'!C449-0.7*'03_原始数据'!B449-OtherCost</f>
        <v/>
      </c>
    </row>
    <row r="450">
      <c r="M450" s="37">
        <f>'03_原始数据'!C450-0.6*'03_原始数据'!B450-OtherCost</f>
        <v/>
      </c>
      <c r="N450" s="37">
        <f>'03_原始数据'!C450-0.605*'03_原始数据'!B450-OtherCost</f>
        <v/>
      </c>
      <c r="O450" s="37">
        <f>'03_原始数据'!C450-0.61*'03_原始数据'!B450-OtherCost</f>
        <v/>
      </c>
      <c r="P450" s="37">
        <f>'03_原始数据'!C450-0.615*'03_原始数据'!B450-OtherCost</f>
        <v/>
      </c>
      <c r="Q450" s="37">
        <f>'03_原始数据'!C450-0.62*'03_原始数据'!B450-OtherCost</f>
        <v/>
      </c>
      <c r="R450" s="37">
        <f>'03_原始数据'!C450-0.625*'03_原始数据'!B450-OtherCost</f>
        <v/>
      </c>
      <c r="S450" s="37">
        <f>'03_原始数据'!C450-0.63*'03_原始数据'!B450-OtherCost</f>
        <v/>
      </c>
      <c r="T450" s="37">
        <f>'03_原始数据'!C450-0.635*'03_原始数据'!B450-OtherCost</f>
        <v/>
      </c>
      <c r="U450" s="37">
        <f>'03_原始数据'!C450-0.64*'03_原始数据'!B450-OtherCost</f>
        <v/>
      </c>
      <c r="V450" s="37">
        <f>'03_原始数据'!C450-0.645*'03_原始数据'!B450-OtherCost</f>
        <v/>
      </c>
      <c r="W450" s="37">
        <f>'03_原始数据'!C450-0.65*'03_原始数据'!B450-OtherCost</f>
        <v/>
      </c>
      <c r="X450" s="37">
        <f>'03_原始数据'!C450-0.655*'03_原始数据'!B450-OtherCost</f>
        <v/>
      </c>
      <c r="Y450" s="37">
        <f>'03_原始数据'!C450-0.66*'03_原始数据'!B450-OtherCost</f>
        <v/>
      </c>
      <c r="Z450" s="37">
        <f>'03_原始数据'!C450-0.665*'03_原始数据'!B450-OtherCost</f>
        <v/>
      </c>
      <c r="AA450" s="37">
        <f>'03_原始数据'!C450-0.67*'03_原始数据'!B450-OtherCost</f>
        <v/>
      </c>
      <c r="AB450" s="37">
        <f>'03_原始数据'!C450-0.675*'03_原始数据'!B450-OtherCost</f>
        <v/>
      </c>
      <c r="AC450" s="37">
        <f>'03_原始数据'!C450-0.68*'03_原始数据'!B450-OtherCost</f>
        <v/>
      </c>
      <c r="AD450" s="37">
        <f>'03_原始数据'!C450-0.685*'03_原始数据'!B450-OtherCost</f>
        <v/>
      </c>
      <c r="AE450" s="37">
        <f>'03_原始数据'!C450-0.69*'03_原始数据'!B450-OtherCost</f>
        <v/>
      </c>
      <c r="AF450" s="37">
        <f>'03_原始数据'!C450-0.695*'03_原始数据'!B450-OtherCost</f>
        <v/>
      </c>
      <c r="AG450" s="37">
        <f>'03_原始数据'!C450-0.7*'03_原始数据'!B450-OtherCost</f>
        <v/>
      </c>
    </row>
    <row r="451">
      <c r="M451" s="37">
        <f>'03_原始数据'!C451-0.6*'03_原始数据'!B451-OtherCost</f>
        <v/>
      </c>
      <c r="N451" s="37">
        <f>'03_原始数据'!C451-0.605*'03_原始数据'!B451-OtherCost</f>
        <v/>
      </c>
      <c r="O451" s="37">
        <f>'03_原始数据'!C451-0.61*'03_原始数据'!B451-OtherCost</f>
        <v/>
      </c>
      <c r="P451" s="37">
        <f>'03_原始数据'!C451-0.615*'03_原始数据'!B451-OtherCost</f>
        <v/>
      </c>
      <c r="Q451" s="37">
        <f>'03_原始数据'!C451-0.62*'03_原始数据'!B451-OtherCost</f>
        <v/>
      </c>
      <c r="R451" s="37">
        <f>'03_原始数据'!C451-0.625*'03_原始数据'!B451-OtherCost</f>
        <v/>
      </c>
      <c r="S451" s="37">
        <f>'03_原始数据'!C451-0.63*'03_原始数据'!B451-OtherCost</f>
        <v/>
      </c>
      <c r="T451" s="37">
        <f>'03_原始数据'!C451-0.635*'03_原始数据'!B451-OtherCost</f>
        <v/>
      </c>
      <c r="U451" s="37">
        <f>'03_原始数据'!C451-0.64*'03_原始数据'!B451-OtherCost</f>
        <v/>
      </c>
      <c r="V451" s="37">
        <f>'03_原始数据'!C451-0.645*'03_原始数据'!B451-OtherCost</f>
        <v/>
      </c>
      <c r="W451" s="37">
        <f>'03_原始数据'!C451-0.65*'03_原始数据'!B451-OtherCost</f>
        <v/>
      </c>
      <c r="X451" s="37">
        <f>'03_原始数据'!C451-0.655*'03_原始数据'!B451-OtherCost</f>
        <v/>
      </c>
      <c r="Y451" s="37">
        <f>'03_原始数据'!C451-0.66*'03_原始数据'!B451-OtherCost</f>
        <v/>
      </c>
      <c r="Z451" s="37">
        <f>'03_原始数据'!C451-0.665*'03_原始数据'!B451-OtherCost</f>
        <v/>
      </c>
      <c r="AA451" s="37">
        <f>'03_原始数据'!C451-0.67*'03_原始数据'!B451-OtherCost</f>
        <v/>
      </c>
      <c r="AB451" s="37">
        <f>'03_原始数据'!C451-0.675*'03_原始数据'!B451-OtherCost</f>
        <v/>
      </c>
      <c r="AC451" s="37">
        <f>'03_原始数据'!C451-0.68*'03_原始数据'!B451-OtherCost</f>
        <v/>
      </c>
      <c r="AD451" s="37">
        <f>'03_原始数据'!C451-0.685*'03_原始数据'!B451-OtherCost</f>
        <v/>
      </c>
      <c r="AE451" s="37">
        <f>'03_原始数据'!C451-0.69*'03_原始数据'!B451-OtherCost</f>
        <v/>
      </c>
      <c r="AF451" s="37">
        <f>'03_原始数据'!C451-0.695*'03_原始数据'!B451-OtherCost</f>
        <v/>
      </c>
      <c r="AG451" s="37">
        <f>'03_原始数据'!C451-0.7*'03_原始数据'!B451-OtherCost</f>
        <v/>
      </c>
    </row>
    <row r="452">
      <c r="M452" s="37">
        <f>'03_原始数据'!C452-0.6*'03_原始数据'!B452-OtherCost</f>
        <v/>
      </c>
      <c r="N452" s="37">
        <f>'03_原始数据'!C452-0.605*'03_原始数据'!B452-OtherCost</f>
        <v/>
      </c>
      <c r="O452" s="37">
        <f>'03_原始数据'!C452-0.61*'03_原始数据'!B452-OtherCost</f>
        <v/>
      </c>
      <c r="P452" s="37">
        <f>'03_原始数据'!C452-0.615*'03_原始数据'!B452-OtherCost</f>
        <v/>
      </c>
      <c r="Q452" s="37">
        <f>'03_原始数据'!C452-0.62*'03_原始数据'!B452-OtherCost</f>
        <v/>
      </c>
      <c r="R452" s="37">
        <f>'03_原始数据'!C452-0.625*'03_原始数据'!B452-OtherCost</f>
        <v/>
      </c>
      <c r="S452" s="37">
        <f>'03_原始数据'!C452-0.63*'03_原始数据'!B452-OtherCost</f>
        <v/>
      </c>
      <c r="T452" s="37">
        <f>'03_原始数据'!C452-0.635*'03_原始数据'!B452-OtherCost</f>
        <v/>
      </c>
      <c r="U452" s="37">
        <f>'03_原始数据'!C452-0.64*'03_原始数据'!B452-OtherCost</f>
        <v/>
      </c>
      <c r="V452" s="37">
        <f>'03_原始数据'!C452-0.645*'03_原始数据'!B452-OtherCost</f>
        <v/>
      </c>
      <c r="W452" s="37">
        <f>'03_原始数据'!C452-0.65*'03_原始数据'!B452-OtherCost</f>
        <v/>
      </c>
      <c r="X452" s="37">
        <f>'03_原始数据'!C452-0.655*'03_原始数据'!B452-OtherCost</f>
        <v/>
      </c>
      <c r="Y452" s="37">
        <f>'03_原始数据'!C452-0.66*'03_原始数据'!B452-OtherCost</f>
        <v/>
      </c>
      <c r="Z452" s="37">
        <f>'03_原始数据'!C452-0.665*'03_原始数据'!B452-OtherCost</f>
        <v/>
      </c>
      <c r="AA452" s="37">
        <f>'03_原始数据'!C452-0.67*'03_原始数据'!B452-OtherCost</f>
        <v/>
      </c>
      <c r="AB452" s="37">
        <f>'03_原始数据'!C452-0.675*'03_原始数据'!B452-OtherCost</f>
        <v/>
      </c>
      <c r="AC452" s="37">
        <f>'03_原始数据'!C452-0.68*'03_原始数据'!B452-OtherCost</f>
        <v/>
      </c>
      <c r="AD452" s="37">
        <f>'03_原始数据'!C452-0.685*'03_原始数据'!B452-OtherCost</f>
        <v/>
      </c>
      <c r="AE452" s="37">
        <f>'03_原始数据'!C452-0.69*'03_原始数据'!B452-OtherCost</f>
        <v/>
      </c>
      <c r="AF452" s="37">
        <f>'03_原始数据'!C452-0.695*'03_原始数据'!B452-OtherCost</f>
        <v/>
      </c>
      <c r="AG452" s="37">
        <f>'03_原始数据'!C452-0.7*'03_原始数据'!B452-OtherCost</f>
        <v/>
      </c>
    </row>
    <row r="453">
      <c r="M453" s="37">
        <f>'03_原始数据'!C453-0.6*'03_原始数据'!B453-OtherCost</f>
        <v/>
      </c>
      <c r="N453" s="37">
        <f>'03_原始数据'!C453-0.605*'03_原始数据'!B453-OtherCost</f>
        <v/>
      </c>
      <c r="O453" s="37">
        <f>'03_原始数据'!C453-0.61*'03_原始数据'!B453-OtherCost</f>
        <v/>
      </c>
      <c r="P453" s="37">
        <f>'03_原始数据'!C453-0.615*'03_原始数据'!B453-OtherCost</f>
        <v/>
      </c>
      <c r="Q453" s="37">
        <f>'03_原始数据'!C453-0.62*'03_原始数据'!B453-OtherCost</f>
        <v/>
      </c>
      <c r="R453" s="37">
        <f>'03_原始数据'!C453-0.625*'03_原始数据'!B453-OtherCost</f>
        <v/>
      </c>
      <c r="S453" s="37">
        <f>'03_原始数据'!C453-0.63*'03_原始数据'!B453-OtherCost</f>
        <v/>
      </c>
      <c r="T453" s="37">
        <f>'03_原始数据'!C453-0.635*'03_原始数据'!B453-OtherCost</f>
        <v/>
      </c>
      <c r="U453" s="37">
        <f>'03_原始数据'!C453-0.64*'03_原始数据'!B453-OtherCost</f>
        <v/>
      </c>
      <c r="V453" s="37">
        <f>'03_原始数据'!C453-0.645*'03_原始数据'!B453-OtherCost</f>
        <v/>
      </c>
      <c r="W453" s="37">
        <f>'03_原始数据'!C453-0.65*'03_原始数据'!B453-OtherCost</f>
        <v/>
      </c>
      <c r="X453" s="37">
        <f>'03_原始数据'!C453-0.655*'03_原始数据'!B453-OtherCost</f>
        <v/>
      </c>
      <c r="Y453" s="37">
        <f>'03_原始数据'!C453-0.66*'03_原始数据'!B453-OtherCost</f>
        <v/>
      </c>
      <c r="Z453" s="37">
        <f>'03_原始数据'!C453-0.665*'03_原始数据'!B453-OtherCost</f>
        <v/>
      </c>
      <c r="AA453" s="37">
        <f>'03_原始数据'!C453-0.67*'03_原始数据'!B453-OtherCost</f>
        <v/>
      </c>
      <c r="AB453" s="37">
        <f>'03_原始数据'!C453-0.675*'03_原始数据'!B453-OtherCost</f>
        <v/>
      </c>
      <c r="AC453" s="37">
        <f>'03_原始数据'!C453-0.68*'03_原始数据'!B453-OtherCost</f>
        <v/>
      </c>
      <c r="AD453" s="37">
        <f>'03_原始数据'!C453-0.685*'03_原始数据'!B453-OtherCost</f>
        <v/>
      </c>
      <c r="AE453" s="37">
        <f>'03_原始数据'!C453-0.69*'03_原始数据'!B453-OtherCost</f>
        <v/>
      </c>
      <c r="AF453" s="37">
        <f>'03_原始数据'!C453-0.695*'03_原始数据'!B453-OtherCost</f>
        <v/>
      </c>
      <c r="AG453" s="37">
        <f>'03_原始数据'!C453-0.7*'03_原始数据'!B453-OtherCost</f>
        <v/>
      </c>
    </row>
    <row r="454">
      <c r="M454" s="37">
        <f>'03_原始数据'!C454-0.6*'03_原始数据'!B454-OtherCost</f>
        <v/>
      </c>
      <c r="N454" s="37">
        <f>'03_原始数据'!C454-0.605*'03_原始数据'!B454-OtherCost</f>
        <v/>
      </c>
      <c r="O454" s="37">
        <f>'03_原始数据'!C454-0.61*'03_原始数据'!B454-OtherCost</f>
        <v/>
      </c>
      <c r="P454" s="37">
        <f>'03_原始数据'!C454-0.615*'03_原始数据'!B454-OtherCost</f>
        <v/>
      </c>
      <c r="Q454" s="37">
        <f>'03_原始数据'!C454-0.62*'03_原始数据'!B454-OtherCost</f>
        <v/>
      </c>
      <c r="R454" s="37">
        <f>'03_原始数据'!C454-0.625*'03_原始数据'!B454-OtherCost</f>
        <v/>
      </c>
      <c r="S454" s="37">
        <f>'03_原始数据'!C454-0.63*'03_原始数据'!B454-OtherCost</f>
        <v/>
      </c>
      <c r="T454" s="37">
        <f>'03_原始数据'!C454-0.635*'03_原始数据'!B454-OtherCost</f>
        <v/>
      </c>
      <c r="U454" s="37">
        <f>'03_原始数据'!C454-0.64*'03_原始数据'!B454-OtherCost</f>
        <v/>
      </c>
      <c r="V454" s="37">
        <f>'03_原始数据'!C454-0.645*'03_原始数据'!B454-OtherCost</f>
        <v/>
      </c>
      <c r="W454" s="37">
        <f>'03_原始数据'!C454-0.65*'03_原始数据'!B454-OtherCost</f>
        <v/>
      </c>
      <c r="X454" s="37">
        <f>'03_原始数据'!C454-0.655*'03_原始数据'!B454-OtherCost</f>
        <v/>
      </c>
      <c r="Y454" s="37">
        <f>'03_原始数据'!C454-0.66*'03_原始数据'!B454-OtherCost</f>
        <v/>
      </c>
      <c r="Z454" s="37">
        <f>'03_原始数据'!C454-0.665*'03_原始数据'!B454-OtherCost</f>
        <v/>
      </c>
      <c r="AA454" s="37">
        <f>'03_原始数据'!C454-0.67*'03_原始数据'!B454-OtherCost</f>
        <v/>
      </c>
      <c r="AB454" s="37">
        <f>'03_原始数据'!C454-0.675*'03_原始数据'!B454-OtherCost</f>
        <v/>
      </c>
      <c r="AC454" s="37">
        <f>'03_原始数据'!C454-0.68*'03_原始数据'!B454-OtherCost</f>
        <v/>
      </c>
      <c r="AD454" s="37">
        <f>'03_原始数据'!C454-0.685*'03_原始数据'!B454-OtherCost</f>
        <v/>
      </c>
      <c r="AE454" s="37">
        <f>'03_原始数据'!C454-0.69*'03_原始数据'!B454-OtherCost</f>
        <v/>
      </c>
      <c r="AF454" s="37">
        <f>'03_原始数据'!C454-0.695*'03_原始数据'!B454-OtherCost</f>
        <v/>
      </c>
      <c r="AG454" s="37">
        <f>'03_原始数据'!C454-0.7*'03_原始数据'!B454-OtherCost</f>
        <v/>
      </c>
    </row>
    <row r="455">
      <c r="M455" s="37">
        <f>'03_原始数据'!C455-0.6*'03_原始数据'!B455-OtherCost</f>
        <v/>
      </c>
      <c r="N455" s="37">
        <f>'03_原始数据'!C455-0.605*'03_原始数据'!B455-OtherCost</f>
        <v/>
      </c>
      <c r="O455" s="37">
        <f>'03_原始数据'!C455-0.61*'03_原始数据'!B455-OtherCost</f>
        <v/>
      </c>
      <c r="P455" s="37">
        <f>'03_原始数据'!C455-0.615*'03_原始数据'!B455-OtherCost</f>
        <v/>
      </c>
      <c r="Q455" s="37">
        <f>'03_原始数据'!C455-0.62*'03_原始数据'!B455-OtherCost</f>
        <v/>
      </c>
      <c r="R455" s="37">
        <f>'03_原始数据'!C455-0.625*'03_原始数据'!B455-OtherCost</f>
        <v/>
      </c>
      <c r="S455" s="37">
        <f>'03_原始数据'!C455-0.63*'03_原始数据'!B455-OtherCost</f>
        <v/>
      </c>
      <c r="T455" s="37">
        <f>'03_原始数据'!C455-0.635*'03_原始数据'!B455-OtherCost</f>
        <v/>
      </c>
      <c r="U455" s="37">
        <f>'03_原始数据'!C455-0.64*'03_原始数据'!B455-OtherCost</f>
        <v/>
      </c>
      <c r="V455" s="37">
        <f>'03_原始数据'!C455-0.645*'03_原始数据'!B455-OtherCost</f>
        <v/>
      </c>
      <c r="W455" s="37">
        <f>'03_原始数据'!C455-0.65*'03_原始数据'!B455-OtherCost</f>
        <v/>
      </c>
      <c r="X455" s="37">
        <f>'03_原始数据'!C455-0.655*'03_原始数据'!B455-OtherCost</f>
        <v/>
      </c>
      <c r="Y455" s="37">
        <f>'03_原始数据'!C455-0.66*'03_原始数据'!B455-OtherCost</f>
        <v/>
      </c>
      <c r="Z455" s="37">
        <f>'03_原始数据'!C455-0.665*'03_原始数据'!B455-OtherCost</f>
        <v/>
      </c>
      <c r="AA455" s="37">
        <f>'03_原始数据'!C455-0.67*'03_原始数据'!B455-OtherCost</f>
        <v/>
      </c>
      <c r="AB455" s="37">
        <f>'03_原始数据'!C455-0.675*'03_原始数据'!B455-OtherCost</f>
        <v/>
      </c>
      <c r="AC455" s="37">
        <f>'03_原始数据'!C455-0.68*'03_原始数据'!B455-OtherCost</f>
        <v/>
      </c>
      <c r="AD455" s="37">
        <f>'03_原始数据'!C455-0.685*'03_原始数据'!B455-OtherCost</f>
        <v/>
      </c>
      <c r="AE455" s="37">
        <f>'03_原始数据'!C455-0.69*'03_原始数据'!B455-OtherCost</f>
        <v/>
      </c>
      <c r="AF455" s="37">
        <f>'03_原始数据'!C455-0.695*'03_原始数据'!B455-OtherCost</f>
        <v/>
      </c>
      <c r="AG455" s="37">
        <f>'03_原始数据'!C455-0.7*'03_原始数据'!B455-OtherCost</f>
        <v/>
      </c>
    </row>
    <row r="456">
      <c r="M456" s="37">
        <f>'03_原始数据'!C456-0.6*'03_原始数据'!B456-OtherCost</f>
        <v/>
      </c>
      <c r="N456" s="37">
        <f>'03_原始数据'!C456-0.605*'03_原始数据'!B456-OtherCost</f>
        <v/>
      </c>
      <c r="O456" s="37">
        <f>'03_原始数据'!C456-0.61*'03_原始数据'!B456-OtherCost</f>
        <v/>
      </c>
      <c r="P456" s="37">
        <f>'03_原始数据'!C456-0.615*'03_原始数据'!B456-OtherCost</f>
        <v/>
      </c>
      <c r="Q456" s="37">
        <f>'03_原始数据'!C456-0.62*'03_原始数据'!B456-OtherCost</f>
        <v/>
      </c>
      <c r="R456" s="37">
        <f>'03_原始数据'!C456-0.625*'03_原始数据'!B456-OtherCost</f>
        <v/>
      </c>
      <c r="S456" s="37">
        <f>'03_原始数据'!C456-0.63*'03_原始数据'!B456-OtherCost</f>
        <v/>
      </c>
      <c r="T456" s="37">
        <f>'03_原始数据'!C456-0.635*'03_原始数据'!B456-OtherCost</f>
        <v/>
      </c>
      <c r="U456" s="37">
        <f>'03_原始数据'!C456-0.64*'03_原始数据'!B456-OtherCost</f>
        <v/>
      </c>
      <c r="V456" s="37">
        <f>'03_原始数据'!C456-0.645*'03_原始数据'!B456-OtherCost</f>
        <v/>
      </c>
      <c r="W456" s="37">
        <f>'03_原始数据'!C456-0.65*'03_原始数据'!B456-OtherCost</f>
        <v/>
      </c>
      <c r="X456" s="37">
        <f>'03_原始数据'!C456-0.655*'03_原始数据'!B456-OtherCost</f>
        <v/>
      </c>
      <c r="Y456" s="37">
        <f>'03_原始数据'!C456-0.66*'03_原始数据'!B456-OtherCost</f>
        <v/>
      </c>
      <c r="Z456" s="37">
        <f>'03_原始数据'!C456-0.665*'03_原始数据'!B456-OtherCost</f>
        <v/>
      </c>
      <c r="AA456" s="37">
        <f>'03_原始数据'!C456-0.67*'03_原始数据'!B456-OtherCost</f>
        <v/>
      </c>
      <c r="AB456" s="37">
        <f>'03_原始数据'!C456-0.675*'03_原始数据'!B456-OtherCost</f>
        <v/>
      </c>
      <c r="AC456" s="37">
        <f>'03_原始数据'!C456-0.68*'03_原始数据'!B456-OtherCost</f>
        <v/>
      </c>
      <c r="AD456" s="37">
        <f>'03_原始数据'!C456-0.685*'03_原始数据'!B456-OtherCost</f>
        <v/>
      </c>
      <c r="AE456" s="37">
        <f>'03_原始数据'!C456-0.69*'03_原始数据'!B456-OtherCost</f>
        <v/>
      </c>
      <c r="AF456" s="37">
        <f>'03_原始数据'!C456-0.695*'03_原始数据'!B456-OtherCost</f>
        <v/>
      </c>
      <c r="AG456" s="37">
        <f>'03_原始数据'!C456-0.7*'03_原始数据'!B456-OtherCost</f>
        <v/>
      </c>
    </row>
    <row r="457">
      <c r="M457" s="37">
        <f>'03_原始数据'!C457-0.6*'03_原始数据'!B457-OtherCost</f>
        <v/>
      </c>
      <c r="N457" s="37">
        <f>'03_原始数据'!C457-0.605*'03_原始数据'!B457-OtherCost</f>
        <v/>
      </c>
      <c r="O457" s="37">
        <f>'03_原始数据'!C457-0.61*'03_原始数据'!B457-OtherCost</f>
        <v/>
      </c>
      <c r="P457" s="37">
        <f>'03_原始数据'!C457-0.615*'03_原始数据'!B457-OtherCost</f>
        <v/>
      </c>
      <c r="Q457" s="37">
        <f>'03_原始数据'!C457-0.62*'03_原始数据'!B457-OtherCost</f>
        <v/>
      </c>
      <c r="R457" s="37">
        <f>'03_原始数据'!C457-0.625*'03_原始数据'!B457-OtherCost</f>
        <v/>
      </c>
      <c r="S457" s="37">
        <f>'03_原始数据'!C457-0.63*'03_原始数据'!B457-OtherCost</f>
        <v/>
      </c>
      <c r="T457" s="37">
        <f>'03_原始数据'!C457-0.635*'03_原始数据'!B457-OtherCost</f>
        <v/>
      </c>
      <c r="U457" s="37">
        <f>'03_原始数据'!C457-0.64*'03_原始数据'!B457-OtherCost</f>
        <v/>
      </c>
      <c r="V457" s="37">
        <f>'03_原始数据'!C457-0.645*'03_原始数据'!B457-OtherCost</f>
        <v/>
      </c>
      <c r="W457" s="37">
        <f>'03_原始数据'!C457-0.65*'03_原始数据'!B457-OtherCost</f>
        <v/>
      </c>
      <c r="X457" s="37">
        <f>'03_原始数据'!C457-0.655*'03_原始数据'!B457-OtherCost</f>
        <v/>
      </c>
      <c r="Y457" s="37">
        <f>'03_原始数据'!C457-0.66*'03_原始数据'!B457-OtherCost</f>
        <v/>
      </c>
      <c r="Z457" s="37">
        <f>'03_原始数据'!C457-0.665*'03_原始数据'!B457-OtherCost</f>
        <v/>
      </c>
      <c r="AA457" s="37">
        <f>'03_原始数据'!C457-0.67*'03_原始数据'!B457-OtherCost</f>
        <v/>
      </c>
      <c r="AB457" s="37">
        <f>'03_原始数据'!C457-0.675*'03_原始数据'!B457-OtherCost</f>
        <v/>
      </c>
      <c r="AC457" s="37">
        <f>'03_原始数据'!C457-0.68*'03_原始数据'!B457-OtherCost</f>
        <v/>
      </c>
      <c r="AD457" s="37">
        <f>'03_原始数据'!C457-0.685*'03_原始数据'!B457-OtherCost</f>
        <v/>
      </c>
      <c r="AE457" s="37">
        <f>'03_原始数据'!C457-0.69*'03_原始数据'!B457-OtherCost</f>
        <v/>
      </c>
      <c r="AF457" s="37">
        <f>'03_原始数据'!C457-0.695*'03_原始数据'!B457-OtherCost</f>
        <v/>
      </c>
      <c r="AG457" s="37">
        <f>'03_原始数据'!C457-0.7*'03_原始数据'!B457-OtherCost</f>
        <v/>
      </c>
    </row>
    <row r="458">
      <c r="M458" s="37">
        <f>'03_原始数据'!C458-0.6*'03_原始数据'!B458-OtherCost</f>
        <v/>
      </c>
      <c r="N458" s="37">
        <f>'03_原始数据'!C458-0.605*'03_原始数据'!B458-OtherCost</f>
        <v/>
      </c>
      <c r="O458" s="37">
        <f>'03_原始数据'!C458-0.61*'03_原始数据'!B458-OtherCost</f>
        <v/>
      </c>
      <c r="P458" s="37">
        <f>'03_原始数据'!C458-0.615*'03_原始数据'!B458-OtherCost</f>
        <v/>
      </c>
      <c r="Q458" s="37">
        <f>'03_原始数据'!C458-0.62*'03_原始数据'!B458-OtherCost</f>
        <v/>
      </c>
      <c r="R458" s="37">
        <f>'03_原始数据'!C458-0.625*'03_原始数据'!B458-OtherCost</f>
        <v/>
      </c>
      <c r="S458" s="37">
        <f>'03_原始数据'!C458-0.63*'03_原始数据'!B458-OtherCost</f>
        <v/>
      </c>
      <c r="T458" s="37">
        <f>'03_原始数据'!C458-0.635*'03_原始数据'!B458-OtherCost</f>
        <v/>
      </c>
      <c r="U458" s="37">
        <f>'03_原始数据'!C458-0.64*'03_原始数据'!B458-OtherCost</f>
        <v/>
      </c>
      <c r="V458" s="37">
        <f>'03_原始数据'!C458-0.645*'03_原始数据'!B458-OtherCost</f>
        <v/>
      </c>
      <c r="W458" s="37">
        <f>'03_原始数据'!C458-0.65*'03_原始数据'!B458-OtherCost</f>
        <v/>
      </c>
      <c r="X458" s="37">
        <f>'03_原始数据'!C458-0.655*'03_原始数据'!B458-OtherCost</f>
        <v/>
      </c>
      <c r="Y458" s="37">
        <f>'03_原始数据'!C458-0.66*'03_原始数据'!B458-OtherCost</f>
        <v/>
      </c>
      <c r="Z458" s="37">
        <f>'03_原始数据'!C458-0.665*'03_原始数据'!B458-OtherCost</f>
        <v/>
      </c>
      <c r="AA458" s="37">
        <f>'03_原始数据'!C458-0.67*'03_原始数据'!B458-OtherCost</f>
        <v/>
      </c>
      <c r="AB458" s="37">
        <f>'03_原始数据'!C458-0.675*'03_原始数据'!B458-OtherCost</f>
        <v/>
      </c>
      <c r="AC458" s="37">
        <f>'03_原始数据'!C458-0.68*'03_原始数据'!B458-OtherCost</f>
        <v/>
      </c>
      <c r="AD458" s="37">
        <f>'03_原始数据'!C458-0.685*'03_原始数据'!B458-OtherCost</f>
        <v/>
      </c>
      <c r="AE458" s="37">
        <f>'03_原始数据'!C458-0.69*'03_原始数据'!B458-OtherCost</f>
        <v/>
      </c>
      <c r="AF458" s="37">
        <f>'03_原始数据'!C458-0.695*'03_原始数据'!B458-OtherCost</f>
        <v/>
      </c>
      <c r="AG458" s="37">
        <f>'03_原始数据'!C458-0.7*'03_原始数据'!B458-OtherCost</f>
        <v/>
      </c>
    </row>
    <row r="459">
      <c r="M459" s="37">
        <f>'03_原始数据'!C459-0.6*'03_原始数据'!B459-OtherCost</f>
        <v/>
      </c>
      <c r="N459" s="37">
        <f>'03_原始数据'!C459-0.605*'03_原始数据'!B459-OtherCost</f>
        <v/>
      </c>
      <c r="O459" s="37">
        <f>'03_原始数据'!C459-0.61*'03_原始数据'!B459-OtherCost</f>
        <v/>
      </c>
      <c r="P459" s="37">
        <f>'03_原始数据'!C459-0.615*'03_原始数据'!B459-OtherCost</f>
        <v/>
      </c>
      <c r="Q459" s="37">
        <f>'03_原始数据'!C459-0.62*'03_原始数据'!B459-OtherCost</f>
        <v/>
      </c>
      <c r="R459" s="37">
        <f>'03_原始数据'!C459-0.625*'03_原始数据'!B459-OtherCost</f>
        <v/>
      </c>
      <c r="S459" s="37">
        <f>'03_原始数据'!C459-0.63*'03_原始数据'!B459-OtherCost</f>
        <v/>
      </c>
      <c r="T459" s="37">
        <f>'03_原始数据'!C459-0.635*'03_原始数据'!B459-OtherCost</f>
        <v/>
      </c>
      <c r="U459" s="37">
        <f>'03_原始数据'!C459-0.64*'03_原始数据'!B459-OtherCost</f>
        <v/>
      </c>
      <c r="V459" s="37">
        <f>'03_原始数据'!C459-0.645*'03_原始数据'!B459-OtherCost</f>
        <v/>
      </c>
      <c r="W459" s="37">
        <f>'03_原始数据'!C459-0.65*'03_原始数据'!B459-OtherCost</f>
        <v/>
      </c>
      <c r="X459" s="37">
        <f>'03_原始数据'!C459-0.655*'03_原始数据'!B459-OtherCost</f>
        <v/>
      </c>
      <c r="Y459" s="37">
        <f>'03_原始数据'!C459-0.66*'03_原始数据'!B459-OtherCost</f>
        <v/>
      </c>
      <c r="Z459" s="37">
        <f>'03_原始数据'!C459-0.665*'03_原始数据'!B459-OtherCost</f>
        <v/>
      </c>
      <c r="AA459" s="37">
        <f>'03_原始数据'!C459-0.67*'03_原始数据'!B459-OtherCost</f>
        <v/>
      </c>
      <c r="AB459" s="37">
        <f>'03_原始数据'!C459-0.675*'03_原始数据'!B459-OtherCost</f>
        <v/>
      </c>
      <c r="AC459" s="37">
        <f>'03_原始数据'!C459-0.68*'03_原始数据'!B459-OtherCost</f>
        <v/>
      </c>
      <c r="AD459" s="37">
        <f>'03_原始数据'!C459-0.685*'03_原始数据'!B459-OtherCost</f>
        <v/>
      </c>
      <c r="AE459" s="37">
        <f>'03_原始数据'!C459-0.69*'03_原始数据'!B459-OtherCost</f>
        <v/>
      </c>
      <c r="AF459" s="37">
        <f>'03_原始数据'!C459-0.695*'03_原始数据'!B459-OtherCost</f>
        <v/>
      </c>
      <c r="AG459" s="37">
        <f>'03_原始数据'!C459-0.7*'03_原始数据'!B459-OtherCost</f>
        <v/>
      </c>
    </row>
    <row r="460">
      <c r="M460" s="37">
        <f>'03_原始数据'!C460-0.6*'03_原始数据'!B460-OtherCost</f>
        <v/>
      </c>
      <c r="N460" s="37">
        <f>'03_原始数据'!C460-0.605*'03_原始数据'!B460-OtherCost</f>
        <v/>
      </c>
      <c r="O460" s="37">
        <f>'03_原始数据'!C460-0.61*'03_原始数据'!B460-OtherCost</f>
        <v/>
      </c>
      <c r="P460" s="37">
        <f>'03_原始数据'!C460-0.615*'03_原始数据'!B460-OtherCost</f>
        <v/>
      </c>
      <c r="Q460" s="37">
        <f>'03_原始数据'!C460-0.62*'03_原始数据'!B460-OtherCost</f>
        <v/>
      </c>
      <c r="R460" s="37">
        <f>'03_原始数据'!C460-0.625*'03_原始数据'!B460-OtherCost</f>
        <v/>
      </c>
      <c r="S460" s="37">
        <f>'03_原始数据'!C460-0.63*'03_原始数据'!B460-OtherCost</f>
        <v/>
      </c>
      <c r="T460" s="37">
        <f>'03_原始数据'!C460-0.635*'03_原始数据'!B460-OtherCost</f>
        <v/>
      </c>
      <c r="U460" s="37">
        <f>'03_原始数据'!C460-0.64*'03_原始数据'!B460-OtherCost</f>
        <v/>
      </c>
      <c r="V460" s="37">
        <f>'03_原始数据'!C460-0.645*'03_原始数据'!B460-OtherCost</f>
        <v/>
      </c>
      <c r="W460" s="37">
        <f>'03_原始数据'!C460-0.65*'03_原始数据'!B460-OtherCost</f>
        <v/>
      </c>
      <c r="X460" s="37">
        <f>'03_原始数据'!C460-0.655*'03_原始数据'!B460-OtherCost</f>
        <v/>
      </c>
      <c r="Y460" s="37">
        <f>'03_原始数据'!C460-0.66*'03_原始数据'!B460-OtherCost</f>
        <v/>
      </c>
      <c r="Z460" s="37">
        <f>'03_原始数据'!C460-0.665*'03_原始数据'!B460-OtherCost</f>
        <v/>
      </c>
      <c r="AA460" s="37">
        <f>'03_原始数据'!C460-0.67*'03_原始数据'!B460-OtherCost</f>
        <v/>
      </c>
      <c r="AB460" s="37">
        <f>'03_原始数据'!C460-0.675*'03_原始数据'!B460-OtherCost</f>
        <v/>
      </c>
      <c r="AC460" s="37">
        <f>'03_原始数据'!C460-0.68*'03_原始数据'!B460-OtherCost</f>
        <v/>
      </c>
      <c r="AD460" s="37">
        <f>'03_原始数据'!C460-0.685*'03_原始数据'!B460-OtherCost</f>
        <v/>
      </c>
      <c r="AE460" s="37">
        <f>'03_原始数据'!C460-0.69*'03_原始数据'!B460-OtherCost</f>
        <v/>
      </c>
      <c r="AF460" s="37">
        <f>'03_原始数据'!C460-0.695*'03_原始数据'!B460-OtherCost</f>
        <v/>
      </c>
      <c r="AG460" s="37">
        <f>'03_原始数据'!C460-0.7*'03_原始数据'!B460-OtherCost</f>
        <v/>
      </c>
    </row>
    <row r="461">
      <c r="M461" s="37">
        <f>'03_原始数据'!C461-0.6*'03_原始数据'!B461-OtherCost</f>
        <v/>
      </c>
      <c r="N461" s="37">
        <f>'03_原始数据'!C461-0.605*'03_原始数据'!B461-OtherCost</f>
        <v/>
      </c>
      <c r="O461" s="37">
        <f>'03_原始数据'!C461-0.61*'03_原始数据'!B461-OtherCost</f>
        <v/>
      </c>
      <c r="P461" s="37">
        <f>'03_原始数据'!C461-0.615*'03_原始数据'!B461-OtherCost</f>
        <v/>
      </c>
      <c r="Q461" s="37">
        <f>'03_原始数据'!C461-0.62*'03_原始数据'!B461-OtherCost</f>
        <v/>
      </c>
      <c r="R461" s="37">
        <f>'03_原始数据'!C461-0.625*'03_原始数据'!B461-OtherCost</f>
        <v/>
      </c>
      <c r="S461" s="37">
        <f>'03_原始数据'!C461-0.63*'03_原始数据'!B461-OtherCost</f>
        <v/>
      </c>
      <c r="T461" s="37">
        <f>'03_原始数据'!C461-0.635*'03_原始数据'!B461-OtherCost</f>
        <v/>
      </c>
      <c r="U461" s="37">
        <f>'03_原始数据'!C461-0.64*'03_原始数据'!B461-OtherCost</f>
        <v/>
      </c>
      <c r="V461" s="37">
        <f>'03_原始数据'!C461-0.645*'03_原始数据'!B461-OtherCost</f>
        <v/>
      </c>
      <c r="W461" s="37">
        <f>'03_原始数据'!C461-0.65*'03_原始数据'!B461-OtherCost</f>
        <v/>
      </c>
      <c r="X461" s="37">
        <f>'03_原始数据'!C461-0.655*'03_原始数据'!B461-OtherCost</f>
        <v/>
      </c>
      <c r="Y461" s="37">
        <f>'03_原始数据'!C461-0.66*'03_原始数据'!B461-OtherCost</f>
        <v/>
      </c>
      <c r="Z461" s="37">
        <f>'03_原始数据'!C461-0.665*'03_原始数据'!B461-OtherCost</f>
        <v/>
      </c>
      <c r="AA461" s="37">
        <f>'03_原始数据'!C461-0.67*'03_原始数据'!B461-OtherCost</f>
        <v/>
      </c>
      <c r="AB461" s="37">
        <f>'03_原始数据'!C461-0.675*'03_原始数据'!B461-OtherCost</f>
        <v/>
      </c>
      <c r="AC461" s="37">
        <f>'03_原始数据'!C461-0.68*'03_原始数据'!B461-OtherCost</f>
        <v/>
      </c>
      <c r="AD461" s="37">
        <f>'03_原始数据'!C461-0.685*'03_原始数据'!B461-OtherCost</f>
        <v/>
      </c>
      <c r="AE461" s="37">
        <f>'03_原始数据'!C461-0.69*'03_原始数据'!B461-OtherCost</f>
        <v/>
      </c>
      <c r="AF461" s="37">
        <f>'03_原始数据'!C461-0.695*'03_原始数据'!B461-OtherCost</f>
        <v/>
      </c>
      <c r="AG461" s="37">
        <f>'03_原始数据'!C461-0.7*'03_原始数据'!B461-OtherCost</f>
        <v/>
      </c>
    </row>
    <row r="462">
      <c r="M462" s="37">
        <f>'03_原始数据'!C462-0.6*'03_原始数据'!B462-OtherCost</f>
        <v/>
      </c>
      <c r="N462" s="37">
        <f>'03_原始数据'!C462-0.605*'03_原始数据'!B462-OtherCost</f>
        <v/>
      </c>
      <c r="O462" s="37">
        <f>'03_原始数据'!C462-0.61*'03_原始数据'!B462-OtherCost</f>
        <v/>
      </c>
      <c r="P462" s="37">
        <f>'03_原始数据'!C462-0.615*'03_原始数据'!B462-OtherCost</f>
        <v/>
      </c>
      <c r="Q462" s="37">
        <f>'03_原始数据'!C462-0.62*'03_原始数据'!B462-OtherCost</f>
        <v/>
      </c>
      <c r="R462" s="37">
        <f>'03_原始数据'!C462-0.625*'03_原始数据'!B462-OtherCost</f>
        <v/>
      </c>
      <c r="S462" s="37">
        <f>'03_原始数据'!C462-0.63*'03_原始数据'!B462-OtherCost</f>
        <v/>
      </c>
      <c r="T462" s="37">
        <f>'03_原始数据'!C462-0.635*'03_原始数据'!B462-OtherCost</f>
        <v/>
      </c>
      <c r="U462" s="37">
        <f>'03_原始数据'!C462-0.64*'03_原始数据'!B462-OtherCost</f>
        <v/>
      </c>
      <c r="V462" s="37">
        <f>'03_原始数据'!C462-0.645*'03_原始数据'!B462-OtherCost</f>
        <v/>
      </c>
      <c r="W462" s="37">
        <f>'03_原始数据'!C462-0.65*'03_原始数据'!B462-OtherCost</f>
        <v/>
      </c>
      <c r="X462" s="37">
        <f>'03_原始数据'!C462-0.655*'03_原始数据'!B462-OtherCost</f>
        <v/>
      </c>
      <c r="Y462" s="37">
        <f>'03_原始数据'!C462-0.66*'03_原始数据'!B462-OtherCost</f>
        <v/>
      </c>
      <c r="Z462" s="37">
        <f>'03_原始数据'!C462-0.665*'03_原始数据'!B462-OtherCost</f>
        <v/>
      </c>
      <c r="AA462" s="37">
        <f>'03_原始数据'!C462-0.67*'03_原始数据'!B462-OtherCost</f>
        <v/>
      </c>
      <c r="AB462" s="37">
        <f>'03_原始数据'!C462-0.675*'03_原始数据'!B462-OtherCost</f>
        <v/>
      </c>
      <c r="AC462" s="37">
        <f>'03_原始数据'!C462-0.68*'03_原始数据'!B462-OtherCost</f>
        <v/>
      </c>
      <c r="AD462" s="37">
        <f>'03_原始数据'!C462-0.685*'03_原始数据'!B462-OtherCost</f>
        <v/>
      </c>
      <c r="AE462" s="37">
        <f>'03_原始数据'!C462-0.69*'03_原始数据'!B462-OtherCost</f>
        <v/>
      </c>
      <c r="AF462" s="37">
        <f>'03_原始数据'!C462-0.695*'03_原始数据'!B462-OtherCost</f>
        <v/>
      </c>
      <c r="AG462" s="37">
        <f>'03_原始数据'!C462-0.7*'03_原始数据'!B462-OtherCost</f>
        <v/>
      </c>
    </row>
    <row r="463">
      <c r="M463" s="37">
        <f>'03_原始数据'!C463-0.6*'03_原始数据'!B463-OtherCost</f>
        <v/>
      </c>
      <c r="N463" s="37">
        <f>'03_原始数据'!C463-0.605*'03_原始数据'!B463-OtherCost</f>
        <v/>
      </c>
      <c r="O463" s="37">
        <f>'03_原始数据'!C463-0.61*'03_原始数据'!B463-OtherCost</f>
        <v/>
      </c>
      <c r="P463" s="37">
        <f>'03_原始数据'!C463-0.615*'03_原始数据'!B463-OtherCost</f>
        <v/>
      </c>
      <c r="Q463" s="37">
        <f>'03_原始数据'!C463-0.62*'03_原始数据'!B463-OtherCost</f>
        <v/>
      </c>
      <c r="R463" s="37">
        <f>'03_原始数据'!C463-0.625*'03_原始数据'!B463-OtherCost</f>
        <v/>
      </c>
      <c r="S463" s="37">
        <f>'03_原始数据'!C463-0.63*'03_原始数据'!B463-OtherCost</f>
        <v/>
      </c>
      <c r="T463" s="37">
        <f>'03_原始数据'!C463-0.635*'03_原始数据'!B463-OtherCost</f>
        <v/>
      </c>
      <c r="U463" s="37">
        <f>'03_原始数据'!C463-0.64*'03_原始数据'!B463-OtherCost</f>
        <v/>
      </c>
      <c r="V463" s="37">
        <f>'03_原始数据'!C463-0.645*'03_原始数据'!B463-OtherCost</f>
        <v/>
      </c>
      <c r="W463" s="37">
        <f>'03_原始数据'!C463-0.65*'03_原始数据'!B463-OtherCost</f>
        <v/>
      </c>
      <c r="X463" s="37">
        <f>'03_原始数据'!C463-0.655*'03_原始数据'!B463-OtherCost</f>
        <v/>
      </c>
      <c r="Y463" s="37">
        <f>'03_原始数据'!C463-0.66*'03_原始数据'!B463-OtherCost</f>
        <v/>
      </c>
      <c r="Z463" s="37">
        <f>'03_原始数据'!C463-0.665*'03_原始数据'!B463-OtherCost</f>
        <v/>
      </c>
      <c r="AA463" s="37">
        <f>'03_原始数据'!C463-0.67*'03_原始数据'!B463-OtherCost</f>
        <v/>
      </c>
      <c r="AB463" s="37">
        <f>'03_原始数据'!C463-0.675*'03_原始数据'!B463-OtherCost</f>
        <v/>
      </c>
      <c r="AC463" s="37">
        <f>'03_原始数据'!C463-0.68*'03_原始数据'!B463-OtherCost</f>
        <v/>
      </c>
      <c r="AD463" s="37">
        <f>'03_原始数据'!C463-0.685*'03_原始数据'!B463-OtherCost</f>
        <v/>
      </c>
      <c r="AE463" s="37">
        <f>'03_原始数据'!C463-0.69*'03_原始数据'!B463-OtherCost</f>
        <v/>
      </c>
      <c r="AF463" s="37">
        <f>'03_原始数据'!C463-0.695*'03_原始数据'!B463-OtherCost</f>
        <v/>
      </c>
      <c r="AG463" s="37">
        <f>'03_原始数据'!C463-0.7*'03_原始数据'!B463-OtherCost</f>
        <v/>
      </c>
    </row>
    <row r="464">
      <c r="M464" s="37">
        <f>'03_原始数据'!C464-0.6*'03_原始数据'!B464-OtherCost</f>
        <v/>
      </c>
      <c r="N464" s="37">
        <f>'03_原始数据'!C464-0.605*'03_原始数据'!B464-OtherCost</f>
        <v/>
      </c>
      <c r="O464" s="37">
        <f>'03_原始数据'!C464-0.61*'03_原始数据'!B464-OtherCost</f>
        <v/>
      </c>
      <c r="P464" s="37">
        <f>'03_原始数据'!C464-0.615*'03_原始数据'!B464-OtherCost</f>
        <v/>
      </c>
      <c r="Q464" s="37">
        <f>'03_原始数据'!C464-0.62*'03_原始数据'!B464-OtherCost</f>
        <v/>
      </c>
      <c r="R464" s="37">
        <f>'03_原始数据'!C464-0.625*'03_原始数据'!B464-OtherCost</f>
        <v/>
      </c>
      <c r="S464" s="37">
        <f>'03_原始数据'!C464-0.63*'03_原始数据'!B464-OtherCost</f>
        <v/>
      </c>
      <c r="T464" s="37">
        <f>'03_原始数据'!C464-0.635*'03_原始数据'!B464-OtherCost</f>
        <v/>
      </c>
      <c r="U464" s="37">
        <f>'03_原始数据'!C464-0.64*'03_原始数据'!B464-OtherCost</f>
        <v/>
      </c>
      <c r="V464" s="37">
        <f>'03_原始数据'!C464-0.645*'03_原始数据'!B464-OtherCost</f>
        <v/>
      </c>
      <c r="W464" s="37">
        <f>'03_原始数据'!C464-0.65*'03_原始数据'!B464-OtherCost</f>
        <v/>
      </c>
      <c r="X464" s="37">
        <f>'03_原始数据'!C464-0.655*'03_原始数据'!B464-OtherCost</f>
        <v/>
      </c>
      <c r="Y464" s="37">
        <f>'03_原始数据'!C464-0.66*'03_原始数据'!B464-OtherCost</f>
        <v/>
      </c>
      <c r="Z464" s="37">
        <f>'03_原始数据'!C464-0.665*'03_原始数据'!B464-OtherCost</f>
        <v/>
      </c>
      <c r="AA464" s="37">
        <f>'03_原始数据'!C464-0.67*'03_原始数据'!B464-OtherCost</f>
        <v/>
      </c>
      <c r="AB464" s="37">
        <f>'03_原始数据'!C464-0.675*'03_原始数据'!B464-OtherCost</f>
        <v/>
      </c>
      <c r="AC464" s="37">
        <f>'03_原始数据'!C464-0.68*'03_原始数据'!B464-OtherCost</f>
        <v/>
      </c>
      <c r="AD464" s="37">
        <f>'03_原始数据'!C464-0.685*'03_原始数据'!B464-OtherCost</f>
        <v/>
      </c>
      <c r="AE464" s="37">
        <f>'03_原始数据'!C464-0.69*'03_原始数据'!B464-OtherCost</f>
        <v/>
      </c>
      <c r="AF464" s="37">
        <f>'03_原始数据'!C464-0.695*'03_原始数据'!B464-OtherCost</f>
        <v/>
      </c>
      <c r="AG464" s="37">
        <f>'03_原始数据'!C464-0.7*'03_原始数据'!B464-OtherCost</f>
        <v/>
      </c>
    </row>
    <row r="465">
      <c r="M465" s="37">
        <f>'03_原始数据'!C465-0.6*'03_原始数据'!B465-OtherCost</f>
        <v/>
      </c>
      <c r="N465" s="37">
        <f>'03_原始数据'!C465-0.605*'03_原始数据'!B465-OtherCost</f>
        <v/>
      </c>
      <c r="O465" s="37">
        <f>'03_原始数据'!C465-0.61*'03_原始数据'!B465-OtherCost</f>
        <v/>
      </c>
      <c r="P465" s="37">
        <f>'03_原始数据'!C465-0.615*'03_原始数据'!B465-OtherCost</f>
        <v/>
      </c>
      <c r="Q465" s="37">
        <f>'03_原始数据'!C465-0.62*'03_原始数据'!B465-OtherCost</f>
        <v/>
      </c>
      <c r="R465" s="37">
        <f>'03_原始数据'!C465-0.625*'03_原始数据'!B465-OtherCost</f>
        <v/>
      </c>
      <c r="S465" s="37">
        <f>'03_原始数据'!C465-0.63*'03_原始数据'!B465-OtherCost</f>
        <v/>
      </c>
      <c r="T465" s="37">
        <f>'03_原始数据'!C465-0.635*'03_原始数据'!B465-OtherCost</f>
        <v/>
      </c>
      <c r="U465" s="37">
        <f>'03_原始数据'!C465-0.64*'03_原始数据'!B465-OtherCost</f>
        <v/>
      </c>
      <c r="V465" s="37">
        <f>'03_原始数据'!C465-0.645*'03_原始数据'!B465-OtherCost</f>
        <v/>
      </c>
      <c r="W465" s="37">
        <f>'03_原始数据'!C465-0.65*'03_原始数据'!B465-OtherCost</f>
        <v/>
      </c>
      <c r="X465" s="37">
        <f>'03_原始数据'!C465-0.655*'03_原始数据'!B465-OtherCost</f>
        <v/>
      </c>
      <c r="Y465" s="37">
        <f>'03_原始数据'!C465-0.66*'03_原始数据'!B465-OtherCost</f>
        <v/>
      </c>
      <c r="Z465" s="37">
        <f>'03_原始数据'!C465-0.665*'03_原始数据'!B465-OtherCost</f>
        <v/>
      </c>
      <c r="AA465" s="37">
        <f>'03_原始数据'!C465-0.67*'03_原始数据'!B465-OtherCost</f>
        <v/>
      </c>
      <c r="AB465" s="37">
        <f>'03_原始数据'!C465-0.675*'03_原始数据'!B465-OtherCost</f>
        <v/>
      </c>
      <c r="AC465" s="37">
        <f>'03_原始数据'!C465-0.68*'03_原始数据'!B465-OtherCost</f>
        <v/>
      </c>
      <c r="AD465" s="37">
        <f>'03_原始数据'!C465-0.685*'03_原始数据'!B465-OtherCost</f>
        <v/>
      </c>
      <c r="AE465" s="37">
        <f>'03_原始数据'!C465-0.69*'03_原始数据'!B465-OtherCost</f>
        <v/>
      </c>
      <c r="AF465" s="37">
        <f>'03_原始数据'!C465-0.695*'03_原始数据'!B465-OtherCost</f>
        <v/>
      </c>
      <c r="AG465" s="37">
        <f>'03_原始数据'!C465-0.7*'03_原始数据'!B465-OtherCost</f>
        <v/>
      </c>
    </row>
    <row r="466">
      <c r="M466" s="37">
        <f>'03_原始数据'!C466-0.6*'03_原始数据'!B466-OtherCost</f>
        <v/>
      </c>
      <c r="N466" s="37">
        <f>'03_原始数据'!C466-0.605*'03_原始数据'!B466-OtherCost</f>
        <v/>
      </c>
      <c r="O466" s="37">
        <f>'03_原始数据'!C466-0.61*'03_原始数据'!B466-OtherCost</f>
        <v/>
      </c>
      <c r="P466" s="37">
        <f>'03_原始数据'!C466-0.615*'03_原始数据'!B466-OtherCost</f>
        <v/>
      </c>
      <c r="Q466" s="37">
        <f>'03_原始数据'!C466-0.62*'03_原始数据'!B466-OtherCost</f>
        <v/>
      </c>
      <c r="R466" s="37">
        <f>'03_原始数据'!C466-0.625*'03_原始数据'!B466-OtherCost</f>
        <v/>
      </c>
      <c r="S466" s="37">
        <f>'03_原始数据'!C466-0.63*'03_原始数据'!B466-OtherCost</f>
        <v/>
      </c>
      <c r="T466" s="37">
        <f>'03_原始数据'!C466-0.635*'03_原始数据'!B466-OtherCost</f>
        <v/>
      </c>
      <c r="U466" s="37">
        <f>'03_原始数据'!C466-0.64*'03_原始数据'!B466-OtherCost</f>
        <v/>
      </c>
      <c r="V466" s="37">
        <f>'03_原始数据'!C466-0.645*'03_原始数据'!B466-OtherCost</f>
        <v/>
      </c>
      <c r="W466" s="37">
        <f>'03_原始数据'!C466-0.65*'03_原始数据'!B466-OtherCost</f>
        <v/>
      </c>
      <c r="X466" s="37">
        <f>'03_原始数据'!C466-0.655*'03_原始数据'!B466-OtherCost</f>
        <v/>
      </c>
      <c r="Y466" s="37">
        <f>'03_原始数据'!C466-0.66*'03_原始数据'!B466-OtherCost</f>
        <v/>
      </c>
      <c r="Z466" s="37">
        <f>'03_原始数据'!C466-0.665*'03_原始数据'!B466-OtherCost</f>
        <v/>
      </c>
      <c r="AA466" s="37">
        <f>'03_原始数据'!C466-0.67*'03_原始数据'!B466-OtherCost</f>
        <v/>
      </c>
      <c r="AB466" s="37">
        <f>'03_原始数据'!C466-0.675*'03_原始数据'!B466-OtherCost</f>
        <v/>
      </c>
      <c r="AC466" s="37">
        <f>'03_原始数据'!C466-0.68*'03_原始数据'!B466-OtherCost</f>
        <v/>
      </c>
      <c r="AD466" s="37">
        <f>'03_原始数据'!C466-0.685*'03_原始数据'!B466-OtherCost</f>
        <v/>
      </c>
      <c r="AE466" s="37">
        <f>'03_原始数据'!C466-0.69*'03_原始数据'!B466-OtherCost</f>
        <v/>
      </c>
      <c r="AF466" s="37">
        <f>'03_原始数据'!C466-0.695*'03_原始数据'!B466-OtherCost</f>
        <v/>
      </c>
      <c r="AG466" s="37">
        <f>'03_原始数据'!C466-0.7*'03_原始数据'!B466-OtherCost</f>
        <v/>
      </c>
    </row>
    <row r="467">
      <c r="M467" s="37">
        <f>'03_原始数据'!C467-0.6*'03_原始数据'!B467-OtherCost</f>
        <v/>
      </c>
      <c r="N467" s="37">
        <f>'03_原始数据'!C467-0.605*'03_原始数据'!B467-OtherCost</f>
        <v/>
      </c>
      <c r="O467" s="37">
        <f>'03_原始数据'!C467-0.61*'03_原始数据'!B467-OtherCost</f>
        <v/>
      </c>
      <c r="P467" s="37">
        <f>'03_原始数据'!C467-0.615*'03_原始数据'!B467-OtherCost</f>
        <v/>
      </c>
      <c r="Q467" s="37">
        <f>'03_原始数据'!C467-0.62*'03_原始数据'!B467-OtherCost</f>
        <v/>
      </c>
      <c r="R467" s="37">
        <f>'03_原始数据'!C467-0.625*'03_原始数据'!B467-OtherCost</f>
        <v/>
      </c>
      <c r="S467" s="37">
        <f>'03_原始数据'!C467-0.63*'03_原始数据'!B467-OtherCost</f>
        <v/>
      </c>
      <c r="T467" s="37">
        <f>'03_原始数据'!C467-0.635*'03_原始数据'!B467-OtherCost</f>
        <v/>
      </c>
      <c r="U467" s="37">
        <f>'03_原始数据'!C467-0.64*'03_原始数据'!B467-OtherCost</f>
        <v/>
      </c>
      <c r="V467" s="37">
        <f>'03_原始数据'!C467-0.645*'03_原始数据'!B467-OtherCost</f>
        <v/>
      </c>
      <c r="W467" s="37">
        <f>'03_原始数据'!C467-0.65*'03_原始数据'!B467-OtherCost</f>
        <v/>
      </c>
      <c r="X467" s="37">
        <f>'03_原始数据'!C467-0.655*'03_原始数据'!B467-OtherCost</f>
        <v/>
      </c>
      <c r="Y467" s="37">
        <f>'03_原始数据'!C467-0.66*'03_原始数据'!B467-OtherCost</f>
        <v/>
      </c>
      <c r="Z467" s="37">
        <f>'03_原始数据'!C467-0.665*'03_原始数据'!B467-OtherCost</f>
        <v/>
      </c>
      <c r="AA467" s="37">
        <f>'03_原始数据'!C467-0.67*'03_原始数据'!B467-OtherCost</f>
        <v/>
      </c>
      <c r="AB467" s="37">
        <f>'03_原始数据'!C467-0.675*'03_原始数据'!B467-OtherCost</f>
        <v/>
      </c>
      <c r="AC467" s="37">
        <f>'03_原始数据'!C467-0.68*'03_原始数据'!B467-OtherCost</f>
        <v/>
      </c>
      <c r="AD467" s="37">
        <f>'03_原始数据'!C467-0.685*'03_原始数据'!B467-OtherCost</f>
        <v/>
      </c>
      <c r="AE467" s="37">
        <f>'03_原始数据'!C467-0.69*'03_原始数据'!B467-OtherCost</f>
        <v/>
      </c>
      <c r="AF467" s="37">
        <f>'03_原始数据'!C467-0.695*'03_原始数据'!B467-OtherCost</f>
        <v/>
      </c>
      <c r="AG467" s="37">
        <f>'03_原始数据'!C467-0.7*'03_原始数据'!B467-OtherCost</f>
        <v/>
      </c>
    </row>
    <row r="468">
      <c r="M468" s="37">
        <f>'03_原始数据'!C468-0.6*'03_原始数据'!B468-OtherCost</f>
        <v/>
      </c>
      <c r="N468" s="37">
        <f>'03_原始数据'!C468-0.605*'03_原始数据'!B468-OtherCost</f>
        <v/>
      </c>
      <c r="O468" s="37">
        <f>'03_原始数据'!C468-0.61*'03_原始数据'!B468-OtherCost</f>
        <v/>
      </c>
      <c r="P468" s="37">
        <f>'03_原始数据'!C468-0.615*'03_原始数据'!B468-OtherCost</f>
        <v/>
      </c>
      <c r="Q468" s="37">
        <f>'03_原始数据'!C468-0.62*'03_原始数据'!B468-OtherCost</f>
        <v/>
      </c>
      <c r="R468" s="37">
        <f>'03_原始数据'!C468-0.625*'03_原始数据'!B468-OtherCost</f>
        <v/>
      </c>
      <c r="S468" s="37">
        <f>'03_原始数据'!C468-0.63*'03_原始数据'!B468-OtherCost</f>
        <v/>
      </c>
      <c r="T468" s="37">
        <f>'03_原始数据'!C468-0.635*'03_原始数据'!B468-OtherCost</f>
        <v/>
      </c>
      <c r="U468" s="37">
        <f>'03_原始数据'!C468-0.64*'03_原始数据'!B468-OtherCost</f>
        <v/>
      </c>
      <c r="V468" s="37">
        <f>'03_原始数据'!C468-0.645*'03_原始数据'!B468-OtherCost</f>
        <v/>
      </c>
      <c r="W468" s="37">
        <f>'03_原始数据'!C468-0.65*'03_原始数据'!B468-OtherCost</f>
        <v/>
      </c>
      <c r="X468" s="37">
        <f>'03_原始数据'!C468-0.655*'03_原始数据'!B468-OtherCost</f>
        <v/>
      </c>
      <c r="Y468" s="37">
        <f>'03_原始数据'!C468-0.66*'03_原始数据'!B468-OtherCost</f>
        <v/>
      </c>
      <c r="Z468" s="37">
        <f>'03_原始数据'!C468-0.665*'03_原始数据'!B468-OtherCost</f>
        <v/>
      </c>
      <c r="AA468" s="37">
        <f>'03_原始数据'!C468-0.67*'03_原始数据'!B468-OtherCost</f>
        <v/>
      </c>
      <c r="AB468" s="37">
        <f>'03_原始数据'!C468-0.675*'03_原始数据'!B468-OtherCost</f>
        <v/>
      </c>
      <c r="AC468" s="37">
        <f>'03_原始数据'!C468-0.68*'03_原始数据'!B468-OtherCost</f>
        <v/>
      </c>
      <c r="AD468" s="37">
        <f>'03_原始数据'!C468-0.685*'03_原始数据'!B468-OtherCost</f>
        <v/>
      </c>
      <c r="AE468" s="37">
        <f>'03_原始数据'!C468-0.69*'03_原始数据'!B468-OtherCost</f>
        <v/>
      </c>
      <c r="AF468" s="37">
        <f>'03_原始数据'!C468-0.695*'03_原始数据'!B468-OtherCost</f>
        <v/>
      </c>
      <c r="AG468" s="37">
        <f>'03_原始数据'!C468-0.7*'03_原始数据'!B468-OtherCost</f>
        <v/>
      </c>
    </row>
    <row r="469">
      <c r="M469" s="37">
        <f>'03_原始数据'!C469-0.6*'03_原始数据'!B469-OtherCost</f>
        <v/>
      </c>
      <c r="N469" s="37">
        <f>'03_原始数据'!C469-0.605*'03_原始数据'!B469-OtherCost</f>
        <v/>
      </c>
      <c r="O469" s="37">
        <f>'03_原始数据'!C469-0.61*'03_原始数据'!B469-OtherCost</f>
        <v/>
      </c>
      <c r="P469" s="37">
        <f>'03_原始数据'!C469-0.615*'03_原始数据'!B469-OtherCost</f>
        <v/>
      </c>
      <c r="Q469" s="37">
        <f>'03_原始数据'!C469-0.62*'03_原始数据'!B469-OtherCost</f>
        <v/>
      </c>
      <c r="R469" s="37">
        <f>'03_原始数据'!C469-0.625*'03_原始数据'!B469-OtherCost</f>
        <v/>
      </c>
      <c r="S469" s="37">
        <f>'03_原始数据'!C469-0.63*'03_原始数据'!B469-OtherCost</f>
        <v/>
      </c>
      <c r="T469" s="37">
        <f>'03_原始数据'!C469-0.635*'03_原始数据'!B469-OtherCost</f>
        <v/>
      </c>
      <c r="U469" s="37">
        <f>'03_原始数据'!C469-0.64*'03_原始数据'!B469-OtherCost</f>
        <v/>
      </c>
      <c r="V469" s="37">
        <f>'03_原始数据'!C469-0.645*'03_原始数据'!B469-OtherCost</f>
        <v/>
      </c>
      <c r="W469" s="37">
        <f>'03_原始数据'!C469-0.65*'03_原始数据'!B469-OtherCost</f>
        <v/>
      </c>
      <c r="X469" s="37">
        <f>'03_原始数据'!C469-0.655*'03_原始数据'!B469-OtherCost</f>
        <v/>
      </c>
      <c r="Y469" s="37">
        <f>'03_原始数据'!C469-0.66*'03_原始数据'!B469-OtherCost</f>
        <v/>
      </c>
      <c r="Z469" s="37">
        <f>'03_原始数据'!C469-0.665*'03_原始数据'!B469-OtherCost</f>
        <v/>
      </c>
      <c r="AA469" s="37">
        <f>'03_原始数据'!C469-0.67*'03_原始数据'!B469-OtherCost</f>
        <v/>
      </c>
      <c r="AB469" s="37">
        <f>'03_原始数据'!C469-0.675*'03_原始数据'!B469-OtherCost</f>
        <v/>
      </c>
      <c r="AC469" s="37">
        <f>'03_原始数据'!C469-0.68*'03_原始数据'!B469-OtherCost</f>
        <v/>
      </c>
      <c r="AD469" s="37">
        <f>'03_原始数据'!C469-0.685*'03_原始数据'!B469-OtherCost</f>
        <v/>
      </c>
      <c r="AE469" s="37">
        <f>'03_原始数据'!C469-0.69*'03_原始数据'!B469-OtherCost</f>
        <v/>
      </c>
      <c r="AF469" s="37">
        <f>'03_原始数据'!C469-0.695*'03_原始数据'!B469-OtherCost</f>
        <v/>
      </c>
      <c r="AG469" s="37">
        <f>'03_原始数据'!C469-0.7*'03_原始数据'!B469-OtherCost</f>
        <v/>
      </c>
    </row>
    <row r="470">
      <c r="M470" s="37">
        <f>'03_原始数据'!C470-0.6*'03_原始数据'!B470-OtherCost</f>
        <v/>
      </c>
      <c r="N470" s="37">
        <f>'03_原始数据'!C470-0.605*'03_原始数据'!B470-OtherCost</f>
        <v/>
      </c>
      <c r="O470" s="37">
        <f>'03_原始数据'!C470-0.61*'03_原始数据'!B470-OtherCost</f>
        <v/>
      </c>
      <c r="P470" s="37">
        <f>'03_原始数据'!C470-0.615*'03_原始数据'!B470-OtherCost</f>
        <v/>
      </c>
      <c r="Q470" s="37">
        <f>'03_原始数据'!C470-0.62*'03_原始数据'!B470-OtherCost</f>
        <v/>
      </c>
      <c r="R470" s="37">
        <f>'03_原始数据'!C470-0.625*'03_原始数据'!B470-OtherCost</f>
        <v/>
      </c>
      <c r="S470" s="37">
        <f>'03_原始数据'!C470-0.63*'03_原始数据'!B470-OtherCost</f>
        <v/>
      </c>
      <c r="T470" s="37">
        <f>'03_原始数据'!C470-0.635*'03_原始数据'!B470-OtherCost</f>
        <v/>
      </c>
      <c r="U470" s="37">
        <f>'03_原始数据'!C470-0.64*'03_原始数据'!B470-OtherCost</f>
        <v/>
      </c>
      <c r="V470" s="37">
        <f>'03_原始数据'!C470-0.645*'03_原始数据'!B470-OtherCost</f>
        <v/>
      </c>
      <c r="W470" s="37">
        <f>'03_原始数据'!C470-0.65*'03_原始数据'!B470-OtherCost</f>
        <v/>
      </c>
      <c r="X470" s="37">
        <f>'03_原始数据'!C470-0.655*'03_原始数据'!B470-OtherCost</f>
        <v/>
      </c>
      <c r="Y470" s="37">
        <f>'03_原始数据'!C470-0.66*'03_原始数据'!B470-OtherCost</f>
        <v/>
      </c>
      <c r="Z470" s="37">
        <f>'03_原始数据'!C470-0.665*'03_原始数据'!B470-OtherCost</f>
        <v/>
      </c>
      <c r="AA470" s="37">
        <f>'03_原始数据'!C470-0.67*'03_原始数据'!B470-OtherCost</f>
        <v/>
      </c>
      <c r="AB470" s="37">
        <f>'03_原始数据'!C470-0.675*'03_原始数据'!B470-OtherCost</f>
        <v/>
      </c>
      <c r="AC470" s="37">
        <f>'03_原始数据'!C470-0.68*'03_原始数据'!B470-OtherCost</f>
        <v/>
      </c>
      <c r="AD470" s="37">
        <f>'03_原始数据'!C470-0.685*'03_原始数据'!B470-OtherCost</f>
        <v/>
      </c>
      <c r="AE470" s="37">
        <f>'03_原始数据'!C470-0.69*'03_原始数据'!B470-OtherCost</f>
        <v/>
      </c>
      <c r="AF470" s="37">
        <f>'03_原始数据'!C470-0.695*'03_原始数据'!B470-OtherCost</f>
        <v/>
      </c>
      <c r="AG470" s="37">
        <f>'03_原始数据'!C470-0.7*'03_原始数据'!B470-OtherCost</f>
        <v/>
      </c>
    </row>
    <row r="471">
      <c r="M471" s="37">
        <f>'03_原始数据'!C471-0.6*'03_原始数据'!B471-OtherCost</f>
        <v/>
      </c>
      <c r="N471" s="37">
        <f>'03_原始数据'!C471-0.605*'03_原始数据'!B471-OtherCost</f>
        <v/>
      </c>
      <c r="O471" s="37">
        <f>'03_原始数据'!C471-0.61*'03_原始数据'!B471-OtherCost</f>
        <v/>
      </c>
      <c r="P471" s="37">
        <f>'03_原始数据'!C471-0.615*'03_原始数据'!B471-OtherCost</f>
        <v/>
      </c>
      <c r="Q471" s="37">
        <f>'03_原始数据'!C471-0.62*'03_原始数据'!B471-OtherCost</f>
        <v/>
      </c>
      <c r="R471" s="37">
        <f>'03_原始数据'!C471-0.625*'03_原始数据'!B471-OtherCost</f>
        <v/>
      </c>
      <c r="S471" s="37">
        <f>'03_原始数据'!C471-0.63*'03_原始数据'!B471-OtherCost</f>
        <v/>
      </c>
      <c r="T471" s="37">
        <f>'03_原始数据'!C471-0.635*'03_原始数据'!B471-OtherCost</f>
        <v/>
      </c>
      <c r="U471" s="37">
        <f>'03_原始数据'!C471-0.64*'03_原始数据'!B471-OtherCost</f>
        <v/>
      </c>
      <c r="V471" s="37">
        <f>'03_原始数据'!C471-0.645*'03_原始数据'!B471-OtherCost</f>
        <v/>
      </c>
      <c r="W471" s="37">
        <f>'03_原始数据'!C471-0.65*'03_原始数据'!B471-OtherCost</f>
        <v/>
      </c>
      <c r="X471" s="37">
        <f>'03_原始数据'!C471-0.655*'03_原始数据'!B471-OtherCost</f>
        <v/>
      </c>
      <c r="Y471" s="37">
        <f>'03_原始数据'!C471-0.66*'03_原始数据'!B471-OtherCost</f>
        <v/>
      </c>
      <c r="Z471" s="37">
        <f>'03_原始数据'!C471-0.665*'03_原始数据'!B471-OtherCost</f>
        <v/>
      </c>
      <c r="AA471" s="37">
        <f>'03_原始数据'!C471-0.67*'03_原始数据'!B471-OtherCost</f>
        <v/>
      </c>
      <c r="AB471" s="37">
        <f>'03_原始数据'!C471-0.675*'03_原始数据'!B471-OtherCost</f>
        <v/>
      </c>
      <c r="AC471" s="37">
        <f>'03_原始数据'!C471-0.68*'03_原始数据'!B471-OtherCost</f>
        <v/>
      </c>
      <c r="AD471" s="37">
        <f>'03_原始数据'!C471-0.685*'03_原始数据'!B471-OtherCost</f>
        <v/>
      </c>
      <c r="AE471" s="37">
        <f>'03_原始数据'!C471-0.69*'03_原始数据'!B471-OtherCost</f>
        <v/>
      </c>
      <c r="AF471" s="37">
        <f>'03_原始数据'!C471-0.695*'03_原始数据'!B471-OtherCost</f>
        <v/>
      </c>
      <c r="AG471" s="37">
        <f>'03_原始数据'!C471-0.7*'03_原始数据'!B471-OtherCost</f>
        <v/>
      </c>
    </row>
    <row r="472">
      <c r="M472" s="37">
        <f>'03_原始数据'!C472-0.6*'03_原始数据'!B472-OtherCost</f>
        <v/>
      </c>
      <c r="N472" s="37">
        <f>'03_原始数据'!C472-0.605*'03_原始数据'!B472-OtherCost</f>
        <v/>
      </c>
      <c r="O472" s="37">
        <f>'03_原始数据'!C472-0.61*'03_原始数据'!B472-OtherCost</f>
        <v/>
      </c>
      <c r="P472" s="37">
        <f>'03_原始数据'!C472-0.615*'03_原始数据'!B472-OtherCost</f>
        <v/>
      </c>
      <c r="Q472" s="37">
        <f>'03_原始数据'!C472-0.62*'03_原始数据'!B472-OtherCost</f>
        <v/>
      </c>
      <c r="R472" s="37">
        <f>'03_原始数据'!C472-0.625*'03_原始数据'!B472-OtherCost</f>
        <v/>
      </c>
      <c r="S472" s="37">
        <f>'03_原始数据'!C472-0.63*'03_原始数据'!B472-OtherCost</f>
        <v/>
      </c>
      <c r="T472" s="37">
        <f>'03_原始数据'!C472-0.635*'03_原始数据'!B472-OtherCost</f>
        <v/>
      </c>
      <c r="U472" s="37">
        <f>'03_原始数据'!C472-0.64*'03_原始数据'!B472-OtherCost</f>
        <v/>
      </c>
      <c r="V472" s="37">
        <f>'03_原始数据'!C472-0.645*'03_原始数据'!B472-OtherCost</f>
        <v/>
      </c>
      <c r="W472" s="37">
        <f>'03_原始数据'!C472-0.65*'03_原始数据'!B472-OtherCost</f>
        <v/>
      </c>
      <c r="X472" s="37">
        <f>'03_原始数据'!C472-0.655*'03_原始数据'!B472-OtherCost</f>
        <v/>
      </c>
      <c r="Y472" s="37">
        <f>'03_原始数据'!C472-0.66*'03_原始数据'!B472-OtherCost</f>
        <v/>
      </c>
      <c r="Z472" s="37">
        <f>'03_原始数据'!C472-0.665*'03_原始数据'!B472-OtherCost</f>
        <v/>
      </c>
      <c r="AA472" s="37">
        <f>'03_原始数据'!C472-0.67*'03_原始数据'!B472-OtherCost</f>
        <v/>
      </c>
      <c r="AB472" s="37">
        <f>'03_原始数据'!C472-0.675*'03_原始数据'!B472-OtherCost</f>
        <v/>
      </c>
      <c r="AC472" s="37">
        <f>'03_原始数据'!C472-0.68*'03_原始数据'!B472-OtherCost</f>
        <v/>
      </c>
      <c r="AD472" s="37">
        <f>'03_原始数据'!C472-0.685*'03_原始数据'!B472-OtherCost</f>
        <v/>
      </c>
      <c r="AE472" s="37">
        <f>'03_原始数据'!C472-0.69*'03_原始数据'!B472-OtherCost</f>
        <v/>
      </c>
      <c r="AF472" s="37">
        <f>'03_原始数据'!C472-0.695*'03_原始数据'!B472-OtherCost</f>
        <v/>
      </c>
      <c r="AG472" s="37">
        <f>'03_原始数据'!C472-0.7*'03_原始数据'!B472-OtherCost</f>
        <v/>
      </c>
    </row>
    <row r="473">
      <c r="M473" s="37">
        <f>'03_原始数据'!C473-0.6*'03_原始数据'!B473-OtherCost</f>
        <v/>
      </c>
      <c r="N473" s="37">
        <f>'03_原始数据'!C473-0.605*'03_原始数据'!B473-OtherCost</f>
        <v/>
      </c>
      <c r="O473" s="37">
        <f>'03_原始数据'!C473-0.61*'03_原始数据'!B473-OtherCost</f>
        <v/>
      </c>
      <c r="P473" s="37">
        <f>'03_原始数据'!C473-0.615*'03_原始数据'!B473-OtherCost</f>
        <v/>
      </c>
      <c r="Q473" s="37">
        <f>'03_原始数据'!C473-0.62*'03_原始数据'!B473-OtherCost</f>
        <v/>
      </c>
      <c r="R473" s="37">
        <f>'03_原始数据'!C473-0.625*'03_原始数据'!B473-OtherCost</f>
        <v/>
      </c>
      <c r="S473" s="37">
        <f>'03_原始数据'!C473-0.63*'03_原始数据'!B473-OtherCost</f>
        <v/>
      </c>
      <c r="T473" s="37">
        <f>'03_原始数据'!C473-0.635*'03_原始数据'!B473-OtherCost</f>
        <v/>
      </c>
      <c r="U473" s="37">
        <f>'03_原始数据'!C473-0.64*'03_原始数据'!B473-OtherCost</f>
        <v/>
      </c>
      <c r="V473" s="37">
        <f>'03_原始数据'!C473-0.645*'03_原始数据'!B473-OtherCost</f>
        <v/>
      </c>
      <c r="W473" s="37">
        <f>'03_原始数据'!C473-0.65*'03_原始数据'!B473-OtherCost</f>
        <v/>
      </c>
      <c r="X473" s="37">
        <f>'03_原始数据'!C473-0.655*'03_原始数据'!B473-OtherCost</f>
        <v/>
      </c>
      <c r="Y473" s="37">
        <f>'03_原始数据'!C473-0.66*'03_原始数据'!B473-OtherCost</f>
        <v/>
      </c>
      <c r="Z473" s="37">
        <f>'03_原始数据'!C473-0.665*'03_原始数据'!B473-OtherCost</f>
        <v/>
      </c>
      <c r="AA473" s="37">
        <f>'03_原始数据'!C473-0.67*'03_原始数据'!B473-OtherCost</f>
        <v/>
      </c>
      <c r="AB473" s="37">
        <f>'03_原始数据'!C473-0.675*'03_原始数据'!B473-OtherCost</f>
        <v/>
      </c>
      <c r="AC473" s="37">
        <f>'03_原始数据'!C473-0.68*'03_原始数据'!B473-OtherCost</f>
        <v/>
      </c>
      <c r="AD473" s="37">
        <f>'03_原始数据'!C473-0.685*'03_原始数据'!B473-OtherCost</f>
        <v/>
      </c>
      <c r="AE473" s="37">
        <f>'03_原始数据'!C473-0.69*'03_原始数据'!B473-OtherCost</f>
        <v/>
      </c>
      <c r="AF473" s="37">
        <f>'03_原始数据'!C473-0.695*'03_原始数据'!B473-OtherCost</f>
        <v/>
      </c>
      <c r="AG473" s="37">
        <f>'03_原始数据'!C473-0.7*'03_原始数据'!B473-OtherCost</f>
        <v/>
      </c>
    </row>
    <row r="474">
      <c r="M474" s="37">
        <f>'03_原始数据'!C474-0.6*'03_原始数据'!B474-OtherCost</f>
        <v/>
      </c>
      <c r="N474" s="37">
        <f>'03_原始数据'!C474-0.605*'03_原始数据'!B474-OtherCost</f>
        <v/>
      </c>
      <c r="O474" s="37">
        <f>'03_原始数据'!C474-0.61*'03_原始数据'!B474-OtherCost</f>
        <v/>
      </c>
      <c r="P474" s="37">
        <f>'03_原始数据'!C474-0.615*'03_原始数据'!B474-OtherCost</f>
        <v/>
      </c>
      <c r="Q474" s="37">
        <f>'03_原始数据'!C474-0.62*'03_原始数据'!B474-OtherCost</f>
        <v/>
      </c>
      <c r="R474" s="37">
        <f>'03_原始数据'!C474-0.625*'03_原始数据'!B474-OtherCost</f>
        <v/>
      </c>
      <c r="S474" s="37">
        <f>'03_原始数据'!C474-0.63*'03_原始数据'!B474-OtherCost</f>
        <v/>
      </c>
      <c r="T474" s="37">
        <f>'03_原始数据'!C474-0.635*'03_原始数据'!B474-OtherCost</f>
        <v/>
      </c>
      <c r="U474" s="37">
        <f>'03_原始数据'!C474-0.64*'03_原始数据'!B474-OtherCost</f>
        <v/>
      </c>
      <c r="V474" s="37">
        <f>'03_原始数据'!C474-0.645*'03_原始数据'!B474-OtherCost</f>
        <v/>
      </c>
      <c r="W474" s="37">
        <f>'03_原始数据'!C474-0.65*'03_原始数据'!B474-OtherCost</f>
        <v/>
      </c>
      <c r="X474" s="37">
        <f>'03_原始数据'!C474-0.655*'03_原始数据'!B474-OtherCost</f>
        <v/>
      </c>
      <c r="Y474" s="37">
        <f>'03_原始数据'!C474-0.66*'03_原始数据'!B474-OtherCost</f>
        <v/>
      </c>
      <c r="Z474" s="37">
        <f>'03_原始数据'!C474-0.665*'03_原始数据'!B474-OtherCost</f>
        <v/>
      </c>
      <c r="AA474" s="37">
        <f>'03_原始数据'!C474-0.67*'03_原始数据'!B474-OtherCost</f>
        <v/>
      </c>
      <c r="AB474" s="37">
        <f>'03_原始数据'!C474-0.675*'03_原始数据'!B474-OtherCost</f>
        <v/>
      </c>
      <c r="AC474" s="37">
        <f>'03_原始数据'!C474-0.68*'03_原始数据'!B474-OtherCost</f>
        <v/>
      </c>
      <c r="AD474" s="37">
        <f>'03_原始数据'!C474-0.685*'03_原始数据'!B474-OtherCost</f>
        <v/>
      </c>
      <c r="AE474" s="37">
        <f>'03_原始数据'!C474-0.69*'03_原始数据'!B474-OtherCost</f>
        <v/>
      </c>
      <c r="AF474" s="37">
        <f>'03_原始数据'!C474-0.695*'03_原始数据'!B474-OtherCost</f>
        <v/>
      </c>
      <c r="AG474" s="37">
        <f>'03_原始数据'!C474-0.7*'03_原始数据'!B474-OtherCost</f>
        <v/>
      </c>
    </row>
    <row r="475">
      <c r="M475" s="37">
        <f>'03_原始数据'!C475-0.6*'03_原始数据'!B475-OtherCost</f>
        <v/>
      </c>
      <c r="N475" s="37">
        <f>'03_原始数据'!C475-0.605*'03_原始数据'!B475-OtherCost</f>
        <v/>
      </c>
      <c r="O475" s="37">
        <f>'03_原始数据'!C475-0.61*'03_原始数据'!B475-OtherCost</f>
        <v/>
      </c>
      <c r="P475" s="37">
        <f>'03_原始数据'!C475-0.615*'03_原始数据'!B475-OtherCost</f>
        <v/>
      </c>
      <c r="Q475" s="37">
        <f>'03_原始数据'!C475-0.62*'03_原始数据'!B475-OtherCost</f>
        <v/>
      </c>
      <c r="R475" s="37">
        <f>'03_原始数据'!C475-0.625*'03_原始数据'!B475-OtherCost</f>
        <v/>
      </c>
      <c r="S475" s="37">
        <f>'03_原始数据'!C475-0.63*'03_原始数据'!B475-OtherCost</f>
        <v/>
      </c>
      <c r="T475" s="37">
        <f>'03_原始数据'!C475-0.635*'03_原始数据'!B475-OtherCost</f>
        <v/>
      </c>
      <c r="U475" s="37">
        <f>'03_原始数据'!C475-0.64*'03_原始数据'!B475-OtherCost</f>
        <v/>
      </c>
      <c r="V475" s="37">
        <f>'03_原始数据'!C475-0.645*'03_原始数据'!B475-OtherCost</f>
        <v/>
      </c>
      <c r="W475" s="37">
        <f>'03_原始数据'!C475-0.65*'03_原始数据'!B475-OtherCost</f>
        <v/>
      </c>
      <c r="X475" s="37">
        <f>'03_原始数据'!C475-0.655*'03_原始数据'!B475-OtherCost</f>
        <v/>
      </c>
      <c r="Y475" s="37">
        <f>'03_原始数据'!C475-0.66*'03_原始数据'!B475-OtherCost</f>
        <v/>
      </c>
      <c r="Z475" s="37">
        <f>'03_原始数据'!C475-0.665*'03_原始数据'!B475-OtherCost</f>
        <v/>
      </c>
      <c r="AA475" s="37">
        <f>'03_原始数据'!C475-0.67*'03_原始数据'!B475-OtherCost</f>
        <v/>
      </c>
      <c r="AB475" s="37">
        <f>'03_原始数据'!C475-0.675*'03_原始数据'!B475-OtherCost</f>
        <v/>
      </c>
      <c r="AC475" s="37">
        <f>'03_原始数据'!C475-0.68*'03_原始数据'!B475-OtherCost</f>
        <v/>
      </c>
      <c r="AD475" s="37">
        <f>'03_原始数据'!C475-0.685*'03_原始数据'!B475-OtherCost</f>
        <v/>
      </c>
      <c r="AE475" s="37">
        <f>'03_原始数据'!C475-0.69*'03_原始数据'!B475-OtherCost</f>
        <v/>
      </c>
      <c r="AF475" s="37">
        <f>'03_原始数据'!C475-0.695*'03_原始数据'!B475-OtherCost</f>
        <v/>
      </c>
      <c r="AG475" s="37">
        <f>'03_原始数据'!C475-0.7*'03_原始数据'!B475-OtherCost</f>
        <v/>
      </c>
    </row>
    <row r="476">
      <c r="M476" s="37">
        <f>'03_原始数据'!C476-0.6*'03_原始数据'!B476-OtherCost</f>
        <v/>
      </c>
      <c r="N476" s="37">
        <f>'03_原始数据'!C476-0.605*'03_原始数据'!B476-OtherCost</f>
        <v/>
      </c>
      <c r="O476" s="37">
        <f>'03_原始数据'!C476-0.61*'03_原始数据'!B476-OtherCost</f>
        <v/>
      </c>
      <c r="P476" s="37">
        <f>'03_原始数据'!C476-0.615*'03_原始数据'!B476-OtherCost</f>
        <v/>
      </c>
      <c r="Q476" s="37">
        <f>'03_原始数据'!C476-0.62*'03_原始数据'!B476-OtherCost</f>
        <v/>
      </c>
      <c r="R476" s="37">
        <f>'03_原始数据'!C476-0.625*'03_原始数据'!B476-OtherCost</f>
        <v/>
      </c>
      <c r="S476" s="37">
        <f>'03_原始数据'!C476-0.63*'03_原始数据'!B476-OtherCost</f>
        <v/>
      </c>
      <c r="T476" s="37">
        <f>'03_原始数据'!C476-0.635*'03_原始数据'!B476-OtherCost</f>
        <v/>
      </c>
      <c r="U476" s="37">
        <f>'03_原始数据'!C476-0.64*'03_原始数据'!B476-OtherCost</f>
        <v/>
      </c>
      <c r="V476" s="37">
        <f>'03_原始数据'!C476-0.645*'03_原始数据'!B476-OtherCost</f>
        <v/>
      </c>
      <c r="W476" s="37">
        <f>'03_原始数据'!C476-0.65*'03_原始数据'!B476-OtherCost</f>
        <v/>
      </c>
      <c r="X476" s="37">
        <f>'03_原始数据'!C476-0.655*'03_原始数据'!B476-OtherCost</f>
        <v/>
      </c>
      <c r="Y476" s="37">
        <f>'03_原始数据'!C476-0.66*'03_原始数据'!B476-OtherCost</f>
        <v/>
      </c>
      <c r="Z476" s="37">
        <f>'03_原始数据'!C476-0.665*'03_原始数据'!B476-OtherCost</f>
        <v/>
      </c>
      <c r="AA476" s="37">
        <f>'03_原始数据'!C476-0.67*'03_原始数据'!B476-OtherCost</f>
        <v/>
      </c>
      <c r="AB476" s="37">
        <f>'03_原始数据'!C476-0.675*'03_原始数据'!B476-OtherCost</f>
        <v/>
      </c>
      <c r="AC476" s="37">
        <f>'03_原始数据'!C476-0.68*'03_原始数据'!B476-OtherCost</f>
        <v/>
      </c>
      <c r="AD476" s="37">
        <f>'03_原始数据'!C476-0.685*'03_原始数据'!B476-OtherCost</f>
        <v/>
      </c>
      <c r="AE476" s="37">
        <f>'03_原始数据'!C476-0.69*'03_原始数据'!B476-OtherCost</f>
        <v/>
      </c>
      <c r="AF476" s="37">
        <f>'03_原始数据'!C476-0.695*'03_原始数据'!B476-OtherCost</f>
        <v/>
      </c>
      <c r="AG476" s="37">
        <f>'03_原始数据'!C476-0.7*'03_原始数据'!B476-OtherCost</f>
        <v/>
      </c>
    </row>
    <row r="477">
      <c r="M477" s="37">
        <f>'03_原始数据'!C477-0.6*'03_原始数据'!B477-OtherCost</f>
        <v/>
      </c>
      <c r="N477" s="37">
        <f>'03_原始数据'!C477-0.605*'03_原始数据'!B477-OtherCost</f>
        <v/>
      </c>
      <c r="O477" s="37">
        <f>'03_原始数据'!C477-0.61*'03_原始数据'!B477-OtherCost</f>
        <v/>
      </c>
      <c r="P477" s="37">
        <f>'03_原始数据'!C477-0.615*'03_原始数据'!B477-OtherCost</f>
        <v/>
      </c>
      <c r="Q477" s="37">
        <f>'03_原始数据'!C477-0.62*'03_原始数据'!B477-OtherCost</f>
        <v/>
      </c>
      <c r="R477" s="37">
        <f>'03_原始数据'!C477-0.625*'03_原始数据'!B477-OtherCost</f>
        <v/>
      </c>
      <c r="S477" s="37">
        <f>'03_原始数据'!C477-0.63*'03_原始数据'!B477-OtherCost</f>
        <v/>
      </c>
      <c r="T477" s="37">
        <f>'03_原始数据'!C477-0.635*'03_原始数据'!B477-OtherCost</f>
        <v/>
      </c>
      <c r="U477" s="37">
        <f>'03_原始数据'!C477-0.64*'03_原始数据'!B477-OtherCost</f>
        <v/>
      </c>
      <c r="V477" s="37">
        <f>'03_原始数据'!C477-0.645*'03_原始数据'!B477-OtherCost</f>
        <v/>
      </c>
      <c r="W477" s="37">
        <f>'03_原始数据'!C477-0.65*'03_原始数据'!B477-OtherCost</f>
        <v/>
      </c>
      <c r="X477" s="37">
        <f>'03_原始数据'!C477-0.655*'03_原始数据'!B477-OtherCost</f>
        <v/>
      </c>
      <c r="Y477" s="37">
        <f>'03_原始数据'!C477-0.66*'03_原始数据'!B477-OtherCost</f>
        <v/>
      </c>
      <c r="Z477" s="37">
        <f>'03_原始数据'!C477-0.665*'03_原始数据'!B477-OtherCost</f>
        <v/>
      </c>
      <c r="AA477" s="37">
        <f>'03_原始数据'!C477-0.67*'03_原始数据'!B477-OtherCost</f>
        <v/>
      </c>
      <c r="AB477" s="37">
        <f>'03_原始数据'!C477-0.675*'03_原始数据'!B477-OtherCost</f>
        <v/>
      </c>
      <c r="AC477" s="37">
        <f>'03_原始数据'!C477-0.68*'03_原始数据'!B477-OtherCost</f>
        <v/>
      </c>
      <c r="AD477" s="37">
        <f>'03_原始数据'!C477-0.685*'03_原始数据'!B477-OtherCost</f>
        <v/>
      </c>
      <c r="AE477" s="37">
        <f>'03_原始数据'!C477-0.69*'03_原始数据'!B477-OtherCost</f>
        <v/>
      </c>
      <c r="AF477" s="37">
        <f>'03_原始数据'!C477-0.695*'03_原始数据'!B477-OtherCost</f>
        <v/>
      </c>
      <c r="AG477" s="37">
        <f>'03_原始数据'!C477-0.7*'03_原始数据'!B477-OtherCost</f>
        <v/>
      </c>
    </row>
    <row r="478">
      <c r="M478" s="37">
        <f>'03_原始数据'!C478-0.6*'03_原始数据'!B478-OtherCost</f>
        <v/>
      </c>
      <c r="N478" s="37">
        <f>'03_原始数据'!C478-0.605*'03_原始数据'!B478-OtherCost</f>
        <v/>
      </c>
      <c r="O478" s="37">
        <f>'03_原始数据'!C478-0.61*'03_原始数据'!B478-OtherCost</f>
        <v/>
      </c>
      <c r="P478" s="37">
        <f>'03_原始数据'!C478-0.615*'03_原始数据'!B478-OtherCost</f>
        <v/>
      </c>
      <c r="Q478" s="37">
        <f>'03_原始数据'!C478-0.62*'03_原始数据'!B478-OtherCost</f>
        <v/>
      </c>
      <c r="R478" s="37">
        <f>'03_原始数据'!C478-0.625*'03_原始数据'!B478-OtherCost</f>
        <v/>
      </c>
      <c r="S478" s="37">
        <f>'03_原始数据'!C478-0.63*'03_原始数据'!B478-OtherCost</f>
        <v/>
      </c>
      <c r="T478" s="37">
        <f>'03_原始数据'!C478-0.635*'03_原始数据'!B478-OtherCost</f>
        <v/>
      </c>
      <c r="U478" s="37">
        <f>'03_原始数据'!C478-0.64*'03_原始数据'!B478-OtherCost</f>
        <v/>
      </c>
      <c r="V478" s="37">
        <f>'03_原始数据'!C478-0.645*'03_原始数据'!B478-OtherCost</f>
        <v/>
      </c>
      <c r="W478" s="37">
        <f>'03_原始数据'!C478-0.65*'03_原始数据'!B478-OtherCost</f>
        <v/>
      </c>
      <c r="X478" s="37">
        <f>'03_原始数据'!C478-0.655*'03_原始数据'!B478-OtherCost</f>
        <v/>
      </c>
      <c r="Y478" s="37">
        <f>'03_原始数据'!C478-0.66*'03_原始数据'!B478-OtherCost</f>
        <v/>
      </c>
      <c r="Z478" s="37">
        <f>'03_原始数据'!C478-0.665*'03_原始数据'!B478-OtherCost</f>
        <v/>
      </c>
      <c r="AA478" s="37">
        <f>'03_原始数据'!C478-0.67*'03_原始数据'!B478-OtherCost</f>
        <v/>
      </c>
      <c r="AB478" s="37">
        <f>'03_原始数据'!C478-0.675*'03_原始数据'!B478-OtherCost</f>
        <v/>
      </c>
      <c r="AC478" s="37">
        <f>'03_原始数据'!C478-0.68*'03_原始数据'!B478-OtherCost</f>
        <v/>
      </c>
      <c r="AD478" s="37">
        <f>'03_原始数据'!C478-0.685*'03_原始数据'!B478-OtherCost</f>
        <v/>
      </c>
      <c r="AE478" s="37">
        <f>'03_原始数据'!C478-0.69*'03_原始数据'!B478-OtherCost</f>
        <v/>
      </c>
      <c r="AF478" s="37">
        <f>'03_原始数据'!C478-0.695*'03_原始数据'!B478-OtherCost</f>
        <v/>
      </c>
      <c r="AG478" s="37">
        <f>'03_原始数据'!C478-0.7*'03_原始数据'!B478-OtherCost</f>
        <v/>
      </c>
    </row>
    <row r="479">
      <c r="M479" s="37">
        <f>'03_原始数据'!C479-0.6*'03_原始数据'!B479-OtherCost</f>
        <v/>
      </c>
      <c r="N479" s="37">
        <f>'03_原始数据'!C479-0.605*'03_原始数据'!B479-OtherCost</f>
        <v/>
      </c>
      <c r="O479" s="37">
        <f>'03_原始数据'!C479-0.61*'03_原始数据'!B479-OtherCost</f>
        <v/>
      </c>
      <c r="P479" s="37">
        <f>'03_原始数据'!C479-0.615*'03_原始数据'!B479-OtherCost</f>
        <v/>
      </c>
      <c r="Q479" s="37">
        <f>'03_原始数据'!C479-0.62*'03_原始数据'!B479-OtherCost</f>
        <v/>
      </c>
      <c r="R479" s="37">
        <f>'03_原始数据'!C479-0.625*'03_原始数据'!B479-OtherCost</f>
        <v/>
      </c>
      <c r="S479" s="37">
        <f>'03_原始数据'!C479-0.63*'03_原始数据'!B479-OtherCost</f>
        <v/>
      </c>
      <c r="T479" s="37">
        <f>'03_原始数据'!C479-0.635*'03_原始数据'!B479-OtherCost</f>
        <v/>
      </c>
      <c r="U479" s="37">
        <f>'03_原始数据'!C479-0.64*'03_原始数据'!B479-OtherCost</f>
        <v/>
      </c>
      <c r="V479" s="37">
        <f>'03_原始数据'!C479-0.645*'03_原始数据'!B479-OtherCost</f>
        <v/>
      </c>
      <c r="W479" s="37">
        <f>'03_原始数据'!C479-0.65*'03_原始数据'!B479-OtherCost</f>
        <v/>
      </c>
      <c r="X479" s="37">
        <f>'03_原始数据'!C479-0.655*'03_原始数据'!B479-OtherCost</f>
        <v/>
      </c>
      <c r="Y479" s="37">
        <f>'03_原始数据'!C479-0.66*'03_原始数据'!B479-OtherCost</f>
        <v/>
      </c>
      <c r="Z479" s="37">
        <f>'03_原始数据'!C479-0.665*'03_原始数据'!B479-OtherCost</f>
        <v/>
      </c>
      <c r="AA479" s="37">
        <f>'03_原始数据'!C479-0.67*'03_原始数据'!B479-OtherCost</f>
        <v/>
      </c>
      <c r="AB479" s="37">
        <f>'03_原始数据'!C479-0.675*'03_原始数据'!B479-OtherCost</f>
        <v/>
      </c>
      <c r="AC479" s="37">
        <f>'03_原始数据'!C479-0.68*'03_原始数据'!B479-OtherCost</f>
        <v/>
      </c>
      <c r="AD479" s="37">
        <f>'03_原始数据'!C479-0.685*'03_原始数据'!B479-OtherCost</f>
        <v/>
      </c>
      <c r="AE479" s="37">
        <f>'03_原始数据'!C479-0.69*'03_原始数据'!B479-OtherCost</f>
        <v/>
      </c>
      <c r="AF479" s="37">
        <f>'03_原始数据'!C479-0.695*'03_原始数据'!B479-OtherCost</f>
        <v/>
      </c>
      <c r="AG479" s="37">
        <f>'03_原始数据'!C479-0.7*'03_原始数据'!B479-OtherCost</f>
        <v/>
      </c>
    </row>
    <row r="480">
      <c r="M480" s="37">
        <f>'03_原始数据'!C480-0.6*'03_原始数据'!B480-OtherCost</f>
        <v/>
      </c>
      <c r="N480" s="37">
        <f>'03_原始数据'!C480-0.605*'03_原始数据'!B480-OtherCost</f>
        <v/>
      </c>
      <c r="O480" s="37">
        <f>'03_原始数据'!C480-0.61*'03_原始数据'!B480-OtherCost</f>
        <v/>
      </c>
      <c r="P480" s="37">
        <f>'03_原始数据'!C480-0.615*'03_原始数据'!B480-OtherCost</f>
        <v/>
      </c>
      <c r="Q480" s="37">
        <f>'03_原始数据'!C480-0.62*'03_原始数据'!B480-OtherCost</f>
        <v/>
      </c>
      <c r="R480" s="37">
        <f>'03_原始数据'!C480-0.625*'03_原始数据'!B480-OtherCost</f>
        <v/>
      </c>
      <c r="S480" s="37">
        <f>'03_原始数据'!C480-0.63*'03_原始数据'!B480-OtherCost</f>
        <v/>
      </c>
      <c r="T480" s="37">
        <f>'03_原始数据'!C480-0.635*'03_原始数据'!B480-OtherCost</f>
        <v/>
      </c>
      <c r="U480" s="37">
        <f>'03_原始数据'!C480-0.64*'03_原始数据'!B480-OtherCost</f>
        <v/>
      </c>
      <c r="V480" s="37">
        <f>'03_原始数据'!C480-0.645*'03_原始数据'!B480-OtherCost</f>
        <v/>
      </c>
      <c r="W480" s="37">
        <f>'03_原始数据'!C480-0.65*'03_原始数据'!B480-OtherCost</f>
        <v/>
      </c>
      <c r="X480" s="37">
        <f>'03_原始数据'!C480-0.655*'03_原始数据'!B480-OtherCost</f>
        <v/>
      </c>
      <c r="Y480" s="37">
        <f>'03_原始数据'!C480-0.66*'03_原始数据'!B480-OtherCost</f>
        <v/>
      </c>
      <c r="Z480" s="37">
        <f>'03_原始数据'!C480-0.665*'03_原始数据'!B480-OtherCost</f>
        <v/>
      </c>
      <c r="AA480" s="37">
        <f>'03_原始数据'!C480-0.67*'03_原始数据'!B480-OtherCost</f>
        <v/>
      </c>
      <c r="AB480" s="37">
        <f>'03_原始数据'!C480-0.675*'03_原始数据'!B480-OtherCost</f>
        <v/>
      </c>
      <c r="AC480" s="37">
        <f>'03_原始数据'!C480-0.68*'03_原始数据'!B480-OtherCost</f>
        <v/>
      </c>
      <c r="AD480" s="37">
        <f>'03_原始数据'!C480-0.685*'03_原始数据'!B480-OtherCost</f>
        <v/>
      </c>
      <c r="AE480" s="37">
        <f>'03_原始数据'!C480-0.69*'03_原始数据'!B480-OtherCost</f>
        <v/>
      </c>
      <c r="AF480" s="37">
        <f>'03_原始数据'!C480-0.695*'03_原始数据'!B480-OtherCost</f>
        <v/>
      </c>
      <c r="AG480" s="37">
        <f>'03_原始数据'!C480-0.7*'03_原始数据'!B480-OtherCost</f>
        <v/>
      </c>
    </row>
    <row r="481">
      <c r="M481" s="37">
        <f>'03_原始数据'!C481-0.6*'03_原始数据'!B481-OtherCost</f>
        <v/>
      </c>
      <c r="N481" s="37">
        <f>'03_原始数据'!C481-0.605*'03_原始数据'!B481-OtherCost</f>
        <v/>
      </c>
      <c r="O481" s="37">
        <f>'03_原始数据'!C481-0.61*'03_原始数据'!B481-OtherCost</f>
        <v/>
      </c>
      <c r="P481" s="37">
        <f>'03_原始数据'!C481-0.615*'03_原始数据'!B481-OtherCost</f>
        <v/>
      </c>
      <c r="Q481" s="37">
        <f>'03_原始数据'!C481-0.62*'03_原始数据'!B481-OtherCost</f>
        <v/>
      </c>
      <c r="R481" s="37">
        <f>'03_原始数据'!C481-0.625*'03_原始数据'!B481-OtherCost</f>
        <v/>
      </c>
      <c r="S481" s="37">
        <f>'03_原始数据'!C481-0.63*'03_原始数据'!B481-OtherCost</f>
        <v/>
      </c>
      <c r="T481" s="37">
        <f>'03_原始数据'!C481-0.635*'03_原始数据'!B481-OtherCost</f>
        <v/>
      </c>
      <c r="U481" s="37">
        <f>'03_原始数据'!C481-0.64*'03_原始数据'!B481-OtherCost</f>
        <v/>
      </c>
      <c r="V481" s="37">
        <f>'03_原始数据'!C481-0.645*'03_原始数据'!B481-OtherCost</f>
        <v/>
      </c>
      <c r="W481" s="37">
        <f>'03_原始数据'!C481-0.65*'03_原始数据'!B481-OtherCost</f>
        <v/>
      </c>
      <c r="X481" s="37">
        <f>'03_原始数据'!C481-0.655*'03_原始数据'!B481-OtherCost</f>
        <v/>
      </c>
      <c r="Y481" s="37">
        <f>'03_原始数据'!C481-0.66*'03_原始数据'!B481-OtherCost</f>
        <v/>
      </c>
      <c r="Z481" s="37">
        <f>'03_原始数据'!C481-0.665*'03_原始数据'!B481-OtherCost</f>
        <v/>
      </c>
      <c r="AA481" s="37">
        <f>'03_原始数据'!C481-0.67*'03_原始数据'!B481-OtherCost</f>
        <v/>
      </c>
      <c r="AB481" s="37">
        <f>'03_原始数据'!C481-0.675*'03_原始数据'!B481-OtherCost</f>
        <v/>
      </c>
      <c r="AC481" s="37">
        <f>'03_原始数据'!C481-0.68*'03_原始数据'!B481-OtherCost</f>
        <v/>
      </c>
      <c r="AD481" s="37">
        <f>'03_原始数据'!C481-0.685*'03_原始数据'!B481-OtherCost</f>
        <v/>
      </c>
      <c r="AE481" s="37">
        <f>'03_原始数据'!C481-0.69*'03_原始数据'!B481-OtherCost</f>
        <v/>
      </c>
      <c r="AF481" s="37">
        <f>'03_原始数据'!C481-0.695*'03_原始数据'!B481-OtherCost</f>
        <v/>
      </c>
      <c r="AG481" s="37">
        <f>'03_原始数据'!C481-0.7*'03_原始数据'!B481-OtherCost</f>
        <v/>
      </c>
    </row>
    <row r="482">
      <c r="M482" s="37">
        <f>'03_原始数据'!C482-0.6*'03_原始数据'!B482-OtherCost</f>
        <v/>
      </c>
      <c r="N482" s="37">
        <f>'03_原始数据'!C482-0.605*'03_原始数据'!B482-OtherCost</f>
        <v/>
      </c>
      <c r="O482" s="37">
        <f>'03_原始数据'!C482-0.61*'03_原始数据'!B482-OtherCost</f>
        <v/>
      </c>
      <c r="P482" s="37">
        <f>'03_原始数据'!C482-0.615*'03_原始数据'!B482-OtherCost</f>
        <v/>
      </c>
      <c r="Q482" s="37">
        <f>'03_原始数据'!C482-0.62*'03_原始数据'!B482-OtherCost</f>
        <v/>
      </c>
      <c r="R482" s="37">
        <f>'03_原始数据'!C482-0.625*'03_原始数据'!B482-OtherCost</f>
        <v/>
      </c>
      <c r="S482" s="37">
        <f>'03_原始数据'!C482-0.63*'03_原始数据'!B482-OtherCost</f>
        <v/>
      </c>
      <c r="T482" s="37">
        <f>'03_原始数据'!C482-0.635*'03_原始数据'!B482-OtherCost</f>
        <v/>
      </c>
      <c r="U482" s="37">
        <f>'03_原始数据'!C482-0.64*'03_原始数据'!B482-OtherCost</f>
        <v/>
      </c>
      <c r="V482" s="37">
        <f>'03_原始数据'!C482-0.645*'03_原始数据'!B482-OtherCost</f>
        <v/>
      </c>
      <c r="W482" s="37">
        <f>'03_原始数据'!C482-0.65*'03_原始数据'!B482-OtherCost</f>
        <v/>
      </c>
      <c r="X482" s="37">
        <f>'03_原始数据'!C482-0.655*'03_原始数据'!B482-OtherCost</f>
        <v/>
      </c>
      <c r="Y482" s="37">
        <f>'03_原始数据'!C482-0.66*'03_原始数据'!B482-OtherCost</f>
        <v/>
      </c>
      <c r="Z482" s="37">
        <f>'03_原始数据'!C482-0.665*'03_原始数据'!B482-OtherCost</f>
        <v/>
      </c>
      <c r="AA482" s="37">
        <f>'03_原始数据'!C482-0.67*'03_原始数据'!B482-OtherCost</f>
        <v/>
      </c>
      <c r="AB482" s="37">
        <f>'03_原始数据'!C482-0.675*'03_原始数据'!B482-OtherCost</f>
        <v/>
      </c>
      <c r="AC482" s="37">
        <f>'03_原始数据'!C482-0.68*'03_原始数据'!B482-OtherCost</f>
        <v/>
      </c>
      <c r="AD482" s="37">
        <f>'03_原始数据'!C482-0.685*'03_原始数据'!B482-OtherCost</f>
        <v/>
      </c>
      <c r="AE482" s="37">
        <f>'03_原始数据'!C482-0.69*'03_原始数据'!B482-OtherCost</f>
        <v/>
      </c>
      <c r="AF482" s="37">
        <f>'03_原始数据'!C482-0.695*'03_原始数据'!B482-OtherCost</f>
        <v/>
      </c>
      <c r="AG482" s="37">
        <f>'03_原始数据'!C482-0.7*'03_原始数据'!B482-OtherCost</f>
        <v/>
      </c>
    </row>
    <row r="483">
      <c r="M483" s="37">
        <f>'03_原始数据'!C483-0.6*'03_原始数据'!B483-OtherCost</f>
        <v/>
      </c>
      <c r="N483" s="37">
        <f>'03_原始数据'!C483-0.605*'03_原始数据'!B483-OtherCost</f>
        <v/>
      </c>
      <c r="O483" s="37">
        <f>'03_原始数据'!C483-0.61*'03_原始数据'!B483-OtherCost</f>
        <v/>
      </c>
      <c r="P483" s="37">
        <f>'03_原始数据'!C483-0.615*'03_原始数据'!B483-OtherCost</f>
        <v/>
      </c>
      <c r="Q483" s="37">
        <f>'03_原始数据'!C483-0.62*'03_原始数据'!B483-OtherCost</f>
        <v/>
      </c>
      <c r="R483" s="37">
        <f>'03_原始数据'!C483-0.625*'03_原始数据'!B483-OtherCost</f>
        <v/>
      </c>
      <c r="S483" s="37">
        <f>'03_原始数据'!C483-0.63*'03_原始数据'!B483-OtherCost</f>
        <v/>
      </c>
      <c r="T483" s="37">
        <f>'03_原始数据'!C483-0.635*'03_原始数据'!B483-OtherCost</f>
        <v/>
      </c>
      <c r="U483" s="37">
        <f>'03_原始数据'!C483-0.64*'03_原始数据'!B483-OtherCost</f>
        <v/>
      </c>
      <c r="V483" s="37">
        <f>'03_原始数据'!C483-0.645*'03_原始数据'!B483-OtherCost</f>
        <v/>
      </c>
      <c r="W483" s="37">
        <f>'03_原始数据'!C483-0.65*'03_原始数据'!B483-OtherCost</f>
        <v/>
      </c>
      <c r="X483" s="37">
        <f>'03_原始数据'!C483-0.655*'03_原始数据'!B483-OtherCost</f>
        <v/>
      </c>
      <c r="Y483" s="37">
        <f>'03_原始数据'!C483-0.66*'03_原始数据'!B483-OtherCost</f>
        <v/>
      </c>
      <c r="Z483" s="37">
        <f>'03_原始数据'!C483-0.665*'03_原始数据'!B483-OtherCost</f>
        <v/>
      </c>
      <c r="AA483" s="37">
        <f>'03_原始数据'!C483-0.67*'03_原始数据'!B483-OtherCost</f>
        <v/>
      </c>
      <c r="AB483" s="37">
        <f>'03_原始数据'!C483-0.675*'03_原始数据'!B483-OtherCost</f>
        <v/>
      </c>
      <c r="AC483" s="37">
        <f>'03_原始数据'!C483-0.68*'03_原始数据'!B483-OtherCost</f>
        <v/>
      </c>
      <c r="AD483" s="37">
        <f>'03_原始数据'!C483-0.685*'03_原始数据'!B483-OtherCost</f>
        <v/>
      </c>
      <c r="AE483" s="37">
        <f>'03_原始数据'!C483-0.69*'03_原始数据'!B483-OtherCost</f>
        <v/>
      </c>
      <c r="AF483" s="37">
        <f>'03_原始数据'!C483-0.695*'03_原始数据'!B483-OtherCost</f>
        <v/>
      </c>
      <c r="AG483" s="37">
        <f>'03_原始数据'!C483-0.7*'03_原始数据'!B483-OtherCost</f>
        <v/>
      </c>
    </row>
    <row r="484">
      <c r="M484" s="37">
        <f>'03_原始数据'!C484-0.6*'03_原始数据'!B484-OtherCost</f>
        <v/>
      </c>
      <c r="N484" s="37">
        <f>'03_原始数据'!C484-0.605*'03_原始数据'!B484-OtherCost</f>
        <v/>
      </c>
      <c r="O484" s="37">
        <f>'03_原始数据'!C484-0.61*'03_原始数据'!B484-OtherCost</f>
        <v/>
      </c>
      <c r="P484" s="37">
        <f>'03_原始数据'!C484-0.615*'03_原始数据'!B484-OtherCost</f>
        <v/>
      </c>
      <c r="Q484" s="37">
        <f>'03_原始数据'!C484-0.62*'03_原始数据'!B484-OtherCost</f>
        <v/>
      </c>
      <c r="R484" s="37">
        <f>'03_原始数据'!C484-0.625*'03_原始数据'!B484-OtherCost</f>
        <v/>
      </c>
      <c r="S484" s="37">
        <f>'03_原始数据'!C484-0.63*'03_原始数据'!B484-OtherCost</f>
        <v/>
      </c>
      <c r="T484" s="37">
        <f>'03_原始数据'!C484-0.635*'03_原始数据'!B484-OtherCost</f>
        <v/>
      </c>
      <c r="U484" s="37">
        <f>'03_原始数据'!C484-0.64*'03_原始数据'!B484-OtherCost</f>
        <v/>
      </c>
      <c r="V484" s="37">
        <f>'03_原始数据'!C484-0.645*'03_原始数据'!B484-OtherCost</f>
        <v/>
      </c>
      <c r="W484" s="37">
        <f>'03_原始数据'!C484-0.65*'03_原始数据'!B484-OtherCost</f>
        <v/>
      </c>
      <c r="X484" s="37">
        <f>'03_原始数据'!C484-0.655*'03_原始数据'!B484-OtherCost</f>
        <v/>
      </c>
      <c r="Y484" s="37">
        <f>'03_原始数据'!C484-0.66*'03_原始数据'!B484-OtherCost</f>
        <v/>
      </c>
      <c r="Z484" s="37">
        <f>'03_原始数据'!C484-0.665*'03_原始数据'!B484-OtherCost</f>
        <v/>
      </c>
      <c r="AA484" s="37">
        <f>'03_原始数据'!C484-0.67*'03_原始数据'!B484-OtherCost</f>
        <v/>
      </c>
      <c r="AB484" s="37">
        <f>'03_原始数据'!C484-0.675*'03_原始数据'!B484-OtherCost</f>
        <v/>
      </c>
      <c r="AC484" s="37">
        <f>'03_原始数据'!C484-0.68*'03_原始数据'!B484-OtherCost</f>
        <v/>
      </c>
      <c r="AD484" s="37">
        <f>'03_原始数据'!C484-0.685*'03_原始数据'!B484-OtherCost</f>
        <v/>
      </c>
      <c r="AE484" s="37">
        <f>'03_原始数据'!C484-0.69*'03_原始数据'!B484-OtherCost</f>
        <v/>
      </c>
      <c r="AF484" s="37">
        <f>'03_原始数据'!C484-0.695*'03_原始数据'!B484-OtherCost</f>
        <v/>
      </c>
      <c r="AG484" s="37">
        <f>'03_原始数据'!C484-0.7*'03_原始数据'!B484-OtherCost</f>
        <v/>
      </c>
    </row>
    <row r="485">
      <c r="M485" s="37">
        <f>'03_原始数据'!C485-0.6*'03_原始数据'!B485-OtherCost</f>
        <v/>
      </c>
      <c r="N485" s="37">
        <f>'03_原始数据'!C485-0.605*'03_原始数据'!B485-OtherCost</f>
        <v/>
      </c>
      <c r="O485" s="37">
        <f>'03_原始数据'!C485-0.61*'03_原始数据'!B485-OtherCost</f>
        <v/>
      </c>
      <c r="P485" s="37">
        <f>'03_原始数据'!C485-0.615*'03_原始数据'!B485-OtherCost</f>
        <v/>
      </c>
      <c r="Q485" s="37">
        <f>'03_原始数据'!C485-0.62*'03_原始数据'!B485-OtherCost</f>
        <v/>
      </c>
      <c r="R485" s="37">
        <f>'03_原始数据'!C485-0.625*'03_原始数据'!B485-OtherCost</f>
        <v/>
      </c>
      <c r="S485" s="37">
        <f>'03_原始数据'!C485-0.63*'03_原始数据'!B485-OtherCost</f>
        <v/>
      </c>
      <c r="T485" s="37">
        <f>'03_原始数据'!C485-0.635*'03_原始数据'!B485-OtherCost</f>
        <v/>
      </c>
      <c r="U485" s="37">
        <f>'03_原始数据'!C485-0.64*'03_原始数据'!B485-OtherCost</f>
        <v/>
      </c>
      <c r="V485" s="37">
        <f>'03_原始数据'!C485-0.645*'03_原始数据'!B485-OtherCost</f>
        <v/>
      </c>
      <c r="W485" s="37">
        <f>'03_原始数据'!C485-0.65*'03_原始数据'!B485-OtherCost</f>
        <v/>
      </c>
      <c r="X485" s="37">
        <f>'03_原始数据'!C485-0.655*'03_原始数据'!B485-OtherCost</f>
        <v/>
      </c>
      <c r="Y485" s="37">
        <f>'03_原始数据'!C485-0.66*'03_原始数据'!B485-OtherCost</f>
        <v/>
      </c>
      <c r="Z485" s="37">
        <f>'03_原始数据'!C485-0.665*'03_原始数据'!B485-OtherCost</f>
        <v/>
      </c>
      <c r="AA485" s="37">
        <f>'03_原始数据'!C485-0.67*'03_原始数据'!B485-OtherCost</f>
        <v/>
      </c>
      <c r="AB485" s="37">
        <f>'03_原始数据'!C485-0.675*'03_原始数据'!B485-OtherCost</f>
        <v/>
      </c>
      <c r="AC485" s="37">
        <f>'03_原始数据'!C485-0.68*'03_原始数据'!B485-OtherCost</f>
        <v/>
      </c>
      <c r="AD485" s="37">
        <f>'03_原始数据'!C485-0.685*'03_原始数据'!B485-OtherCost</f>
        <v/>
      </c>
      <c r="AE485" s="37">
        <f>'03_原始数据'!C485-0.69*'03_原始数据'!B485-OtherCost</f>
        <v/>
      </c>
      <c r="AF485" s="37">
        <f>'03_原始数据'!C485-0.695*'03_原始数据'!B485-OtherCost</f>
        <v/>
      </c>
      <c r="AG485" s="37">
        <f>'03_原始数据'!C485-0.7*'03_原始数据'!B485-OtherCost</f>
        <v/>
      </c>
    </row>
    <row r="486">
      <c r="M486" s="37">
        <f>'03_原始数据'!C486-0.6*'03_原始数据'!B486-OtherCost</f>
        <v/>
      </c>
      <c r="N486" s="37">
        <f>'03_原始数据'!C486-0.605*'03_原始数据'!B486-OtherCost</f>
        <v/>
      </c>
      <c r="O486" s="37">
        <f>'03_原始数据'!C486-0.61*'03_原始数据'!B486-OtherCost</f>
        <v/>
      </c>
      <c r="P486" s="37">
        <f>'03_原始数据'!C486-0.615*'03_原始数据'!B486-OtherCost</f>
        <v/>
      </c>
      <c r="Q486" s="37">
        <f>'03_原始数据'!C486-0.62*'03_原始数据'!B486-OtherCost</f>
        <v/>
      </c>
      <c r="R486" s="37">
        <f>'03_原始数据'!C486-0.625*'03_原始数据'!B486-OtherCost</f>
        <v/>
      </c>
      <c r="S486" s="37">
        <f>'03_原始数据'!C486-0.63*'03_原始数据'!B486-OtherCost</f>
        <v/>
      </c>
      <c r="T486" s="37">
        <f>'03_原始数据'!C486-0.635*'03_原始数据'!B486-OtherCost</f>
        <v/>
      </c>
      <c r="U486" s="37">
        <f>'03_原始数据'!C486-0.64*'03_原始数据'!B486-OtherCost</f>
        <v/>
      </c>
      <c r="V486" s="37">
        <f>'03_原始数据'!C486-0.645*'03_原始数据'!B486-OtherCost</f>
        <v/>
      </c>
      <c r="W486" s="37">
        <f>'03_原始数据'!C486-0.65*'03_原始数据'!B486-OtherCost</f>
        <v/>
      </c>
      <c r="X486" s="37">
        <f>'03_原始数据'!C486-0.655*'03_原始数据'!B486-OtherCost</f>
        <v/>
      </c>
      <c r="Y486" s="37">
        <f>'03_原始数据'!C486-0.66*'03_原始数据'!B486-OtherCost</f>
        <v/>
      </c>
      <c r="Z486" s="37">
        <f>'03_原始数据'!C486-0.665*'03_原始数据'!B486-OtherCost</f>
        <v/>
      </c>
      <c r="AA486" s="37">
        <f>'03_原始数据'!C486-0.67*'03_原始数据'!B486-OtherCost</f>
        <v/>
      </c>
      <c r="AB486" s="37">
        <f>'03_原始数据'!C486-0.675*'03_原始数据'!B486-OtherCost</f>
        <v/>
      </c>
      <c r="AC486" s="37">
        <f>'03_原始数据'!C486-0.68*'03_原始数据'!B486-OtherCost</f>
        <v/>
      </c>
      <c r="AD486" s="37">
        <f>'03_原始数据'!C486-0.685*'03_原始数据'!B486-OtherCost</f>
        <v/>
      </c>
      <c r="AE486" s="37">
        <f>'03_原始数据'!C486-0.69*'03_原始数据'!B486-OtherCost</f>
        <v/>
      </c>
      <c r="AF486" s="37">
        <f>'03_原始数据'!C486-0.695*'03_原始数据'!B486-OtherCost</f>
        <v/>
      </c>
      <c r="AG486" s="37">
        <f>'03_原始数据'!C486-0.7*'03_原始数据'!B486-OtherCost</f>
        <v/>
      </c>
    </row>
    <row r="487">
      <c r="M487" s="37">
        <f>'03_原始数据'!C487-0.6*'03_原始数据'!B487-OtherCost</f>
        <v/>
      </c>
      <c r="N487" s="37">
        <f>'03_原始数据'!C487-0.605*'03_原始数据'!B487-OtherCost</f>
        <v/>
      </c>
      <c r="O487" s="37">
        <f>'03_原始数据'!C487-0.61*'03_原始数据'!B487-OtherCost</f>
        <v/>
      </c>
      <c r="P487" s="37">
        <f>'03_原始数据'!C487-0.615*'03_原始数据'!B487-OtherCost</f>
        <v/>
      </c>
      <c r="Q487" s="37">
        <f>'03_原始数据'!C487-0.62*'03_原始数据'!B487-OtherCost</f>
        <v/>
      </c>
      <c r="R487" s="37">
        <f>'03_原始数据'!C487-0.625*'03_原始数据'!B487-OtherCost</f>
        <v/>
      </c>
      <c r="S487" s="37">
        <f>'03_原始数据'!C487-0.63*'03_原始数据'!B487-OtherCost</f>
        <v/>
      </c>
      <c r="T487" s="37">
        <f>'03_原始数据'!C487-0.635*'03_原始数据'!B487-OtherCost</f>
        <v/>
      </c>
      <c r="U487" s="37">
        <f>'03_原始数据'!C487-0.64*'03_原始数据'!B487-OtherCost</f>
        <v/>
      </c>
      <c r="V487" s="37">
        <f>'03_原始数据'!C487-0.645*'03_原始数据'!B487-OtherCost</f>
        <v/>
      </c>
      <c r="W487" s="37">
        <f>'03_原始数据'!C487-0.65*'03_原始数据'!B487-OtherCost</f>
        <v/>
      </c>
      <c r="X487" s="37">
        <f>'03_原始数据'!C487-0.655*'03_原始数据'!B487-OtherCost</f>
        <v/>
      </c>
      <c r="Y487" s="37">
        <f>'03_原始数据'!C487-0.66*'03_原始数据'!B487-OtherCost</f>
        <v/>
      </c>
      <c r="Z487" s="37">
        <f>'03_原始数据'!C487-0.665*'03_原始数据'!B487-OtherCost</f>
        <v/>
      </c>
      <c r="AA487" s="37">
        <f>'03_原始数据'!C487-0.67*'03_原始数据'!B487-OtherCost</f>
        <v/>
      </c>
      <c r="AB487" s="37">
        <f>'03_原始数据'!C487-0.675*'03_原始数据'!B487-OtherCost</f>
        <v/>
      </c>
      <c r="AC487" s="37">
        <f>'03_原始数据'!C487-0.68*'03_原始数据'!B487-OtherCost</f>
        <v/>
      </c>
      <c r="AD487" s="37">
        <f>'03_原始数据'!C487-0.685*'03_原始数据'!B487-OtherCost</f>
        <v/>
      </c>
      <c r="AE487" s="37">
        <f>'03_原始数据'!C487-0.69*'03_原始数据'!B487-OtherCost</f>
        <v/>
      </c>
      <c r="AF487" s="37">
        <f>'03_原始数据'!C487-0.695*'03_原始数据'!B487-OtherCost</f>
        <v/>
      </c>
      <c r="AG487" s="37">
        <f>'03_原始数据'!C487-0.7*'03_原始数据'!B487-OtherCost</f>
        <v/>
      </c>
    </row>
    <row r="488">
      <c r="M488" s="37">
        <f>'03_原始数据'!C488-0.6*'03_原始数据'!B488-OtherCost</f>
        <v/>
      </c>
      <c r="N488" s="37">
        <f>'03_原始数据'!C488-0.605*'03_原始数据'!B488-OtherCost</f>
        <v/>
      </c>
      <c r="O488" s="37">
        <f>'03_原始数据'!C488-0.61*'03_原始数据'!B488-OtherCost</f>
        <v/>
      </c>
      <c r="P488" s="37">
        <f>'03_原始数据'!C488-0.615*'03_原始数据'!B488-OtherCost</f>
        <v/>
      </c>
      <c r="Q488" s="37">
        <f>'03_原始数据'!C488-0.62*'03_原始数据'!B488-OtherCost</f>
        <v/>
      </c>
      <c r="R488" s="37">
        <f>'03_原始数据'!C488-0.625*'03_原始数据'!B488-OtherCost</f>
        <v/>
      </c>
      <c r="S488" s="37">
        <f>'03_原始数据'!C488-0.63*'03_原始数据'!B488-OtherCost</f>
        <v/>
      </c>
      <c r="T488" s="37">
        <f>'03_原始数据'!C488-0.635*'03_原始数据'!B488-OtherCost</f>
        <v/>
      </c>
      <c r="U488" s="37">
        <f>'03_原始数据'!C488-0.64*'03_原始数据'!B488-OtherCost</f>
        <v/>
      </c>
      <c r="V488" s="37">
        <f>'03_原始数据'!C488-0.645*'03_原始数据'!B488-OtherCost</f>
        <v/>
      </c>
      <c r="W488" s="37">
        <f>'03_原始数据'!C488-0.65*'03_原始数据'!B488-OtherCost</f>
        <v/>
      </c>
      <c r="X488" s="37">
        <f>'03_原始数据'!C488-0.655*'03_原始数据'!B488-OtherCost</f>
        <v/>
      </c>
      <c r="Y488" s="37">
        <f>'03_原始数据'!C488-0.66*'03_原始数据'!B488-OtherCost</f>
        <v/>
      </c>
      <c r="Z488" s="37">
        <f>'03_原始数据'!C488-0.665*'03_原始数据'!B488-OtherCost</f>
        <v/>
      </c>
      <c r="AA488" s="37">
        <f>'03_原始数据'!C488-0.67*'03_原始数据'!B488-OtherCost</f>
        <v/>
      </c>
      <c r="AB488" s="37">
        <f>'03_原始数据'!C488-0.675*'03_原始数据'!B488-OtherCost</f>
        <v/>
      </c>
      <c r="AC488" s="37">
        <f>'03_原始数据'!C488-0.68*'03_原始数据'!B488-OtherCost</f>
        <v/>
      </c>
      <c r="AD488" s="37">
        <f>'03_原始数据'!C488-0.685*'03_原始数据'!B488-OtherCost</f>
        <v/>
      </c>
      <c r="AE488" s="37">
        <f>'03_原始数据'!C488-0.69*'03_原始数据'!B488-OtherCost</f>
        <v/>
      </c>
      <c r="AF488" s="37">
        <f>'03_原始数据'!C488-0.695*'03_原始数据'!B488-OtherCost</f>
        <v/>
      </c>
      <c r="AG488" s="37">
        <f>'03_原始数据'!C488-0.7*'03_原始数据'!B488-OtherCost</f>
        <v/>
      </c>
    </row>
    <row r="489">
      <c r="M489" s="37">
        <f>'03_原始数据'!C489-0.6*'03_原始数据'!B489-OtherCost</f>
        <v/>
      </c>
      <c r="N489" s="37">
        <f>'03_原始数据'!C489-0.605*'03_原始数据'!B489-OtherCost</f>
        <v/>
      </c>
      <c r="O489" s="37">
        <f>'03_原始数据'!C489-0.61*'03_原始数据'!B489-OtherCost</f>
        <v/>
      </c>
      <c r="P489" s="37">
        <f>'03_原始数据'!C489-0.615*'03_原始数据'!B489-OtherCost</f>
        <v/>
      </c>
      <c r="Q489" s="37">
        <f>'03_原始数据'!C489-0.62*'03_原始数据'!B489-OtherCost</f>
        <v/>
      </c>
      <c r="R489" s="37">
        <f>'03_原始数据'!C489-0.625*'03_原始数据'!B489-OtherCost</f>
        <v/>
      </c>
      <c r="S489" s="37">
        <f>'03_原始数据'!C489-0.63*'03_原始数据'!B489-OtherCost</f>
        <v/>
      </c>
      <c r="T489" s="37">
        <f>'03_原始数据'!C489-0.635*'03_原始数据'!B489-OtherCost</f>
        <v/>
      </c>
      <c r="U489" s="37">
        <f>'03_原始数据'!C489-0.64*'03_原始数据'!B489-OtherCost</f>
        <v/>
      </c>
      <c r="V489" s="37">
        <f>'03_原始数据'!C489-0.645*'03_原始数据'!B489-OtherCost</f>
        <v/>
      </c>
      <c r="W489" s="37">
        <f>'03_原始数据'!C489-0.65*'03_原始数据'!B489-OtherCost</f>
        <v/>
      </c>
      <c r="X489" s="37">
        <f>'03_原始数据'!C489-0.655*'03_原始数据'!B489-OtherCost</f>
        <v/>
      </c>
      <c r="Y489" s="37">
        <f>'03_原始数据'!C489-0.66*'03_原始数据'!B489-OtherCost</f>
        <v/>
      </c>
      <c r="Z489" s="37">
        <f>'03_原始数据'!C489-0.665*'03_原始数据'!B489-OtherCost</f>
        <v/>
      </c>
      <c r="AA489" s="37">
        <f>'03_原始数据'!C489-0.67*'03_原始数据'!B489-OtherCost</f>
        <v/>
      </c>
      <c r="AB489" s="37">
        <f>'03_原始数据'!C489-0.675*'03_原始数据'!B489-OtherCost</f>
        <v/>
      </c>
      <c r="AC489" s="37">
        <f>'03_原始数据'!C489-0.68*'03_原始数据'!B489-OtherCost</f>
        <v/>
      </c>
      <c r="AD489" s="37">
        <f>'03_原始数据'!C489-0.685*'03_原始数据'!B489-OtherCost</f>
        <v/>
      </c>
      <c r="AE489" s="37">
        <f>'03_原始数据'!C489-0.69*'03_原始数据'!B489-OtherCost</f>
        <v/>
      </c>
      <c r="AF489" s="37">
        <f>'03_原始数据'!C489-0.695*'03_原始数据'!B489-OtherCost</f>
        <v/>
      </c>
      <c r="AG489" s="37">
        <f>'03_原始数据'!C489-0.7*'03_原始数据'!B489-OtherCost</f>
        <v/>
      </c>
    </row>
    <row r="490">
      <c r="M490" s="37">
        <f>'03_原始数据'!C490-0.6*'03_原始数据'!B490-OtherCost</f>
        <v/>
      </c>
      <c r="N490" s="37">
        <f>'03_原始数据'!C490-0.605*'03_原始数据'!B490-OtherCost</f>
        <v/>
      </c>
      <c r="O490" s="37">
        <f>'03_原始数据'!C490-0.61*'03_原始数据'!B490-OtherCost</f>
        <v/>
      </c>
      <c r="P490" s="37">
        <f>'03_原始数据'!C490-0.615*'03_原始数据'!B490-OtherCost</f>
        <v/>
      </c>
      <c r="Q490" s="37">
        <f>'03_原始数据'!C490-0.62*'03_原始数据'!B490-OtherCost</f>
        <v/>
      </c>
      <c r="R490" s="37">
        <f>'03_原始数据'!C490-0.625*'03_原始数据'!B490-OtherCost</f>
        <v/>
      </c>
      <c r="S490" s="37">
        <f>'03_原始数据'!C490-0.63*'03_原始数据'!B490-OtherCost</f>
        <v/>
      </c>
      <c r="T490" s="37">
        <f>'03_原始数据'!C490-0.635*'03_原始数据'!B490-OtherCost</f>
        <v/>
      </c>
      <c r="U490" s="37">
        <f>'03_原始数据'!C490-0.64*'03_原始数据'!B490-OtherCost</f>
        <v/>
      </c>
      <c r="V490" s="37">
        <f>'03_原始数据'!C490-0.645*'03_原始数据'!B490-OtherCost</f>
        <v/>
      </c>
      <c r="W490" s="37">
        <f>'03_原始数据'!C490-0.65*'03_原始数据'!B490-OtherCost</f>
        <v/>
      </c>
      <c r="X490" s="37">
        <f>'03_原始数据'!C490-0.655*'03_原始数据'!B490-OtherCost</f>
        <v/>
      </c>
      <c r="Y490" s="37">
        <f>'03_原始数据'!C490-0.66*'03_原始数据'!B490-OtherCost</f>
        <v/>
      </c>
      <c r="Z490" s="37">
        <f>'03_原始数据'!C490-0.665*'03_原始数据'!B490-OtherCost</f>
        <v/>
      </c>
      <c r="AA490" s="37">
        <f>'03_原始数据'!C490-0.67*'03_原始数据'!B490-OtherCost</f>
        <v/>
      </c>
      <c r="AB490" s="37">
        <f>'03_原始数据'!C490-0.675*'03_原始数据'!B490-OtherCost</f>
        <v/>
      </c>
      <c r="AC490" s="37">
        <f>'03_原始数据'!C490-0.68*'03_原始数据'!B490-OtherCost</f>
        <v/>
      </c>
      <c r="AD490" s="37">
        <f>'03_原始数据'!C490-0.685*'03_原始数据'!B490-OtherCost</f>
        <v/>
      </c>
      <c r="AE490" s="37">
        <f>'03_原始数据'!C490-0.69*'03_原始数据'!B490-OtherCost</f>
        <v/>
      </c>
      <c r="AF490" s="37">
        <f>'03_原始数据'!C490-0.695*'03_原始数据'!B490-OtherCost</f>
        <v/>
      </c>
      <c r="AG490" s="37">
        <f>'03_原始数据'!C490-0.7*'03_原始数据'!B490-OtherCost</f>
        <v/>
      </c>
    </row>
    <row r="491">
      <c r="M491" s="37">
        <f>'03_原始数据'!C491-0.6*'03_原始数据'!B491-OtherCost</f>
        <v/>
      </c>
      <c r="N491" s="37">
        <f>'03_原始数据'!C491-0.605*'03_原始数据'!B491-OtherCost</f>
        <v/>
      </c>
      <c r="O491" s="37">
        <f>'03_原始数据'!C491-0.61*'03_原始数据'!B491-OtherCost</f>
        <v/>
      </c>
      <c r="P491" s="37">
        <f>'03_原始数据'!C491-0.615*'03_原始数据'!B491-OtherCost</f>
        <v/>
      </c>
      <c r="Q491" s="37">
        <f>'03_原始数据'!C491-0.62*'03_原始数据'!B491-OtherCost</f>
        <v/>
      </c>
      <c r="R491" s="37">
        <f>'03_原始数据'!C491-0.625*'03_原始数据'!B491-OtherCost</f>
        <v/>
      </c>
      <c r="S491" s="37">
        <f>'03_原始数据'!C491-0.63*'03_原始数据'!B491-OtherCost</f>
        <v/>
      </c>
      <c r="T491" s="37">
        <f>'03_原始数据'!C491-0.635*'03_原始数据'!B491-OtherCost</f>
        <v/>
      </c>
      <c r="U491" s="37">
        <f>'03_原始数据'!C491-0.64*'03_原始数据'!B491-OtherCost</f>
        <v/>
      </c>
      <c r="V491" s="37">
        <f>'03_原始数据'!C491-0.645*'03_原始数据'!B491-OtherCost</f>
        <v/>
      </c>
      <c r="W491" s="37">
        <f>'03_原始数据'!C491-0.65*'03_原始数据'!B491-OtherCost</f>
        <v/>
      </c>
      <c r="X491" s="37">
        <f>'03_原始数据'!C491-0.655*'03_原始数据'!B491-OtherCost</f>
        <v/>
      </c>
      <c r="Y491" s="37">
        <f>'03_原始数据'!C491-0.66*'03_原始数据'!B491-OtherCost</f>
        <v/>
      </c>
      <c r="Z491" s="37">
        <f>'03_原始数据'!C491-0.665*'03_原始数据'!B491-OtherCost</f>
        <v/>
      </c>
      <c r="AA491" s="37">
        <f>'03_原始数据'!C491-0.67*'03_原始数据'!B491-OtherCost</f>
        <v/>
      </c>
      <c r="AB491" s="37">
        <f>'03_原始数据'!C491-0.675*'03_原始数据'!B491-OtherCost</f>
        <v/>
      </c>
      <c r="AC491" s="37">
        <f>'03_原始数据'!C491-0.68*'03_原始数据'!B491-OtherCost</f>
        <v/>
      </c>
      <c r="AD491" s="37">
        <f>'03_原始数据'!C491-0.685*'03_原始数据'!B491-OtherCost</f>
        <v/>
      </c>
      <c r="AE491" s="37">
        <f>'03_原始数据'!C491-0.69*'03_原始数据'!B491-OtherCost</f>
        <v/>
      </c>
      <c r="AF491" s="37">
        <f>'03_原始数据'!C491-0.695*'03_原始数据'!B491-OtherCost</f>
        <v/>
      </c>
      <c r="AG491" s="37">
        <f>'03_原始数据'!C491-0.7*'03_原始数据'!B491-OtherCost</f>
        <v/>
      </c>
    </row>
    <row r="492">
      <c r="M492" s="37">
        <f>'03_原始数据'!C492-0.6*'03_原始数据'!B492-OtherCost</f>
        <v/>
      </c>
      <c r="N492" s="37">
        <f>'03_原始数据'!C492-0.605*'03_原始数据'!B492-OtherCost</f>
        <v/>
      </c>
      <c r="O492" s="37">
        <f>'03_原始数据'!C492-0.61*'03_原始数据'!B492-OtherCost</f>
        <v/>
      </c>
      <c r="P492" s="37">
        <f>'03_原始数据'!C492-0.615*'03_原始数据'!B492-OtherCost</f>
        <v/>
      </c>
      <c r="Q492" s="37">
        <f>'03_原始数据'!C492-0.62*'03_原始数据'!B492-OtherCost</f>
        <v/>
      </c>
      <c r="R492" s="37">
        <f>'03_原始数据'!C492-0.625*'03_原始数据'!B492-OtherCost</f>
        <v/>
      </c>
      <c r="S492" s="37">
        <f>'03_原始数据'!C492-0.63*'03_原始数据'!B492-OtherCost</f>
        <v/>
      </c>
      <c r="T492" s="37">
        <f>'03_原始数据'!C492-0.635*'03_原始数据'!B492-OtherCost</f>
        <v/>
      </c>
      <c r="U492" s="37">
        <f>'03_原始数据'!C492-0.64*'03_原始数据'!B492-OtherCost</f>
        <v/>
      </c>
      <c r="V492" s="37">
        <f>'03_原始数据'!C492-0.645*'03_原始数据'!B492-OtherCost</f>
        <v/>
      </c>
      <c r="W492" s="37">
        <f>'03_原始数据'!C492-0.65*'03_原始数据'!B492-OtherCost</f>
        <v/>
      </c>
      <c r="X492" s="37">
        <f>'03_原始数据'!C492-0.655*'03_原始数据'!B492-OtherCost</f>
        <v/>
      </c>
      <c r="Y492" s="37">
        <f>'03_原始数据'!C492-0.66*'03_原始数据'!B492-OtherCost</f>
        <v/>
      </c>
      <c r="Z492" s="37">
        <f>'03_原始数据'!C492-0.665*'03_原始数据'!B492-OtherCost</f>
        <v/>
      </c>
      <c r="AA492" s="37">
        <f>'03_原始数据'!C492-0.67*'03_原始数据'!B492-OtherCost</f>
        <v/>
      </c>
      <c r="AB492" s="37">
        <f>'03_原始数据'!C492-0.675*'03_原始数据'!B492-OtherCost</f>
        <v/>
      </c>
      <c r="AC492" s="37">
        <f>'03_原始数据'!C492-0.68*'03_原始数据'!B492-OtherCost</f>
        <v/>
      </c>
      <c r="AD492" s="37">
        <f>'03_原始数据'!C492-0.685*'03_原始数据'!B492-OtherCost</f>
        <v/>
      </c>
      <c r="AE492" s="37">
        <f>'03_原始数据'!C492-0.69*'03_原始数据'!B492-OtherCost</f>
        <v/>
      </c>
      <c r="AF492" s="37">
        <f>'03_原始数据'!C492-0.695*'03_原始数据'!B492-OtherCost</f>
        <v/>
      </c>
      <c r="AG492" s="37">
        <f>'03_原始数据'!C492-0.7*'03_原始数据'!B492-OtherCost</f>
        <v/>
      </c>
    </row>
    <row r="493">
      <c r="M493" s="37">
        <f>'03_原始数据'!C493-0.6*'03_原始数据'!B493-OtherCost</f>
        <v/>
      </c>
      <c r="N493" s="37">
        <f>'03_原始数据'!C493-0.605*'03_原始数据'!B493-OtherCost</f>
        <v/>
      </c>
      <c r="O493" s="37">
        <f>'03_原始数据'!C493-0.61*'03_原始数据'!B493-OtherCost</f>
        <v/>
      </c>
      <c r="P493" s="37">
        <f>'03_原始数据'!C493-0.615*'03_原始数据'!B493-OtherCost</f>
        <v/>
      </c>
      <c r="Q493" s="37">
        <f>'03_原始数据'!C493-0.62*'03_原始数据'!B493-OtherCost</f>
        <v/>
      </c>
      <c r="R493" s="37">
        <f>'03_原始数据'!C493-0.625*'03_原始数据'!B493-OtherCost</f>
        <v/>
      </c>
      <c r="S493" s="37">
        <f>'03_原始数据'!C493-0.63*'03_原始数据'!B493-OtherCost</f>
        <v/>
      </c>
      <c r="T493" s="37">
        <f>'03_原始数据'!C493-0.635*'03_原始数据'!B493-OtherCost</f>
        <v/>
      </c>
      <c r="U493" s="37">
        <f>'03_原始数据'!C493-0.64*'03_原始数据'!B493-OtherCost</f>
        <v/>
      </c>
      <c r="V493" s="37">
        <f>'03_原始数据'!C493-0.645*'03_原始数据'!B493-OtherCost</f>
        <v/>
      </c>
      <c r="W493" s="37">
        <f>'03_原始数据'!C493-0.65*'03_原始数据'!B493-OtherCost</f>
        <v/>
      </c>
      <c r="X493" s="37">
        <f>'03_原始数据'!C493-0.655*'03_原始数据'!B493-OtherCost</f>
        <v/>
      </c>
      <c r="Y493" s="37">
        <f>'03_原始数据'!C493-0.66*'03_原始数据'!B493-OtherCost</f>
        <v/>
      </c>
      <c r="Z493" s="37">
        <f>'03_原始数据'!C493-0.665*'03_原始数据'!B493-OtherCost</f>
        <v/>
      </c>
      <c r="AA493" s="37">
        <f>'03_原始数据'!C493-0.67*'03_原始数据'!B493-OtherCost</f>
        <v/>
      </c>
      <c r="AB493" s="37">
        <f>'03_原始数据'!C493-0.675*'03_原始数据'!B493-OtherCost</f>
        <v/>
      </c>
      <c r="AC493" s="37">
        <f>'03_原始数据'!C493-0.68*'03_原始数据'!B493-OtherCost</f>
        <v/>
      </c>
      <c r="AD493" s="37">
        <f>'03_原始数据'!C493-0.685*'03_原始数据'!B493-OtherCost</f>
        <v/>
      </c>
      <c r="AE493" s="37">
        <f>'03_原始数据'!C493-0.69*'03_原始数据'!B493-OtherCost</f>
        <v/>
      </c>
      <c r="AF493" s="37">
        <f>'03_原始数据'!C493-0.695*'03_原始数据'!B493-OtherCost</f>
        <v/>
      </c>
      <c r="AG493" s="37">
        <f>'03_原始数据'!C493-0.7*'03_原始数据'!B493-OtherCost</f>
        <v/>
      </c>
    </row>
    <row r="494">
      <c r="M494" s="37">
        <f>'03_原始数据'!C494-0.6*'03_原始数据'!B494-OtherCost</f>
        <v/>
      </c>
      <c r="N494" s="37">
        <f>'03_原始数据'!C494-0.605*'03_原始数据'!B494-OtherCost</f>
        <v/>
      </c>
      <c r="O494" s="37">
        <f>'03_原始数据'!C494-0.61*'03_原始数据'!B494-OtherCost</f>
        <v/>
      </c>
      <c r="P494" s="37">
        <f>'03_原始数据'!C494-0.615*'03_原始数据'!B494-OtherCost</f>
        <v/>
      </c>
      <c r="Q494" s="37">
        <f>'03_原始数据'!C494-0.62*'03_原始数据'!B494-OtherCost</f>
        <v/>
      </c>
      <c r="R494" s="37">
        <f>'03_原始数据'!C494-0.625*'03_原始数据'!B494-OtherCost</f>
        <v/>
      </c>
      <c r="S494" s="37">
        <f>'03_原始数据'!C494-0.63*'03_原始数据'!B494-OtherCost</f>
        <v/>
      </c>
      <c r="T494" s="37">
        <f>'03_原始数据'!C494-0.635*'03_原始数据'!B494-OtherCost</f>
        <v/>
      </c>
      <c r="U494" s="37">
        <f>'03_原始数据'!C494-0.64*'03_原始数据'!B494-OtherCost</f>
        <v/>
      </c>
      <c r="V494" s="37">
        <f>'03_原始数据'!C494-0.645*'03_原始数据'!B494-OtherCost</f>
        <v/>
      </c>
      <c r="W494" s="37">
        <f>'03_原始数据'!C494-0.65*'03_原始数据'!B494-OtherCost</f>
        <v/>
      </c>
      <c r="X494" s="37">
        <f>'03_原始数据'!C494-0.655*'03_原始数据'!B494-OtherCost</f>
        <v/>
      </c>
      <c r="Y494" s="37">
        <f>'03_原始数据'!C494-0.66*'03_原始数据'!B494-OtherCost</f>
        <v/>
      </c>
      <c r="Z494" s="37">
        <f>'03_原始数据'!C494-0.665*'03_原始数据'!B494-OtherCost</f>
        <v/>
      </c>
      <c r="AA494" s="37">
        <f>'03_原始数据'!C494-0.67*'03_原始数据'!B494-OtherCost</f>
        <v/>
      </c>
      <c r="AB494" s="37">
        <f>'03_原始数据'!C494-0.675*'03_原始数据'!B494-OtherCost</f>
        <v/>
      </c>
      <c r="AC494" s="37">
        <f>'03_原始数据'!C494-0.68*'03_原始数据'!B494-OtherCost</f>
        <v/>
      </c>
      <c r="AD494" s="37">
        <f>'03_原始数据'!C494-0.685*'03_原始数据'!B494-OtherCost</f>
        <v/>
      </c>
      <c r="AE494" s="37">
        <f>'03_原始数据'!C494-0.69*'03_原始数据'!B494-OtherCost</f>
        <v/>
      </c>
      <c r="AF494" s="37">
        <f>'03_原始数据'!C494-0.695*'03_原始数据'!B494-OtherCost</f>
        <v/>
      </c>
      <c r="AG494" s="37">
        <f>'03_原始数据'!C494-0.7*'03_原始数据'!B494-OtherCost</f>
        <v/>
      </c>
    </row>
    <row r="495">
      <c r="M495" s="37">
        <f>'03_原始数据'!C495-0.6*'03_原始数据'!B495-OtherCost</f>
        <v/>
      </c>
      <c r="N495" s="37">
        <f>'03_原始数据'!C495-0.605*'03_原始数据'!B495-OtherCost</f>
        <v/>
      </c>
      <c r="O495" s="37">
        <f>'03_原始数据'!C495-0.61*'03_原始数据'!B495-OtherCost</f>
        <v/>
      </c>
      <c r="P495" s="37">
        <f>'03_原始数据'!C495-0.615*'03_原始数据'!B495-OtherCost</f>
        <v/>
      </c>
      <c r="Q495" s="37">
        <f>'03_原始数据'!C495-0.62*'03_原始数据'!B495-OtherCost</f>
        <v/>
      </c>
      <c r="R495" s="37">
        <f>'03_原始数据'!C495-0.625*'03_原始数据'!B495-OtherCost</f>
        <v/>
      </c>
      <c r="S495" s="37">
        <f>'03_原始数据'!C495-0.63*'03_原始数据'!B495-OtherCost</f>
        <v/>
      </c>
      <c r="T495" s="37">
        <f>'03_原始数据'!C495-0.635*'03_原始数据'!B495-OtherCost</f>
        <v/>
      </c>
      <c r="U495" s="37">
        <f>'03_原始数据'!C495-0.64*'03_原始数据'!B495-OtherCost</f>
        <v/>
      </c>
      <c r="V495" s="37">
        <f>'03_原始数据'!C495-0.645*'03_原始数据'!B495-OtherCost</f>
        <v/>
      </c>
      <c r="W495" s="37">
        <f>'03_原始数据'!C495-0.65*'03_原始数据'!B495-OtherCost</f>
        <v/>
      </c>
      <c r="X495" s="37">
        <f>'03_原始数据'!C495-0.655*'03_原始数据'!B495-OtherCost</f>
        <v/>
      </c>
      <c r="Y495" s="37">
        <f>'03_原始数据'!C495-0.66*'03_原始数据'!B495-OtherCost</f>
        <v/>
      </c>
      <c r="Z495" s="37">
        <f>'03_原始数据'!C495-0.665*'03_原始数据'!B495-OtherCost</f>
        <v/>
      </c>
      <c r="AA495" s="37">
        <f>'03_原始数据'!C495-0.67*'03_原始数据'!B495-OtherCost</f>
        <v/>
      </c>
      <c r="AB495" s="37">
        <f>'03_原始数据'!C495-0.675*'03_原始数据'!B495-OtherCost</f>
        <v/>
      </c>
      <c r="AC495" s="37">
        <f>'03_原始数据'!C495-0.68*'03_原始数据'!B495-OtherCost</f>
        <v/>
      </c>
      <c r="AD495" s="37">
        <f>'03_原始数据'!C495-0.685*'03_原始数据'!B495-OtherCost</f>
        <v/>
      </c>
      <c r="AE495" s="37">
        <f>'03_原始数据'!C495-0.69*'03_原始数据'!B495-OtherCost</f>
        <v/>
      </c>
      <c r="AF495" s="37">
        <f>'03_原始数据'!C495-0.695*'03_原始数据'!B495-OtherCost</f>
        <v/>
      </c>
      <c r="AG495" s="37">
        <f>'03_原始数据'!C495-0.7*'03_原始数据'!B495-OtherCost</f>
        <v/>
      </c>
    </row>
    <row r="496">
      <c r="M496" s="37">
        <f>'03_原始数据'!C496-0.6*'03_原始数据'!B496-OtherCost</f>
        <v/>
      </c>
      <c r="N496" s="37">
        <f>'03_原始数据'!C496-0.605*'03_原始数据'!B496-OtherCost</f>
        <v/>
      </c>
      <c r="O496" s="37">
        <f>'03_原始数据'!C496-0.61*'03_原始数据'!B496-OtherCost</f>
        <v/>
      </c>
      <c r="P496" s="37">
        <f>'03_原始数据'!C496-0.615*'03_原始数据'!B496-OtherCost</f>
        <v/>
      </c>
      <c r="Q496" s="37">
        <f>'03_原始数据'!C496-0.62*'03_原始数据'!B496-OtherCost</f>
        <v/>
      </c>
      <c r="R496" s="37">
        <f>'03_原始数据'!C496-0.625*'03_原始数据'!B496-OtherCost</f>
        <v/>
      </c>
      <c r="S496" s="37">
        <f>'03_原始数据'!C496-0.63*'03_原始数据'!B496-OtherCost</f>
        <v/>
      </c>
      <c r="T496" s="37">
        <f>'03_原始数据'!C496-0.635*'03_原始数据'!B496-OtherCost</f>
        <v/>
      </c>
      <c r="U496" s="37">
        <f>'03_原始数据'!C496-0.64*'03_原始数据'!B496-OtherCost</f>
        <v/>
      </c>
      <c r="V496" s="37">
        <f>'03_原始数据'!C496-0.645*'03_原始数据'!B496-OtherCost</f>
        <v/>
      </c>
      <c r="W496" s="37">
        <f>'03_原始数据'!C496-0.65*'03_原始数据'!B496-OtherCost</f>
        <v/>
      </c>
      <c r="X496" s="37">
        <f>'03_原始数据'!C496-0.655*'03_原始数据'!B496-OtherCost</f>
        <v/>
      </c>
      <c r="Y496" s="37">
        <f>'03_原始数据'!C496-0.66*'03_原始数据'!B496-OtherCost</f>
        <v/>
      </c>
      <c r="Z496" s="37">
        <f>'03_原始数据'!C496-0.665*'03_原始数据'!B496-OtherCost</f>
        <v/>
      </c>
      <c r="AA496" s="37">
        <f>'03_原始数据'!C496-0.67*'03_原始数据'!B496-OtherCost</f>
        <v/>
      </c>
      <c r="AB496" s="37">
        <f>'03_原始数据'!C496-0.675*'03_原始数据'!B496-OtherCost</f>
        <v/>
      </c>
      <c r="AC496" s="37">
        <f>'03_原始数据'!C496-0.68*'03_原始数据'!B496-OtherCost</f>
        <v/>
      </c>
      <c r="AD496" s="37">
        <f>'03_原始数据'!C496-0.685*'03_原始数据'!B496-OtherCost</f>
        <v/>
      </c>
      <c r="AE496" s="37">
        <f>'03_原始数据'!C496-0.69*'03_原始数据'!B496-OtherCost</f>
        <v/>
      </c>
      <c r="AF496" s="37">
        <f>'03_原始数据'!C496-0.695*'03_原始数据'!B496-OtherCost</f>
        <v/>
      </c>
      <c r="AG496" s="37">
        <f>'03_原始数据'!C496-0.7*'03_原始数据'!B496-OtherCost</f>
        <v/>
      </c>
    </row>
    <row r="497">
      <c r="M497" s="37">
        <f>'03_原始数据'!C497-0.6*'03_原始数据'!B497-OtherCost</f>
        <v/>
      </c>
      <c r="N497" s="37">
        <f>'03_原始数据'!C497-0.605*'03_原始数据'!B497-OtherCost</f>
        <v/>
      </c>
      <c r="O497" s="37">
        <f>'03_原始数据'!C497-0.61*'03_原始数据'!B497-OtherCost</f>
        <v/>
      </c>
      <c r="P497" s="37">
        <f>'03_原始数据'!C497-0.615*'03_原始数据'!B497-OtherCost</f>
        <v/>
      </c>
      <c r="Q497" s="37">
        <f>'03_原始数据'!C497-0.62*'03_原始数据'!B497-OtherCost</f>
        <v/>
      </c>
      <c r="R497" s="37">
        <f>'03_原始数据'!C497-0.625*'03_原始数据'!B497-OtherCost</f>
        <v/>
      </c>
      <c r="S497" s="37">
        <f>'03_原始数据'!C497-0.63*'03_原始数据'!B497-OtherCost</f>
        <v/>
      </c>
      <c r="T497" s="37">
        <f>'03_原始数据'!C497-0.635*'03_原始数据'!B497-OtherCost</f>
        <v/>
      </c>
      <c r="U497" s="37">
        <f>'03_原始数据'!C497-0.64*'03_原始数据'!B497-OtherCost</f>
        <v/>
      </c>
      <c r="V497" s="37">
        <f>'03_原始数据'!C497-0.645*'03_原始数据'!B497-OtherCost</f>
        <v/>
      </c>
      <c r="W497" s="37">
        <f>'03_原始数据'!C497-0.65*'03_原始数据'!B497-OtherCost</f>
        <v/>
      </c>
      <c r="X497" s="37">
        <f>'03_原始数据'!C497-0.655*'03_原始数据'!B497-OtherCost</f>
        <v/>
      </c>
      <c r="Y497" s="37">
        <f>'03_原始数据'!C497-0.66*'03_原始数据'!B497-OtherCost</f>
        <v/>
      </c>
      <c r="Z497" s="37">
        <f>'03_原始数据'!C497-0.665*'03_原始数据'!B497-OtherCost</f>
        <v/>
      </c>
      <c r="AA497" s="37">
        <f>'03_原始数据'!C497-0.67*'03_原始数据'!B497-OtherCost</f>
        <v/>
      </c>
      <c r="AB497" s="37">
        <f>'03_原始数据'!C497-0.675*'03_原始数据'!B497-OtherCost</f>
        <v/>
      </c>
      <c r="AC497" s="37">
        <f>'03_原始数据'!C497-0.68*'03_原始数据'!B497-OtherCost</f>
        <v/>
      </c>
      <c r="AD497" s="37">
        <f>'03_原始数据'!C497-0.685*'03_原始数据'!B497-OtherCost</f>
        <v/>
      </c>
      <c r="AE497" s="37">
        <f>'03_原始数据'!C497-0.69*'03_原始数据'!B497-OtherCost</f>
        <v/>
      </c>
      <c r="AF497" s="37">
        <f>'03_原始数据'!C497-0.695*'03_原始数据'!B497-OtherCost</f>
        <v/>
      </c>
      <c r="AG497" s="37">
        <f>'03_原始数据'!C497-0.7*'03_原始数据'!B497-OtherCost</f>
        <v/>
      </c>
    </row>
    <row r="498">
      <c r="M498" s="37">
        <f>'03_原始数据'!C498-0.6*'03_原始数据'!B498-OtherCost</f>
        <v/>
      </c>
      <c r="N498" s="37">
        <f>'03_原始数据'!C498-0.605*'03_原始数据'!B498-OtherCost</f>
        <v/>
      </c>
      <c r="O498" s="37">
        <f>'03_原始数据'!C498-0.61*'03_原始数据'!B498-OtherCost</f>
        <v/>
      </c>
      <c r="P498" s="37">
        <f>'03_原始数据'!C498-0.615*'03_原始数据'!B498-OtherCost</f>
        <v/>
      </c>
      <c r="Q498" s="37">
        <f>'03_原始数据'!C498-0.62*'03_原始数据'!B498-OtherCost</f>
        <v/>
      </c>
      <c r="R498" s="37">
        <f>'03_原始数据'!C498-0.625*'03_原始数据'!B498-OtherCost</f>
        <v/>
      </c>
      <c r="S498" s="37">
        <f>'03_原始数据'!C498-0.63*'03_原始数据'!B498-OtherCost</f>
        <v/>
      </c>
      <c r="T498" s="37">
        <f>'03_原始数据'!C498-0.635*'03_原始数据'!B498-OtherCost</f>
        <v/>
      </c>
      <c r="U498" s="37">
        <f>'03_原始数据'!C498-0.64*'03_原始数据'!B498-OtherCost</f>
        <v/>
      </c>
      <c r="V498" s="37">
        <f>'03_原始数据'!C498-0.645*'03_原始数据'!B498-OtherCost</f>
        <v/>
      </c>
      <c r="W498" s="37">
        <f>'03_原始数据'!C498-0.65*'03_原始数据'!B498-OtherCost</f>
        <v/>
      </c>
      <c r="X498" s="37">
        <f>'03_原始数据'!C498-0.655*'03_原始数据'!B498-OtherCost</f>
        <v/>
      </c>
      <c r="Y498" s="37">
        <f>'03_原始数据'!C498-0.66*'03_原始数据'!B498-OtherCost</f>
        <v/>
      </c>
      <c r="Z498" s="37">
        <f>'03_原始数据'!C498-0.665*'03_原始数据'!B498-OtherCost</f>
        <v/>
      </c>
      <c r="AA498" s="37">
        <f>'03_原始数据'!C498-0.67*'03_原始数据'!B498-OtherCost</f>
        <v/>
      </c>
      <c r="AB498" s="37">
        <f>'03_原始数据'!C498-0.675*'03_原始数据'!B498-OtherCost</f>
        <v/>
      </c>
      <c r="AC498" s="37">
        <f>'03_原始数据'!C498-0.68*'03_原始数据'!B498-OtherCost</f>
        <v/>
      </c>
      <c r="AD498" s="37">
        <f>'03_原始数据'!C498-0.685*'03_原始数据'!B498-OtherCost</f>
        <v/>
      </c>
      <c r="AE498" s="37">
        <f>'03_原始数据'!C498-0.69*'03_原始数据'!B498-OtherCost</f>
        <v/>
      </c>
      <c r="AF498" s="37">
        <f>'03_原始数据'!C498-0.695*'03_原始数据'!B498-OtherCost</f>
        <v/>
      </c>
      <c r="AG498" s="37">
        <f>'03_原始数据'!C498-0.7*'03_原始数据'!B498-OtherCost</f>
        <v/>
      </c>
    </row>
    <row r="499">
      <c r="M499" s="37">
        <f>'03_原始数据'!C499-0.6*'03_原始数据'!B499-OtherCost</f>
        <v/>
      </c>
      <c r="N499" s="37">
        <f>'03_原始数据'!C499-0.605*'03_原始数据'!B499-OtherCost</f>
        <v/>
      </c>
      <c r="O499" s="37">
        <f>'03_原始数据'!C499-0.61*'03_原始数据'!B499-OtherCost</f>
        <v/>
      </c>
      <c r="P499" s="37">
        <f>'03_原始数据'!C499-0.615*'03_原始数据'!B499-OtherCost</f>
        <v/>
      </c>
      <c r="Q499" s="37">
        <f>'03_原始数据'!C499-0.62*'03_原始数据'!B499-OtherCost</f>
        <v/>
      </c>
      <c r="R499" s="37">
        <f>'03_原始数据'!C499-0.625*'03_原始数据'!B499-OtherCost</f>
        <v/>
      </c>
      <c r="S499" s="37">
        <f>'03_原始数据'!C499-0.63*'03_原始数据'!B499-OtherCost</f>
        <v/>
      </c>
      <c r="T499" s="37">
        <f>'03_原始数据'!C499-0.635*'03_原始数据'!B499-OtherCost</f>
        <v/>
      </c>
      <c r="U499" s="37">
        <f>'03_原始数据'!C499-0.64*'03_原始数据'!B499-OtherCost</f>
        <v/>
      </c>
      <c r="V499" s="37">
        <f>'03_原始数据'!C499-0.645*'03_原始数据'!B499-OtherCost</f>
        <v/>
      </c>
      <c r="W499" s="37">
        <f>'03_原始数据'!C499-0.65*'03_原始数据'!B499-OtherCost</f>
        <v/>
      </c>
      <c r="X499" s="37">
        <f>'03_原始数据'!C499-0.655*'03_原始数据'!B499-OtherCost</f>
        <v/>
      </c>
      <c r="Y499" s="37">
        <f>'03_原始数据'!C499-0.66*'03_原始数据'!B499-OtherCost</f>
        <v/>
      </c>
      <c r="Z499" s="37">
        <f>'03_原始数据'!C499-0.665*'03_原始数据'!B499-OtherCost</f>
        <v/>
      </c>
      <c r="AA499" s="37">
        <f>'03_原始数据'!C499-0.67*'03_原始数据'!B499-OtherCost</f>
        <v/>
      </c>
      <c r="AB499" s="37">
        <f>'03_原始数据'!C499-0.675*'03_原始数据'!B499-OtherCost</f>
        <v/>
      </c>
      <c r="AC499" s="37">
        <f>'03_原始数据'!C499-0.68*'03_原始数据'!B499-OtherCost</f>
        <v/>
      </c>
      <c r="AD499" s="37">
        <f>'03_原始数据'!C499-0.685*'03_原始数据'!B499-OtherCost</f>
        <v/>
      </c>
      <c r="AE499" s="37">
        <f>'03_原始数据'!C499-0.69*'03_原始数据'!B499-OtherCost</f>
        <v/>
      </c>
      <c r="AF499" s="37">
        <f>'03_原始数据'!C499-0.695*'03_原始数据'!B499-OtherCost</f>
        <v/>
      </c>
      <c r="AG499" s="37">
        <f>'03_原始数据'!C499-0.7*'03_原始数据'!B499-OtherCost</f>
        <v/>
      </c>
    </row>
    <row r="500">
      <c r="M500" s="37">
        <f>'03_原始数据'!C500-0.6*'03_原始数据'!B500-OtherCost</f>
        <v/>
      </c>
      <c r="N500" s="37">
        <f>'03_原始数据'!C500-0.605*'03_原始数据'!B500-OtherCost</f>
        <v/>
      </c>
      <c r="O500" s="37">
        <f>'03_原始数据'!C500-0.61*'03_原始数据'!B500-OtherCost</f>
        <v/>
      </c>
      <c r="P500" s="37">
        <f>'03_原始数据'!C500-0.615*'03_原始数据'!B500-OtherCost</f>
        <v/>
      </c>
      <c r="Q500" s="37">
        <f>'03_原始数据'!C500-0.62*'03_原始数据'!B500-OtherCost</f>
        <v/>
      </c>
      <c r="R500" s="37">
        <f>'03_原始数据'!C500-0.625*'03_原始数据'!B500-OtherCost</f>
        <v/>
      </c>
      <c r="S500" s="37">
        <f>'03_原始数据'!C500-0.63*'03_原始数据'!B500-OtherCost</f>
        <v/>
      </c>
      <c r="T500" s="37">
        <f>'03_原始数据'!C500-0.635*'03_原始数据'!B500-OtherCost</f>
        <v/>
      </c>
      <c r="U500" s="37">
        <f>'03_原始数据'!C500-0.64*'03_原始数据'!B500-OtherCost</f>
        <v/>
      </c>
      <c r="V500" s="37">
        <f>'03_原始数据'!C500-0.645*'03_原始数据'!B500-OtherCost</f>
        <v/>
      </c>
      <c r="W500" s="37">
        <f>'03_原始数据'!C500-0.65*'03_原始数据'!B500-OtherCost</f>
        <v/>
      </c>
      <c r="X500" s="37">
        <f>'03_原始数据'!C500-0.655*'03_原始数据'!B500-OtherCost</f>
        <v/>
      </c>
      <c r="Y500" s="37">
        <f>'03_原始数据'!C500-0.66*'03_原始数据'!B500-OtherCost</f>
        <v/>
      </c>
      <c r="Z500" s="37">
        <f>'03_原始数据'!C500-0.665*'03_原始数据'!B500-OtherCost</f>
        <v/>
      </c>
      <c r="AA500" s="37">
        <f>'03_原始数据'!C500-0.67*'03_原始数据'!B500-OtherCost</f>
        <v/>
      </c>
      <c r="AB500" s="37">
        <f>'03_原始数据'!C500-0.675*'03_原始数据'!B500-OtherCost</f>
        <v/>
      </c>
      <c r="AC500" s="37">
        <f>'03_原始数据'!C500-0.68*'03_原始数据'!B500-OtherCost</f>
        <v/>
      </c>
      <c r="AD500" s="37">
        <f>'03_原始数据'!C500-0.685*'03_原始数据'!B500-OtherCost</f>
        <v/>
      </c>
      <c r="AE500" s="37">
        <f>'03_原始数据'!C500-0.69*'03_原始数据'!B500-OtherCost</f>
        <v/>
      </c>
      <c r="AF500" s="37">
        <f>'03_原始数据'!C500-0.695*'03_原始数据'!B500-OtherCost</f>
        <v/>
      </c>
      <c r="AG500" s="37">
        <f>'03_原始数据'!C500-0.7*'03_原始数据'!B500-OtherCost</f>
        <v/>
      </c>
    </row>
    <row r="501">
      <c r="M501" s="37">
        <f>'03_原始数据'!C501-0.6*'03_原始数据'!B501-OtherCost</f>
        <v/>
      </c>
      <c r="N501" s="37">
        <f>'03_原始数据'!C501-0.605*'03_原始数据'!B501-OtherCost</f>
        <v/>
      </c>
      <c r="O501" s="37">
        <f>'03_原始数据'!C501-0.61*'03_原始数据'!B501-OtherCost</f>
        <v/>
      </c>
      <c r="P501" s="37">
        <f>'03_原始数据'!C501-0.615*'03_原始数据'!B501-OtherCost</f>
        <v/>
      </c>
      <c r="Q501" s="37">
        <f>'03_原始数据'!C501-0.62*'03_原始数据'!B501-OtherCost</f>
        <v/>
      </c>
      <c r="R501" s="37">
        <f>'03_原始数据'!C501-0.625*'03_原始数据'!B501-OtherCost</f>
        <v/>
      </c>
      <c r="S501" s="37">
        <f>'03_原始数据'!C501-0.63*'03_原始数据'!B501-OtherCost</f>
        <v/>
      </c>
      <c r="T501" s="37">
        <f>'03_原始数据'!C501-0.635*'03_原始数据'!B501-OtherCost</f>
        <v/>
      </c>
      <c r="U501" s="37">
        <f>'03_原始数据'!C501-0.64*'03_原始数据'!B501-OtherCost</f>
        <v/>
      </c>
      <c r="V501" s="37">
        <f>'03_原始数据'!C501-0.645*'03_原始数据'!B501-OtherCost</f>
        <v/>
      </c>
      <c r="W501" s="37">
        <f>'03_原始数据'!C501-0.65*'03_原始数据'!B501-OtherCost</f>
        <v/>
      </c>
      <c r="X501" s="37">
        <f>'03_原始数据'!C501-0.655*'03_原始数据'!B501-OtherCost</f>
        <v/>
      </c>
      <c r="Y501" s="37">
        <f>'03_原始数据'!C501-0.66*'03_原始数据'!B501-OtherCost</f>
        <v/>
      </c>
      <c r="Z501" s="37">
        <f>'03_原始数据'!C501-0.665*'03_原始数据'!B501-OtherCost</f>
        <v/>
      </c>
      <c r="AA501" s="37">
        <f>'03_原始数据'!C501-0.67*'03_原始数据'!B501-OtherCost</f>
        <v/>
      </c>
      <c r="AB501" s="37">
        <f>'03_原始数据'!C501-0.675*'03_原始数据'!B501-OtherCost</f>
        <v/>
      </c>
      <c r="AC501" s="37">
        <f>'03_原始数据'!C501-0.68*'03_原始数据'!B501-OtherCost</f>
        <v/>
      </c>
      <c r="AD501" s="37">
        <f>'03_原始数据'!C501-0.685*'03_原始数据'!B501-OtherCost</f>
        <v/>
      </c>
      <c r="AE501" s="37">
        <f>'03_原始数据'!C501-0.69*'03_原始数据'!B501-OtherCost</f>
        <v/>
      </c>
      <c r="AF501" s="37">
        <f>'03_原始数据'!C501-0.695*'03_原始数据'!B501-OtherCost</f>
        <v/>
      </c>
      <c r="AG501" s="37">
        <f>'03_原始数据'!C501-0.7*'03_原始数据'!B501-OtherCost</f>
        <v/>
      </c>
    </row>
    <row r="502">
      <c r="M502" s="37">
        <f>'03_原始数据'!C502-0.6*'03_原始数据'!B502-OtherCost</f>
        <v/>
      </c>
      <c r="N502" s="37">
        <f>'03_原始数据'!C502-0.605*'03_原始数据'!B502-OtherCost</f>
        <v/>
      </c>
      <c r="O502" s="37">
        <f>'03_原始数据'!C502-0.61*'03_原始数据'!B502-OtherCost</f>
        <v/>
      </c>
      <c r="P502" s="37">
        <f>'03_原始数据'!C502-0.615*'03_原始数据'!B502-OtherCost</f>
        <v/>
      </c>
      <c r="Q502" s="37">
        <f>'03_原始数据'!C502-0.62*'03_原始数据'!B502-OtherCost</f>
        <v/>
      </c>
      <c r="R502" s="37">
        <f>'03_原始数据'!C502-0.625*'03_原始数据'!B502-OtherCost</f>
        <v/>
      </c>
      <c r="S502" s="37">
        <f>'03_原始数据'!C502-0.63*'03_原始数据'!B502-OtherCost</f>
        <v/>
      </c>
      <c r="T502" s="37">
        <f>'03_原始数据'!C502-0.635*'03_原始数据'!B502-OtherCost</f>
        <v/>
      </c>
      <c r="U502" s="37">
        <f>'03_原始数据'!C502-0.64*'03_原始数据'!B502-OtherCost</f>
        <v/>
      </c>
      <c r="V502" s="37">
        <f>'03_原始数据'!C502-0.645*'03_原始数据'!B502-OtherCost</f>
        <v/>
      </c>
      <c r="W502" s="37">
        <f>'03_原始数据'!C502-0.65*'03_原始数据'!B502-OtherCost</f>
        <v/>
      </c>
      <c r="X502" s="37">
        <f>'03_原始数据'!C502-0.655*'03_原始数据'!B502-OtherCost</f>
        <v/>
      </c>
      <c r="Y502" s="37">
        <f>'03_原始数据'!C502-0.66*'03_原始数据'!B502-OtherCost</f>
        <v/>
      </c>
      <c r="Z502" s="37">
        <f>'03_原始数据'!C502-0.665*'03_原始数据'!B502-OtherCost</f>
        <v/>
      </c>
      <c r="AA502" s="37">
        <f>'03_原始数据'!C502-0.67*'03_原始数据'!B502-OtherCost</f>
        <v/>
      </c>
      <c r="AB502" s="37">
        <f>'03_原始数据'!C502-0.675*'03_原始数据'!B502-OtherCost</f>
        <v/>
      </c>
      <c r="AC502" s="37">
        <f>'03_原始数据'!C502-0.68*'03_原始数据'!B502-OtherCost</f>
        <v/>
      </c>
      <c r="AD502" s="37">
        <f>'03_原始数据'!C502-0.685*'03_原始数据'!B502-OtherCost</f>
        <v/>
      </c>
      <c r="AE502" s="37">
        <f>'03_原始数据'!C502-0.69*'03_原始数据'!B502-OtherCost</f>
        <v/>
      </c>
      <c r="AF502" s="37">
        <f>'03_原始数据'!C502-0.695*'03_原始数据'!B502-OtherCost</f>
        <v/>
      </c>
      <c r="AG502" s="37">
        <f>'03_原始数据'!C502-0.7*'03_原始数据'!B502-OtherCost</f>
        <v/>
      </c>
    </row>
    <row r="503">
      <c r="M503" s="37">
        <f>'03_原始数据'!C503-0.6*'03_原始数据'!B503-OtherCost</f>
        <v/>
      </c>
      <c r="N503" s="37">
        <f>'03_原始数据'!C503-0.605*'03_原始数据'!B503-OtherCost</f>
        <v/>
      </c>
      <c r="O503" s="37">
        <f>'03_原始数据'!C503-0.61*'03_原始数据'!B503-OtherCost</f>
        <v/>
      </c>
      <c r="P503" s="37">
        <f>'03_原始数据'!C503-0.615*'03_原始数据'!B503-OtherCost</f>
        <v/>
      </c>
      <c r="Q503" s="37">
        <f>'03_原始数据'!C503-0.62*'03_原始数据'!B503-OtherCost</f>
        <v/>
      </c>
      <c r="R503" s="37">
        <f>'03_原始数据'!C503-0.625*'03_原始数据'!B503-OtherCost</f>
        <v/>
      </c>
      <c r="S503" s="37">
        <f>'03_原始数据'!C503-0.63*'03_原始数据'!B503-OtherCost</f>
        <v/>
      </c>
      <c r="T503" s="37">
        <f>'03_原始数据'!C503-0.635*'03_原始数据'!B503-OtherCost</f>
        <v/>
      </c>
      <c r="U503" s="37">
        <f>'03_原始数据'!C503-0.64*'03_原始数据'!B503-OtherCost</f>
        <v/>
      </c>
      <c r="V503" s="37">
        <f>'03_原始数据'!C503-0.645*'03_原始数据'!B503-OtherCost</f>
        <v/>
      </c>
      <c r="W503" s="37">
        <f>'03_原始数据'!C503-0.65*'03_原始数据'!B503-OtherCost</f>
        <v/>
      </c>
      <c r="X503" s="37">
        <f>'03_原始数据'!C503-0.655*'03_原始数据'!B503-OtherCost</f>
        <v/>
      </c>
      <c r="Y503" s="37">
        <f>'03_原始数据'!C503-0.66*'03_原始数据'!B503-OtherCost</f>
        <v/>
      </c>
      <c r="Z503" s="37">
        <f>'03_原始数据'!C503-0.665*'03_原始数据'!B503-OtherCost</f>
        <v/>
      </c>
      <c r="AA503" s="37">
        <f>'03_原始数据'!C503-0.67*'03_原始数据'!B503-OtherCost</f>
        <v/>
      </c>
      <c r="AB503" s="37">
        <f>'03_原始数据'!C503-0.675*'03_原始数据'!B503-OtherCost</f>
        <v/>
      </c>
      <c r="AC503" s="37">
        <f>'03_原始数据'!C503-0.68*'03_原始数据'!B503-OtherCost</f>
        <v/>
      </c>
      <c r="AD503" s="37">
        <f>'03_原始数据'!C503-0.685*'03_原始数据'!B503-OtherCost</f>
        <v/>
      </c>
      <c r="AE503" s="37">
        <f>'03_原始数据'!C503-0.69*'03_原始数据'!B503-OtherCost</f>
        <v/>
      </c>
      <c r="AF503" s="37">
        <f>'03_原始数据'!C503-0.695*'03_原始数据'!B503-OtherCost</f>
        <v/>
      </c>
      <c r="AG503" s="37">
        <f>'03_原始数据'!C503-0.7*'03_原始数据'!B503-OtherCost</f>
        <v/>
      </c>
    </row>
    <row r="504">
      <c r="M504" s="37">
        <f>'03_原始数据'!C504-0.6*'03_原始数据'!B504-OtherCost</f>
        <v/>
      </c>
      <c r="N504" s="37">
        <f>'03_原始数据'!C504-0.605*'03_原始数据'!B504-OtherCost</f>
        <v/>
      </c>
      <c r="O504" s="37">
        <f>'03_原始数据'!C504-0.61*'03_原始数据'!B504-OtherCost</f>
        <v/>
      </c>
      <c r="P504" s="37">
        <f>'03_原始数据'!C504-0.615*'03_原始数据'!B504-OtherCost</f>
        <v/>
      </c>
      <c r="Q504" s="37">
        <f>'03_原始数据'!C504-0.62*'03_原始数据'!B504-OtherCost</f>
        <v/>
      </c>
      <c r="R504" s="37">
        <f>'03_原始数据'!C504-0.625*'03_原始数据'!B504-OtherCost</f>
        <v/>
      </c>
      <c r="S504" s="37">
        <f>'03_原始数据'!C504-0.63*'03_原始数据'!B504-OtherCost</f>
        <v/>
      </c>
      <c r="T504" s="37">
        <f>'03_原始数据'!C504-0.635*'03_原始数据'!B504-OtherCost</f>
        <v/>
      </c>
      <c r="U504" s="37">
        <f>'03_原始数据'!C504-0.64*'03_原始数据'!B504-OtherCost</f>
        <v/>
      </c>
      <c r="V504" s="37">
        <f>'03_原始数据'!C504-0.645*'03_原始数据'!B504-OtherCost</f>
        <v/>
      </c>
      <c r="W504" s="37">
        <f>'03_原始数据'!C504-0.65*'03_原始数据'!B504-OtherCost</f>
        <v/>
      </c>
      <c r="X504" s="37">
        <f>'03_原始数据'!C504-0.655*'03_原始数据'!B504-OtherCost</f>
        <v/>
      </c>
      <c r="Y504" s="37">
        <f>'03_原始数据'!C504-0.66*'03_原始数据'!B504-OtherCost</f>
        <v/>
      </c>
      <c r="Z504" s="37">
        <f>'03_原始数据'!C504-0.665*'03_原始数据'!B504-OtherCost</f>
        <v/>
      </c>
      <c r="AA504" s="37">
        <f>'03_原始数据'!C504-0.67*'03_原始数据'!B504-OtherCost</f>
        <v/>
      </c>
      <c r="AB504" s="37">
        <f>'03_原始数据'!C504-0.675*'03_原始数据'!B504-OtherCost</f>
        <v/>
      </c>
      <c r="AC504" s="37">
        <f>'03_原始数据'!C504-0.68*'03_原始数据'!B504-OtherCost</f>
        <v/>
      </c>
      <c r="AD504" s="37">
        <f>'03_原始数据'!C504-0.685*'03_原始数据'!B504-OtherCost</f>
        <v/>
      </c>
      <c r="AE504" s="37">
        <f>'03_原始数据'!C504-0.69*'03_原始数据'!B504-OtherCost</f>
        <v/>
      </c>
      <c r="AF504" s="37">
        <f>'03_原始数据'!C504-0.695*'03_原始数据'!B504-OtherCost</f>
        <v/>
      </c>
      <c r="AG504" s="37">
        <f>'03_原始数据'!C504-0.7*'03_原始数据'!B504-OtherCost</f>
        <v/>
      </c>
    </row>
    <row r="505">
      <c r="M505" s="37">
        <f>'03_原始数据'!C505-0.6*'03_原始数据'!B505-OtherCost</f>
        <v/>
      </c>
      <c r="N505" s="37">
        <f>'03_原始数据'!C505-0.605*'03_原始数据'!B505-OtherCost</f>
        <v/>
      </c>
      <c r="O505" s="37">
        <f>'03_原始数据'!C505-0.61*'03_原始数据'!B505-OtherCost</f>
        <v/>
      </c>
      <c r="P505" s="37">
        <f>'03_原始数据'!C505-0.615*'03_原始数据'!B505-OtherCost</f>
        <v/>
      </c>
      <c r="Q505" s="37">
        <f>'03_原始数据'!C505-0.62*'03_原始数据'!B505-OtherCost</f>
        <v/>
      </c>
      <c r="R505" s="37">
        <f>'03_原始数据'!C505-0.625*'03_原始数据'!B505-OtherCost</f>
        <v/>
      </c>
      <c r="S505" s="37">
        <f>'03_原始数据'!C505-0.63*'03_原始数据'!B505-OtherCost</f>
        <v/>
      </c>
      <c r="T505" s="37">
        <f>'03_原始数据'!C505-0.635*'03_原始数据'!B505-OtherCost</f>
        <v/>
      </c>
      <c r="U505" s="37">
        <f>'03_原始数据'!C505-0.64*'03_原始数据'!B505-OtherCost</f>
        <v/>
      </c>
      <c r="V505" s="37">
        <f>'03_原始数据'!C505-0.645*'03_原始数据'!B505-OtherCost</f>
        <v/>
      </c>
      <c r="W505" s="37">
        <f>'03_原始数据'!C505-0.65*'03_原始数据'!B505-OtherCost</f>
        <v/>
      </c>
      <c r="X505" s="37">
        <f>'03_原始数据'!C505-0.655*'03_原始数据'!B505-OtherCost</f>
        <v/>
      </c>
      <c r="Y505" s="37">
        <f>'03_原始数据'!C505-0.66*'03_原始数据'!B505-OtherCost</f>
        <v/>
      </c>
      <c r="Z505" s="37">
        <f>'03_原始数据'!C505-0.665*'03_原始数据'!B505-OtherCost</f>
        <v/>
      </c>
      <c r="AA505" s="37">
        <f>'03_原始数据'!C505-0.67*'03_原始数据'!B505-OtherCost</f>
        <v/>
      </c>
      <c r="AB505" s="37">
        <f>'03_原始数据'!C505-0.675*'03_原始数据'!B505-OtherCost</f>
        <v/>
      </c>
      <c r="AC505" s="37">
        <f>'03_原始数据'!C505-0.68*'03_原始数据'!B505-OtherCost</f>
        <v/>
      </c>
      <c r="AD505" s="37">
        <f>'03_原始数据'!C505-0.685*'03_原始数据'!B505-OtherCost</f>
        <v/>
      </c>
      <c r="AE505" s="37">
        <f>'03_原始数据'!C505-0.69*'03_原始数据'!B505-OtherCost</f>
        <v/>
      </c>
      <c r="AF505" s="37">
        <f>'03_原始数据'!C505-0.695*'03_原始数据'!B505-OtherCost</f>
        <v/>
      </c>
      <c r="AG505" s="37">
        <f>'03_原始数据'!C505-0.7*'03_原始数据'!B505-OtherCost</f>
        <v/>
      </c>
    </row>
    <row r="506">
      <c r="M506" s="37">
        <f>'03_原始数据'!C506-0.6*'03_原始数据'!B506-OtherCost</f>
        <v/>
      </c>
      <c r="N506" s="37">
        <f>'03_原始数据'!C506-0.605*'03_原始数据'!B506-OtherCost</f>
        <v/>
      </c>
      <c r="O506" s="37">
        <f>'03_原始数据'!C506-0.61*'03_原始数据'!B506-OtherCost</f>
        <v/>
      </c>
      <c r="P506" s="37">
        <f>'03_原始数据'!C506-0.615*'03_原始数据'!B506-OtherCost</f>
        <v/>
      </c>
      <c r="Q506" s="37">
        <f>'03_原始数据'!C506-0.62*'03_原始数据'!B506-OtherCost</f>
        <v/>
      </c>
      <c r="R506" s="37">
        <f>'03_原始数据'!C506-0.625*'03_原始数据'!B506-OtherCost</f>
        <v/>
      </c>
      <c r="S506" s="37">
        <f>'03_原始数据'!C506-0.63*'03_原始数据'!B506-OtherCost</f>
        <v/>
      </c>
      <c r="T506" s="37">
        <f>'03_原始数据'!C506-0.635*'03_原始数据'!B506-OtherCost</f>
        <v/>
      </c>
      <c r="U506" s="37">
        <f>'03_原始数据'!C506-0.64*'03_原始数据'!B506-OtherCost</f>
        <v/>
      </c>
      <c r="V506" s="37">
        <f>'03_原始数据'!C506-0.645*'03_原始数据'!B506-OtherCost</f>
        <v/>
      </c>
      <c r="W506" s="37">
        <f>'03_原始数据'!C506-0.65*'03_原始数据'!B506-OtherCost</f>
        <v/>
      </c>
      <c r="X506" s="37">
        <f>'03_原始数据'!C506-0.655*'03_原始数据'!B506-OtherCost</f>
        <v/>
      </c>
      <c r="Y506" s="37">
        <f>'03_原始数据'!C506-0.66*'03_原始数据'!B506-OtherCost</f>
        <v/>
      </c>
      <c r="Z506" s="37">
        <f>'03_原始数据'!C506-0.665*'03_原始数据'!B506-OtherCost</f>
        <v/>
      </c>
      <c r="AA506" s="37">
        <f>'03_原始数据'!C506-0.67*'03_原始数据'!B506-OtherCost</f>
        <v/>
      </c>
      <c r="AB506" s="37">
        <f>'03_原始数据'!C506-0.675*'03_原始数据'!B506-OtherCost</f>
        <v/>
      </c>
      <c r="AC506" s="37">
        <f>'03_原始数据'!C506-0.68*'03_原始数据'!B506-OtherCost</f>
        <v/>
      </c>
      <c r="AD506" s="37">
        <f>'03_原始数据'!C506-0.685*'03_原始数据'!B506-OtherCost</f>
        <v/>
      </c>
      <c r="AE506" s="37">
        <f>'03_原始数据'!C506-0.69*'03_原始数据'!B506-OtherCost</f>
        <v/>
      </c>
      <c r="AF506" s="37">
        <f>'03_原始数据'!C506-0.695*'03_原始数据'!B506-OtherCost</f>
        <v/>
      </c>
      <c r="AG506" s="37">
        <f>'03_原始数据'!C506-0.7*'03_原始数据'!B506-OtherCost</f>
        <v/>
      </c>
    </row>
    <row r="507">
      <c r="M507" s="37">
        <f>'03_原始数据'!C507-0.6*'03_原始数据'!B507-OtherCost</f>
        <v/>
      </c>
      <c r="N507" s="37">
        <f>'03_原始数据'!C507-0.605*'03_原始数据'!B507-OtherCost</f>
        <v/>
      </c>
      <c r="O507" s="37">
        <f>'03_原始数据'!C507-0.61*'03_原始数据'!B507-OtherCost</f>
        <v/>
      </c>
      <c r="P507" s="37">
        <f>'03_原始数据'!C507-0.615*'03_原始数据'!B507-OtherCost</f>
        <v/>
      </c>
      <c r="Q507" s="37">
        <f>'03_原始数据'!C507-0.62*'03_原始数据'!B507-OtherCost</f>
        <v/>
      </c>
      <c r="R507" s="37">
        <f>'03_原始数据'!C507-0.625*'03_原始数据'!B507-OtherCost</f>
        <v/>
      </c>
      <c r="S507" s="37">
        <f>'03_原始数据'!C507-0.63*'03_原始数据'!B507-OtherCost</f>
        <v/>
      </c>
      <c r="T507" s="37">
        <f>'03_原始数据'!C507-0.635*'03_原始数据'!B507-OtherCost</f>
        <v/>
      </c>
      <c r="U507" s="37">
        <f>'03_原始数据'!C507-0.64*'03_原始数据'!B507-OtherCost</f>
        <v/>
      </c>
      <c r="V507" s="37">
        <f>'03_原始数据'!C507-0.645*'03_原始数据'!B507-OtherCost</f>
        <v/>
      </c>
      <c r="W507" s="37">
        <f>'03_原始数据'!C507-0.65*'03_原始数据'!B507-OtherCost</f>
        <v/>
      </c>
      <c r="X507" s="37">
        <f>'03_原始数据'!C507-0.655*'03_原始数据'!B507-OtherCost</f>
        <v/>
      </c>
      <c r="Y507" s="37">
        <f>'03_原始数据'!C507-0.66*'03_原始数据'!B507-OtherCost</f>
        <v/>
      </c>
      <c r="Z507" s="37">
        <f>'03_原始数据'!C507-0.665*'03_原始数据'!B507-OtherCost</f>
        <v/>
      </c>
      <c r="AA507" s="37">
        <f>'03_原始数据'!C507-0.67*'03_原始数据'!B507-OtherCost</f>
        <v/>
      </c>
      <c r="AB507" s="37">
        <f>'03_原始数据'!C507-0.675*'03_原始数据'!B507-OtherCost</f>
        <v/>
      </c>
      <c r="AC507" s="37">
        <f>'03_原始数据'!C507-0.68*'03_原始数据'!B507-OtherCost</f>
        <v/>
      </c>
      <c r="AD507" s="37">
        <f>'03_原始数据'!C507-0.685*'03_原始数据'!B507-OtherCost</f>
        <v/>
      </c>
      <c r="AE507" s="37">
        <f>'03_原始数据'!C507-0.69*'03_原始数据'!B507-OtherCost</f>
        <v/>
      </c>
      <c r="AF507" s="37">
        <f>'03_原始数据'!C507-0.695*'03_原始数据'!B507-OtherCost</f>
        <v/>
      </c>
      <c r="AG507" s="37">
        <f>'03_原始数据'!C507-0.7*'03_原始数据'!B507-OtherCost</f>
        <v/>
      </c>
    </row>
    <row r="508">
      <c r="M508" s="37">
        <f>'03_原始数据'!C508-0.6*'03_原始数据'!B508-OtherCost</f>
        <v/>
      </c>
      <c r="N508" s="37">
        <f>'03_原始数据'!C508-0.605*'03_原始数据'!B508-OtherCost</f>
        <v/>
      </c>
      <c r="O508" s="37">
        <f>'03_原始数据'!C508-0.61*'03_原始数据'!B508-OtherCost</f>
        <v/>
      </c>
      <c r="P508" s="37">
        <f>'03_原始数据'!C508-0.615*'03_原始数据'!B508-OtherCost</f>
        <v/>
      </c>
      <c r="Q508" s="37">
        <f>'03_原始数据'!C508-0.62*'03_原始数据'!B508-OtherCost</f>
        <v/>
      </c>
      <c r="R508" s="37">
        <f>'03_原始数据'!C508-0.625*'03_原始数据'!B508-OtherCost</f>
        <v/>
      </c>
      <c r="S508" s="37">
        <f>'03_原始数据'!C508-0.63*'03_原始数据'!B508-OtherCost</f>
        <v/>
      </c>
      <c r="T508" s="37">
        <f>'03_原始数据'!C508-0.635*'03_原始数据'!B508-OtherCost</f>
        <v/>
      </c>
      <c r="U508" s="37">
        <f>'03_原始数据'!C508-0.64*'03_原始数据'!B508-OtherCost</f>
        <v/>
      </c>
      <c r="V508" s="37">
        <f>'03_原始数据'!C508-0.645*'03_原始数据'!B508-OtherCost</f>
        <v/>
      </c>
      <c r="W508" s="37">
        <f>'03_原始数据'!C508-0.65*'03_原始数据'!B508-OtherCost</f>
        <v/>
      </c>
      <c r="X508" s="37">
        <f>'03_原始数据'!C508-0.655*'03_原始数据'!B508-OtherCost</f>
        <v/>
      </c>
      <c r="Y508" s="37">
        <f>'03_原始数据'!C508-0.66*'03_原始数据'!B508-OtherCost</f>
        <v/>
      </c>
      <c r="Z508" s="37">
        <f>'03_原始数据'!C508-0.665*'03_原始数据'!B508-OtherCost</f>
        <v/>
      </c>
      <c r="AA508" s="37">
        <f>'03_原始数据'!C508-0.67*'03_原始数据'!B508-OtherCost</f>
        <v/>
      </c>
      <c r="AB508" s="37">
        <f>'03_原始数据'!C508-0.675*'03_原始数据'!B508-OtherCost</f>
        <v/>
      </c>
      <c r="AC508" s="37">
        <f>'03_原始数据'!C508-0.68*'03_原始数据'!B508-OtherCost</f>
        <v/>
      </c>
      <c r="AD508" s="37">
        <f>'03_原始数据'!C508-0.685*'03_原始数据'!B508-OtherCost</f>
        <v/>
      </c>
      <c r="AE508" s="37">
        <f>'03_原始数据'!C508-0.69*'03_原始数据'!B508-OtherCost</f>
        <v/>
      </c>
      <c r="AF508" s="37">
        <f>'03_原始数据'!C508-0.695*'03_原始数据'!B508-OtherCost</f>
        <v/>
      </c>
      <c r="AG508" s="37">
        <f>'03_原始数据'!C508-0.7*'03_原始数据'!B508-OtherCost</f>
        <v/>
      </c>
    </row>
    <row r="509">
      <c r="M509" s="37">
        <f>'03_原始数据'!C509-0.6*'03_原始数据'!B509-OtherCost</f>
        <v/>
      </c>
      <c r="N509" s="37">
        <f>'03_原始数据'!C509-0.605*'03_原始数据'!B509-OtherCost</f>
        <v/>
      </c>
      <c r="O509" s="37">
        <f>'03_原始数据'!C509-0.61*'03_原始数据'!B509-OtherCost</f>
        <v/>
      </c>
      <c r="P509" s="37">
        <f>'03_原始数据'!C509-0.615*'03_原始数据'!B509-OtherCost</f>
        <v/>
      </c>
      <c r="Q509" s="37">
        <f>'03_原始数据'!C509-0.62*'03_原始数据'!B509-OtherCost</f>
        <v/>
      </c>
      <c r="R509" s="37">
        <f>'03_原始数据'!C509-0.625*'03_原始数据'!B509-OtherCost</f>
        <v/>
      </c>
      <c r="S509" s="37">
        <f>'03_原始数据'!C509-0.63*'03_原始数据'!B509-OtherCost</f>
        <v/>
      </c>
      <c r="T509" s="37">
        <f>'03_原始数据'!C509-0.635*'03_原始数据'!B509-OtherCost</f>
        <v/>
      </c>
      <c r="U509" s="37">
        <f>'03_原始数据'!C509-0.64*'03_原始数据'!B509-OtherCost</f>
        <v/>
      </c>
      <c r="V509" s="37">
        <f>'03_原始数据'!C509-0.645*'03_原始数据'!B509-OtherCost</f>
        <v/>
      </c>
      <c r="W509" s="37">
        <f>'03_原始数据'!C509-0.65*'03_原始数据'!B509-OtherCost</f>
        <v/>
      </c>
      <c r="X509" s="37">
        <f>'03_原始数据'!C509-0.655*'03_原始数据'!B509-OtherCost</f>
        <v/>
      </c>
      <c r="Y509" s="37">
        <f>'03_原始数据'!C509-0.66*'03_原始数据'!B509-OtherCost</f>
        <v/>
      </c>
      <c r="Z509" s="37">
        <f>'03_原始数据'!C509-0.665*'03_原始数据'!B509-OtherCost</f>
        <v/>
      </c>
      <c r="AA509" s="37">
        <f>'03_原始数据'!C509-0.67*'03_原始数据'!B509-OtherCost</f>
        <v/>
      </c>
      <c r="AB509" s="37">
        <f>'03_原始数据'!C509-0.675*'03_原始数据'!B509-OtherCost</f>
        <v/>
      </c>
      <c r="AC509" s="37">
        <f>'03_原始数据'!C509-0.68*'03_原始数据'!B509-OtherCost</f>
        <v/>
      </c>
      <c r="AD509" s="37">
        <f>'03_原始数据'!C509-0.685*'03_原始数据'!B509-OtherCost</f>
        <v/>
      </c>
      <c r="AE509" s="37">
        <f>'03_原始数据'!C509-0.69*'03_原始数据'!B509-OtherCost</f>
        <v/>
      </c>
      <c r="AF509" s="37">
        <f>'03_原始数据'!C509-0.695*'03_原始数据'!B509-OtherCost</f>
        <v/>
      </c>
      <c r="AG509" s="37">
        <f>'03_原始数据'!C509-0.7*'03_原始数据'!B509-OtherCost</f>
        <v/>
      </c>
    </row>
    <row r="510">
      <c r="M510" s="37">
        <f>'03_原始数据'!C510-0.6*'03_原始数据'!B510-OtherCost</f>
        <v/>
      </c>
      <c r="N510" s="37">
        <f>'03_原始数据'!C510-0.605*'03_原始数据'!B510-OtherCost</f>
        <v/>
      </c>
      <c r="O510" s="37">
        <f>'03_原始数据'!C510-0.61*'03_原始数据'!B510-OtherCost</f>
        <v/>
      </c>
      <c r="P510" s="37">
        <f>'03_原始数据'!C510-0.615*'03_原始数据'!B510-OtherCost</f>
        <v/>
      </c>
      <c r="Q510" s="37">
        <f>'03_原始数据'!C510-0.62*'03_原始数据'!B510-OtherCost</f>
        <v/>
      </c>
      <c r="R510" s="37">
        <f>'03_原始数据'!C510-0.625*'03_原始数据'!B510-OtherCost</f>
        <v/>
      </c>
      <c r="S510" s="37">
        <f>'03_原始数据'!C510-0.63*'03_原始数据'!B510-OtherCost</f>
        <v/>
      </c>
      <c r="T510" s="37">
        <f>'03_原始数据'!C510-0.635*'03_原始数据'!B510-OtherCost</f>
        <v/>
      </c>
      <c r="U510" s="37">
        <f>'03_原始数据'!C510-0.64*'03_原始数据'!B510-OtherCost</f>
        <v/>
      </c>
      <c r="V510" s="37">
        <f>'03_原始数据'!C510-0.645*'03_原始数据'!B510-OtherCost</f>
        <v/>
      </c>
      <c r="W510" s="37">
        <f>'03_原始数据'!C510-0.65*'03_原始数据'!B510-OtherCost</f>
        <v/>
      </c>
      <c r="X510" s="37">
        <f>'03_原始数据'!C510-0.655*'03_原始数据'!B510-OtherCost</f>
        <v/>
      </c>
      <c r="Y510" s="37">
        <f>'03_原始数据'!C510-0.66*'03_原始数据'!B510-OtherCost</f>
        <v/>
      </c>
      <c r="Z510" s="37">
        <f>'03_原始数据'!C510-0.665*'03_原始数据'!B510-OtherCost</f>
        <v/>
      </c>
      <c r="AA510" s="37">
        <f>'03_原始数据'!C510-0.67*'03_原始数据'!B510-OtherCost</f>
        <v/>
      </c>
      <c r="AB510" s="37">
        <f>'03_原始数据'!C510-0.675*'03_原始数据'!B510-OtherCost</f>
        <v/>
      </c>
      <c r="AC510" s="37">
        <f>'03_原始数据'!C510-0.68*'03_原始数据'!B510-OtherCost</f>
        <v/>
      </c>
      <c r="AD510" s="37">
        <f>'03_原始数据'!C510-0.685*'03_原始数据'!B510-OtherCost</f>
        <v/>
      </c>
      <c r="AE510" s="37">
        <f>'03_原始数据'!C510-0.69*'03_原始数据'!B510-OtherCost</f>
        <v/>
      </c>
      <c r="AF510" s="37">
        <f>'03_原始数据'!C510-0.695*'03_原始数据'!B510-OtherCost</f>
        <v/>
      </c>
      <c r="AG510" s="37">
        <f>'03_原始数据'!C510-0.7*'03_原始数据'!B510-OtherCost</f>
        <v/>
      </c>
    </row>
    <row r="511">
      <c r="M511" s="37">
        <f>'03_原始数据'!C511-0.6*'03_原始数据'!B511-OtherCost</f>
        <v/>
      </c>
      <c r="N511" s="37">
        <f>'03_原始数据'!C511-0.605*'03_原始数据'!B511-OtherCost</f>
        <v/>
      </c>
      <c r="O511" s="37">
        <f>'03_原始数据'!C511-0.61*'03_原始数据'!B511-OtherCost</f>
        <v/>
      </c>
      <c r="P511" s="37">
        <f>'03_原始数据'!C511-0.615*'03_原始数据'!B511-OtherCost</f>
        <v/>
      </c>
      <c r="Q511" s="37">
        <f>'03_原始数据'!C511-0.62*'03_原始数据'!B511-OtherCost</f>
        <v/>
      </c>
      <c r="R511" s="37">
        <f>'03_原始数据'!C511-0.625*'03_原始数据'!B511-OtherCost</f>
        <v/>
      </c>
      <c r="S511" s="37">
        <f>'03_原始数据'!C511-0.63*'03_原始数据'!B511-OtherCost</f>
        <v/>
      </c>
      <c r="T511" s="37">
        <f>'03_原始数据'!C511-0.635*'03_原始数据'!B511-OtherCost</f>
        <v/>
      </c>
      <c r="U511" s="37">
        <f>'03_原始数据'!C511-0.64*'03_原始数据'!B511-OtherCost</f>
        <v/>
      </c>
      <c r="V511" s="37">
        <f>'03_原始数据'!C511-0.645*'03_原始数据'!B511-OtherCost</f>
        <v/>
      </c>
      <c r="W511" s="37">
        <f>'03_原始数据'!C511-0.65*'03_原始数据'!B511-OtherCost</f>
        <v/>
      </c>
      <c r="X511" s="37">
        <f>'03_原始数据'!C511-0.655*'03_原始数据'!B511-OtherCost</f>
        <v/>
      </c>
      <c r="Y511" s="37">
        <f>'03_原始数据'!C511-0.66*'03_原始数据'!B511-OtherCost</f>
        <v/>
      </c>
      <c r="Z511" s="37">
        <f>'03_原始数据'!C511-0.665*'03_原始数据'!B511-OtherCost</f>
        <v/>
      </c>
      <c r="AA511" s="37">
        <f>'03_原始数据'!C511-0.67*'03_原始数据'!B511-OtherCost</f>
        <v/>
      </c>
      <c r="AB511" s="37">
        <f>'03_原始数据'!C511-0.675*'03_原始数据'!B511-OtherCost</f>
        <v/>
      </c>
      <c r="AC511" s="37">
        <f>'03_原始数据'!C511-0.68*'03_原始数据'!B511-OtherCost</f>
        <v/>
      </c>
      <c r="AD511" s="37">
        <f>'03_原始数据'!C511-0.685*'03_原始数据'!B511-OtherCost</f>
        <v/>
      </c>
      <c r="AE511" s="37">
        <f>'03_原始数据'!C511-0.69*'03_原始数据'!B511-OtherCost</f>
        <v/>
      </c>
      <c r="AF511" s="37">
        <f>'03_原始数据'!C511-0.695*'03_原始数据'!B511-OtherCost</f>
        <v/>
      </c>
      <c r="AG511" s="37">
        <f>'03_原始数据'!C511-0.7*'03_原始数据'!B511-OtherCost</f>
        <v/>
      </c>
    </row>
    <row r="512">
      <c r="M512" s="37">
        <f>'03_原始数据'!C512-0.6*'03_原始数据'!B512-OtherCost</f>
        <v/>
      </c>
      <c r="N512" s="37">
        <f>'03_原始数据'!C512-0.605*'03_原始数据'!B512-OtherCost</f>
        <v/>
      </c>
      <c r="O512" s="37">
        <f>'03_原始数据'!C512-0.61*'03_原始数据'!B512-OtherCost</f>
        <v/>
      </c>
      <c r="P512" s="37">
        <f>'03_原始数据'!C512-0.615*'03_原始数据'!B512-OtherCost</f>
        <v/>
      </c>
      <c r="Q512" s="37">
        <f>'03_原始数据'!C512-0.62*'03_原始数据'!B512-OtherCost</f>
        <v/>
      </c>
      <c r="R512" s="37">
        <f>'03_原始数据'!C512-0.625*'03_原始数据'!B512-OtherCost</f>
        <v/>
      </c>
      <c r="S512" s="37">
        <f>'03_原始数据'!C512-0.63*'03_原始数据'!B512-OtherCost</f>
        <v/>
      </c>
      <c r="T512" s="37">
        <f>'03_原始数据'!C512-0.635*'03_原始数据'!B512-OtherCost</f>
        <v/>
      </c>
      <c r="U512" s="37">
        <f>'03_原始数据'!C512-0.64*'03_原始数据'!B512-OtherCost</f>
        <v/>
      </c>
      <c r="V512" s="37">
        <f>'03_原始数据'!C512-0.645*'03_原始数据'!B512-OtherCost</f>
        <v/>
      </c>
      <c r="W512" s="37">
        <f>'03_原始数据'!C512-0.65*'03_原始数据'!B512-OtherCost</f>
        <v/>
      </c>
      <c r="X512" s="37">
        <f>'03_原始数据'!C512-0.655*'03_原始数据'!B512-OtherCost</f>
        <v/>
      </c>
      <c r="Y512" s="37">
        <f>'03_原始数据'!C512-0.66*'03_原始数据'!B512-OtherCost</f>
        <v/>
      </c>
      <c r="Z512" s="37">
        <f>'03_原始数据'!C512-0.665*'03_原始数据'!B512-OtherCost</f>
        <v/>
      </c>
      <c r="AA512" s="37">
        <f>'03_原始数据'!C512-0.67*'03_原始数据'!B512-OtherCost</f>
        <v/>
      </c>
      <c r="AB512" s="37">
        <f>'03_原始数据'!C512-0.675*'03_原始数据'!B512-OtherCost</f>
        <v/>
      </c>
      <c r="AC512" s="37">
        <f>'03_原始数据'!C512-0.68*'03_原始数据'!B512-OtherCost</f>
        <v/>
      </c>
      <c r="AD512" s="37">
        <f>'03_原始数据'!C512-0.685*'03_原始数据'!B512-OtherCost</f>
        <v/>
      </c>
      <c r="AE512" s="37">
        <f>'03_原始数据'!C512-0.69*'03_原始数据'!B512-OtherCost</f>
        <v/>
      </c>
      <c r="AF512" s="37">
        <f>'03_原始数据'!C512-0.695*'03_原始数据'!B512-OtherCost</f>
        <v/>
      </c>
      <c r="AG512" s="37">
        <f>'03_原始数据'!C512-0.7*'03_原始数据'!B512-OtherCost</f>
        <v/>
      </c>
    </row>
    <row r="513">
      <c r="M513" s="37">
        <f>'03_原始数据'!C513-0.6*'03_原始数据'!B513-OtherCost</f>
        <v/>
      </c>
      <c r="N513" s="37">
        <f>'03_原始数据'!C513-0.605*'03_原始数据'!B513-OtherCost</f>
        <v/>
      </c>
      <c r="O513" s="37">
        <f>'03_原始数据'!C513-0.61*'03_原始数据'!B513-OtherCost</f>
        <v/>
      </c>
      <c r="P513" s="37">
        <f>'03_原始数据'!C513-0.615*'03_原始数据'!B513-OtherCost</f>
        <v/>
      </c>
      <c r="Q513" s="37">
        <f>'03_原始数据'!C513-0.62*'03_原始数据'!B513-OtherCost</f>
        <v/>
      </c>
      <c r="R513" s="37">
        <f>'03_原始数据'!C513-0.625*'03_原始数据'!B513-OtherCost</f>
        <v/>
      </c>
      <c r="S513" s="37">
        <f>'03_原始数据'!C513-0.63*'03_原始数据'!B513-OtherCost</f>
        <v/>
      </c>
      <c r="T513" s="37">
        <f>'03_原始数据'!C513-0.635*'03_原始数据'!B513-OtherCost</f>
        <v/>
      </c>
      <c r="U513" s="37">
        <f>'03_原始数据'!C513-0.64*'03_原始数据'!B513-OtherCost</f>
        <v/>
      </c>
      <c r="V513" s="37">
        <f>'03_原始数据'!C513-0.645*'03_原始数据'!B513-OtherCost</f>
        <v/>
      </c>
      <c r="W513" s="37">
        <f>'03_原始数据'!C513-0.65*'03_原始数据'!B513-OtherCost</f>
        <v/>
      </c>
      <c r="X513" s="37">
        <f>'03_原始数据'!C513-0.655*'03_原始数据'!B513-OtherCost</f>
        <v/>
      </c>
      <c r="Y513" s="37">
        <f>'03_原始数据'!C513-0.66*'03_原始数据'!B513-OtherCost</f>
        <v/>
      </c>
      <c r="Z513" s="37">
        <f>'03_原始数据'!C513-0.665*'03_原始数据'!B513-OtherCost</f>
        <v/>
      </c>
      <c r="AA513" s="37">
        <f>'03_原始数据'!C513-0.67*'03_原始数据'!B513-OtherCost</f>
        <v/>
      </c>
      <c r="AB513" s="37">
        <f>'03_原始数据'!C513-0.675*'03_原始数据'!B513-OtherCost</f>
        <v/>
      </c>
      <c r="AC513" s="37">
        <f>'03_原始数据'!C513-0.68*'03_原始数据'!B513-OtherCost</f>
        <v/>
      </c>
      <c r="AD513" s="37">
        <f>'03_原始数据'!C513-0.685*'03_原始数据'!B513-OtherCost</f>
        <v/>
      </c>
      <c r="AE513" s="37">
        <f>'03_原始数据'!C513-0.69*'03_原始数据'!B513-OtherCost</f>
        <v/>
      </c>
      <c r="AF513" s="37">
        <f>'03_原始数据'!C513-0.695*'03_原始数据'!B513-OtherCost</f>
        <v/>
      </c>
      <c r="AG513" s="37">
        <f>'03_原始数据'!C513-0.7*'03_原始数据'!B513-OtherCost</f>
        <v/>
      </c>
    </row>
    <row r="514">
      <c r="M514" s="37">
        <f>'03_原始数据'!C514-0.6*'03_原始数据'!B514-OtherCost</f>
        <v/>
      </c>
      <c r="N514" s="37">
        <f>'03_原始数据'!C514-0.605*'03_原始数据'!B514-OtherCost</f>
        <v/>
      </c>
      <c r="O514" s="37">
        <f>'03_原始数据'!C514-0.61*'03_原始数据'!B514-OtherCost</f>
        <v/>
      </c>
      <c r="P514" s="37">
        <f>'03_原始数据'!C514-0.615*'03_原始数据'!B514-OtherCost</f>
        <v/>
      </c>
      <c r="Q514" s="37">
        <f>'03_原始数据'!C514-0.62*'03_原始数据'!B514-OtherCost</f>
        <v/>
      </c>
      <c r="R514" s="37">
        <f>'03_原始数据'!C514-0.625*'03_原始数据'!B514-OtherCost</f>
        <v/>
      </c>
      <c r="S514" s="37">
        <f>'03_原始数据'!C514-0.63*'03_原始数据'!B514-OtherCost</f>
        <v/>
      </c>
      <c r="T514" s="37">
        <f>'03_原始数据'!C514-0.635*'03_原始数据'!B514-OtherCost</f>
        <v/>
      </c>
      <c r="U514" s="37">
        <f>'03_原始数据'!C514-0.64*'03_原始数据'!B514-OtherCost</f>
        <v/>
      </c>
      <c r="V514" s="37">
        <f>'03_原始数据'!C514-0.645*'03_原始数据'!B514-OtherCost</f>
        <v/>
      </c>
      <c r="W514" s="37">
        <f>'03_原始数据'!C514-0.65*'03_原始数据'!B514-OtherCost</f>
        <v/>
      </c>
      <c r="X514" s="37">
        <f>'03_原始数据'!C514-0.655*'03_原始数据'!B514-OtherCost</f>
        <v/>
      </c>
      <c r="Y514" s="37">
        <f>'03_原始数据'!C514-0.66*'03_原始数据'!B514-OtherCost</f>
        <v/>
      </c>
      <c r="Z514" s="37">
        <f>'03_原始数据'!C514-0.665*'03_原始数据'!B514-OtherCost</f>
        <v/>
      </c>
      <c r="AA514" s="37">
        <f>'03_原始数据'!C514-0.67*'03_原始数据'!B514-OtherCost</f>
        <v/>
      </c>
      <c r="AB514" s="37">
        <f>'03_原始数据'!C514-0.675*'03_原始数据'!B514-OtherCost</f>
        <v/>
      </c>
      <c r="AC514" s="37">
        <f>'03_原始数据'!C514-0.68*'03_原始数据'!B514-OtherCost</f>
        <v/>
      </c>
      <c r="AD514" s="37">
        <f>'03_原始数据'!C514-0.685*'03_原始数据'!B514-OtherCost</f>
        <v/>
      </c>
      <c r="AE514" s="37">
        <f>'03_原始数据'!C514-0.69*'03_原始数据'!B514-OtherCost</f>
        <v/>
      </c>
      <c r="AF514" s="37">
        <f>'03_原始数据'!C514-0.695*'03_原始数据'!B514-OtherCost</f>
        <v/>
      </c>
      <c r="AG514" s="37">
        <f>'03_原始数据'!C514-0.7*'03_原始数据'!B514-OtherCost</f>
        <v/>
      </c>
    </row>
    <row r="515">
      <c r="M515" s="37">
        <f>'03_原始数据'!C515-0.6*'03_原始数据'!B515-OtherCost</f>
        <v/>
      </c>
      <c r="N515" s="37">
        <f>'03_原始数据'!C515-0.605*'03_原始数据'!B515-OtherCost</f>
        <v/>
      </c>
      <c r="O515" s="37">
        <f>'03_原始数据'!C515-0.61*'03_原始数据'!B515-OtherCost</f>
        <v/>
      </c>
      <c r="P515" s="37">
        <f>'03_原始数据'!C515-0.615*'03_原始数据'!B515-OtherCost</f>
        <v/>
      </c>
      <c r="Q515" s="37">
        <f>'03_原始数据'!C515-0.62*'03_原始数据'!B515-OtherCost</f>
        <v/>
      </c>
      <c r="R515" s="37">
        <f>'03_原始数据'!C515-0.625*'03_原始数据'!B515-OtherCost</f>
        <v/>
      </c>
      <c r="S515" s="37">
        <f>'03_原始数据'!C515-0.63*'03_原始数据'!B515-OtherCost</f>
        <v/>
      </c>
      <c r="T515" s="37">
        <f>'03_原始数据'!C515-0.635*'03_原始数据'!B515-OtherCost</f>
        <v/>
      </c>
      <c r="U515" s="37">
        <f>'03_原始数据'!C515-0.64*'03_原始数据'!B515-OtherCost</f>
        <v/>
      </c>
      <c r="V515" s="37">
        <f>'03_原始数据'!C515-0.645*'03_原始数据'!B515-OtherCost</f>
        <v/>
      </c>
      <c r="W515" s="37">
        <f>'03_原始数据'!C515-0.65*'03_原始数据'!B515-OtherCost</f>
        <v/>
      </c>
      <c r="X515" s="37">
        <f>'03_原始数据'!C515-0.655*'03_原始数据'!B515-OtherCost</f>
        <v/>
      </c>
      <c r="Y515" s="37">
        <f>'03_原始数据'!C515-0.66*'03_原始数据'!B515-OtherCost</f>
        <v/>
      </c>
      <c r="Z515" s="37">
        <f>'03_原始数据'!C515-0.665*'03_原始数据'!B515-OtherCost</f>
        <v/>
      </c>
      <c r="AA515" s="37">
        <f>'03_原始数据'!C515-0.67*'03_原始数据'!B515-OtherCost</f>
        <v/>
      </c>
      <c r="AB515" s="37">
        <f>'03_原始数据'!C515-0.675*'03_原始数据'!B515-OtherCost</f>
        <v/>
      </c>
      <c r="AC515" s="37">
        <f>'03_原始数据'!C515-0.68*'03_原始数据'!B515-OtherCost</f>
        <v/>
      </c>
      <c r="AD515" s="37">
        <f>'03_原始数据'!C515-0.685*'03_原始数据'!B515-OtherCost</f>
        <v/>
      </c>
      <c r="AE515" s="37">
        <f>'03_原始数据'!C515-0.69*'03_原始数据'!B515-OtherCost</f>
        <v/>
      </c>
      <c r="AF515" s="37">
        <f>'03_原始数据'!C515-0.695*'03_原始数据'!B515-OtherCost</f>
        <v/>
      </c>
      <c r="AG515" s="37">
        <f>'03_原始数据'!C515-0.7*'03_原始数据'!B515-OtherCost</f>
        <v/>
      </c>
    </row>
    <row r="516">
      <c r="M516" s="37">
        <f>'03_原始数据'!C516-0.6*'03_原始数据'!B516-OtherCost</f>
        <v/>
      </c>
      <c r="N516" s="37">
        <f>'03_原始数据'!C516-0.605*'03_原始数据'!B516-OtherCost</f>
        <v/>
      </c>
      <c r="O516" s="37">
        <f>'03_原始数据'!C516-0.61*'03_原始数据'!B516-OtherCost</f>
        <v/>
      </c>
      <c r="P516" s="37">
        <f>'03_原始数据'!C516-0.615*'03_原始数据'!B516-OtherCost</f>
        <v/>
      </c>
      <c r="Q516" s="37">
        <f>'03_原始数据'!C516-0.62*'03_原始数据'!B516-OtherCost</f>
        <v/>
      </c>
      <c r="R516" s="37">
        <f>'03_原始数据'!C516-0.625*'03_原始数据'!B516-OtherCost</f>
        <v/>
      </c>
      <c r="S516" s="37">
        <f>'03_原始数据'!C516-0.63*'03_原始数据'!B516-OtherCost</f>
        <v/>
      </c>
      <c r="T516" s="37">
        <f>'03_原始数据'!C516-0.635*'03_原始数据'!B516-OtherCost</f>
        <v/>
      </c>
      <c r="U516" s="37">
        <f>'03_原始数据'!C516-0.64*'03_原始数据'!B516-OtherCost</f>
        <v/>
      </c>
      <c r="V516" s="37">
        <f>'03_原始数据'!C516-0.645*'03_原始数据'!B516-OtherCost</f>
        <v/>
      </c>
      <c r="W516" s="37">
        <f>'03_原始数据'!C516-0.65*'03_原始数据'!B516-OtherCost</f>
        <v/>
      </c>
      <c r="X516" s="37">
        <f>'03_原始数据'!C516-0.655*'03_原始数据'!B516-OtherCost</f>
        <v/>
      </c>
      <c r="Y516" s="37">
        <f>'03_原始数据'!C516-0.66*'03_原始数据'!B516-OtherCost</f>
        <v/>
      </c>
      <c r="Z516" s="37">
        <f>'03_原始数据'!C516-0.665*'03_原始数据'!B516-OtherCost</f>
        <v/>
      </c>
      <c r="AA516" s="37">
        <f>'03_原始数据'!C516-0.67*'03_原始数据'!B516-OtherCost</f>
        <v/>
      </c>
      <c r="AB516" s="37">
        <f>'03_原始数据'!C516-0.675*'03_原始数据'!B516-OtherCost</f>
        <v/>
      </c>
      <c r="AC516" s="37">
        <f>'03_原始数据'!C516-0.68*'03_原始数据'!B516-OtherCost</f>
        <v/>
      </c>
      <c r="AD516" s="37">
        <f>'03_原始数据'!C516-0.685*'03_原始数据'!B516-OtherCost</f>
        <v/>
      </c>
      <c r="AE516" s="37">
        <f>'03_原始数据'!C516-0.69*'03_原始数据'!B516-OtherCost</f>
        <v/>
      </c>
      <c r="AF516" s="37">
        <f>'03_原始数据'!C516-0.695*'03_原始数据'!B516-OtherCost</f>
        <v/>
      </c>
      <c r="AG516" s="37">
        <f>'03_原始数据'!C516-0.7*'03_原始数据'!B516-OtherCost</f>
        <v/>
      </c>
    </row>
    <row r="517">
      <c r="M517" s="37">
        <f>'03_原始数据'!C517-0.6*'03_原始数据'!B517-OtherCost</f>
        <v/>
      </c>
      <c r="N517" s="37">
        <f>'03_原始数据'!C517-0.605*'03_原始数据'!B517-OtherCost</f>
        <v/>
      </c>
      <c r="O517" s="37">
        <f>'03_原始数据'!C517-0.61*'03_原始数据'!B517-OtherCost</f>
        <v/>
      </c>
      <c r="P517" s="37">
        <f>'03_原始数据'!C517-0.615*'03_原始数据'!B517-OtherCost</f>
        <v/>
      </c>
      <c r="Q517" s="37">
        <f>'03_原始数据'!C517-0.62*'03_原始数据'!B517-OtherCost</f>
        <v/>
      </c>
      <c r="R517" s="37">
        <f>'03_原始数据'!C517-0.625*'03_原始数据'!B517-OtherCost</f>
        <v/>
      </c>
      <c r="S517" s="37">
        <f>'03_原始数据'!C517-0.63*'03_原始数据'!B517-OtherCost</f>
        <v/>
      </c>
      <c r="T517" s="37">
        <f>'03_原始数据'!C517-0.635*'03_原始数据'!B517-OtherCost</f>
        <v/>
      </c>
      <c r="U517" s="37">
        <f>'03_原始数据'!C517-0.64*'03_原始数据'!B517-OtherCost</f>
        <v/>
      </c>
      <c r="V517" s="37">
        <f>'03_原始数据'!C517-0.645*'03_原始数据'!B517-OtherCost</f>
        <v/>
      </c>
      <c r="W517" s="37">
        <f>'03_原始数据'!C517-0.65*'03_原始数据'!B517-OtherCost</f>
        <v/>
      </c>
      <c r="X517" s="37">
        <f>'03_原始数据'!C517-0.655*'03_原始数据'!B517-OtherCost</f>
        <v/>
      </c>
      <c r="Y517" s="37">
        <f>'03_原始数据'!C517-0.66*'03_原始数据'!B517-OtherCost</f>
        <v/>
      </c>
      <c r="Z517" s="37">
        <f>'03_原始数据'!C517-0.665*'03_原始数据'!B517-OtherCost</f>
        <v/>
      </c>
      <c r="AA517" s="37">
        <f>'03_原始数据'!C517-0.67*'03_原始数据'!B517-OtherCost</f>
        <v/>
      </c>
      <c r="AB517" s="37">
        <f>'03_原始数据'!C517-0.675*'03_原始数据'!B517-OtherCost</f>
        <v/>
      </c>
      <c r="AC517" s="37">
        <f>'03_原始数据'!C517-0.68*'03_原始数据'!B517-OtherCost</f>
        <v/>
      </c>
      <c r="AD517" s="37">
        <f>'03_原始数据'!C517-0.685*'03_原始数据'!B517-OtherCost</f>
        <v/>
      </c>
      <c r="AE517" s="37">
        <f>'03_原始数据'!C517-0.69*'03_原始数据'!B517-OtherCost</f>
        <v/>
      </c>
      <c r="AF517" s="37">
        <f>'03_原始数据'!C517-0.695*'03_原始数据'!B517-OtherCost</f>
        <v/>
      </c>
      <c r="AG517" s="37">
        <f>'03_原始数据'!C517-0.7*'03_原始数据'!B517-OtherCost</f>
        <v/>
      </c>
    </row>
    <row r="518">
      <c r="M518" s="37">
        <f>'03_原始数据'!C518-0.6*'03_原始数据'!B518-OtherCost</f>
        <v/>
      </c>
      <c r="N518" s="37">
        <f>'03_原始数据'!C518-0.605*'03_原始数据'!B518-OtherCost</f>
        <v/>
      </c>
      <c r="O518" s="37">
        <f>'03_原始数据'!C518-0.61*'03_原始数据'!B518-OtherCost</f>
        <v/>
      </c>
      <c r="P518" s="37">
        <f>'03_原始数据'!C518-0.615*'03_原始数据'!B518-OtherCost</f>
        <v/>
      </c>
      <c r="Q518" s="37">
        <f>'03_原始数据'!C518-0.62*'03_原始数据'!B518-OtherCost</f>
        <v/>
      </c>
      <c r="R518" s="37">
        <f>'03_原始数据'!C518-0.625*'03_原始数据'!B518-OtherCost</f>
        <v/>
      </c>
      <c r="S518" s="37">
        <f>'03_原始数据'!C518-0.63*'03_原始数据'!B518-OtherCost</f>
        <v/>
      </c>
      <c r="T518" s="37">
        <f>'03_原始数据'!C518-0.635*'03_原始数据'!B518-OtherCost</f>
        <v/>
      </c>
      <c r="U518" s="37">
        <f>'03_原始数据'!C518-0.64*'03_原始数据'!B518-OtherCost</f>
        <v/>
      </c>
      <c r="V518" s="37">
        <f>'03_原始数据'!C518-0.645*'03_原始数据'!B518-OtherCost</f>
        <v/>
      </c>
      <c r="W518" s="37">
        <f>'03_原始数据'!C518-0.65*'03_原始数据'!B518-OtherCost</f>
        <v/>
      </c>
      <c r="X518" s="37">
        <f>'03_原始数据'!C518-0.655*'03_原始数据'!B518-OtherCost</f>
        <v/>
      </c>
      <c r="Y518" s="37">
        <f>'03_原始数据'!C518-0.66*'03_原始数据'!B518-OtherCost</f>
        <v/>
      </c>
      <c r="Z518" s="37">
        <f>'03_原始数据'!C518-0.665*'03_原始数据'!B518-OtherCost</f>
        <v/>
      </c>
      <c r="AA518" s="37">
        <f>'03_原始数据'!C518-0.67*'03_原始数据'!B518-OtherCost</f>
        <v/>
      </c>
      <c r="AB518" s="37">
        <f>'03_原始数据'!C518-0.675*'03_原始数据'!B518-OtherCost</f>
        <v/>
      </c>
      <c r="AC518" s="37">
        <f>'03_原始数据'!C518-0.68*'03_原始数据'!B518-OtherCost</f>
        <v/>
      </c>
      <c r="AD518" s="37">
        <f>'03_原始数据'!C518-0.685*'03_原始数据'!B518-OtherCost</f>
        <v/>
      </c>
      <c r="AE518" s="37">
        <f>'03_原始数据'!C518-0.69*'03_原始数据'!B518-OtherCost</f>
        <v/>
      </c>
      <c r="AF518" s="37">
        <f>'03_原始数据'!C518-0.695*'03_原始数据'!B518-OtherCost</f>
        <v/>
      </c>
      <c r="AG518" s="37">
        <f>'03_原始数据'!C518-0.7*'03_原始数据'!B518-OtherCost</f>
        <v/>
      </c>
    </row>
    <row r="519">
      <c r="M519" s="37">
        <f>'03_原始数据'!C519-0.6*'03_原始数据'!B519-OtherCost</f>
        <v/>
      </c>
      <c r="N519" s="37">
        <f>'03_原始数据'!C519-0.605*'03_原始数据'!B519-OtherCost</f>
        <v/>
      </c>
      <c r="O519" s="37">
        <f>'03_原始数据'!C519-0.61*'03_原始数据'!B519-OtherCost</f>
        <v/>
      </c>
      <c r="P519" s="37">
        <f>'03_原始数据'!C519-0.615*'03_原始数据'!B519-OtherCost</f>
        <v/>
      </c>
      <c r="Q519" s="37">
        <f>'03_原始数据'!C519-0.62*'03_原始数据'!B519-OtherCost</f>
        <v/>
      </c>
      <c r="R519" s="37">
        <f>'03_原始数据'!C519-0.625*'03_原始数据'!B519-OtherCost</f>
        <v/>
      </c>
      <c r="S519" s="37">
        <f>'03_原始数据'!C519-0.63*'03_原始数据'!B519-OtherCost</f>
        <v/>
      </c>
      <c r="T519" s="37">
        <f>'03_原始数据'!C519-0.635*'03_原始数据'!B519-OtherCost</f>
        <v/>
      </c>
      <c r="U519" s="37">
        <f>'03_原始数据'!C519-0.64*'03_原始数据'!B519-OtherCost</f>
        <v/>
      </c>
      <c r="V519" s="37">
        <f>'03_原始数据'!C519-0.645*'03_原始数据'!B519-OtherCost</f>
        <v/>
      </c>
      <c r="W519" s="37">
        <f>'03_原始数据'!C519-0.65*'03_原始数据'!B519-OtherCost</f>
        <v/>
      </c>
      <c r="X519" s="37">
        <f>'03_原始数据'!C519-0.655*'03_原始数据'!B519-OtherCost</f>
        <v/>
      </c>
      <c r="Y519" s="37">
        <f>'03_原始数据'!C519-0.66*'03_原始数据'!B519-OtherCost</f>
        <v/>
      </c>
      <c r="Z519" s="37">
        <f>'03_原始数据'!C519-0.665*'03_原始数据'!B519-OtherCost</f>
        <v/>
      </c>
      <c r="AA519" s="37">
        <f>'03_原始数据'!C519-0.67*'03_原始数据'!B519-OtherCost</f>
        <v/>
      </c>
      <c r="AB519" s="37">
        <f>'03_原始数据'!C519-0.675*'03_原始数据'!B519-OtherCost</f>
        <v/>
      </c>
      <c r="AC519" s="37">
        <f>'03_原始数据'!C519-0.68*'03_原始数据'!B519-OtherCost</f>
        <v/>
      </c>
      <c r="AD519" s="37">
        <f>'03_原始数据'!C519-0.685*'03_原始数据'!B519-OtherCost</f>
        <v/>
      </c>
      <c r="AE519" s="37">
        <f>'03_原始数据'!C519-0.69*'03_原始数据'!B519-OtherCost</f>
        <v/>
      </c>
      <c r="AF519" s="37">
        <f>'03_原始数据'!C519-0.695*'03_原始数据'!B519-OtherCost</f>
        <v/>
      </c>
      <c r="AG519" s="37">
        <f>'03_原始数据'!C519-0.7*'03_原始数据'!B519-OtherCost</f>
        <v/>
      </c>
    </row>
    <row r="520">
      <c r="M520" s="37">
        <f>'03_原始数据'!C520-0.6*'03_原始数据'!B520-OtherCost</f>
        <v/>
      </c>
      <c r="N520" s="37">
        <f>'03_原始数据'!C520-0.605*'03_原始数据'!B520-OtherCost</f>
        <v/>
      </c>
      <c r="O520" s="37">
        <f>'03_原始数据'!C520-0.61*'03_原始数据'!B520-OtherCost</f>
        <v/>
      </c>
      <c r="P520" s="37">
        <f>'03_原始数据'!C520-0.615*'03_原始数据'!B520-OtherCost</f>
        <v/>
      </c>
      <c r="Q520" s="37">
        <f>'03_原始数据'!C520-0.62*'03_原始数据'!B520-OtherCost</f>
        <v/>
      </c>
      <c r="R520" s="37">
        <f>'03_原始数据'!C520-0.625*'03_原始数据'!B520-OtherCost</f>
        <v/>
      </c>
      <c r="S520" s="37">
        <f>'03_原始数据'!C520-0.63*'03_原始数据'!B520-OtherCost</f>
        <v/>
      </c>
      <c r="T520" s="37">
        <f>'03_原始数据'!C520-0.635*'03_原始数据'!B520-OtherCost</f>
        <v/>
      </c>
      <c r="U520" s="37">
        <f>'03_原始数据'!C520-0.64*'03_原始数据'!B520-OtherCost</f>
        <v/>
      </c>
      <c r="V520" s="37">
        <f>'03_原始数据'!C520-0.645*'03_原始数据'!B520-OtherCost</f>
        <v/>
      </c>
      <c r="W520" s="37">
        <f>'03_原始数据'!C520-0.65*'03_原始数据'!B520-OtherCost</f>
        <v/>
      </c>
      <c r="X520" s="37">
        <f>'03_原始数据'!C520-0.655*'03_原始数据'!B520-OtherCost</f>
        <v/>
      </c>
      <c r="Y520" s="37">
        <f>'03_原始数据'!C520-0.66*'03_原始数据'!B520-OtherCost</f>
        <v/>
      </c>
      <c r="Z520" s="37">
        <f>'03_原始数据'!C520-0.665*'03_原始数据'!B520-OtherCost</f>
        <v/>
      </c>
      <c r="AA520" s="37">
        <f>'03_原始数据'!C520-0.67*'03_原始数据'!B520-OtherCost</f>
        <v/>
      </c>
      <c r="AB520" s="37">
        <f>'03_原始数据'!C520-0.675*'03_原始数据'!B520-OtherCost</f>
        <v/>
      </c>
      <c r="AC520" s="37">
        <f>'03_原始数据'!C520-0.68*'03_原始数据'!B520-OtherCost</f>
        <v/>
      </c>
      <c r="AD520" s="37">
        <f>'03_原始数据'!C520-0.685*'03_原始数据'!B520-OtherCost</f>
        <v/>
      </c>
      <c r="AE520" s="37">
        <f>'03_原始数据'!C520-0.69*'03_原始数据'!B520-OtherCost</f>
        <v/>
      </c>
      <c r="AF520" s="37">
        <f>'03_原始数据'!C520-0.695*'03_原始数据'!B520-OtherCost</f>
        <v/>
      </c>
      <c r="AG520" s="37">
        <f>'03_原始数据'!C520-0.7*'03_原始数据'!B520-OtherCost</f>
        <v/>
      </c>
    </row>
    <row r="521">
      <c r="M521" s="37">
        <f>'03_原始数据'!C521-0.6*'03_原始数据'!B521-OtherCost</f>
        <v/>
      </c>
      <c r="N521" s="37">
        <f>'03_原始数据'!C521-0.605*'03_原始数据'!B521-OtherCost</f>
        <v/>
      </c>
      <c r="O521" s="37">
        <f>'03_原始数据'!C521-0.61*'03_原始数据'!B521-OtherCost</f>
        <v/>
      </c>
      <c r="P521" s="37">
        <f>'03_原始数据'!C521-0.615*'03_原始数据'!B521-OtherCost</f>
        <v/>
      </c>
      <c r="Q521" s="37">
        <f>'03_原始数据'!C521-0.62*'03_原始数据'!B521-OtherCost</f>
        <v/>
      </c>
      <c r="R521" s="37">
        <f>'03_原始数据'!C521-0.625*'03_原始数据'!B521-OtherCost</f>
        <v/>
      </c>
      <c r="S521" s="37">
        <f>'03_原始数据'!C521-0.63*'03_原始数据'!B521-OtherCost</f>
        <v/>
      </c>
      <c r="T521" s="37">
        <f>'03_原始数据'!C521-0.635*'03_原始数据'!B521-OtherCost</f>
        <v/>
      </c>
      <c r="U521" s="37">
        <f>'03_原始数据'!C521-0.64*'03_原始数据'!B521-OtherCost</f>
        <v/>
      </c>
      <c r="V521" s="37">
        <f>'03_原始数据'!C521-0.645*'03_原始数据'!B521-OtherCost</f>
        <v/>
      </c>
      <c r="W521" s="37">
        <f>'03_原始数据'!C521-0.65*'03_原始数据'!B521-OtherCost</f>
        <v/>
      </c>
      <c r="X521" s="37">
        <f>'03_原始数据'!C521-0.655*'03_原始数据'!B521-OtherCost</f>
        <v/>
      </c>
      <c r="Y521" s="37">
        <f>'03_原始数据'!C521-0.66*'03_原始数据'!B521-OtherCost</f>
        <v/>
      </c>
      <c r="Z521" s="37">
        <f>'03_原始数据'!C521-0.665*'03_原始数据'!B521-OtherCost</f>
        <v/>
      </c>
      <c r="AA521" s="37">
        <f>'03_原始数据'!C521-0.67*'03_原始数据'!B521-OtherCost</f>
        <v/>
      </c>
      <c r="AB521" s="37">
        <f>'03_原始数据'!C521-0.675*'03_原始数据'!B521-OtherCost</f>
        <v/>
      </c>
      <c r="AC521" s="37">
        <f>'03_原始数据'!C521-0.68*'03_原始数据'!B521-OtherCost</f>
        <v/>
      </c>
      <c r="AD521" s="37">
        <f>'03_原始数据'!C521-0.685*'03_原始数据'!B521-OtherCost</f>
        <v/>
      </c>
      <c r="AE521" s="37">
        <f>'03_原始数据'!C521-0.69*'03_原始数据'!B521-OtherCost</f>
        <v/>
      </c>
      <c r="AF521" s="37">
        <f>'03_原始数据'!C521-0.695*'03_原始数据'!B521-OtherCost</f>
        <v/>
      </c>
      <c r="AG521" s="37">
        <f>'03_原始数据'!C521-0.7*'03_原始数据'!B521-OtherCost</f>
        <v/>
      </c>
    </row>
    <row r="522">
      <c r="M522" s="37">
        <f>'03_原始数据'!C522-0.6*'03_原始数据'!B522-OtherCost</f>
        <v/>
      </c>
      <c r="N522" s="37">
        <f>'03_原始数据'!C522-0.605*'03_原始数据'!B522-OtherCost</f>
        <v/>
      </c>
      <c r="O522" s="37">
        <f>'03_原始数据'!C522-0.61*'03_原始数据'!B522-OtherCost</f>
        <v/>
      </c>
      <c r="P522" s="37">
        <f>'03_原始数据'!C522-0.615*'03_原始数据'!B522-OtherCost</f>
        <v/>
      </c>
      <c r="Q522" s="37">
        <f>'03_原始数据'!C522-0.62*'03_原始数据'!B522-OtherCost</f>
        <v/>
      </c>
      <c r="R522" s="37">
        <f>'03_原始数据'!C522-0.625*'03_原始数据'!B522-OtherCost</f>
        <v/>
      </c>
      <c r="S522" s="37">
        <f>'03_原始数据'!C522-0.63*'03_原始数据'!B522-OtherCost</f>
        <v/>
      </c>
      <c r="T522" s="37">
        <f>'03_原始数据'!C522-0.635*'03_原始数据'!B522-OtherCost</f>
        <v/>
      </c>
      <c r="U522" s="37">
        <f>'03_原始数据'!C522-0.64*'03_原始数据'!B522-OtherCost</f>
        <v/>
      </c>
      <c r="V522" s="37">
        <f>'03_原始数据'!C522-0.645*'03_原始数据'!B522-OtherCost</f>
        <v/>
      </c>
      <c r="W522" s="37">
        <f>'03_原始数据'!C522-0.65*'03_原始数据'!B522-OtherCost</f>
        <v/>
      </c>
      <c r="X522" s="37">
        <f>'03_原始数据'!C522-0.655*'03_原始数据'!B522-OtherCost</f>
        <v/>
      </c>
      <c r="Y522" s="37">
        <f>'03_原始数据'!C522-0.66*'03_原始数据'!B522-OtherCost</f>
        <v/>
      </c>
      <c r="Z522" s="37">
        <f>'03_原始数据'!C522-0.665*'03_原始数据'!B522-OtherCost</f>
        <v/>
      </c>
      <c r="AA522" s="37">
        <f>'03_原始数据'!C522-0.67*'03_原始数据'!B522-OtherCost</f>
        <v/>
      </c>
      <c r="AB522" s="37">
        <f>'03_原始数据'!C522-0.675*'03_原始数据'!B522-OtherCost</f>
        <v/>
      </c>
      <c r="AC522" s="37">
        <f>'03_原始数据'!C522-0.68*'03_原始数据'!B522-OtherCost</f>
        <v/>
      </c>
      <c r="AD522" s="37">
        <f>'03_原始数据'!C522-0.685*'03_原始数据'!B522-OtherCost</f>
        <v/>
      </c>
      <c r="AE522" s="37">
        <f>'03_原始数据'!C522-0.69*'03_原始数据'!B522-OtherCost</f>
        <v/>
      </c>
      <c r="AF522" s="37">
        <f>'03_原始数据'!C522-0.695*'03_原始数据'!B522-OtherCost</f>
        <v/>
      </c>
      <c r="AG522" s="37">
        <f>'03_原始数据'!C522-0.7*'03_原始数据'!B522-OtherCost</f>
        <v/>
      </c>
    </row>
    <row r="523">
      <c r="M523" s="37">
        <f>'03_原始数据'!C523-0.6*'03_原始数据'!B523-OtherCost</f>
        <v/>
      </c>
      <c r="N523" s="37">
        <f>'03_原始数据'!C523-0.605*'03_原始数据'!B523-OtherCost</f>
        <v/>
      </c>
      <c r="O523" s="37">
        <f>'03_原始数据'!C523-0.61*'03_原始数据'!B523-OtherCost</f>
        <v/>
      </c>
      <c r="P523" s="37">
        <f>'03_原始数据'!C523-0.615*'03_原始数据'!B523-OtherCost</f>
        <v/>
      </c>
      <c r="Q523" s="37">
        <f>'03_原始数据'!C523-0.62*'03_原始数据'!B523-OtherCost</f>
        <v/>
      </c>
      <c r="R523" s="37">
        <f>'03_原始数据'!C523-0.625*'03_原始数据'!B523-OtherCost</f>
        <v/>
      </c>
      <c r="S523" s="37">
        <f>'03_原始数据'!C523-0.63*'03_原始数据'!B523-OtherCost</f>
        <v/>
      </c>
      <c r="T523" s="37">
        <f>'03_原始数据'!C523-0.635*'03_原始数据'!B523-OtherCost</f>
        <v/>
      </c>
      <c r="U523" s="37">
        <f>'03_原始数据'!C523-0.64*'03_原始数据'!B523-OtherCost</f>
        <v/>
      </c>
      <c r="V523" s="37">
        <f>'03_原始数据'!C523-0.645*'03_原始数据'!B523-OtherCost</f>
        <v/>
      </c>
      <c r="W523" s="37">
        <f>'03_原始数据'!C523-0.65*'03_原始数据'!B523-OtherCost</f>
        <v/>
      </c>
      <c r="X523" s="37">
        <f>'03_原始数据'!C523-0.655*'03_原始数据'!B523-OtherCost</f>
        <v/>
      </c>
      <c r="Y523" s="37">
        <f>'03_原始数据'!C523-0.66*'03_原始数据'!B523-OtherCost</f>
        <v/>
      </c>
      <c r="Z523" s="37">
        <f>'03_原始数据'!C523-0.665*'03_原始数据'!B523-OtherCost</f>
        <v/>
      </c>
      <c r="AA523" s="37">
        <f>'03_原始数据'!C523-0.67*'03_原始数据'!B523-OtherCost</f>
        <v/>
      </c>
      <c r="AB523" s="37">
        <f>'03_原始数据'!C523-0.675*'03_原始数据'!B523-OtherCost</f>
        <v/>
      </c>
      <c r="AC523" s="37">
        <f>'03_原始数据'!C523-0.68*'03_原始数据'!B523-OtherCost</f>
        <v/>
      </c>
      <c r="AD523" s="37">
        <f>'03_原始数据'!C523-0.685*'03_原始数据'!B523-OtherCost</f>
        <v/>
      </c>
      <c r="AE523" s="37">
        <f>'03_原始数据'!C523-0.69*'03_原始数据'!B523-OtherCost</f>
        <v/>
      </c>
      <c r="AF523" s="37">
        <f>'03_原始数据'!C523-0.695*'03_原始数据'!B523-OtherCost</f>
        <v/>
      </c>
      <c r="AG523" s="37">
        <f>'03_原始数据'!C523-0.7*'03_原始数据'!B523-OtherCost</f>
        <v/>
      </c>
    </row>
    <row r="524">
      <c r="M524" s="37">
        <f>'03_原始数据'!C524-0.6*'03_原始数据'!B524-OtherCost</f>
        <v/>
      </c>
      <c r="N524" s="37">
        <f>'03_原始数据'!C524-0.605*'03_原始数据'!B524-OtherCost</f>
        <v/>
      </c>
      <c r="O524" s="37">
        <f>'03_原始数据'!C524-0.61*'03_原始数据'!B524-OtherCost</f>
        <v/>
      </c>
      <c r="P524" s="37">
        <f>'03_原始数据'!C524-0.615*'03_原始数据'!B524-OtherCost</f>
        <v/>
      </c>
      <c r="Q524" s="37">
        <f>'03_原始数据'!C524-0.62*'03_原始数据'!B524-OtherCost</f>
        <v/>
      </c>
      <c r="R524" s="37">
        <f>'03_原始数据'!C524-0.625*'03_原始数据'!B524-OtherCost</f>
        <v/>
      </c>
      <c r="S524" s="37">
        <f>'03_原始数据'!C524-0.63*'03_原始数据'!B524-OtherCost</f>
        <v/>
      </c>
      <c r="T524" s="37">
        <f>'03_原始数据'!C524-0.635*'03_原始数据'!B524-OtherCost</f>
        <v/>
      </c>
      <c r="U524" s="37">
        <f>'03_原始数据'!C524-0.64*'03_原始数据'!B524-OtherCost</f>
        <v/>
      </c>
      <c r="V524" s="37">
        <f>'03_原始数据'!C524-0.645*'03_原始数据'!B524-OtherCost</f>
        <v/>
      </c>
      <c r="W524" s="37">
        <f>'03_原始数据'!C524-0.65*'03_原始数据'!B524-OtherCost</f>
        <v/>
      </c>
      <c r="X524" s="37">
        <f>'03_原始数据'!C524-0.655*'03_原始数据'!B524-OtherCost</f>
        <v/>
      </c>
      <c r="Y524" s="37">
        <f>'03_原始数据'!C524-0.66*'03_原始数据'!B524-OtherCost</f>
        <v/>
      </c>
      <c r="Z524" s="37">
        <f>'03_原始数据'!C524-0.665*'03_原始数据'!B524-OtherCost</f>
        <v/>
      </c>
      <c r="AA524" s="37">
        <f>'03_原始数据'!C524-0.67*'03_原始数据'!B524-OtherCost</f>
        <v/>
      </c>
      <c r="AB524" s="37">
        <f>'03_原始数据'!C524-0.675*'03_原始数据'!B524-OtherCost</f>
        <v/>
      </c>
      <c r="AC524" s="37">
        <f>'03_原始数据'!C524-0.68*'03_原始数据'!B524-OtherCost</f>
        <v/>
      </c>
      <c r="AD524" s="37">
        <f>'03_原始数据'!C524-0.685*'03_原始数据'!B524-OtherCost</f>
        <v/>
      </c>
      <c r="AE524" s="37">
        <f>'03_原始数据'!C524-0.69*'03_原始数据'!B524-OtherCost</f>
        <v/>
      </c>
      <c r="AF524" s="37">
        <f>'03_原始数据'!C524-0.695*'03_原始数据'!B524-OtherCost</f>
        <v/>
      </c>
      <c r="AG524" s="37">
        <f>'03_原始数据'!C524-0.7*'03_原始数据'!B524-OtherCost</f>
        <v/>
      </c>
    </row>
    <row r="525">
      <c r="M525" s="37">
        <f>'03_原始数据'!C525-0.6*'03_原始数据'!B525-OtherCost</f>
        <v/>
      </c>
      <c r="N525" s="37">
        <f>'03_原始数据'!C525-0.605*'03_原始数据'!B525-OtherCost</f>
        <v/>
      </c>
      <c r="O525" s="37">
        <f>'03_原始数据'!C525-0.61*'03_原始数据'!B525-OtherCost</f>
        <v/>
      </c>
      <c r="P525" s="37">
        <f>'03_原始数据'!C525-0.615*'03_原始数据'!B525-OtherCost</f>
        <v/>
      </c>
      <c r="Q525" s="37">
        <f>'03_原始数据'!C525-0.62*'03_原始数据'!B525-OtherCost</f>
        <v/>
      </c>
      <c r="R525" s="37">
        <f>'03_原始数据'!C525-0.625*'03_原始数据'!B525-OtherCost</f>
        <v/>
      </c>
      <c r="S525" s="37">
        <f>'03_原始数据'!C525-0.63*'03_原始数据'!B525-OtherCost</f>
        <v/>
      </c>
      <c r="T525" s="37">
        <f>'03_原始数据'!C525-0.635*'03_原始数据'!B525-OtherCost</f>
        <v/>
      </c>
      <c r="U525" s="37">
        <f>'03_原始数据'!C525-0.64*'03_原始数据'!B525-OtherCost</f>
        <v/>
      </c>
      <c r="V525" s="37">
        <f>'03_原始数据'!C525-0.645*'03_原始数据'!B525-OtherCost</f>
        <v/>
      </c>
      <c r="W525" s="37">
        <f>'03_原始数据'!C525-0.65*'03_原始数据'!B525-OtherCost</f>
        <v/>
      </c>
      <c r="X525" s="37">
        <f>'03_原始数据'!C525-0.655*'03_原始数据'!B525-OtherCost</f>
        <v/>
      </c>
      <c r="Y525" s="37">
        <f>'03_原始数据'!C525-0.66*'03_原始数据'!B525-OtherCost</f>
        <v/>
      </c>
      <c r="Z525" s="37">
        <f>'03_原始数据'!C525-0.665*'03_原始数据'!B525-OtherCost</f>
        <v/>
      </c>
      <c r="AA525" s="37">
        <f>'03_原始数据'!C525-0.67*'03_原始数据'!B525-OtherCost</f>
        <v/>
      </c>
      <c r="AB525" s="37">
        <f>'03_原始数据'!C525-0.675*'03_原始数据'!B525-OtherCost</f>
        <v/>
      </c>
      <c r="AC525" s="37">
        <f>'03_原始数据'!C525-0.68*'03_原始数据'!B525-OtherCost</f>
        <v/>
      </c>
      <c r="AD525" s="37">
        <f>'03_原始数据'!C525-0.685*'03_原始数据'!B525-OtherCost</f>
        <v/>
      </c>
      <c r="AE525" s="37">
        <f>'03_原始数据'!C525-0.69*'03_原始数据'!B525-OtherCost</f>
        <v/>
      </c>
      <c r="AF525" s="37">
        <f>'03_原始数据'!C525-0.695*'03_原始数据'!B525-OtherCost</f>
        <v/>
      </c>
      <c r="AG525" s="37">
        <f>'03_原始数据'!C525-0.7*'03_原始数据'!B525-OtherCost</f>
        <v/>
      </c>
    </row>
    <row r="526">
      <c r="M526" s="37">
        <f>'03_原始数据'!C526-0.6*'03_原始数据'!B526-OtherCost</f>
        <v/>
      </c>
      <c r="N526" s="37">
        <f>'03_原始数据'!C526-0.605*'03_原始数据'!B526-OtherCost</f>
        <v/>
      </c>
      <c r="O526" s="37">
        <f>'03_原始数据'!C526-0.61*'03_原始数据'!B526-OtherCost</f>
        <v/>
      </c>
      <c r="P526" s="37">
        <f>'03_原始数据'!C526-0.615*'03_原始数据'!B526-OtherCost</f>
        <v/>
      </c>
      <c r="Q526" s="37">
        <f>'03_原始数据'!C526-0.62*'03_原始数据'!B526-OtherCost</f>
        <v/>
      </c>
      <c r="R526" s="37">
        <f>'03_原始数据'!C526-0.625*'03_原始数据'!B526-OtherCost</f>
        <v/>
      </c>
      <c r="S526" s="37">
        <f>'03_原始数据'!C526-0.63*'03_原始数据'!B526-OtherCost</f>
        <v/>
      </c>
      <c r="T526" s="37">
        <f>'03_原始数据'!C526-0.635*'03_原始数据'!B526-OtherCost</f>
        <v/>
      </c>
      <c r="U526" s="37">
        <f>'03_原始数据'!C526-0.64*'03_原始数据'!B526-OtherCost</f>
        <v/>
      </c>
      <c r="V526" s="37">
        <f>'03_原始数据'!C526-0.645*'03_原始数据'!B526-OtherCost</f>
        <v/>
      </c>
      <c r="W526" s="37">
        <f>'03_原始数据'!C526-0.65*'03_原始数据'!B526-OtherCost</f>
        <v/>
      </c>
      <c r="X526" s="37">
        <f>'03_原始数据'!C526-0.655*'03_原始数据'!B526-OtherCost</f>
        <v/>
      </c>
      <c r="Y526" s="37">
        <f>'03_原始数据'!C526-0.66*'03_原始数据'!B526-OtherCost</f>
        <v/>
      </c>
      <c r="Z526" s="37">
        <f>'03_原始数据'!C526-0.665*'03_原始数据'!B526-OtherCost</f>
        <v/>
      </c>
      <c r="AA526" s="37">
        <f>'03_原始数据'!C526-0.67*'03_原始数据'!B526-OtherCost</f>
        <v/>
      </c>
      <c r="AB526" s="37">
        <f>'03_原始数据'!C526-0.675*'03_原始数据'!B526-OtherCost</f>
        <v/>
      </c>
      <c r="AC526" s="37">
        <f>'03_原始数据'!C526-0.68*'03_原始数据'!B526-OtherCost</f>
        <v/>
      </c>
      <c r="AD526" s="37">
        <f>'03_原始数据'!C526-0.685*'03_原始数据'!B526-OtherCost</f>
        <v/>
      </c>
      <c r="AE526" s="37">
        <f>'03_原始数据'!C526-0.69*'03_原始数据'!B526-OtherCost</f>
        <v/>
      </c>
      <c r="AF526" s="37">
        <f>'03_原始数据'!C526-0.695*'03_原始数据'!B526-OtherCost</f>
        <v/>
      </c>
      <c r="AG526" s="37">
        <f>'03_原始数据'!C526-0.7*'03_原始数据'!B526-OtherCost</f>
        <v/>
      </c>
    </row>
    <row r="527">
      <c r="M527" s="37">
        <f>'03_原始数据'!C527-0.6*'03_原始数据'!B527-OtherCost</f>
        <v/>
      </c>
      <c r="N527" s="37">
        <f>'03_原始数据'!C527-0.605*'03_原始数据'!B527-OtherCost</f>
        <v/>
      </c>
      <c r="O527" s="37">
        <f>'03_原始数据'!C527-0.61*'03_原始数据'!B527-OtherCost</f>
        <v/>
      </c>
      <c r="P527" s="37">
        <f>'03_原始数据'!C527-0.615*'03_原始数据'!B527-OtherCost</f>
        <v/>
      </c>
      <c r="Q527" s="37">
        <f>'03_原始数据'!C527-0.62*'03_原始数据'!B527-OtherCost</f>
        <v/>
      </c>
      <c r="R527" s="37">
        <f>'03_原始数据'!C527-0.625*'03_原始数据'!B527-OtherCost</f>
        <v/>
      </c>
      <c r="S527" s="37">
        <f>'03_原始数据'!C527-0.63*'03_原始数据'!B527-OtherCost</f>
        <v/>
      </c>
      <c r="T527" s="37">
        <f>'03_原始数据'!C527-0.635*'03_原始数据'!B527-OtherCost</f>
        <v/>
      </c>
      <c r="U527" s="37">
        <f>'03_原始数据'!C527-0.64*'03_原始数据'!B527-OtherCost</f>
        <v/>
      </c>
      <c r="V527" s="37">
        <f>'03_原始数据'!C527-0.645*'03_原始数据'!B527-OtherCost</f>
        <v/>
      </c>
      <c r="W527" s="37">
        <f>'03_原始数据'!C527-0.65*'03_原始数据'!B527-OtherCost</f>
        <v/>
      </c>
      <c r="X527" s="37">
        <f>'03_原始数据'!C527-0.655*'03_原始数据'!B527-OtherCost</f>
        <v/>
      </c>
      <c r="Y527" s="37">
        <f>'03_原始数据'!C527-0.66*'03_原始数据'!B527-OtherCost</f>
        <v/>
      </c>
      <c r="Z527" s="37">
        <f>'03_原始数据'!C527-0.665*'03_原始数据'!B527-OtherCost</f>
        <v/>
      </c>
      <c r="AA527" s="37">
        <f>'03_原始数据'!C527-0.67*'03_原始数据'!B527-OtherCost</f>
        <v/>
      </c>
      <c r="AB527" s="37">
        <f>'03_原始数据'!C527-0.675*'03_原始数据'!B527-OtherCost</f>
        <v/>
      </c>
      <c r="AC527" s="37">
        <f>'03_原始数据'!C527-0.68*'03_原始数据'!B527-OtherCost</f>
        <v/>
      </c>
      <c r="AD527" s="37">
        <f>'03_原始数据'!C527-0.685*'03_原始数据'!B527-OtherCost</f>
        <v/>
      </c>
      <c r="AE527" s="37">
        <f>'03_原始数据'!C527-0.69*'03_原始数据'!B527-OtherCost</f>
        <v/>
      </c>
      <c r="AF527" s="37">
        <f>'03_原始数据'!C527-0.695*'03_原始数据'!B527-OtherCost</f>
        <v/>
      </c>
      <c r="AG527" s="37">
        <f>'03_原始数据'!C527-0.7*'03_原始数据'!B527-OtherCost</f>
        <v/>
      </c>
    </row>
    <row r="528">
      <c r="M528" s="37">
        <f>'03_原始数据'!C528-0.6*'03_原始数据'!B528-OtherCost</f>
        <v/>
      </c>
      <c r="N528" s="37">
        <f>'03_原始数据'!C528-0.605*'03_原始数据'!B528-OtherCost</f>
        <v/>
      </c>
      <c r="O528" s="37">
        <f>'03_原始数据'!C528-0.61*'03_原始数据'!B528-OtherCost</f>
        <v/>
      </c>
      <c r="P528" s="37">
        <f>'03_原始数据'!C528-0.615*'03_原始数据'!B528-OtherCost</f>
        <v/>
      </c>
      <c r="Q528" s="37">
        <f>'03_原始数据'!C528-0.62*'03_原始数据'!B528-OtherCost</f>
        <v/>
      </c>
      <c r="R528" s="37">
        <f>'03_原始数据'!C528-0.625*'03_原始数据'!B528-OtherCost</f>
        <v/>
      </c>
      <c r="S528" s="37">
        <f>'03_原始数据'!C528-0.63*'03_原始数据'!B528-OtherCost</f>
        <v/>
      </c>
      <c r="T528" s="37">
        <f>'03_原始数据'!C528-0.635*'03_原始数据'!B528-OtherCost</f>
        <v/>
      </c>
      <c r="U528" s="37">
        <f>'03_原始数据'!C528-0.64*'03_原始数据'!B528-OtherCost</f>
        <v/>
      </c>
      <c r="V528" s="37">
        <f>'03_原始数据'!C528-0.645*'03_原始数据'!B528-OtherCost</f>
        <v/>
      </c>
      <c r="W528" s="37">
        <f>'03_原始数据'!C528-0.65*'03_原始数据'!B528-OtherCost</f>
        <v/>
      </c>
      <c r="X528" s="37">
        <f>'03_原始数据'!C528-0.655*'03_原始数据'!B528-OtherCost</f>
        <v/>
      </c>
      <c r="Y528" s="37">
        <f>'03_原始数据'!C528-0.66*'03_原始数据'!B528-OtherCost</f>
        <v/>
      </c>
      <c r="Z528" s="37">
        <f>'03_原始数据'!C528-0.665*'03_原始数据'!B528-OtherCost</f>
        <v/>
      </c>
      <c r="AA528" s="37">
        <f>'03_原始数据'!C528-0.67*'03_原始数据'!B528-OtherCost</f>
        <v/>
      </c>
      <c r="AB528" s="37">
        <f>'03_原始数据'!C528-0.675*'03_原始数据'!B528-OtherCost</f>
        <v/>
      </c>
      <c r="AC528" s="37">
        <f>'03_原始数据'!C528-0.68*'03_原始数据'!B528-OtherCost</f>
        <v/>
      </c>
      <c r="AD528" s="37">
        <f>'03_原始数据'!C528-0.685*'03_原始数据'!B528-OtherCost</f>
        <v/>
      </c>
      <c r="AE528" s="37">
        <f>'03_原始数据'!C528-0.69*'03_原始数据'!B528-OtherCost</f>
        <v/>
      </c>
      <c r="AF528" s="37">
        <f>'03_原始数据'!C528-0.695*'03_原始数据'!B528-OtherCost</f>
        <v/>
      </c>
      <c r="AG528" s="37">
        <f>'03_原始数据'!C528-0.7*'03_原始数据'!B528-OtherCost</f>
        <v/>
      </c>
    </row>
    <row r="529">
      <c r="M529" s="37">
        <f>'03_原始数据'!C529-0.6*'03_原始数据'!B529-OtherCost</f>
        <v/>
      </c>
      <c r="N529" s="37">
        <f>'03_原始数据'!C529-0.605*'03_原始数据'!B529-OtherCost</f>
        <v/>
      </c>
      <c r="O529" s="37">
        <f>'03_原始数据'!C529-0.61*'03_原始数据'!B529-OtherCost</f>
        <v/>
      </c>
      <c r="P529" s="37">
        <f>'03_原始数据'!C529-0.615*'03_原始数据'!B529-OtherCost</f>
        <v/>
      </c>
      <c r="Q529" s="37">
        <f>'03_原始数据'!C529-0.62*'03_原始数据'!B529-OtherCost</f>
        <v/>
      </c>
      <c r="R529" s="37">
        <f>'03_原始数据'!C529-0.625*'03_原始数据'!B529-OtherCost</f>
        <v/>
      </c>
      <c r="S529" s="37">
        <f>'03_原始数据'!C529-0.63*'03_原始数据'!B529-OtherCost</f>
        <v/>
      </c>
      <c r="T529" s="37">
        <f>'03_原始数据'!C529-0.635*'03_原始数据'!B529-OtherCost</f>
        <v/>
      </c>
      <c r="U529" s="37">
        <f>'03_原始数据'!C529-0.64*'03_原始数据'!B529-OtherCost</f>
        <v/>
      </c>
      <c r="V529" s="37">
        <f>'03_原始数据'!C529-0.645*'03_原始数据'!B529-OtherCost</f>
        <v/>
      </c>
      <c r="W529" s="37">
        <f>'03_原始数据'!C529-0.65*'03_原始数据'!B529-OtherCost</f>
        <v/>
      </c>
      <c r="X529" s="37">
        <f>'03_原始数据'!C529-0.655*'03_原始数据'!B529-OtherCost</f>
        <v/>
      </c>
      <c r="Y529" s="37">
        <f>'03_原始数据'!C529-0.66*'03_原始数据'!B529-OtherCost</f>
        <v/>
      </c>
      <c r="Z529" s="37">
        <f>'03_原始数据'!C529-0.665*'03_原始数据'!B529-OtherCost</f>
        <v/>
      </c>
      <c r="AA529" s="37">
        <f>'03_原始数据'!C529-0.67*'03_原始数据'!B529-OtherCost</f>
        <v/>
      </c>
      <c r="AB529" s="37">
        <f>'03_原始数据'!C529-0.675*'03_原始数据'!B529-OtherCost</f>
        <v/>
      </c>
      <c r="AC529" s="37">
        <f>'03_原始数据'!C529-0.68*'03_原始数据'!B529-OtherCost</f>
        <v/>
      </c>
      <c r="AD529" s="37">
        <f>'03_原始数据'!C529-0.685*'03_原始数据'!B529-OtherCost</f>
        <v/>
      </c>
      <c r="AE529" s="37">
        <f>'03_原始数据'!C529-0.69*'03_原始数据'!B529-OtherCost</f>
        <v/>
      </c>
      <c r="AF529" s="37">
        <f>'03_原始数据'!C529-0.695*'03_原始数据'!B529-OtherCost</f>
        <v/>
      </c>
      <c r="AG529" s="37">
        <f>'03_原始数据'!C529-0.7*'03_原始数据'!B529-OtherCost</f>
        <v/>
      </c>
    </row>
    <row r="530">
      <c r="M530" s="37">
        <f>'03_原始数据'!C530-0.6*'03_原始数据'!B530-OtherCost</f>
        <v/>
      </c>
      <c r="N530" s="37">
        <f>'03_原始数据'!C530-0.605*'03_原始数据'!B530-OtherCost</f>
        <v/>
      </c>
      <c r="O530" s="37">
        <f>'03_原始数据'!C530-0.61*'03_原始数据'!B530-OtherCost</f>
        <v/>
      </c>
      <c r="P530" s="37">
        <f>'03_原始数据'!C530-0.615*'03_原始数据'!B530-OtherCost</f>
        <v/>
      </c>
      <c r="Q530" s="37">
        <f>'03_原始数据'!C530-0.62*'03_原始数据'!B530-OtherCost</f>
        <v/>
      </c>
      <c r="R530" s="37">
        <f>'03_原始数据'!C530-0.625*'03_原始数据'!B530-OtherCost</f>
        <v/>
      </c>
      <c r="S530" s="37">
        <f>'03_原始数据'!C530-0.63*'03_原始数据'!B530-OtherCost</f>
        <v/>
      </c>
      <c r="T530" s="37">
        <f>'03_原始数据'!C530-0.635*'03_原始数据'!B530-OtherCost</f>
        <v/>
      </c>
      <c r="U530" s="37">
        <f>'03_原始数据'!C530-0.64*'03_原始数据'!B530-OtherCost</f>
        <v/>
      </c>
      <c r="V530" s="37">
        <f>'03_原始数据'!C530-0.645*'03_原始数据'!B530-OtherCost</f>
        <v/>
      </c>
      <c r="W530" s="37">
        <f>'03_原始数据'!C530-0.65*'03_原始数据'!B530-OtherCost</f>
        <v/>
      </c>
      <c r="X530" s="37">
        <f>'03_原始数据'!C530-0.655*'03_原始数据'!B530-OtherCost</f>
        <v/>
      </c>
      <c r="Y530" s="37">
        <f>'03_原始数据'!C530-0.66*'03_原始数据'!B530-OtherCost</f>
        <v/>
      </c>
      <c r="Z530" s="37">
        <f>'03_原始数据'!C530-0.665*'03_原始数据'!B530-OtherCost</f>
        <v/>
      </c>
      <c r="AA530" s="37">
        <f>'03_原始数据'!C530-0.67*'03_原始数据'!B530-OtherCost</f>
        <v/>
      </c>
      <c r="AB530" s="37">
        <f>'03_原始数据'!C530-0.675*'03_原始数据'!B530-OtherCost</f>
        <v/>
      </c>
      <c r="AC530" s="37">
        <f>'03_原始数据'!C530-0.68*'03_原始数据'!B530-OtherCost</f>
        <v/>
      </c>
      <c r="AD530" s="37">
        <f>'03_原始数据'!C530-0.685*'03_原始数据'!B530-OtherCost</f>
        <v/>
      </c>
      <c r="AE530" s="37">
        <f>'03_原始数据'!C530-0.69*'03_原始数据'!B530-OtherCost</f>
        <v/>
      </c>
      <c r="AF530" s="37">
        <f>'03_原始数据'!C530-0.695*'03_原始数据'!B530-OtherCost</f>
        <v/>
      </c>
      <c r="AG530" s="37">
        <f>'03_原始数据'!C530-0.7*'03_原始数据'!B530-OtherCost</f>
        <v/>
      </c>
    </row>
    <row r="531">
      <c r="M531" s="37">
        <f>'03_原始数据'!C531-0.6*'03_原始数据'!B531-OtherCost</f>
        <v/>
      </c>
      <c r="N531" s="37">
        <f>'03_原始数据'!C531-0.605*'03_原始数据'!B531-OtherCost</f>
        <v/>
      </c>
      <c r="O531" s="37">
        <f>'03_原始数据'!C531-0.61*'03_原始数据'!B531-OtherCost</f>
        <v/>
      </c>
      <c r="P531" s="37">
        <f>'03_原始数据'!C531-0.615*'03_原始数据'!B531-OtherCost</f>
        <v/>
      </c>
      <c r="Q531" s="37">
        <f>'03_原始数据'!C531-0.62*'03_原始数据'!B531-OtherCost</f>
        <v/>
      </c>
      <c r="R531" s="37">
        <f>'03_原始数据'!C531-0.625*'03_原始数据'!B531-OtherCost</f>
        <v/>
      </c>
      <c r="S531" s="37">
        <f>'03_原始数据'!C531-0.63*'03_原始数据'!B531-OtherCost</f>
        <v/>
      </c>
      <c r="T531" s="37">
        <f>'03_原始数据'!C531-0.635*'03_原始数据'!B531-OtherCost</f>
        <v/>
      </c>
      <c r="U531" s="37">
        <f>'03_原始数据'!C531-0.64*'03_原始数据'!B531-OtherCost</f>
        <v/>
      </c>
      <c r="V531" s="37">
        <f>'03_原始数据'!C531-0.645*'03_原始数据'!B531-OtherCost</f>
        <v/>
      </c>
      <c r="W531" s="37">
        <f>'03_原始数据'!C531-0.65*'03_原始数据'!B531-OtherCost</f>
        <v/>
      </c>
      <c r="X531" s="37">
        <f>'03_原始数据'!C531-0.655*'03_原始数据'!B531-OtherCost</f>
        <v/>
      </c>
      <c r="Y531" s="37">
        <f>'03_原始数据'!C531-0.66*'03_原始数据'!B531-OtherCost</f>
        <v/>
      </c>
      <c r="Z531" s="37">
        <f>'03_原始数据'!C531-0.665*'03_原始数据'!B531-OtherCost</f>
        <v/>
      </c>
      <c r="AA531" s="37">
        <f>'03_原始数据'!C531-0.67*'03_原始数据'!B531-OtherCost</f>
        <v/>
      </c>
      <c r="AB531" s="37">
        <f>'03_原始数据'!C531-0.675*'03_原始数据'!B531-OtherCost</f>
        <v/>
      </c>
      <c r="AC531" s="37">
        <f>'03_原始数据'!C531-0.68*'03_原始数据'!B531-OtherCost</f>
        <v/>
      </c>
      <c r="AD531" s="37">
        <f>'03_原始数据'!C531-0.685*'03_原始数据'!B531-OtherCost</f>
        <v/>
      </c>
      <c r="AE531" s="37">
        <f>'03_原始数据'!C531-0.69*'03_原始数据'!B531-OtherCost</f>
        <v/>
      </c>
      <c r="AF531" s="37">
        <f>'03_原始数据'!C531-0.695*'03_原始数据'!B531-OtherCost</f>
        <v/>
      </c>
      <c r="AG531" s="37">
        <f>'03_原始数据'!C531-0.7*'03_原始数据'!B531-OtherCost</f>
        <v/>
      </c>
    </row>
    <row r="532">
      <c r="M532" s="37">
        <f>'03_原始数据'!C532-0.6*'03_原始数据'!B532-OtherCost</f>
        <v/>
      </c>
      <c r="N532" s="37">
        <f>'03_原始数据'!C532-0.605*'03_原始数据'!B532-OtherCost</f>
        <v/>
      </c>
      <c r="O532" s="37">
        <f>'03_原始数据'!C532-0.61*'03_原始数据'!B532-OtherCost</f>
        <v/>
      </c>
      <c r="P532" s="37">
        <f>'03_原始数据'!C532-0.615*'03_原始数据'!B532-OtherCost</f>
        <v/>
      </c>
      <c r="Q532" s="37">
        <f>'03_原始数据'!C532-0.62*'03_原始数据'!B532-OtherCost</f>
        <v/>
      </c>
      <c r="R532" s="37">
        <f>'03_原始数据'!C532-0.625*'03_原始数据'!B532-OtherCost</f>
        <v/>
      </c>
      <c r="S532" s="37">
        <f>'03_原始数据'!C532-0.63*'03_原始数据'!B532-OtherCost</f>
        <v/>
      </c>
      <c r="T532" s="37">
        <f>'03_原始数据'!C532-0.635*'03_原始数据'!B532-OtherCost</f>
        <v/>
      </c>
      <c r="U532" s="37">
        <f>'03_原始数据'!C532-0.64*'03_原始数据'!B532-OtherCost</f>
        <v/>
      </c>
      <c r="V532" s="37">
        <f>'03_原始数据'!C532-0.645*'03_原始数据'!B532-OtherCost</f>
        <v/>
      </c>
      <c r="W532" s="37">
        <f>'03_原始数据'!C532-0.65*'03_原始数据'!B532-OtherCost</f>
        <v/>
      </c>
      <c r="X532" s="37">
        <f>'03_原始数据'!C532-0.655*'03_原始数据'!B532-OtherCost</f>
        <v/>
      </c>
      <c r="Y532" s="37">
        <f>'03_原始数据'!C532-0.66*'03_原始数据'!B532-OtherCost</f>
        <v/>
      </c>
      <c r="Z532" s="37">
        <f>'03_原始数据'!C532-0.665*'03_原始数据'!B532-OtherCost</f>
        <v/>
      </c>
      <c r="AA532" s="37">
        <f>'03_原始数据'!C532-0.67*'03_原始数据'!B532-OtherCost</f>
        <v/>
      </c>
      <c r="AB532" s="37">
        <f>'03_原始数据'!C532-0.675*'03_原始数据'!B532-OtherCost</f>
        <v/>
      </c>
      <c r="AC532" s="37">
        <f>'03_原始数据'!C532-0.68*'03_原始数据'!B532-OtherCost</f>
        <v/>
      </c>
      <c r="AD532" s="37">
        <f>'03_原始数据'!C532-0.685*'03_原始数据'!B532-OtherCost</f>
        <v/>
      </c>
      <c r="AE532" s="37">
        <f>'03_原始数据'!C532-0.69*'03_原始数据'!B532-OtherCost</f>
        <v/>
      </c>
      <c r="AF532" s="37">
        <f>'03_原始数据'!C532-0.695*'03_原始数据'!B532-OtherCost</f>
        <v/>
      </c>
      <c r="AG532" s="37">
        <f>'03_原始数据'!C532-0.7*'03_原始数据'!B532-OtherCost</f>
        <v/>
      </c>
    </row>
    <row r="533">
      <c r="M533" s="37">
        <f>'03_原始数据'!C533-0.6*'03_原始数据'!B533-OtherCost</f>
        <v/>
      </c>
      <c r="N533" s="37">
        <f>'03_原始数据'!C533-0.605*'03_原始数据'!B533-OtherCost</f>
        <v/>
      </c>
      <c r="O533" s="37">
        <f>'03_原始数据'!C533-0.61*'03_原始数据'!B533-OtherCost</f>
        <v/>
      </c>
      <c r="P533" s="37">
        <f>'03_原始数据'!C533-0.615*'03_原始数据'!B533-OtherCost</f>
        <v/>
      </c>
      <c r="Q533" s="37">
        <f>'03_原始数据'!C533-0.62*'03_原始数据'!B533-OtherCost</f>
        <v/>
      </c>
      <c r="R533" s="37">
        <f>'03_原始数据'!C533-0.625*'03_原始数据'!B533-OtherCost</f>
        <v/>
      </c>
      <c r="S533" s="37">
        <f>'03_原始数据'!C533-0.63*'03_原始数据'!B533-OtherCost</f>
        <v/>
      </c>
      <c r="T533" s="37">
        <f>'03_原始数据'!C533-0.635*'03_原始数据'!B533-OtherCost</f>
        <v/>
      </c>
      <c r="U533" s="37">
        <f>'03_原始数据'!C533-0.64*'03_原始数据'!B533-OtherCost</f>
        <v/>
      </c>
      <c r="V533" s="37">
        <f>'03_原始数据'!C533-0.645*'03_原始数据'!B533-OtherCost</f>
        <v/>
      </c>
      <c r="W533" s="37">
        <f>'03_原始数据'!C533-0.65*'03_原始数据'!B533-OtherCost</f>
        <v/>
      </c>
      <c r="X533" s="37">
        <f>'03_原始数据'!C533-0.655*'03_原始数据'!B533-OtherCost</f>
        <v/>
      </c>
      <c r="Y533" s="37">
        <f>'03_原始数据'!C533-0.66*'03_原始数据'!B533-OtherCost</f>
        <v/>
      </c>
      <c r="Z533" s="37">
        <f>'03_原始数据'!C533-0.665*'03_原始数据'!B533-OtherCost</f>
        <v/>
      </c>
      <c r="AA533" s="37">
        <f>'03_原始数据'!C533-0.67*'03_原始数据'!B533-OtherCost</f>
        <v/>
      </c>
      <c r="AB533" s="37">
        <f>'03_原始数据'!C533-0.675*'03_原始数据'!B533-OtherCost</f>
        <v/>
      </c>
      <c r="AC533" s="37">
        <f>'03_原始数据'!C533-0.68*'03_原始数据'!B533-OtherCost</f>
        <v/>
      </c>
      <c r="AD533" s="37">
        <f>'03_原始数据'!C533-0.685*'03_原始数据'!B533-OtherCost</f>
        <v/>
      </c>
      <c r="AE533" s="37">
        <f>'03_原始数据'!C533-0.69*'03_原始数据'!B533-OtherCost</f>
        <v/>
      </c>
      <c r="AF533" s="37">
        <f>'03_原始数据'!C533-0.695*'03_原始数据'!B533-OtherCost</f>
        <v/>
      </c>
      <c r="AG533" s="37">
        <f>'03_原始数据'!C533-0.7*'03_原始数据'!B533-OtherCost</f>
        <v/>
      </c>
    </row>
    <row r="534">
      <c r="M534" s="37">
        <f>'03_原始数据'!C534-0.6*'03_原始数据'!B534-OtherCost</f>
        <v/>
      </c>
      <c r="N534" s="37">
        <f>'03_原始数据'!C534-0.605*'03_原始数据'!B534-OtherCost</f>
        <v/>
      </c>
      <c r="O534" s="37">
        <f>'03_原始数据'!C534-0.61*'03_原始数据'!B534-OtherCost</f>
        <v/>
      </c>
      <c r="P534" s="37">
        <f>'03_原始数据'!C534-0.615*'03_原始数据'!B534-OtherCost</f>
        <v/>
      </c>
      <c r="Q534" s="37">
        <f>'03_原始数据'!C534-0.62*'03_原始数据'!B534-OtherCost</f>
        <v/>
      </c>
      <c r="R534" s="37">
        <f>'03_原始数据'!C534-0.625*'03_原始数据'!B534-OtherCost</f>
        <v/>
      </c>
      <c r="S534" s="37">
        <f>'03_原始数据'!C534-0.63*'03_原始数据'!B534-OtherCost</f>
        <v/>
      </c>
      <c r="T534" s="37">
        <f>'03_原始数据'!C534-0.635*'03_原始数据'!B534-OtherCost</f>
        <v/>
      </c>
      <c r="U534" s="37">
        <f>'03_原始数据'!C534-0.64*'03_原始数据'!B534-OtherCost</f>
        <v/>
      </c>
      <c r="V534" s="37">
        <f>'03_原始数据'!C534-0.645*'03_原始数据'!B534-OtherCost</f>
        <v/>
      </c>
      <c r="W534" s="37">
        <f>'03_原始数据'!C534-0.65*'03_原始数据'!B534-OtherCost</f>
        <v/>
      </c>
      <c r="X534" s="37">
        <f>'03_原始数据'!C534-0.655*'03_原始数据'!B534-OtherCost</f>
        <v/>
      </c>
      <c r="Y534" s="37">
        <f>'03_原始数据'!C534-0.66*'03_原始数据'!B534-OtherCost</f>
        <v/>
      </c>
      <c r="Z534" s="37">
        <f>'03_原始数据'!C534-0.665*'03_原始数据'!B534-OtherCost</f>
        <v/>
      </c>
      <c r="AA534" s="37">
        <f>'03_原始数据'!C534-0.67*'03_原始数据'!B534-OtherCost</f>
        <v/>
      </c>
      <c r="AB534" s="37">
        <f>'03_原始数据'!C534-0.675*'03_原始数据'!B534-OtherCost</f>
        <v/>
      </c>
      <c r="AC534" s="37">
        <f>'03_原始数据'!C534-0.68*'03_原始数据'!B534-OtherCost</f>
        <v/>
      </c>
      <c r="AD534" s="37">
        <f>'03_原始数据'!C534-0.685*'03_原始数据'!B534-OtherCost</f>
        <v/>
      </c>
      <c r="AE534" s="37">
        <f>'03_原始数据'!C534-0.69*'03_原始数据'!B534-OtherCost</f>
        <v/>
      </c>
      <c r="AF534" s="37">
        <f>'03_原始数据'!C534-0.695*'03_原始数据'!B534-OtherCost</f>
        <v/>
      </c>
      <c r="AG534" s="37">
        <f>'03_原始数据'!C534-0.7*'03_原始数据'!B534-OtherCost</f>
        <v/>
      </c>
    </row>
    <row r="535">
      <c r="M535" s="37">
        <f>'03_原始数据'!C535-0.6*'03_原始数据'!B535-OtherCost</f>
        <v/>
      </c>
      <c r="N535" s="37">
        <f>'03_原始数据'!C535-0.605*'03_原始数据'!B535-OtherCost</f>
        <v/>
      </c>
      <c r="O535" s="37">
        <f>'03_原始数据'!C535-0.61*'03_原始数据'!B535-OtherCost</f>
        <v/>
      </c>
      <c r="P535" s="37">
        <f>'03_原始数据'!C535-0.615*'03_原始数据'!B535-OtherCost</f>
        <v/>
      </c>
      <c r="Q535" s="37">
        <f>'03_原始数据'!C535-0.62*'03_原始数据'!B535-OtherCost</f>
        <v/>
      </c>
      <c r="R535" s="37">
        <f>'03_原始数据'!C535-0.625*'03_原始数据'!B535-OtherCost</f>
        <v/>
      </c>
      <c r="S535" s="37">
        <f>'03_原始数据'!C535-0.63*'03_原始数据'!B535-OtherCost</f>
        <v/>
      </c>
      <c r="T535" s="37">
        <f>'03_原始数据'!C535-0.635*'03_原始数据'!B535-OtherCost</f>
        <v/>
      </c>
      <c r="U535" s="37">
        <f>'03_原始数据'!C535-0.64*'03_原始数据'!B535-OtherCost</f>
        <v/>
      </c>
      <c r="V535" s="37">
        <f>'03_原始数据'!C535-0.645*'03_原始数据'!B535-OtherCost</f>
        <v/>
      </c>
      <c r="W535" s="37">
        <f>'03_原始数据'!C535-0.65*'03_原始数据'!B535-OtherCost</f>
        <v/>
      </c>
      <c r="X535" s="37">
        <f>'03_原始数据'!C535-0.655*'03_原始数据'!B535-OtherCost</f>
        <v/>
      </c>
      <c r="Y535" s="37">
        <f>'03_原始数据'!C535-0.66*'03_原始数据'!B535-OtherCost</f>
        <v/>
      </c>
      <c r="Z535" s="37">
        <f>'03_原始数据'!C535-0.665*'03_原始数据'!B535-OtherCost</f>
        <v/>
      </c>
      <c r="AA535" s="37">
        <f>'03_原始数据'!C535-0.67*'03_原始数据'!B535-OtherCost</f>
        <v/>
      </c>
      <c r="AB535" s="37">
        <f>'03_原始数据'!C535-0.675*'03_原始数据'!B535-OtherCost</f>
        <v/>
      </c>
      <c r="AC535" s="37">
        <f>'03_原始数据'!C535-0.68*'03_原始数据'!B535-OtherCost</f>
        <v/>
      </c>
      <c r="AD535" s="37">
        <f>'03_原始数据'!C535-0.685*'03_原始数据'!B535-OtherCost</f>
        <v/>
      </c>
      <c r="AE535" s="37">
        <f>'03_原始数据'!C535-0.69*'03_原始数据'!B535-OtherCost</f>
        <v/>
      </c>
      <c r="AF535" s="37">
        <f>'03_原始数据'!C535-0.695*'03_原始数据'!B535-OtherCost</f>
        <v/>
      </c>
      <c r="AG535" s="37">
        <f>'03_原始数据'!C535-0.7*'03_原始数据'!B535-OtherCost</f>
        <v/>
      </c>
    </row>
    <row r="536">
      <c r="M536" s="37">
        <f>'03_原始数据'!C536-0.6*'03_原始数据'!B536-OtherCost</f>
        <v/>
      </c>
      <c r="N536" s="37">
        <f>'03_原始数据'!C536-0.605*'03_原始数据'!B536-OtherCost</f>
        <v/>
      </c>
      <c r="O536" s="37">
        <f>'03_原始数据'!C536-0.61*'03_原始数据'!B536-OtherCost</f>
        <v/>
      </c>
      <c r="P536" s="37">
        <f>'03_原始数据'!C536-0.615*'03_原始数据'!B536-OtherCost</f>
        <v/>
      </c>
      <c r="Q536" s="37">
        <f>'03_原始数据'!C536-0.62*'03_原始数据'!B536-OtherCost</f>
        <v/>
      </c>
      <c r="R536" s="37">
        <f>'03_原始数据'!C536-0.625*'03_原始数据'!B536-OtherCost</f>
        <v/>
      </c>
      <c r="S536" s="37">
        <f>'03_原始数据'!C536-0.63*'03_原始数据'!B536-OtherCost</f>
        <v/>
      </c>
      <c r="T536" s="37">
        <f>'03_原始数据'!C536-0.635*'03_原始数据'!B536-OtherCost</f>
        <v/>
      </c>
      <c r="U536" s="37">
        <f>'03_原始数据'!C536-0.64*'03_原始数据'!B536-OtherCost</f>
        <v/>
      </c>
      <c r="V536" s="37">
        <f>'03_原始数据'!C536-0.645*'03_原始数据'!B536-OtherCost</f>
        <v/>
      </c>
      <c r="W536" s="37">
        <f>'03_原始数据'!C536-0.65*'03_原始数据'!B536-OtherCost</f>
        <v/>
      </c>
      <c r="X536" s="37">
        <f>'03_原始数据'!C536-0.655*'03_原始数据'!B536-OtherCost</f>
        <v/>
      </c>
      <c r="Y536" s="37">
        <f>'03_原始数据'!C536-0.66*'03_原始数据'!B536-OtherCost</f>
        <v/>
      </c>
      <c r="Z536" s="37">
        <f>'03_原始数据'!C536-0.665*'03_原始数据'!B536-OtherCost</f>
        <v/>
      </c>
      <c r="AA536" s="37">
        <f>'03_原始数据'!C536-0.67*'03_原始数据'!B536-OtherCost</f>
        <v/>
      </c>
      <c r="AB536" s="37">
        <f>'03_原始数据'!C536-0.675*'03_原始数据'!B536-OtherCost</f>
        <v/>
      </c>
      <c r="AC536" s="37">
        <f>'03_原始数据'!C536-0.68*'03_原始数据'!B536-OtherCost</f>
        <v/>
      </c>
      <c r="AD536" s="37">
        <f>'03_原始数据'!C536-0.685*'03_原始数据'!B536-OtherCost</f>
        <v/>
      </c>
      <c r="AE536" s="37">
        <f>'03_原始数据'!C536-0.69*'03_原始数据'!B536-OtherCost</f>
        <v/>
      </c>
      <c r="AF536" s="37">
        <f>'03_原始数据'!C536-0.695*'03_原始数据'!B536-OtherCost</f>
        <v/>
      </c>
      <c r="AG536" s="37">
        <f>'03_原始数据'!C536-0.7*'03_原始数据'!B536-OtherCost</f>
        <v/>
      </c>
    </row>
    <row r="537">
      <c r="M537" s="37">
        <f>'03_原始数据'!C537-0.6*'03_原始数据'!B537-OtherCost</f>
        <v/>
      </c>
      <c r="N537" s="37">
        <f>'03_原始数据'!C537-0.605*'03_原始数据'!B537-OtherCost</f>
        <v/>
      </c>
      <c r="O537" s="37">
        <f>'03_原始数据'!C537-0.61*'03_原始数据'!B537-OtherCost</f>
        <v/>
      </c>
      <c r="P537" s="37">
        <f>'03_原始数据'!C537-0.615*'03_原始数据'!B537-OtherCost</f>
        <v/>
      </c>
      <c r="Q537" s="37">
        <f>'03_原始数据'!C537-0.62*'03_原始数据'!B537-OtherCost</f>
        <v/>
      </c>
      <c r="R537" s="37">
        <f>'03_原始数据'!C537-0.625*'03_原始数据'!B537-OtherCost</f>
        <v/>
      </c>
      <c r="S537" s="37">
        <f>'03_原始数据'!C537-0.63*'03_原始数据'!B537-OtherCost</f>
        <v/>
      </c>
      <c r="T537" s="37">
        <f>'03_原始数据'!C537-0.635*'03_原始数据'!B537-OtherCost</f>
        <v/>
      </c>
      <c r="U537" s="37">
        <f>'03_原始数据'!C537-0.64*'03_原始数据'!B537-OtherCost</f>
        <v/>
      </c>
      <c r="V537" s="37">
        <f>'03_原始数据'!C537-0.645*'03_原始数据'!B537-OtherCost</f>
        <v/>
      </c>
      <c r="W537" s="37">
        <f>'03_原始数据'!C537-0.65*'03_原始数据'!B537-OtherCost</f>
        <v/>
      </c>
      <c r="X537" s="37">
        <f>'03_原始数据'!C537-0.655*'03_原始数据'!B537-OtherCost</f>
        <v/>
      </c>
      <c r="Y537" s="37">
        <f>'03_原始数据'!C537-0.66*'03_原始数据'!B537-OtherCost</f>
        <v/>
      </c>
      <c r="Z537" s="37">
        <f>'03_原始数据'!C537-0.665*'03_原始数据'!B537-OtherCost</f>
        <v/>
      </c>
      <c r="AA537" s="37">
        <f>'03_原始数据'!C537-0.67*'03_原始数据'!B537-OtherCost</f>
        <v/>
      </c>
      <c r="AB537" s="37">
        <f>'03_原始数据'!C537-0.675*'03_原始数据'!B537-OtherCost</f>
        <v/>
      </c>
      <c r="AC537" s="37">
        <f>'03_原始数据'!C537-0.68*'03_原始数据'!B537-OtherCost</f>
        <v/>
      </c>
      <c r="AD537" s="37">
        <f>'03_原始数据'!C537-0.685*'03_原始数据'!B537-OtherCost</f>
        <v/>
      </c>
      <c r="AE537" s="37">
        <f>'03_原始数据'!C537-0.69*'03_原始数据'!B537-OtherCost</f>
        <v/>
      </c>
      <c r="AF537" s="37">
        <f>'03_原始数据'!C537-0.695*'03_原始数据'!B537-OtherCost</f>
        <v/>
      </c>
      <c r="AG537" s="37">
        <f>'03_原始数据'!C537-0.7*'03_原始数据'!B537-OtherCost</f>
        <v/>
      </c>
    </row>
    <row r="538">
      <c r="M538" s="37">
        <f>'03_原始数据'!C538-0.6*'03_原始数据'!B538-OtherCost</f>
        <v/>
      </c>
      <c r="N538" s="37">
        <f>'03_原始数据'!C538-0.605*'03_原始数据'!B538-OtherCost</f>
        <v/>
      </c>
      <c r="O538" s="37">
        <f>'03_原始数据'!C538-0.61*'03_原始数据'!B538-OtherCost</f>
        <v/>
      </c>
      <c r="P538" s="37">
        <f>'03_原始数据'!C538-0.615*'03_原始数据'!B538-OtherCost</f>
        <v/>
      </c>
      <c r="Q538" s="37">
        <f>'03_原始数据'!C538-0.62*'03_原始数据'!B538-OtherCost</f>
        <v/>
      </c>
      <c r="R538" s="37">
        <f>'03_原始数据'!C538-0.625*'03_原始数据'!B538-OtherCost</f>
        <v/>
      </c>
      <c r="S538" s="37">
        <f>'03_原始数据'!C538-0.63*'03_原始数据'!B538-OtherCost</f>
        <v/>
      </c>
      <c r="T538" s="37">
        <f>'03_原始数据'!C538-0.635*'03_原始数据'!B538-OtherCost</f>
        <v/>
      </c>
      <c r="U538" s="37">
        <f>'03_原始数据'!C538-0.64*'03_原始数据'!B538-OtherCost</f>
        <v/>
      </c>
      <c r="V538" s="37">
        <f>'03_原始数据'!C538-0.645*'03_原始数据'!B538-OtherCost</f>
        <v/>
      </c>
      <c r="W538" s="37">
        <f>'03_原始数据'!C538-0.65*'03_原始数据'!B538-OtherCost</f>
        <v/>
      </c>
      <c r="X538" s="37">
        <f>'03_原始数据'!C538-0.655*'03_原始数据'!B538-OtherCost</f>
        <v/>
      </c>
      <c r="Y538" s="37">
        <f>'03_原始数据'!C538-0.66*'03_原始数据'!B538-OtherCost</f>
        <v/>
      </c>
      <c r="Z538" s="37">
        <f>'03_原始数据'!C538-0.665*'03_原始数据'!B538-OtherCost</f>
        <v/>
      </c>
      <c r="AA538" s="37">
        <f>'03_原始数据'!C538-0.67*'03_原始数据'!B538-OtherCost</f>
        <v/>
      </c>
      <c r="AB538" s="37">
        <f>'03_原始数据'!C538-0.675*'03_原始数据'!B538-OtherCost</f>
        <v/>
      </c>
      <c r="AC538" s="37">
        <f>'03_原始数据'!C538-0.68*'03_原始数据'!B538-OtherCost</f>
        <v/>
      </c>
      <c r="AD538" s="37">
        <f>'03_原始数据'!C538-0.685*'03_原始数据'!B538-OtherCost</f>
        <v/>
      </c>
      <c r="AE538" s="37">
        <f>'03_原始数据'!C538-0.69*'03_原始数据'!B538-OtherCost</f>
        <v/>
      </c>
      <c r="AF538" s="37">
        <f>'03_原始数据'!C538-0.695*'03_原始数据'!B538-OtherCost</f>
        <v/>
      </c>
      <c r="AG538" s="37">
        <f>'03_原始数据'!C538-0.7*'03_原始数据'!B538-OtherCost</f>
        <v/>
      </c>
    </row>
    <row r="539">
      <c r="M539" s="37">
        <f>'03_原始数据'!C539-0.6*'03_原始数据'!B539-OtherCost</f>
        <v/>
      </c>
      <c r="N539" s="37">
        <f>'03_原始数据'!C539-0.605*'03_原始数据'!B539-OtherCost</f>
        <v/>
      </c>
      <c r="O539" s="37">
        <f>'03_原始数据'!C539-0.61*'03_原始数据'!B539-OtherCost</f>
        <v/>
      </c>
      <c r="P539" s="37">
        <f>'03_原始数据'!C539-0.615*'03_原始数据'!B539-OtherCost</f>
        <v/>
      </c>
      <c r="Q539" s="37">
        <f>'03_原始数据'!C539-0.62*'03_原始数据'!B539-OtherCost</f>
        <v/>
      </c>
      <c r="R539" s="37">
        <f>'03_原始数据'!C539-0.625*'03_原始数据'!B539-OtherCost</f>
        <v/>
      </c>
      <c r="S539" s="37">
        <f>'03_原始数据'!C539-0.63*'03_原始数据'!B539-OtherCost</f>
        <v/>
      </c>
      <c r="T539" s="37">
        <f>'03_原始数据'!C539-0.635*'03_原始数据'!B539-OtherCost</f>
        <v/>
      </c>
      <c r="U539" s="37">
        <f>'03_原始数据'!C539-0.64*'03_原始数据'!B539-OtherCost</f>
        <v/>
      </c>
      <c r="V539" s="37">
        <f>'03_原始数据'!C539-0.645*'03_原始数据'!B539-OtherCost</f>
        <v/>
      </c>
      <c r="W539" s="37">
        <f>'03_原始数据'!C539-0.65*'03_原始数据'!B539-OtherCost</f>
        <v/>
      </c>
      <c r="X539" s="37">
        <f>'03_原始数据'!C539-0.655*'03_原始数据'!B539-OtherCost</f>
        <v/>
      </c>
      <c r="Y539" s="37">
        <f>'03_原始数据'!C539-0.66*'03_原始数据'!B539-OtherCost</f>
        <v/>
      </c>
      <c r="Z539" s="37">
        <f>'03_原始数据'!C539-0.665*'03_原始数据'!B539-OtherCost</f>
        <v/>
      </c>
      <c r="AA539" s="37">
        <f>'03_原始数据'!C539-0.67*'03_原始数据'!B539-OtherCost</f>
        <v/>
      </c>
      <c r="AB539" s="37">
        <f>'03_原始数据'!C539-0.675*'03_原始数据'!B539-OtherCost</f>
        <v/>
      </c>
      <c r="AC539" s="37">
        <f>'03_原始数据'!C539-0.68*'03_原始数据'!B539-OtherCost</f>
        <v/>
      </c>
      <c r="AD539" s="37">
        <f>'03_原始数据'!C539-0.685*'03_原始数据'!B539-OtherCost</f>
        <v/>
      </c>
      <c r="AE539" s="37">
        <f>'03_原始数据'!C539-0.69*'03_原始数据'!B539-OtherCost</f>
        <v/>
      </c>
      <c r="AF539" s="37">
        <f>'03_原始数据'!C539-0.695*'03_原始数据'!B539-OtherCost</f>
        <v/>
      </c>
      <c r="AG539" s="37">
        <f>'03_原始数据'!C539-0.7*'03_原始数据'!B539-OtherCost</f>
        <v/>
      </c>
    </row>
    <row r="540">
      <c r="M540" s="37">
        <f>'03_原始数据'!C540-0.6*'03_原始数据'!B540-OtherCost</f>
        <v/>
      </c>
      <c r="N540" s="37">
        <f>'03_原始数据'!C540-0.605*'03_原始数据'!B540-OtherCost</f>
        <v/>
      </c>
      <c r="O540" s="37">
        <f>'03_原始数据'!C540-0.61*'03_原始数据'!B540-OtherCost</f>
        <v/>
      </c>
      <c r="P540" s="37">
        <f>'03_原始数据'!C540-0.615*'03_原始数据'!B540-OtherCost</f>
        <v/>
      </c>
      <c r="Q540" s="37">
        <f>'03_原始数据'!C540-0.62*'03_原始数据'!B540-OtherCost</f>
        <v/>
      </c>
      <c r="R540" s="37">
        <f>'03_原始数据'!C540-0.625*'03_原始数据'!B540-OtherCost</f>
        <v/>
      </c>
      <c r="S540" s="37">
        <f>'03_原始数据'!C540-0.63*'03_原始数据'!B540-OtherCost</f>
        <v/>
      </c>
      <c r="T540" s="37">
        <f>'03_原始数据'!C540-0.635*'03_原始数据'!B540-OtherCost</f>
        <v/>
      </c>
      <c r="U540" s="37">
        <f>'03_原始数据'!C540-0.64*'03_原始数据'!B540-OtherCost</f>
        <v/>
      </c>
      <c r="V540" s="37">
        <f>'03_原始数据'!C540-0.645*'03_原始数据'!B540-OtherCost</f>
        <v/>
      </c>
      <c r="W540" s="37">
        <f>'03_原始数据'!C540-0.65*'03_原始数据'!B540-OtherCost</f>
        <v/>
      </c>
      <c r="X540" s="37">
        <f>'03_原始数据'!C540-0.655*'03_原始数据'!B540-OtherCost</f>
        <v/>
      </c>
      <c r="Y540" s="37">
        <f>'03_原始数据'!C540-0.66*'03_原始数据'!B540-OtherCost</f>
        <v/>
      </c>
      <c r="Z540" s="37">
        <f>'03_原始数据'!C540-0.665*'03_原始数据'!B540-OtherCost</f>
        <v/>
      </c>
      <c r="AA540" s="37">
        <f>'03_原始数据'!C540-0.67*'03_原始数据'!B540-OtherCost</f>
        <v/>
      </c>
      <c r="AB540" s="37">
        <f>'03_原始数据'!C540-0.675*'03_原始数据'!B540-OtherCost</f>
        <v/>
      </c>
      <c r="AC540" s="37">
        <f>'03_原始数据'!C540-0.68*'03_原始数据'!B540-OtherCost</f>
        <v/>
      </c>
      <c r="AD540" s="37">
        <f>'03_原始数据'!C540-0.685*'03_原始数据'!B540-OtherCost</f>
        <v/>
      </c>
      <c r="AE540" s="37">
        <f>'03_原始数据'!C540-0.69*'03_原始数据'!B540-OtherCost</f>
        <v/>
      </c>
      <c r="AF540" s="37">
        <f>'03_原始数据'!C540-0.695*'03_原始数据'!B540-OtherCost</f>
        <v/>
      </c>
      <c r="AG540" s="37">
        <f>'03_原始数据'!C540-0.7*'03_原始数据'!B540-OtherCost</f>
        <v/>
      </c>
    </row>
    <row r="541">
      <c r="M541" s="37">
        <f>'03_原始数据'!C541-0.6*'03_原始数据'!B541-OtherCost</f>
        <v/>
      </c>
      <c r="N541" s="37">
        <f>'03_原始数据'!C541-0.605*'03_原始数据'!B541-OtherCost</f>
        <v/>
      </c>
      <c r="O541" s="37">
        <f>'03_原始数据'!C541-0.61*'03_原始数据'!B541-OtherCost</f>
        <v/>
      </c>
      <c r="P541" s="37">
        <f>'03_原始数据'!C541-0.615*'03_原始数据'!B541-OtherCost</f>
        <v/>
      </c>
      <c r="Q541" s="37">
        <f>'03_原始数据'!C541-0.62*'03_原始数据'!B541-OtherCost</f>
        <v/>
      </c>
      <c r="R541" s="37">
        <f>'03_原始数据'!C541-0.625*'03_原始数据'!B541-OtherCost</f>
        <v/>
      </c>
      <c r="S541" s="37">
        <f>'03_原始数据'!C541-0.63*'03_原始数据'!B541-OtherCost</f>
        <v/>
      </c>
      <c r="T541" s="37">
        <f>'03_原始数据'!C541-0.635*'03_原始数据'!B541-OtherCost</f>
        <v/>
      </c>
      <c r="U541" s="37">
        <f>'03_原始数据'!C541-0.64*'03_原始数据'!B541-OtherCost</f>
        <v/>
      </c>
      <c r="V541" s="37">
        <f>'03_原始数据'!C541-0.645*'03_原始数据'!B541-OtherCost</f>
        <v/>
      </c>
      <c r="W541" s="37">
        <f>'03_原始数据'!C541-0.65*'03_原始数据'!B541-OtherCost</f>
        <v/>
      </c>
      <c r="X541" s="37">
        <f>'03_原始数据'!C541-0.655*'03_原始数据'!B541-OtherCost</f>
        <v/>
      </c>
      <c r="Y541" s="37">
        <f>'03_原始数据'!C541-0.66*'03_原始数据'!B541-OtherCost</f>
        <v/>
      </c>
      <c r="Z541" s="37">
        <f>'03_原始数据'!C541-0.665*'03_原始数据'!B541-OtherCost</f>
        <v/>
      </c>
      <c r="AA541" s="37">
        <f>'03_原始数据'!C541-0.67*'03_原始数据'!B541-OtherCost</f>
        <v/>
      </c>
      <c r="AB541" s="37">
        <f>'03_原始数据'!C541-0.675*'03_原始数据'!B541-OtherCost</f>
        <v/>
      </c>
      <c r="AC541" s="37">
        <f>'03_原始数据'!C541-0.68*'03_原始数据'!B541-OtherCost</f>
        <v/>
      </c>
      <c r="AD541" s="37">
        <f>'03_原始数据'!C541-0.685*'03_原始数据'!B541-OtherCost</f>
        <v/>
      </c>
      <c r="AE541" s="37">
        <f>'03_原始数据'!C541-0.69*'03_原始数据'!B541-OtherCost</f>
        <v/>
      </c>
      <c r="AF541" s="37">
        <f>'03_原始数据'!C541-0.695*'03_原始数据'!B541-OtherCost</f>
        <v/>
      </c>
      <c r="AG541" s="37">
        <f>'03_原始数据'!C541-0.7*'03_原始数据'!B541-OtherCost</f>
        <v/>
      </c>
    </row>
    <row r="542">
      <c r="M542" s="37">
        <f>'03_原始数据'!C542-0.6*'03_原始数据'!B542-OtherCost</f>
        <v/>
      </c>
      <c r="N542" s="37">
        <f>'03_原始数据'!C542-0.605*'03_原始数据'!B542-OtherCost</f>
        <v/>
      </c>
      <c r="O542" s="37">
        <f>'03_原始数据'!C542-0.61*'03_原始数据'!B542-OtherCost</f>
        <v/>
      </c>
      <c r="P542" s="37">
        <f>'03_原始数据'!C542-0.615*'03_原始数据'!B542-OtherCost</f>
        <v/>
      </c>
      <c r="Q542" s="37">
        <f>'03_原始数据'!C542-0.62*'03_原始数据'!B542-OtherCost</f>
        <v/>
      </c>
      <c r="R542" s="37">
        <f>'03_原始数据'!C542-0.625*'03_原始数据'!B542-OtherCost</f>
        <v/>
      </c>
      <c r="S542" s="37">
        <f>'03_原始数据'!C542-0.63*'03_原始数据'!B542-OtherCost</f>
        <v/>
      </c>
      <c r="T542" s="37">
        <f>'03_原始数据'!C542-0.635*'03_原始数据'!B542-OtherCost</f>
        <v/>
      </c>
      <c r="U542" s="37">
        <f>'03_原始数据'!C542-0.64*'03_原始数据'!B542-OtherCost</f>
        <v/>
      </c>
      <c r="V542" s="37">
        <f>'03_原始数据'!C542-0.645*'03_原始数据'!B542-OtherCost</f>
        <v/>
      </c>
      <c r="W542" s="37">
        <f>'03_原始数据'!C542-0.65*'03_原始数据'!B542-OtherCost</f>
        <v/>
      </c>
      <c r="X542" s="37">
        <f>'03_原始数据'!C542-0.655*'03_原始数据'!B542-OtherCost</f>
        <v/>
      </c>
      <c r="Y542" s="37">
        <f>'03_原始数据'!C542-0.66*'03_原始数据'!B542-OtherCost</f>
        <v/>
      </c>
      <c r="Z542" s="37">
        <f>'03_原始数据'!C542-0.665*'03_原始数据'!B542-OtherCost</f>
        <v/>
      </c>
      <c r="AA542" s="37">
        <f>'03_原始数据'!C542-0.67*'03_原始数据'!B542-OtherCost</f>
        <v/>
      </c>
      <c r="AB542" s="37">
        <f>'03_原始数据'!C542-0.675*'03_原始数据'!B542-OtherCost</f>
        <v/>
      </c>
      <c r="AC542" s="37">
        <f>'03_原始数据'!C542-0.68*'03_原始数据'!B542-OtherCost</f>
        <v/>
      </c>
      <c r="AD542" s="37">
        <f>'03_原始数据'!C542-0.685*'03_原始数据'!B542-OtherCost</f>
        <v/>
      </c>
      <c r="AE542" s="37">
        <f>'03_原始数据'!C542-0.69*'03_原始数据'!B542-OtherCost</f>
        <v/>
      </c>
      <c r="AF542" s="37">
        <f>'03_原始数据'!C542-0.695*'03_原始数据'!B542-OtherCost</f>
        <v/>
      </c>
      <c r="AG542" s="37">
        <f>'03_原始数据'!C542-0.7*'03_原始数据'!B542-OtherCost</f>
        <v/>
      </c>
    </row>
    <row r="543">
      <c r="M543" s="37">
        <f>'03_原始数据'!C543-0.6*'03_原始数据'!B543-OtherCost</f>
        <v/>
      </c>
      <c r="N543" s="37">
        <f>'03_原始数据'!C543-0.605*'03_原始数据'!B543-OtherCost</f>
        <v/>
      </c>
      <c r="O543" s="37">
        <f>'03_原始数据'!C543-0.61*'03_原始数据'!B543-OtherCost</f>
        <v/>
      </c>
      <c r="P543" s="37">
        <f>'03_原始数据'!C543-0.615*'03_原始数据'!B543-OtherCost</f>
        <v/>
      </c>
      <c r="Q543" s="37">
        <f>'03_原始数据'!C543-0.62*'03_原始数据'!B543-OtherCost</f>
        <v/>
      </c>
      <c r="R543" s="37">
        <f>'03_原始数据'!C543-0.625*'03_原始数据'!B543-OtherCost</f>
        <v/>
      </c>
      <c r="S543" s="37">
        <f>'03_原始数据'!C543-0.63*'03_原始数据'!B543-OtherCost</f>
        <v/>
      </c>
      <c r="T543" s="37">
        <f>'03_原始数据'!C543-0.635*'03_原始数据'!B543-OtherCost</f>
        <v/>
      </c>
      <c r="U543" s="37">
        <f>'03_原始数据'!C543-0.64*'03_原始数据'!B543-OtherCost</f>
        <v/>
      </c>
      <c r="V543" s="37">
        <f>'03_原始数据'!C543-0.645*'03_原始数据'!B543-OtherCost</f>
        <v/>
      </c>
      <c r="W543" s="37">
        <f>'03_原始数据'!C543-0.65*'03_原始数据'!B543-OtherCost</f>
        <v/>
      </c>
      <c r="X543" s="37">
        <f>'03_原始数据'!C543-0.655*'03_原始数据'!B543-OtherCost</f>
        <v/>
      </c>
      <c r="Y543" s="37">
        <f>'03_原始数据'!C543-0.66*'03_原始数据'!B543-OtherCost</f>
        <v/>
      </c>
      <c r="Z543" s="37">
        <f>'03_原始数据'!C543-0.665*'03_原始数据'!B543-OtherCost</f>
        <v/>
      </c>
      <c r="AA543" s="37">
        <f>'03_原始数据'!C543-0.67*'03_原始数据'!B543-OtherCost</f>
        <v/>
      </c>
      <c r="AB543" s="37">
        <f>'03_原始数据'!C543-0.675*'03_原始数据'!B543-OtherCost</f>
        <v/>
      </c>
      <c r="AC543" s="37">
        <f>'03_原始数据'!C543-0.68*'03_原始数据'!B543-OtherCost</f>
        <v/>
      </c>
      <c r="AD543" s="37">
        <f>'03_原始数据'!C543-0.685*'03_原始数据'!B543-OtherCost</f>
        <v/>
      </c>
      <c r="AE543" s="37">
        <f>'03_原始数据'!C543-0.69*'03_原始数据'!B543-OtherCost</f>
        <v/>
      </c>
      <c r="AF543" s="37">
        <f>'03_原始数据'!C543-0.695*'03_原始数据'!B543-OtherCost</f>
        <v/>
      </c>
      <c r="AG543" s="37">
        <f>'03_原始数据'!C543-0.7*'03_原始数据'!B543-OtherCost</f>
        <v/>
      </c>
    </row>
    <row r="544">
      <c r="M544" s="37">
        <f>'03_原始数据'!C544-0.6*'03_原始数据'!B544-OtherCost</f>
        <v/>
      </c>
      <c r="N544" s="37">
        <f>'03_原始数据'!C544-0.605*'03_原始数据'!B544-OtherCost</f>
        <v/>
      </c>
      <c r="O544" s="37">
        <f>'03_原始数据'!C544-0.61*'03_原始数据'!B544-OtherCost</f>
        <v/>
      </c>
      <c r="P544" s="37">
        <f>'03_原始数据'!C544-0.615*'03_原始数据'!B544-OtherCost</f>
        <v/>
      </c>
      <c r="Q544" s="37">
        <f>'03_原始数据'!C544-0.62*'03_原始数据'!B544-OtherCost</f>
        <v/>
      </c>
      <c r="R544" s="37">
        <f>'03_原始数据'!C544-0.625*'03_原始数据'!B544-OtherCost</f>
        <v/>
      </c>
      <c r="S544" s="37">
        <f>'03_原始数据'!C544-0.63*'03_原始数据'!B544-OtherCost</f>
        <v/>
      </c>
      <c r="T544" s="37">
        <f>'03_原始数据'!C544-0.635*'03_原始数据'!B544-OtherCost</f>
        <v/>
      </c>
      <c r="U544" s="37">
        <f>'03_原始数据'!C544-0.64*'03_原始数据'!B544-OtherCost</f>
        <v/>
      </c>
      <c r="V544" s="37">
        <f>'03_原始数据'!C544-0.645*'03_原始数据'!B544-OtherCost</f>
        <v/>
      </c>
      <c r="W544" s="37">
        <f>'03_原始数据'!C544-0.65*'03_原始数据'!B544-OtherCost</f>
        <v/>
      </c>
      <c r="X544" s="37">
        <f>'03_原始数据'!C544-0.655*'03_原始数据'!B544-OtherCost</f>
        <v/>
      </c>
      <c r="Y544" s="37">
        <f>'03_原始数据'!C544-0.66*'03_原始数据'!B544-OtherCost</f>
        <v/>
      </c>
      <c r="Z544" s="37">
        <f>'03_原始数据'!C544-0.665*'03_原始数据'!B544-OtherCost</f>
        <v/>
      </c>
      <c r="AA544" s="37">
        <f>'03_原始数据'!C544-0.67*'03_原始数据'!B544-OtherCost</f>
        <v/>
      </c>
      <c r="AB544" s="37">
        <f>'03_原始数据'!C544-0.675*'03_原始数据'!B544-OtherCost</f>
        <v/>
      </c>
      <c r="AC544" s="37">
        <f>'03_原始数据'!C544-0.68*'03_原始数据'!B544-OtherCost</f>
        <v/>
      </c>
      <c r="AD544" s="37">
        <f>'03_原始数据'!C544-0.685*'03_原始数据'!B544-OtherCost</f>
        <v/>
      </c>
      <c r="AE544" s="37">
        <f>'03_原始数据'!C544-0.69*'03_原始数据'!B544-OtherCost</f>
        <v/>
      </c>
      <c r="AF544" s="37">
        <f>'03_原始数据'!C544-0.695*'03_原始数据'!B544-OtherCost</f>
        <v/>
      </c>
      <c r="AG544" s="37">
        <f>'03_原始数据'!C544-0.7*'03_原始数据'!B544-OtherCost</f>
        <v/>
      </c>
    </row>
    <row r="545">
      <c r="M545" s="37">
        <f>'03_原始数据'!C545-0.6*'03_原始数据'!B545-OtherCost</f>
        <v/>
      </c>
      <c r="N545" s="37">
        <f>'03_原始数据'!C545-0.605*'03_原始数据'!B545-OtherCost</f>
        <v/>
      </c>
      <c r="O545" s="37">
        <f>'03_原始数据'!C545-0.61*'03_原始数据'!B545-OtherCost</f>
        <v/>
      </c>
      <c r="P545" s="37">
        <f>'03_原始数据'!C545-0.615*'03_原始数据'!B545-OtherCost</f>
        <v/>
      </c>
      <c r="Q545" s="37">
        <f>'03_原始数据'!C545-0.62*'03_原始数据'!B545-OtherCost</f>
        <v/>
      </c>
      <c r="R545" s="37">
        <f>'03_原始数据'!C545-0.625*'03_原始数据'!B545-OtherCost</f>
        <v/>
      </c>
      <c r="S545" s="37">
        <f>'03_原始数据'!C545-0.63*'03_原始数据'!B545-OtherCost</f>
        <v/>
      </c>
      <c r="T545" s="37">
        <f>'03_原始数据'!C545-0.635*'03_原始数据'!B545-OtherCost</f>
        <v/>
      </c>
      <c r="U545" s="37">
        <f>'03_原始数据'!C545-0.64*'03_原始数据'!B545-OtherCost</f>
        <v/>
      </c>
      <c r="V545" s="37">
        <f>'03_原始数据'!C545-0.645*'03_原始数据'!B545-OtherCost</f>
        <v/>
      </c>
      <c r="W545" s="37">
        <f>'03_原始数据'!C545-0.65*'03_原始数据'!B545-OtherCost</f>
        <v/>
      </c>
      <c r="X545" s="37">
        <f>'03_原始数据'!C545-0.655*'03_原始数据'!B545-OtherCost</f>
        <v/>
      </c>
      <c r="Y545" s="37">
        <f>'03_原始数据'!C545-0.66*'03_原始数据'!B545-OtherCost</f>
        <v/>
      </c>
      <c r="Z545" s="37">
        <f>'03_原始数据'!C545-0.665*'03_原始数据'!B545-OtherCost</f>
        <v/>
      </c>
      <c r="AA545" s="37">
        <f>'03_原始数据'!C545-0.67*'03_原始数据'!B545-OtherCost</f>
        <v/>
      </c>
      <c r="AB545" s="37">
        <f>'03_原始数据'!C545-0.675*'03_原始数据'!B545-OtherCost</f>
        <v/>
      </c>
      <c r="AC545" s="37">
        <f>'03_原始数据'!C545-0.68*'03_原始数据'!B545-OtherCost</f>
        <v/>
      </c>
      <c r="AD545" s="37">
        <f>'03_原始数据'!C545-0.685*'03_原始数据'!B545-OtherCost</f>
        <v/>
      </c>
      <c r="AE545" s="37">
        <f>'03_原始数据'!C545-0.69*'03_原始数据'!B545-OtherCost</f>
        <v/>
      </c>
      <c r="AF545" s="37">
        <f>'03_原始数据'!C545-0.695*'03_原始数据'!B545-OtherCost</f>
        <v/>
      </c>
      <c r="AG545" s="37">
        <f>'03_原始数据'!C545-0.7*'03_原始数据'!B545-OtherCost</f>
        <v/>
      </c>
    </row>
    <row r="546">
      <c r="M546" s="37">
        <f>'03_原始数据'!C546-0.6*'03_原始数据'!B546-OtherCost</f>
        <v/>
      </c>
      <c r="N546" s="37">
        <f>'03_原始数据'!C546-0.605*'03_原始数据'!B546-OtherCost</f>
        <v/>
      </c>
      <c r="O546" s="37">
        <f>'03_原始数据'!C546-0.61*'03_原始数据'!B546-OtherCost</f>
        <v/>
      </c>
      <c r="P546" s="37">
        <f>'03_原始数据'!C546-0.615*'03_原始数据'!B546-OtherCost</f>
        <v/>
      </c>
      <c r="Q546" s="37">
        <f>'03_原始数据'!C546-0.62*'03_原始数据'!B546-OtherCost</f>
        <v/>
      </c>
      <c r="R546" s="37">
        <f>'03_原始数据'!C546-0.625*'03_原始数据'!B546-OtherCost</f>
        <v/>
      </c>
      <c r="S546" s="37">
        <f>'03_原始数据'!C546-0.63*'03_原始数据'!B546-OtherCost</f>
        <v/>
      </c>
      <c r="T546" s="37">
        <f>'03_原始数据'!C546-0.635*'03_原始数据'!B546-OtherCost</f>
        <v/>
      </c>
      <c r="U546" s="37">
        <f>'03_原始数据'!C546-0.64*'03_原始数据'!B546-OtherCost</f>
        <v/>
      </c>
      <c r="V546" s="37">
        <f>'03_原始数据'!C546-0.645*'03_原始数据'!B546-OtherCost</f>
        <v/>
      </c>
      <c r="W546" s="37">
        <f>'03_原始数据'!C546-0.65*'03_原始数据'!B546-OtherCost</f>
        <v/>
      </c>
      <c r="X546" s="37">
        <f>'03_原始数据'!C546-0.655*'03_原始数据'!B546-OtherCost</f>
        <v/>
      </c>
      <c r="Y546" s="37">
        <f>'03_原始数据'!C546-0.66*'03_原始数据'!B546-OtherCost</f>
        <v/>
      </c>
      <c r="Z546" s="37">
        <f>'03_原始数据'!C546-0.665*'03_原始数据'!B546-OtherCost</f>
        <v/>
      </c>
      <c r="AA546" s="37">
        <f>'03_原始数据'!C546-0.67*'03_原始数据'!B546-OtherCost</f>
        <v/>
      </c>
      <c r="AB546" s="37">
        <f>'03_原始数据'!C546-0.675*'03_原始数据'!B546-OtherCost</f>
        <v/>
      </c>
      <c r="AC546" s="37">
        <f>'03_原始数据'!C546-0.68*'03_原始数据'!B546-OtherCost</f>
        <v/>
      </c>
      <c r="AD546" s="37">
        <f>'03_原始数据'!C546-0.685*'03_原始数据'!B546-OtherCost</f>
        <v/>
      </c>
      <c r="AE546" s="37">
        <f>'03_原始数据'!C546-0.69*'03_原始数据'!B546-OtherCost</f>
        <v/>
      </c>
      <c r="AF546" s="37">
        <f>'03_原始数据'!C546-0.695*'03_原始数据'!B546-OtherCost</f>
        <v/>
      </c>
      <c r="AG546" s="37">
        <f>'03_原始数据'!C546-0.7*'03_原始数据'!B546-OtherCost</f>
        <v/>
      </c>
    </row>
    <row r="547">
      <c r="M547" s="37">
        <f>'03_原始数据'!C547-0.6*'03_原始数据'!B547-OtherCost</f>
        <v/>
      </c>
      <c r="N547" s="37">
        <f>'03_原始数据'!C547-0.605*'03_原始数据'!B547-OtherCost</f>
        <v/>
      </c>
      <c r="O547" s="37">
        <f>'03_原始数据'!C547-0.61*'03_原始数据'!B547-OtherCost</f>
        <v/>
      </c>
      <c r="P547" s="37">
        <f>'03_原始数据'!C547-0.615*'03_原始数据'!B547-OtherCost</f>
        <v/>
      </c>
      <c r="Q547" s="37">
        <f>'03_原始数据'!C547-0.62*'03_原始数据'!B547-OtherCost</f>
        <v/>
      </c>
      <c r="R547" s="37">
        <f>'03_原始数据'!C547-0.625*'03_原始数据'!B547-OtherCost</f>
        <v/>
      </c>
      <c r="S547" s="37">
        <f>'03_原始数据'!C547-0.63*'03_原始数据'!B547-OtherCost</f>
        <v/>
      </c>
      <c r="T547" s="37">
        <f>'03_原始数据'!C547-0.635*'03_原始数据'!B547-OtherCost</f>
        <v/>
      </c>
      <c r="U547" s="37">
        <f>'03_原始数据'!C547-0.64*'03_原始数据'!B547-OtherCost</f>
        <v/>
      </c>
      <c r="V547" s="37">
        <f>'03_原始数据'!C547-0.645*'03_原始数据'!B547-OtherCost</f>
        <v/>
      </c>
      <c r="W547" s="37">
        <f>'03_原始数据'!C547-0.65*'03_原始数据'!B547-OtherCost</f>
        <v/>
      </c>
      <c r="X547" s="37">
        <f>'03_原始数据'!C547-0.655*'03_原始数据'!B547-OtherCost</f>
        <v/>
      </c>
      <c r="Y547" s="37">
        <f>'03_原始数据'!C547-0.66*'03_原始数据'!B547-OtherCost</f>
        <v/>
      </c>
      <c r="Z547" s="37">
        <f>'03_原始数据'!C547-0.665*'03_原始数据'!B547-OtherCost</f>
        <v/>
      </c>
      <c r="AA547" s="37">
        <f>'03_原始数据'!C547-0.67*'03_原始数据'!B547-OtherCost</f>
        <v/>
      </c>
      <c r="AB547" s="37">
        <f>'03_原始数据'!C547-0.675*'03_原始数据'!B547-OtherCost</f>
        <v/>
      </c>
      <c r="AC547" s="37">
        <f>'03_原始数据'!C547-0.68*'03_原始数据'!B547-OtherCost</f>
        <v/>
      </c>
      <c r="AD547" s="37">
        <f>'03_原始数据'!C547-0.685*'03_原始数据'!B547-OtherCost</f>
        <v/>
      </c>
      <c r="AE547" s="37">
        <f>'03_原始数据'!C547-0.69*'03_原始数据'!B547-OtherCost</f>
        <v/>
      </c>
      <c r="AF547" s="37">
        <f>'03_原始数据'!C547-0.695*'03_原始数据'!B547-OtherCost</f>
        <v/>
      </c>
      <c r="AG547" s="37">
        <f>'03_原始数据'!C547-0.7*'03_原始数据'!B547-OtherCost</f>
        <v/>
      </c>
    </row>
    <row r="548">
      <c r="M548" s="37">
        <f>'03_原始数据'!C548-0.6*'03_原始数据'!B548-OtherCost</f>
        <v/>
      </c>
      <c r="N548" s="37">
        <f>'03_原始数据'!C548-0.605*'03_原始数据'!B548-OtherCost</f>
        <v/>
      </c>
      <c r="O548" s="37">
        <f>'03_原始数据'!C548-0.61*'03_原始数据'!B548-OtherCost</f>
        <v/>
      </c>
      <c r="P548" s="37">
        <f>'03_原始数据'!C548-0.615*'03_原始数据'!B548-OtherCost</f>
        <v/>
      </c>
      <c r="Q548" s="37">
        <f>'03_原始数据'!C548-0.62*'03_原始数据'!B548-OtherCost</f>
        <v/>
      </c>
      <c r="R548" s="37">
        <f>'03_原始数据'!C548-0.625*'03_原始数据'!B548-OtherCost</f>
        <v/>
      </c>
      <c r="S548" s="37">
        <f>'03_原始数据'!C548-0.63*'03_原始数据'!B548-OtherCost</f>
        <v/>
      </c>
      <c r="T548" s="37">
        <f>'03_原始数据'!C548-0.635*'03_原始数据'!B548-OtherCost</f>
        <v/>
      </c>
      <c r="U548" s="37">
        <f>'03_原始数据'!C548-0.64*'03_原始数据'!B548-OtherCost</f>
        <v/>
      </c>
      <c r="V548" s="37">
        <f>'03_原始数据'!C548-0.645*'03_原始数据'!B548-OtherCost</f>
        <v/>
      </c>
      <c r="W548" s="37">
        <f>'03_原始数据'!C548-0.65*'03_原始数据'!B548-OtherCost</f>
        <v/>
      </c>
      <c r="X548" s="37">
        <f>'03_原始数据'!C548-0.655*'03_原始数据'!B548-OtherCost</f>
        <v/>
      </c>
      <c r="Y548" s="37">
        <f>'03_原始数据'!C548-0.66*'03_原始数据'!B548-OtherCost</f>
        <v/>
      </c>
      <c r="Z548" s="37">
        <f>'03_原始数据'!C548-0.665*'03_原始数据'!B548-OtherCost</f>
        <v/>
      </c>
      <c r="AA548" s="37">
        <f>'03_原始数据'!C548-0.67*'03_原始数据'!B548-OtherCost</f>
        <v/>
      </c>
      <c r="AB548" s="37">
        <f>'03_原始数据'!C548-0.675*'03_原始数据'!B548-OtherCost</f>
        <v/>
      </c>
      <c r="AC548" s="37">
        <f>'03_原始数据'!C548-0.68*'03_原始数据'!B548-OtherCost</f>
        <v/>
      </c>
      <c r="AD548" s="37">
        <f>'03_原始数据'!C548-0.685*'03_原始数据'!B548-OtherCost</f>
        <v/>
      </c>
      <c r="AE548" s="37">
        <f>'03_原始数据'!C548-0.69*'03_原始数据'!B548-OtherCost</f>
        <v/>
      </c>
      <c r="AF548" s="37">
        <f>'03_原始数据'!C548-0.695*'03_原始数据'!B548-OtherCost</f>
        <v/>
      </c>
      <c r="AG548" s="37">
        <f>'03_原始数据'!C548-0.7*'03_原始数据'!B548-OtherCost</f>
        <v/>
      </c>
    </row>
    <row r="549">
      <c r="M549" s="37">
        <f>'03_原始数据'!C549-0.6*'03_原始数据'!B549-OtherCost</f>
        <v/>
      </c>
      <c r="N549" s="37">
        <f>'03_原始数据'!C549-0.605*'03_原始数据'!B549-OtherCost</f>
        <v/>
      </c>
      <c r="O549" s="37">
        <f>'03_原始数据'!C549-0.61*'03_原始数据'!B549-OtherCost</f>
        <v/>
      </c>
      <c r="P549" s="37">
        <f>'03_原始数据'!C549-0.615*'03_原始数据'!B549-OtherCost</f>
        <v/>
      </c>
      <c r="Q549" s="37">
        <f>'03_原始数据'!C549-0.62*'03_原始数据'!B549-OtherCost</f>
        <v/>
      </c>
      <c r="R549" s="37">
        <f>'03_原始数据'!C549-0.625*'03_原始数据'!B549-OtherCost</f>
        <v/>
      </c>
      <c r="S549" s="37">
        <f>'03_原始数据'!C549-0.63*'03_原始数据'!B549-OtherCost</f>
        <v/>
      </c>
      <c r="T549" s="37">
        <f>'03_原始数据'!C549-0.635*'03_原始数据'!B549-OtherCost</f>
        <v/>
      </c>
      <c r="U549" s="37">
        <f>'03_原始数据'!C549-0.64*'03_原始数据'!B549-OtherCost</f>
        <v/>
      </c>
      <c r="V549" s="37">
        <f>'03_原始数据'!C549-0.645*'03_原始数据'!B549-OtherCost</f>
        <v/>
      </c>
      <c r="W549" s="37">
        <f>'03_原始数据'!C549-0.65*'03_原始数据'!B549-OtherCost</f>
        <v/>
      </c>
      <c r="X549" s="37">
        <f>'03_原始数据'!C549-0.655*'03_原始数据'!B549-OtherCost</f>
        <v/>
      </c>
      <c r="Y549" s="37">
        <f>'03_原始数据'!C549-0.66*'03_原始数据'!B549-OtherCost</f>
        <v/>
      </c>
      <c r="Z549" s="37">
        <f>'03_原始数据'!C549-0.665*'03_原始数据'!B549-OtherCost</f>
        <v/>
      </c>
      <c r="AA549" s="37">
        <f>'03_原始数据'!C549-0.67*'03_原始数据'!B549-OtherCost</f>
        <v/>
      </c>
      <c r="AB549" s="37">
        <f>'03_原始数据'!C549-0.675*'03_原始数据'!B549-OtherCost</f>
        <v/>
      </c>
      <c r="AC549" s="37">
        <f>'03_原始数据'!C549-0.68*'03_原始数据'!B549-OtherCost</f>
        <v/>
      </c>
      <c r="AD549" s="37">
        <f>'03_原始数据'!C549-0.685*'03_原始数据'!B549-OtherCost</f>
        <v/>
      </c>
      <c r="AE549" s="37">
        <f>'03_原始数据'!C549-0.69*'03_原始数据'!B549-OtherCost</f>
        <v/>
      </c>
      <c r="AF549" s="37">
        <f>'03_原始数据'!C549-0.695*'03_原始数据'!B549-OtherCost</f>
        <v/>
      </c>
      <c r="AG549" s="37">
        <f>'03_原始数据'!C549-0.7*'03_原始数据'!B549-OtherCost</f>
        <v/>
      </c>
    </row>
    <row r="550">
      <c r="M550" s="37">
        <f>'03_原始数据'!C550-0.6*'03_原始数据'!B550-OtherCost</f>
        <v/>
      </c>
      <c r="N550" s="37">
        <f>'03_原始数据'!C550-0.605*'03_原始数据'!B550-OtherCost</f>
        <v/>
      </c>
      <c r="O550" s="37">
        <f>'03_原始数据'!C550-0.61*'03_原始数据'!B550-OtherCost</f>
        <v/>
      </c>
      <c r="P550" s="37">
        <f>'03_原始数据'!C550-0.615*'03_原始数据'!B550-OtherCost</f>
        <v/>
      </c>
      <c r="Q550" s="37">
        <f>'03_原始数据'!C550-0.62*'03_原始数据'!B550-OtherCost</f>
        <v/>
      </c>
      <c r="R550" s="37">
        <f>'03_原始数据'!C550-0.625*'03_原始数据'!B550-OtherCost</f>
        <v/>
      </c>
      <c r="S550" s="37">
        <f>'03_原始数据'!C550-0.63*'03_原始数据'!B550-OtherCost</f>
        <v/>
      </c>
      <c r="T550" s="37">
        <f>'03_原始数据'!C550-0.635*'03_原始数据'!B550-OtherCost</f>
        <v/>
      </c>
      <c r="U550" s="37">
        <f>'03_原始数据'!C550-0.64*'03_原始数据'!B550-OtherCost</f>
        <v/>
      </c>
      <c r="V550" s="37">
        <f>'03_原始数据'!C550-0.645*'03_原始数据'!B550-OtherCost</f>
        <v/>
      </c>
      <c r="W550" s="37">
        <f>'03_原始数据'!C550-0.65*'03_原始数据'!B550-OtherCost</f>
        <v/>
      </c>
      <c r="X550" s="37">
        <f>'03_原始数据'!C550-0.655*'03_原始数据'!B550-OtherCost</f>
        <v/>
      </c>
      <c r="Y550" s="37">
        <f>'03_原始数据'!C550-0.66*'03_原始数据'!B550-OtherCost</f>
        <v/>
      </c>
      <c r="Z550" s="37">
        <f>'03_原始数据'!C550-0.665*'03_原始数据'!B550-OtherCost</f>
        <v/>
      </c>
      <c r="AA550" s="37">
        <f>'03_原始数据'!C550-0.67*'03_原始数据'!B550-OtherCost</f>
        <v/>
      </c>
      <c r="AB550" s="37">
        <f>'03_原始数据'!C550-0.675*'03_原始数据'!B550-OtherCost</f>
        <v/>
      </c>
      <c r="AC550" s="37">
        <f>'03_原始数据'!C550-0.68*'03_原始数据'!B550-OtherCost</f>
        <v/>
      </c>
      <c r="AD550" s="37">
        <f>'03_原始数据'!C550-0.685*'03_原始数据'!B550-OtherCost</f>
        <v/>
      </c>
      <c r="AE550" s="37">
        <f>'03_原始数据'!C550-0.69*'03_原始数据'!B550-OtherCost</f>
        <v/>
      </c>
      <c r="AF550" s="37">
        <f>'03_原始数据'!C550-0.695*'03_原始数据'!B550-OtherCost</f>
        <v/>
      </c>
      <c r="AG550" s="37">
        <f>'03_原始数据'!C550-0.7*'03_原始数据'!B550-OtherCost</f>
        <v/>
      </c>
    </row>
    <row r="551">
      <c r="M551" s="37">
        <f>'03_原始数据'!C551-0.6*'03_原始数据'!B551-OtherCost</f>
        <v/>
      </c>
      <c r="N551" s="37">
        <f>'03_原始数据'!C551-0.605*'03_原始数据'!B551-OtherCost</f>
        <v/>
      </c>
      <c r="O551" s="37">
        <f>'03_原始数据'!C551-0.61*'03_原始数据'!B551-OtherCost</f>
        <v/>
      </c>
      <c r="P551" s="37">
        <f>'03_原始数据'!C551-0.615*'03_原始数据'!B551-OtherCost</f>
        <v/>
      </c>
      <c r="Q551" s="37">
        <f>'03_原始数据'!C551-0.62*'03_原始数据'!B551-OtherCost</f>
        <v/>
      </c>
      <c r="R551" s="37">
        <f>'03_原始数据'!C551-0.625*'03_原始数据'!B551-OtherCost</f>
        <v/>
      </c>
      <c r="S551" s="37">
        <f>'03_原始数据'!C551-0.63*'03_原始数据'!B551-OtherCost</f>
        <v/>
      </c>
      <c r="T551" s="37">
        <f>'03_原始数据'!C551-0.635*'03_原始数据'!B551-OtherCost</f>
        <v/>
      </c>
      <c r="U551" s="37">
        <f>'03_原始数据'!C551-0.64*'03_原始数据'!B551-OtherCost</f>
        <v/>
      </c>
      <c r="V551" s="37">
        <f>'03_原始数据'!C551-0.645*'03_原始数据'!B551-OtherCost</f>
        <v/>
      </c>
      <c r="W551" s="37">
        <f>'03_原始数据'!C551-0.65*'03_原始数据'!B551-OtherCost</f>
        <v/>
      </c>
      <c r="X551" s="37">
        <f>'03_原始数据'!C551-0.655*'03_原始数据'!B551-OtherCost</f>
        <v/>
      </c>
      <c r="Y551" s="37">
        <f>'03_原始数据'!C551-0.66*'03_原始数据'!B551-OtherCost</f>
        <v/>
      </c>
      <c r="Z551" s="37">
        <f>'03_原始数据'!C551-0.665*'03_原始数据'!B551-OtherCost</f>
        <v/>
      </c>
      <c r="AA551" s="37">
        <f>'03_原始数据'!C551-0.67*'03_原始数据'!B551-OtherCost</f>
        <v/>
      </c>
      <c r="AB551" s="37">
        <f>'03_原始数据'!C551-0.675*'03_原始数据'!B551-OtherCost</f>
        <v/>
      </c>
      <c r="AC551" s="37">
        <f>'03_原始数据'!C551-0.68*'03_原始数据'!B551-OtherCost</f>
        <v/>
      </c>
      <c r="AD551" s="37">
        <f>'03_原始数据'!C551-0.685*'03_原始数据'!B551-OtherCost</f>
        <v/>
      </c>
      <c r="AE551" s="37">
        <f>'03_原始数据'!C551-0.69*'03_原始数据'!B551-OtherCost</f>
        <v/>
      </c>
      <c r="AF551" s="37">
        <f>'03_原始数据'!C551-0.695*'03_原始数据'!B551-OtherCost</f>
        <v/>
      </c>
      <c r="AG551" s="37">
        <f>'03_原始数据'!C551-0.7*'03_原始数据'!B551-OtherCost</f>
        <v/>
      </c>
    </row>
    <row r="552">
      <c r="M552" s="37">
        <f>'03_原始数据'!C552-0.6*'03_原始数据'!B552-OtherCost</f>
        <v/>
      </c>
      <c r="N552" s="37">
        <f>'03_原始数据'!C552-0.605*'03_原始数据'!B552-OtherCost</f>
        <v/>
      </c>
      <c r="O552" s="37">
        <f>'03_原始数据'!C552-0.61*'03_原始数据'!B552-OtherCost</f>
        <v/>
      </c>
      <c r="P552" s="37">
        <f>'03_原始数据'!C552-0.615*'03_原始数据'!B552-OtherCost</f>
        <v/>
      </c>
      <c r="Q552" s="37">
        <f>'03_原始数据'!C552-0.62*'03_原始数据'!B552-OtherCost</f>
        <v/>
      </c>
      <c r="R552" s="37">
        <f>'03_原始数据'!C552-0.625*'03_原始数据'!B552-OtherCost</f>
        <v/>
      </c>
      <c r="S552" s="37">
        <f>'03_原始数据'!C552-0.63*'03_原始数据'!B552-OtherCost</f>
        <v/>
      </c>
      <c r="T552" s="37">
        <f>'03_原始数据'!C552-0.635*'03_原始数据'!B552-OtherCost</f>
        <v/>
      </c>
      <c r="U552" s="37">
        <f>'03_原始数据'!C552-0.64*'03_原始数据'!B552-OtherCost</f>
        <v/>
      </c>
      <c r="V552" s="37">
        <f>'03_原始数据'!C552-0.645*'03_原始数据'!B552-OtherCost</f>
        <v/>
      </c>
      <c r="W552" s="37">
        <f>'03_原始数据'!C552-0.65*'03_原始数据'!B552-OtherCost</f>
        <v/>
      </c>
      <c r="X552" s="37">
        <f>'03_原始数据'!C552-0.655*'03_原始数据'!B552-OtherCost</f>
        <v/>
      </c>
      <c r="Y552" s="37">
        <f>'03_原始数据'!C552-0.66*'03_原始数据'!B552-OtherCost</f>
        <v/>
      </c>
      <c r="Z552" s="37">
        <f>'03_原始数据'!C552-0.665*'03_原始数据'!B552-OtherCost</f>
        <v/>
      </c>
      <c r="AA552" s="37">
        <f>'03_原始数据'!C552-0.67*'03_原始数据'!B552-OtherCost</f>
        <v/>
      </c>
      <c r="AB552" s="37">
        <f>'03_原始数据'!C552-0.675*'03_原始数据'!B552-OtherCost</f>
        <v/>
      </c>
      <c r="AC552" s="37">
        <f>'03_原始数据'!C552-0.68*'03_原始数据'!B552-OtherCost</f>
        <v/>
      </c>
      <c r="AD552" s="37">
        <f>'03_原始数据'!C552-0.685*'03_原始数据'!B552-OtherCost</f>
        <v/>
      </c>
      <c r="AE552" s="37">
        <f>'03_原始数据'!C552-0.69*'03_原始数据'!B552-OtherCost</f>
        <v/>
      </c>
      <c r="AF552" s="37">
        <f>'03_原始数据'!C552-0.695*'03_原始数据'!B552-OtherCost</f>
        <v/>
      </c>
      <c r="AG552" s="37">
        <f>'03_原始数据'!C552-0.7*'03_原始数据'!B552-OtherCost</f>
        <v/>
      </c>
    </row>
    <row r="553">
      <c r="M553" s="37">
        <f>'03_原始数据'!C553-0.6*'03_原始数据'!B553-OtherCost</f>
        <v/>
      </c>
      <c r="N553" s="37">
        <f>'03_原始数据'!C553-0.605*'03_原始数据'!B553-OtherCost</f>
        <v/>
      </c>
      <c r="O553" s="37">
        <f>'03_原始数据'!C553-0.61*'03_原始数据'!B553-OtherCost</f>
        <v/>
      </c>
      <c r="P553" s="37">
        <f>'03_原始数据'!C553-0.615*'03_原始数据'!B553-OtherCost</f>
        <v/>
      </c>
      <c r="Q553" s="37">
        <f>'03_原始数据'!C553-0.62*'03_原始数据'!B553-OtherCost</f>
        <v/>
      </c>
      <c r="R553" s="37">
        <f>'03_原始数据'!C553-0.625*'03_原始数据'!B553-OtherCost</f>
        <v/>
      </c>
      <c r="S553" s="37">
        <f>'03_原始数据'!C553-0.63*'03_原始数据'!B553-OtherCost</f>
        <v/>
      </c>
      <c r="T553" s="37">
        <f>'03_原始数据'!C553-0.635*'03_原始数据'!B553-OtherCost</f>
        <v/>
      </c>
      <c r="U553" s="37">
        <f>'03_原始数据'!C553-0.64*'03_原始数据'!B553-OtherCost</f>
        <v/>
      </c>
      <c r="V553" s="37">
        <f>'03_原始数据'!C553-0.645*'03_原始数据'!B553-OtherCost</f>
        <v/>
      </c>
      <c r="W553" s="37">
        <f>'03_原始数据'!C553-0.65*'03_原始数据'!B553-OtherCost</f>
        <v/>
      </c>
      <c r="X553" s="37">
        <f>'03_原始数据'!C553-0.655*'03_原始数据'!B553-OtherCost</f>
        <v/>
      </c>
      <c r="Y553" s="37">
        <f>'03_原始数据'!C553-0.66*'03_原始数据'!B553-OtherCost</f>
        <v/>
      </c>
      <c r="Z553" s="37">
        <f>'03_原始数据'!C553-0.665*'03_原始数据'!B553-OtherCost</f>
        <v/>
      </c>
      <c r="AA553" s="37">
        <f>'03_原始数据'!C553-0.67*'03_原始数据'!B553-OtherCost</f>
        <v/>
      </c>
      <c r="AB553" s="37">
        <f>'03_原始数据'!C553-0.675*'03_原始数据'!B553-OtherCost</f>
        <v/>
      </c>
      <c r="AC553" s="37">
        <f>'03_原始数据'!C553-0.68*'03_原始数据'!B553-OtherCost</f>
        <v/>
      </c>
      <c r="AD553" s="37">
        <f>'03_原始数据'!C553-0.685*'03_原始数据'!B553-OtherCost</f>
        <v/>
      </c>
      <c r="AE553" s="37">
        <f>'03_原始数据'!C553-0.69*'03_原始数据'!B553-OtherCost</f>
        <v/>
      </c>
      <c r="AF553" s="37">
        <f>'03_原始数据'!C553-0.695*'03_原始数据'!B553-OtherCost</f>
        <v/>
      </c>
      <c r="AG553" s="37">
        <f>'03_原始数据'!C553-0.7*'03_原始数据'!B553-OtherCost</f>
        <v/>
      </c>
    </row>
    <row r="554">
      <c r="M554" s="37">
        <f>'03_原始数据'!C554-0.6*'03_原始数据'!B554-OtherCost</f>
        <v/>
      </c>
      <c r="N554" s="37">
        <f>'03_原始数据'!C554-0.605*'03_原始数据'!B554-OtherCost</f>
        <v/>
      </c>
      <c r="O554" s="37">
        <f>'03_原始数据'!C554-0.61*'03_原始数据'!B554-OtherCost</f>
        <v/>
      </c>
      <c r="P554" s="37">
        <f>'03_原始数据'!C554-0.615*'03_原始数据'!B554-OtherCost</f>
        <v/>
      </c>
      <c r="Q554" s="37">
        <f>'03_原始数据'!C554-0.62*'03_原始数据'!B554-OtherCost</f>
        <v/>
      </c>
      <c r="R554" s="37">
        <f>'03_原始数据'!C554-0.625*'03_原始数据'!B554-OtherCost</f>
        <v/>
      </c>
      <c r="S554" s="37">
        <f>'03_原始数据'!C554-0.63*'03_原始数据'!B554-OtherCost</f>
        <v/>
      </c>
      <c r="T554" s="37">
        <f>'03_原始数据'!C554-0.635*'03_原始数据'!B554-OtherCost</f>
        <v/>
      </c>
      <c r="U554" s="37">
        <f>'03_原始数据'!C554-0.64*'03_原始数据'!B554-OtherCost</f>
        <v/>
      </c>
      <c r="V554" s="37">
        <f>'03_原始数据'!C554-0.645*'03_原始数据'!B554-OtherCost</f>
        <v/>
      </c>
      <c r="W554" s="37">
        <f>'03_原始数据'!C554-0.65*'03_原始数据'!B554-OtherCost</f>
        <v/>
      </c>
      <c r="X554" s="37">
        <f>'03_原始数据'!C554-0.655*'03_原始数据'!B554-OtherCost</f>
        <v/>
      </c>
      <c r="Y554" s="37">
        <f>'03_原始数据'!C554-0.66*'03_原始数据'!B554-OtherCost</f>
        <v/>
      </c>
      <c r="Z554" s="37">
        <f>'03_原始数据'!C554-0.665*'03_原始数据'!B554-OtherCost</f>
        <v/>
      </c>
      <c r="AA554" s="37">
        <f>'03_原始数据'!C554-0.67*'03_原始数据'!B554-OtherCost</f>
        <v/>
      </c>
      <c r="AB554" s="37">
        <f>'03_原始数据'!C554-0.675*'03_原始数据'!B554-OtherCost</f>
        <v/>
      </c>
      <c r="AC554" s="37">
        <f>'03_原始数据'!C554-0.68*'03_原始数据'!B554-OtherCost</f>
        <v/>
      </c>
      <c r="AD554" s="37">
        <f>'03_原始数据'!C554-0.685*'03_原始数据'!B554-OtherCost</f>
        <v/>
      </c>
      <c r="AE554" s="37">
        <f>'03_原始数据'!C554-0.69*'03_原始数据'!B554-OtherCost</f>
        <v/>
      </c>
      <c r="AF554" s="37">
        <f>'03_原始数据'!C554-0.695*'03_原始数据'!B554-OtherCost</f>
        <v/>
      </c>
      <c r="AG554" s="37">
        <f>'03_原始数据'!C554-0.7*'03_原始数据'!B554-OtherCost</f>
        <v/>
      </c>
    </row>
    <row r="555">
      <c r="M555" s="37">
        <f>'03_原始数据'!C555-0.6*'03_原始数据'!B555-OtherCost</f>
        <v/>
      </c>
      <c r="N555" s="37">
        <f>'03_原始数据'!C555-0.605*'03_原始数据'!B555-OtherCost</f>
        <v/>
      </c>
      <c r="O555" s="37">
        <f>'03_原始数据'!C555-0.61*'03_原始数据'!B555-OtherCost</f>
        <v/>
      </c>
      <c r="P555" s="37">
        <f>'03_原始数据'!C555-0.615*'03_原始数据'!B555-OtherCost</f>
        <v/>
      </c>
      <c r="Q555" s="37">
        <f>'03_原始数据'!C555-0.62*'03_原始数据'!B555-OtherCost</f>
        <v/>
      </c>
      <c r="R555" s="37">
        <f>'03_原始数据'!C555-0.625*'03_原始数据'!B555-OtherCost</f>
        <v/>
      </c>
      <c r="S555" s="37">
        <f>'03_原始数据'!C555-0.63*'03_原始数据'!B555-OtherCost</f>
        <v/>
      </c>
      <c r="T555" s="37">
        <f>'03_原始数据'!C555-0.635*'03_原始数据'!B555-OtherCost</f>
        <v/>
      </c>
      <c r="U555" s="37">
        <f>'03_原始数据'!C555-0.64*'03_原始数据'!B555-OtherCost</f>
        <v/>
      </c>
      <c r="V555" s="37">
        <f>'03_原始数据'!C555-0.645*'03_原始数据'!B555-OtherCost</f>
        <v/>
      </c>
      <c r="W555" s="37">
        <f>'03_原始数据'!C555-0.65*'03_原始数据'!B555-OtherCost</f>
        <v/>
      </c>
      <c r="X555" s="37">
        <f>'03_原始数据'!C555-0.655*'03_原始数据'!B555-OtherCost</f>
        <v/>
      </c>
      <c r="Y555" s="37">
        <f>'03_原始数据'!C555-0.66*'03_原始数据'!B555-OtherCost</f>
        <v/>
      </c>
      <c r="Z555" s="37">
        <f>'03_原始数据'!C555-0.665*'03_原始数据'!B555-OtherCost</f>
        <v/>
      </c>
      <c r="AA555" s="37">
        <f>'03_原始数据'!C555-0.67*'03_原始数据'!B555-OtherCost</f>
        <v/>
      </c>
      <c r="AB555" s="37">
        <f>'03_原始数据'!C555-0.675*'03_原始数据'!B555-OtherCost</f>
        <v/>
      </c>
      <c r="AC555" s="37">
        <f>'03_原始数据'!C555-0.68*'03_原始数据'!B555-OtherCost</f>
        <v/>
      </c>
      <c r="AD555" s="37">
        <f>'03_原始数据'!C555-0.685*'03_原始数据'!B555-OtherCost</f>
        <v/>
      </c>
      <c r="AE555" s="37">
        <f>'03_原始数据'!C555-0.69*'03_原始数据'!B555-OtherCost</f>
        <v/>
      </c>
      <c r="AF555" s="37">
        <f>'03_原始数据'!C555-0.695*'03_原始数据'!B555-OtherCost</f>
        <v/>
      </c>
      <c r="AG555" s="37">
        <f>'03_原始数据'!C555-0.7*'03_原始数据'!B555-OtherCost</f>
        <v/>
      </c>
    </row>
    <row r="556">
      <c r="M556" s="37">
        <f>'03_原始数据'!C556-0.6*'03_原始数据'!B556-OtherCost</f>
        <v/>
      </c>
      <c r="N556" s="37">
        <f>'03_原始数据'!C556-0.605*'03_原始数据'!B556-OtherCost</f>
        <v/>
      </c>
      <c r="O556" s="37">
        <f>'03_原始数据'!C556-0.61*'03_原始数据'!B556-OtherCost</f>
        <v/>
      </c>
      <c r="P556" s="37">
        <f>'03_原始数据'!C556-0.615*'03_原始数据'!B556-OtherCost</f>
        <v/>
      </c>
      <c r="Q556" s="37">
        <f>'03_原始数据'!C556-0.62*'03_原始数据'!B556-OtherCost</f>
        <v/>
      </c>
      <c r="R556" s="37">
        <f>'03_原始数据'!C556-0.625*'03_原始数据'!B556-OtherCost</f>
        <v/>
      </c>
      <c r="S556" s="37">
        <f>'03_原始数据'!C556-0.63*'03_原始数据'!B556-OtherCost</f>
        <v/>
      </c>
      <c r="T556" s="37">
        <f>'03_原始数据'!C556-0.635*'03_原始数据'!B556-OtherCost</f>
        <v/>
      </c>
      <c r="U556" s="37">
        <f>'03_原始数据'!C556-0.64*'03_原始数据'!B556-OtherCost</f>
        <v/>
      </c>
      <c r="V556" s="37">
        <f>'03_原始数据'!C556-0.645*'03_原始数据'!B556-OtherCost</f>
        <v/>
      </c>
      <c r="W556" s="37">
        <f>'03_原始数据'!C556-0.65*'03_原始数据'!B556-OtherCost</f>
        <v/>
      </c>
      <c r="X556" s="37">
        <f>'03_原始数据'!C556-0.655*'03_原始数据'!B556-OtherCost</f>
        <v/>
      </c>
      <c r="Y556" s="37">
        <f>'03_原始数据'!C556-0.66*'03_原始数据'!B556-OtherCost</f>
        <v/>
      </c>
      <c r="Z556" s="37">
        <f>'03_原始数据'!C556-0.665*'03_原始数据'!B556-OtherCost</f>
        <v/>
      </c>
      <c r="AA556" s="37">
        <f>'03_原始数据'!C556-0.67*'03_原始数据'!B556-OtherCost</f>
        <v/>
      </c>
      <c r="AB556" s="37">
        <f>'03_原始数据'!C556-0.675*'03_原始数据'!B556-OtherCost</f>
        <v/>
      </c>
      <c r="AC556" s="37">
        <f>'03_原始数据'!C556-0.68*'03_原始数据'!B556-OtherCost</f>
        <v/>
      </c>
      <c r="AD556" s="37">
        <f>'03_原始数据'!C556-0.685*'03_原始数据'!B556-OtherCost</f>
        <v/>
      </c>
      <c r="AE556" s="37">
        <f>'03_原始数据'!C556-0.69*'03_原始数据'!B556-OtherCost</f>
        <v/>
      </c>
      <c r="AF556" s="37">
        <f>'03_原始数据'!C556-0.695*'03_原始数据'!B556-OtherCost</f>
        <v/>
      </c>
      <c r="AG556" s="37">
        <f>'03_原始数据'!C556-0.7*'03_原始数据'!B556-OtherCost</f>
        <v/>
      </c>
    </row>
    <row r="557">
      <c r="M557" s="37">
        <f>'03_原始数据'!C557-0.6*'03_原始数据'!B557-OtherCost</f>
        <v/>
      </c>
      <c r="N557" s="37">
        <f>'03_原始数据'!C557-0.605*'03_原始数据'!B557-OtherCost</f>
        <v/>
      </c>
      <c r="O557" s="37">
        <f>'03_原始数据'!C557-0.61*'03_原始数据'!B557-OtherCost</f>
        <v/>
      </c>
      <c r="P557" s="37">
        <f>'03_原始数据'!C557-0.615*'03_原始数据'!B557-OtherCost</f>
        <v/>
      </c>
      <c r="Q557" s="37">
        <f>'03_原始数据'!C557-0.62*'03_原始数据'!B557-OtherCost</f>
        <v/>
      </c>
      <c r="R557" s="37">
        <f>'03_原始数据'!C557-0.625*'03_原始数据'!B557-OtherCost</f>
        <v/>
      </c>
      <c r="S557" s="37">
        <f>'03_原始数据'!C557-0.63*'03_原始数据'!B557-OtherCost</f>
        <v/>
      </c>
      <c r="T557" s="37">
        <f>'03_原始数据'!C557-0.635*'03_原始数据'!B557-OtherCost</f>
        <v/>
      </c>
      <c r="U557" s="37">
        <f>'03_原始数据'!C557-0.64*'03_原始数据'!B557-OtherCost</f>
        <v/>
      </c>
      <c r="V557" s="37">
        <f>'03_原始数据'!C557-0.645*'03_原始数据'!B557-OtherCost</f>
        <v/>
      </c>
      <c r="W557" s="37">
        <f>'03_原始数据'!C557-0.65*'03_原始数据'!B557-OtherCost</f>
        <v/>
      </c>
      <c r="X557" s="37">
        <f>'03_原始数据'!C557-0.655*'03_原始数据'!B557-OtherCost</f>
        <v/>
      </c>
      <c r="Y557" s="37">
        <f>'03_原始数据'!C557-0.66*'03_原始数据'!B557-OtherCost</f>
        <v/>
      </c>
      <c r="Z557" s="37">
        <f>'03_原始数据'!C557-0.665*'03_原始数据'!B557-OtherCost</f>
        <v/>
      </c>
      <c r="AA557" s="37">
        <f>'03_原始数据'!C557-0.67*'03_原始数据'!B557-OtherCost</f>
        <v/>
      </c>
      <c r="AB557" s="37">
        <f>'03_原始数据'!C557-0.675*'03_原始数据'!B557-OtherCost</f>
        <v/>
      </c>
      <c r="AC557" s="37">
        <f>'03_原始数据'!C557-0.68*'03_原始数据'!B557-OtherCost</f>
        <v/>
      </c>
      <c r="AD557" s="37">
        <f>'03_原始数据'!C557-0.685*'03_原始数据'!B557-OtherCost</f>
        <v/>
      </c>
      <c r="AE557" s="37">
        <f>'03_原始数据'!C557-0.69*'03_原始数据'!B557-OtherCost</f>
        <v/>
      </c>
      <c r="AF557" s="37">
        <f>'03_原始数据'!C557-0.695*'03_原始数据'!B557-OtherCost</f>
        <v/>
      </c>
      <c r="AG557" s="37">
        <f>'03_原始数据'!C557-0.7*'03_原始数据'!B557-OtherCost</f>
        <v/>
      </c>
    </row>
    <row r="558">
      <c r="M558" s="37">
        <f>'03_原始数据'!C558-0.6*'03_原始数据'!B558-OtherCost</f>
        <v/>
      </c>
      <c r="N558" s="37">
        <f>'03_原始数据'!C558-0.605*'03_原始数据'!B558-OtherCost</f>
        <v/>
      </c>
      <c r="O558" s="37">
        <f>'03_原始数据'!C558-0.61*'03_原始数据'!B558-OtherCost</f>
        <v/>
      </c>
      <c r="P558" s="37">
        <f>'03_原始数据'!C558-0.615*'03_原始数据'!B558-OtherCost</f>
        <v/>
      </c>
      <c r="Q558" s="37">
        <f>'03_原始数据'!C558-0.62*'03_原始数据'!B558-OtherCost</f>
        <v/>
      </c>
      <c r="R558" s="37">
        <f>'03_原始数据'!C558-0.625*'03_原始数据'!B558-OtherCost</f>
        <v/>
      </c>
      <c r="S558" s="37">
        <f>'03_原始数据'!C558-0.63*'03_原始数据'!B558-OtherCost</f>
        <v/>
      </c>
      <c r="T558" s="37">
        <f>'03_原始数据'!C558-0.635*'03_原始数据'!B558-OtherCost</f>
        <v/>
      </c>
      <c r="U558" s="37">
        <f>'03_原始数据'!C558-0.64*'03_原始数据'!B558-OtherCost</f>
        <v/>
      </c>
      <c r="V558" s="37">
        <f>'03_原始数据'!C558-0.645*'03_原始数据'!B558-OtherCost</f>
        <v/>
      </c>
      <c r="W558" s="37">
        <f>'03_原始数据'!C558-0.65*'03_原始数据'!B558-OtherCost</f>
        <v/>
      </c>
      <c r="X558" s="37">
        <f>'03_原始数据'!C558-0.655*'03_原始数据'!B558-OtherCost</f>
        <v/>
      </c>
      <c r="Y558" s="37">
        <f>'03_原始数据'!C558-0.66*'03_原始数据'!B558-OtherCost</f>
        <v/>
      </c>
      <c r="Z558" s="37">
        <f>'03_原始数据'!C558-0.665*'03_原始数据'!B558-OtherCost</f>
        <v/>
      </c>
      <c r="AA558" s="37">
        <f>'03_原始数据'!C558-0.67*'03_原始数据'!B558-OtherCost</f>
        <v/>
      </c>
      <c r="AB558" s="37">
        <f>'03_原始数据'!C558-0.675*'03_原始数据'!B558-OtherCost</f>
        <v/>
      </c>
      <c r="AC558" s="37">
        <f>'03_原始数据'!C558-0.68*'03_原始数据'!B558-OtherCost</f>
        <v/>
      </c>
      <c r="AD558" s="37">
        <f>'03_原始数据'!C558-0.685*'03_原始数据'!B558-OtherCost</f>
        <v/>
      </c>
      <c r="AE558" s="37">
        <f>'03_原始数据'!C558-0.69*'03_原始数据'!B558-OtherCost</f>
        <v/>
      </c>
      <c r="AF558" s="37">
        <f>'03_原始数据'!C558-0.695*'03_原始数据'!B558-OtherCost</f>
        <v/>
      </c>
      <c r="AG558" s="37">
        <f>'03_原始数据'!C558-0.7*'03_原始数据'!B558-OtherCost</f>
        <v/>
      </c>
    </row>
    <row r="559">
      <c r="M559" s="37">
        <f>'03_原始数据'!C559-0.6*'03_原始数据'!B559-OtherCost</f>
        <v/>
      </c>
      <c r="N559" s="37">
        <f>'03_原始数据'!C559-0.605*'03_原始数据'!B559-OtherCost</f>
        <v/>
      </c>
      <c r="O559" s="37">
        <f>'03_原始数据'!C559-0.61*'03_原始数据'!B559-OtherCost</f>
        <v/>
      </c>
      <c r="P559" s="37">
        <f>'03_原始数据'!C559-0.615*'03_原始数据'!B559-OtherCost</f>
        <v/>
      </c>
      <c r="Q559" s="37">
        <f>'03_原始数据'!C559-0.62*'03_原始数据'!B559-OtherCost</f>
        <v/>
      </c>
      <c r="R559" s="37">
        <f>'03_原始数据'!C559-0.625*'03_原始数据'!B559-OtherCost</f>
        <v/>
      </c>
      <c r="S559" s="37">
        <f>'03_原始数据'!C559-0.63*'03_原始数据'!B559-OtherCost</f>
        <v/>
      </c>
      <c r="T559" s="37">
        <f>'03_原始数据'!C559-0.635*'03_原始数据'!B559-OtherCost</f>
        <v/>
      </c>
      <c r="U559" s="37">
        <f>'03_原始数据'!C559-0.64*'03_原始数据'!B559-OtherCost</f>
        <v/>
      </c>
      <c r="V559" s="37">
        <f>'03_原始数据'!C559-0.645*'03_原始数据'!B559-OtherCost</f>
        <v/>
      </c>
      <c r="W559" s="37">
        <f>'03_原始数据'!C559-0.65*'03_原始数据'!B559-OtherCost</f>
        <v/>
      </c>
      <c r="X559" s="37">
        <f>'03_原始数据'!C559-0.655*'03_原始数据'!B559-OtherCost</f>
        <v/>
      </c>
      <c r="Y559" s="37">
        <f>'03_原始数据'!C559-0.66*'03_原始数据'!B559-OtherCost</f>
        <v/>
      </c>
      <c r="Z559" s="37">
        <f>'03_原始数据'!C559-0.665*'03_原始数据'!B559-OtherCost</f>
        <v/>
      </c>
      <c r="AA559" s="37">
        <f>'03_原始数据'!C559-0.67*'03_原始数据'!B559-OtherCost</f>
        <v/>
      </c>
      <c r="AB559" s="37">
        <f>'03_原始数据'!C559-0.675*'03_原始数据'!B559-OtherCost</f>
        <v/>
      </c>
      <c r="AC559" s="37">
        <f>'03_原始数据'!C559-0.68*'03_原始数据'!B559-OtherCost</f>
        <v/>
      </c>
      <c r="AD559" s="37">
        <f>'03_原始数据'!C559-0.685*'03_原始数据'!B559-OtherCost</f>
        <v/>
      </c>
      <c r="AE559" s="37">
        <f>'03_原始数据'!C559-0.69*'03_原始数据'!B559-OtherCost</f>
        <v/>
      </c>
      <c r="AF559" s="37">
        <f>'03_原始数据'!C559-0.695*'03_原始数据'!B559-OtherCost</f>
        <v/>
      </c>
      <c r="AG559" s="37">
        <f>'03_原始数据'!C559-0.7*'03_原始数据'!B559-OtherCost</f>
        <v/>
      </c>
    </row>
    <row r="560">
      <c r="M560" s="37">
        <f>'03_原始数据'!C560-0.6*'03_原始数据'!B560-OtherCost</f>
        <v/>
      </c>
      <c r="N560" s="37">
        <f>'03_原始数据'!C560-0.605*'03_原始数据'!B560-OtherCost</f>
        <v/>
      </c>
      <c r="O560" s="37">
        <f>'03_原始数据'!C560-0.61*'03_原始数据'!B560-OtherCost</f>
        <v/>
      </c>
      <c r="P560" s="37">
        <f>'03_原始数据'!C560-0.615*'03_原始数据'!B560-OtherCost</f>
        <v/>
      </c>
      <c r="Q560" s="37">
        <f>'03_原始数据'!C560-0.62*'03_原始数据'!B560-OtherCost</f>
        <v/>
      </c>
      <c r="R560" s="37">
        <f>'03_原始数据'!C560-0.625*'03_原始数据'!B560-OtherCost</f>
        <v/>
      </c>
      <c r="S560" s="37">
        <f>'03_原始数据'!C560-0.63*'03_原始数据'!B560-OtherCost</f>
        <v/>
      </c>
      <c r="T560" s="37">
        <f>'03_原始数据'!C560-0.635*'03_原始数据'!B560-OtherCost</f>
        <v/>
      </c>
      <c r="U560" s="37">
        <f>'03_原始数据'!C560-0.64*'03_原始数据'!B560-OtherCost</f>
        <v/>
      </c>
      <c r="V560" s="37">
        <f>'03_原始数据'!C560-0.645*'03_原始数据'!B560-OtherCost</f>
        <v/>
      </c>
      <c r="W560" s="37">
        <f>'03_原始数据'!C560-0.65*'03_原始数据'!B560-OtherCost</f>
        <v/>
      </c>
      <c r="X560" s="37">
        <f>'03_原始数据'!C560-0.655*'03_原始数据'!B560-OtherCost</f>
        <v/>
      </c>
      <c r="Y560" s="37">
        <f>'03_原始数据'!C560-0.66*'03_原始数据'!B560-OtherCost</f>
        <v/>
      </c>
      <c r="Z560" s="37">
        <f>'03_原始数据'!C560-0.665*'03_原始数据'!B560-OtherCost</f>
        <v/>
      </c>
      <c r="AA560" s="37">
        <f>'03_原始数据'!C560-0.67*'03_原始数据'!B560-OtherCost</f>
        <v/>
      </c>
      <c r="AB560" s="37">
        <f>'03_原始数据'!C560-0.675*'03_原始数据'!B560-OtherCost</f>
        <v/>
      </c>
      <c r="AC560" s="37">
        <f>'03_原始数据'!C560-0.68*'03_原始数据'!B560-OtherCost</f>
        <v/>
      </c>
      <c r="AD560" s="37">
        <f>'03_原始数据'!C560-0.685*'03_原始数据'!B560-OtherCost</f>
        <v/>
      </c>
      <c r="AE560" s="37">
        <f>'03_原始数据'!C560-0.69*'03_原始数据'!B560-OtherCost</f>
        <v/>
      </c>
      <c r="AF560" s="37">
        <f>'03_原始数据'!C560-0.695*'03_原始数据'!B560-OtherCost</f>
        <v/>
      </c>
      <c r="AG560" s="37">
        <f>'03_原始数据'!C560-0.7*'03_原始数据'!B560-OtherCost</f>
        <v/>
      </c>
    </row>
    <row r="561">
      <c r="M561" s="37">
        <f>'03_原始数据'!C561-0.6*'03_原始数据'!B561-OtherCost</f>
        <v/>
      </c>
      <c r="N561" s="37">
        <f>'03_原始数据'!C561-0.605*'03_原始数据'!B561-OtherCost</f>
        <v/>
      </c>
      <c r="O561" s="37">
        <f>'03_原始数据'!C561-0.61*'03_原始数据'!B561-OtherCost</f>
        <v/>
      </c>
      <c r="P561" s="37">
        <f>'03_原始数据'!C561-0.615*'03_原始数据'!B561-OtherCost</f>
        <v/>
      </c>
      <c r="Q561" s="37">
        <f>'03_原始数据'!C561-0.62*'03_原始数据'!B561-OtherCost</f>
        <v/>
      </c>
      <c r="R561" s="37">
        <f>'03_原始数据'!C561-0.625*'03_原始数据'!B561-OtherCost</f>
        <v/>
      </c>
      <c r="S561" s="37">
        <f>'03_原始数据'!C561-0.63*'03_原始数据'!B561-OtherCost</f>
        <v/>
      </c>
      <c r="T561" s="37">
        <f>'03_原始数据'!C561-0.635*'03_原始数据'!B561-OtherCost</f>
        <v/>
      </c>
      <c r="U561" s="37">
        <f>'03_原始数据'!C561-0.64*'03_原始数据'!B561-OtherCost</f>
        <v/>
      </c>
      <c r="V561" s="37">
        <f>'03_原始数据'!C561-0.645*'03_原始数据'!B561-OtherCost</f>
        <v/>
      </c>
      <c r="W561" s="37">
        <f>'03_原始数据'!C561-0.65*'03_原始数据'!B561-OtherCost</f>
        <v/>
      </c>
      <c r="X561" s="37">
        <f>'03_原始数据'!C561-0.655*'03_原始数据'!B561-OtherCost</f>
        <v/>
      </c>
      <c r="Y561" s="37">
        <f>'03_原始数据'!C561-0.66*'03_原始数据'!B561-OtherCost</f>
        <v/>
      </c>
      <c r="Z561" s="37">
        <f>'03_原始数据'!C561-0.665*'03_原始数据'!B561-OtherCost</f>
        <v/>
      </c>
      <c r="AA561" s="37">
        <f>'03_原始数据'!C561-0.67*'03_原始数据'!B561-OtherCost</f>
        <v/>
      </c>
      <c r="AB561" s="37">
        <f>'03_原始数据'!C561-0.675*'03_原始数据'!B561-OtherCost</f>
        <v/>
      </c>
      <c r="AC561" s="37">
        <f>'03_原始数据'!C561-0.68*'03_原始数据'!B561-OtherCost</f>
        <v/>
      </c>
      <c r="AD561" s="37">
        <f>'03_原始数据'!C561-0.685*'03_原始数据'!B561-OtherCost</f>
        <v/>
      </c>
      <c r="AE561" s="37">
        <f>'03_原始数据'!C561-0.69*'03_原始数据'!B561-OtherCost</f>
        <v/>
      </c>
      <c r="AF561" s="37">
        <f>'03_原始数据'!C561-0.695*'03_原始数据'!B561-OtherCost</f>
        <v/>
      </c>
      <c r="AG561" s="37">
        <f>'03_原始数据'!C561-0.7*'03_原始数据'!B561-OtherCost</f>
        <v/>
      </c>
    </row>
    <row r="562">
      <c r="M562" s="37">
        <f>'03_原始数据'!C562-0.6*'03_原始数据'!B562-OtherCost</f>
        <v/>
      </c>
      <c r="N562" s="37">
        <f>'03_原始数据'!C562-0.605*'03_原始数据'!B562-OtherCost</f>
        <v/>
      </c>
      <c r="O562" s="37">
        <f>'03_原始数据'!C562-0.61*'03_原始数据'!B562-OtherCost</f>
        <v/>
      </c>
      <c r="P562" s="37">
        <f>'03_原始数据'!C562-0.615*'03_原始数据'!B562-OtherCost</f>
        <v/>
      </c>
      <c r="Q562" s="37">
        <f>'03_原始数据'!C562-0.62*'03_原始数据'!B562-OtherCost</f>
        <v/>
      </c>
      <c r="R562" s="37">
        <f>'03_原始数据'!C562-0.625*'03_原始数据'!B562-OtherCost</f>
        <v/>
      </c>
      <c r="S562" s="37">
        <f>'03_原始数据'!C562-0.63*'03_原始数据'!B562-OtherCost</f>
        <v/>
      </c>
      <c r="T562" s="37">
        <f>'03_原始数据'!C562-0.635*'03_原始数据'!B562-OtherCost</f>
        <v/>
      </c>
      <c r="U562" s="37">
        <f>'03_原始数据'!C562-0.64*'03_原始数据'!B562-OtherCost</f>
        <v/>
      </c>
      <c r="V562" s="37">
        <f>'03_原始数据'!C562-0.645*'03_原始数据'!B562-OtherCost</f>
        <v/>
      </c>
      <c r="W562" s="37">
        <f>'03_原始数据'!C562-0.65*'03_原始数据'!B562-OtherCost</f>
        <v/>
      </c>
      <c r="X562" s="37">
        <f>'03_原始数据'!C562-0.655*'03_原始数据'!B562-OtherCost</f>
        <v/>
      </c>
      <c r="Y562" s="37">
        <f>'03_原始数据'!C562-0.66*'03_原始数据'!B562-OtherCost</f>
        <v/>
      </c>
      <c r="Z562" s="37">
        <f>'03_原始数据'!C562-0.665*'03_原始数据'!B562-OtherCost</f>
        <v/>
      </c>
      <c r="AA562" s="37">
        <f>'03_原始数据'!C562-0.67*'03_原始数据'!B562-OtherCost</f>
        <v/>
      </c>
      <c r="AB562" s="37">
        <f>'03_原始数据'!C562-0.675*'03_原始数据'!B562-OtherCost</f>
        <v/>
      </c>
      <c r="AC562" s="37">
        <f>'03_原始数据'!C562-0.68*'03_原始数据'!B562-OtherCost</f>
        <v/>
      </c>
      <c r="AD562" s="37">
        <f>'03_原始数据'!C562-0.685*'03_原始数据'!B562-OtherCost</f>
        <v/>
      </c>
      <c r="AE562" s="37">
        <f>'03_原始数据'!C562-0.69*'03_原始数据'!B562-OtherCost</f>
        <v/>
      </c>
      <c r="AF562" s="37">
        <f>'03_原始数据'!C562-0.695*'03_原始数据'!B562-OtherCost</f>
        <v/>
      </c>
      <c r="AG562" s="37">
        <f>'03_原始数据'!C562-0.7*'03_原始数据'!B562-OtherCost</f>
        <v/>
      </c>
    </row>
    <row r="563">
      <c r="M563" s="37">
        <f>'03_原始数据'!C563-0.6*'03_原始数据'!B563-OtherCost</f>
        <v/>
      </c>
      <c r="N563" s="37">
        <f>'03_原始数据'!C563-0.605*'03_原始数据'!B563-OtherCost</f>
        <v/>
      </c>
      <c r="O563" s="37">
        <f>'03_原始数据'!C563-0.61*'03_原始数据'!B563-OtherCost</f>
        <v/>
      </c>
      <c r="P563" s="37">
        <f>'03_原始数据'!C563-0.615*'03_原始数据'!B563-OtherCost</f>
        <v/>
      </c>
      <c r="Q563" s="37">
        <f>'03_原始数据'!C563-0.62*'03_原始数据'!B563-OtherCost</f>
        <v/>
      </c>
      <c r="R563" s="37">
        <f>'03_原始数据'!C563-0.625*'03_原始数据'!B563-OtherCost</f>
        <v/>
      </c>
      <c r="S563" s="37">
        <f>'03_原始数据'!C563-0.63*'03_原始数据'!B563-OtherCost</f>
        <v/>
      </c>
      <c r="T563" s="37">
        <f>'03_原始数据'!C563-0.635*'03_原始数据'!B563-OtherCost</f>
        <v/>
      </c>
      <c r="U563" s="37">
        <f>'03_原始数据'!C563-0.64*'03_原始数据'!B563-OtherCost</f>
        <v/>
      </c>
      <c r="V563" s="37">
        <f>'03_原始数据'!C563-0.645*'03_原始数据'!B563-OtherCost</f>
        <v/>
      </c>
      <c r="W563" s="37">
        <f>'03_原始数据'!C563-0.65*'03_原始数据'!B563-OtherCost</f>
        <v/>
      </c>
      <c r="X563" s="37">
        <f>'03_原始数据'!C563-0.655*'03_原始数据'!B563-OtherCost</f>
        <v/>
      </c>
      <c r="Y563" s="37">
        <f>'03_原始数据'!C563-0.66*'03_原始数据'!B563-OtherCost</f>
        <v/>
      </c>
      <c r="Z563" s="37">
        <f>'03_原始数据'!C563-0.665*'03_原始数据'!B563-OtherCost</f>
        <v/>
      </c>
      <c r="AA563" s="37">
        <f>'03_原始数据'!C563-0.67*'03_原始数据'!B563-OtherCost</f>
        <v/>
      </c>
      <c r="AB563" s="37">
        <f>'03_原始数据'!C563-0.675*'03_原始数据'!B563-OtherCost</f>
        <v/>
      </c>
      <c r="AC563" s="37">
        <f>'03_原始数据'!C563-0.68*'03_原始数据'!B563-OtherCost</f>
        <v/>
      </c>
      <c r="AD563" s="37">
        <f>'03_原始数据'!C563-0.685*'03_原始数据'!B563-OtherCost</f>
        <v/>
      </c>
      <c r="AE563" s="37">
        <f>'03_原始数据'!C563-0.69*'03_原始数据'!B563-OtherCost</f>
        <v/>
      </c>
      <c r="AF563" s="37">
        <f>'03_原始数据'!C563-0.695*'03_原始数据'!B563-OtherCost</f>
        <v/>
      </c>
      <c r="AG563" s="37">
        <f>'03_原始数据'!C563-0.7*'03_原始数据'!B563-OtherCost</f>
        <v/>
      </c>
    </row>
    <row r="564">
      <c r="M564" s="37">
        <f>'03_原始数据'!C564-0.6*'03_原始数据'!B564-OtherCost</f>
        <v/>
      </c>
      <c r="N564" s="37">
        <f>'03_原始数据'!C564-0.605*'03_原始数据'!B564-OtherCost</f>
        <v/>
      </c>
      <c r="O564" s="37">
        <f>'03_原始数据'!C564-0.61*'03_原始数据'!B564-OtherCost</f>
        <v/>
      </c>
      <c r="P564" s="37">
        <f>'03_原始数据'!C564-0.615*'03_原始数据'!B564-OtherCost</f>
        <v/>
      </c>
      <c r="Q564" s="37">
        <f>'03_原始数据'!C564-0.62*'03_原始数据'!B564-OtherCost</f>
        <v/>
      </c>
      <c r="R564" s="37">
        <f>'03_原始数据'!C564-0.625*'03_原始数据'!B564-OtherCost</f>
        <v/>
      </c>
      <c r="S564" s="37">
        <f>'03_原始数据'!C564-0.63*'03_原始数据'!B564-OtherCost</f>
        <v/>
      </c>
      <c r="T564" s="37">
        <f>'03_原始数据'!C564-0.635*'03_原始数据'!B564-OtherCost</f>
        <v/>
      </c>
      <c r="U564" s="37">
        <f>'03_原始数据'!C564-0.64*'03_原始数据'!B564-OtherCost</f>
        <v/>
      </c>
      <c r="V564" s="37">
        <f>'03_原始数据'!C564-0.645*'03_原始数据'!B564-OtherCost</f>
        <v/>
      </c>
      <c r="W564" s="37">
        <f>'03_原始数据'!C564-0.65*'03_原始数据'!B564-OtherCost</f>
        <v/>
      </c>
      <c r="X564" s="37">
        <f>'03_原始数据'!C564-0.655*'03_原始数据'!B564-OtherCost</f>
        <v/>
      </c>
      <c r="Y564" s="37">
        <f>'03_原始数据'!C564-0.66*'03_原始数据'!B564-OtherCost</f>
        <v/>
      </c>
      <c r="Z564" s="37">
        <f>'03_原始数据'!C564-0.665*'03_原始数据'!B564-OtherCost</f>
        <v/>
      </c>
      <c r="AA564" s="37">
        <f>'03_原始数据'!C564-0.67*'03_原始数据'!B564-OtherCost</f>
        <v/>
      </c>
      <c r="AB564" s="37">
        <f>'03_原始数据'!C564-0.675*'03_原始数据'!B564-OtherCost</f>
        <v/>
      </c>
      <c r="AC564" s="37">
        <f>'03_原始数据'!C564-0.68*'03_原始数据'!B564-OtherCost</f>
        <v/>
      </c>
      <c r="AD564" s="37">
        <f>'03_原始数据'!C564-0.685*'03_原始数据'!B564-OtherCost</f>
        <v/>
      </c>
      <c r="AE564" s="37">
        <f>'03_原始数据'!C564-0.69*'03_原始数据'!B564-OtherCost</f>
        <v/>
      </c>
      <c r="AF564" s="37">
        <f>'03_原始数据'!C564-0.695*'03_原始数据'!B564-OtherCost</f>
        <v/>
      </c>
      <c r="AG564" s="37">
        <f>'03_原始数据'!C564-0.7*'03_原始数据'!B564-OtherCost</f>
        <v/>
      </c>
    </row>
    <row r="565">
      <c r="M565" s="37">
        <f>'03_原始数据'!C565-0.6*'03_原始数据'!B565-OtherCost</f>
        <v/>
      </c>
      <c r="N565" s="37">
        <f>'03_原始数据'!C565-0.605*'03_原始数据'!B565-OtherCost</f>
        <v/>
      </c>
      <c r="O565" s="37">
        <f>'03_原始数据'!C565-0.61*'03_原始数据'!B565-OtherCost</f>
        <v/>
      </c>
      <c r="P565" s="37">
        <f>'03_原始数据'!C565-0.615*'03_原始数据'!B565-OtherCost</f>
        <v/>
      </c>
      <c r="Q565" s="37">
        <f>'03_原始数据'!C565-0.62*'03_原始数据'!B565-OtherCost</f>
        <v/>
      </c>
      <c r="R565" s="37">
        <f>'03_原始数据'!C565-0.625*'03_原始数据'!B565-OtherCost</f>
        <v/>
      </c>
      <c r="S565" s="37">
        <f>'03_原始数据'!C565-0.63*'03_原始数据'!B565-OtherCost</f>
        <v/>
      </c>
      <c r="T565" s="37">
        <f>'03_原始数据'!C565-0.635*'03_原始数据'!B565-OtherCost</f>
        <v/>
      </c>
      <c r="U565" s="37">
        <f>'03_原始数据'!C565-0.64*'03_原始数据'!B565-OtherCost</f>
        <v/>
      </c>
      <c r="V565" s="37">
        <f>'03_原始数据'!C565-0.645*'03_原始数据'!B565-OtherCost</f>
        <v/>
      </c>
      <c r="W565" s="37">
        <f>'03_原始数据'!C565-0.65*'03_原始数据'!B565-OtherCost</f>
        <v/>
      </c>
      <c r="X565" s="37">
        <f>'03_原始数据'!C565-0.655*'03_原始数据'!B565-OtherCost</f>
        <v/>
      </c>
      <c r="Y565" s="37">
        <f>'03_原始数据'!C565-0.66*'03_原始数据'!B565-OtherCost</f>
        <v/>
      </c>
      <c r="Z565" s="37">
        <f>'03_原始数据'!C565-0.665*'03_原始数据'!B565-OtherCost</f>
        <v/>
      </c>
      <c r="AA565" s="37">
        <f>'03_原始数据'!C565-0.67*'03_原始数据'!B565-OtherCost</f>
        <v/>
      </c>
      <c r="AB565" s="37">
        <f>'03_原始数据'!C565-0.675*'03_原始数据'!B565-OtherCost</f>
        <v/>
      </c>
      <c r="AC565" s="37">
        <f>'03_原始数据'!C565-0.68*'03_原始数据'!B565-OtherCost</f>
        <v/>
      </c>
      <c r="AD565" s="37">
        <f>'03_原始数据'!C565-0.685*'03_原始数据'!B565-OtherCost</f>
        <v/>
      </c>
      <c r="AE565" s="37">
        <f>'03_原始数据'!C565-0.69*'03_原始数据'!B565-OtherCost</f>
        <v/>
      </c>
      <c r="AF565" s="37">
        <f>'03_原始数据'!C565-0.695*'03_原始数据'!B565-OtherCost</f>
        <v/>
      </c>
      <c r="AG565" s="37">
        <f>'03_原始数据'!C565-0.7*'03_原始数据'!B565-OtherCost</f>
        <v/>
      </c>
    </row>
    <row r="566">
      <c r="M566" s="37">
        <f>'03_原始数据'!C566-0.6*'03_原始数据'!B566-OtherCost</f>
        <v/>
      </c>
      <c r="N566" s="37">
        <f>'03_原始数据'!C566-0.605*'03_原始数据'!B566-OtherCost</f>
        <v/>
      </c>
      <c r="O566" s="37">
        <f>'03_原始数据'!C566-0.61*'03_原始数据'!B566-OtherCost</f>
        <v/>
      </c>
      <c r="P566" s="37">
        <f>'03_原始数据'!C566-0.615*'03_原始数据'!B566-OtherCost</f>
        <v/>
      </c>
      <c r="Q566" s="37">
        <f>'03_原始数据'!C566-0.62*'03_原始数据'!B566-OtherCost</f>
        <v/>
      </c>
      <c r="R566" s="37">
        <f>'03_原始数据'!C566-0.625*'03_原始数据'!B566-OtherCost</f>
        <v/>
      </c>
      <c r="S566" s="37">
        <f>'03_原始数据'!C566-0.63*'03_原始数据'!B566-OtherCost</f>
        <v/>
      </c>
      <c r="T566" s="37">
        <f>'03_原始数据'!C566-0.635*'03_原始数据'!B566-OtherCost</f>
        <v/>
      </c>
      <c r="U566" s="37">
        <f>'03_原始数据'!C566-0.64*'03_原始数据'!B566-OtherCost</f>
        <v/>
      </c>
      <c r="V566" s="37">
        <f>'03_原始数据'!C566-0.645*'03_原始数据'!B566-OtherCost</f>
        <v/>
      </c>
      <c r="W566" s="37">
        <f>'03_原始数据'!C566-0.65*'03_原始数据'!B566-OtherCost</f>
        <v/>
      </c>
      <c r="X566" s="37">
        <f>'03_原始数据'!C566-0.655*'03_原始数据'!B566-OtherCost</f>
        <v/>
      </c>
      <c r="Y566" s="37">
        <f>'03_原始数据'!C566-0.66*'03_原始数据'!B566-OtherCost</f>
        <v/>
      </c>
      <c r="Z566" s="37">
        <f>'03_原始数据'!C566-0.665*'03_原始数据'!B566-OtherCost</f>
        <v/>
      </c>
      <c r="AA566" s="37">
        <f>'03_原始数据'!C566-0.67*'03_原始数据'!B566-OtherCost</f>
        <v/>
      </c>
      <c r="AB566" s="37">
        <f>'03_原始数据'!C566-0.675*'03_原始数据'!B566-OtherCost</f>
        <v/>
      </c>
      <c r="AC566" s="37">
        <f>'03_原始数据'!C566-0.68*'03_原始数据'!B566-OtherCost</f>
        <v/>
      </c>
      <c r="AD566" s="37">
        <f>'03_原始数据'!C566-0.685*'03_原始数据'!B566-OtherCost</f>
        <v/>
      </c>
      <c r="AE566" s="37">
        <f>'03_原始数据'!C566-0.69*'03_原始数据'!B566-OtherCost</f>
        <v/>
      </c>
      <c r="AF566" s="37">
        <f>'03_原始数据'!C566-0.695*'03_原始数据'!B566-OtherCost</f>
        <v/>
      </c>
      <c r="AG566" s="37">
        <f>'03_原始数据'!C566-0.7*'03_原始数据'!B566-OtherCost</f>
        <v/>
      </c>
    </row>
    <row r="567">
      <c r="M567" s="37">
        <f>'03_原始数据'!C567-0.6*'03_原始数据'!B567-OtherCost</f>
        <v/>
      </c>
      <c r="N567" s="37">
        <f>'03_原始数据'!C567-0.605*'03_原始数据'!B567-OtherCost</f>
        <v/>
      </c>
      <c r="O567" s="37">
        <f>'03_原始数据'!C567-0.61*'03_原始数据'!B567-OtherCost</f>
        <v/>
      </c>
      <c r="P567" s="37">
        <f>'03_原始数据'!C567-0.615*'03_原始数据'!B567-OtherCost</f>
        <v/>
      </c>
      <c r="Q567" s="37">
        <f>'03_原始数据'!C567-0.62*'03_原始数据'!B567-OtherCost</f>
        <v/>
      </c>
      <c r="R567" s="37">
        <f>'03_原始数据'!C567-0.625*'03_原始数据'!B567-OtherCost</f>
        <v/>
      </c>
      <c r="S567" s="37">
        <f>'03_原始数据'!C567-0.63*'03_原始数据'!B567-OtherCost</f>
        <v/>
      </c>
      <c r="T567" s="37">
        <f>'03_原始数据'!C567-0.635*'03_原始数据'!B567-OtherCost</f>
        <v/>
      </c>
      <c r="U567" s="37">
        <f>'03_原始数据'!C567-0.64*'03_原始数据'!B567-OtherCost</f>
        <v/>
      </c>
      <c r="V567" s="37">
        <f>'03_原始数据'!C567-0.645*'03_原始数据'!B567-OtherCost</f>
        <v/>
      </c>
      <c r="W567" s="37">
        <f>'03_原始数据'!C567-0.65*'03_原始数据'!B567-OtherCost</f>
        <v/>
      </c>
      <c r="X567" s="37">
        <f>'03_原始数据'!C567-0.655*'03_原始数据'!B567-OtherCost</f>
        <v/>
      </c>
      <c r="Y567" s="37">
        <f>'03_原始数据'!C567-0.66*'03_原始数据'!B567-OtherCost</f>
        <v/>
      </c>
      <c r="Z567" s="37">
        <f>'03_原始数据'!C567-0.665*'03_原始数据'!B567-OtherCost</f>
        <v/>
      </c>
      <c r="AA567" s="37">
        <f>'03_原始数据'!C567-0.67*'03_原始数据'!B567-OtherCost</f>
        <v/>
      </c>
      <c r="AB567" s="37">
        <f>'03_原始数据'!C567-0.675*'03_原始数据'!B567-OtherCost</f>
        <v/>
      </c>
      <c r="AC567" s="37">
        <f>'03_原始数据'!C567-0.68*'03_原始数据'!B567-OtherCost</f>
        <v/>
      </c>
      <c r="AD567" s="37">
        <f>'03_原始数据'!C567-0.685*'03_原始数据'!B567-OtherCost</f>
        <v/>
      </c>
      <c r="AE567" s="37">
        <f>'03_原始数据'!C567-0.69*'03_原始数据'!B567-OtherCost</f>
        <v/>
      </c>
      <c r="AF567" s="37">
        <f>'03_原始数据'!C567-0.695*'03_原始数据'!B567-OtherCost</f>
        <v/>
      </c>
      <c r="AG567" s="37">
        <f>'03_原始数据'!C567-0.7*'03_原始数据'!B567-OtherCost</f>
        <v/>
      </c>
    </row>
    <row r="568">
      <c r="M568" s="37">
        <f>'03_原始数据'!C568-0.6*'03_原始数据'!B568-OtherCost</f>
        <v/>
      </c>
      <c r="N568" s="37">
        <f>'03_原始数据'!C568-0.605*'03_原始数据'!B568-OtherCost</f>
        <v/>
      </c>
      <c r="O568" s="37">
        <f>'03_原始数据'!C568-0.61*'03_原始数据'!B568-OtherCost</f>
        <v/>
      </c>
      <c r="P568" s="37">
        <f>'03_原始数据'!C568-0.615*'03_原始数据'!B568-OtherCost</f>
        <v/>
      </c>
      <c r="Q568" s="37">
        <f>'03_原始数据'!C568-0.62*'03_原始数据'!B568-OtherCost</f>
        <v/>
      </c>
      <c r="R568" s="37">
        <f>'03_原始数据'!C568-0.625*'03_原始数据'!B568-OtherCost</f>
        <v/>
      </c>
      <c r="S568" s="37">
        <f>'03_原始数据'!C568-0.63*'03_原始数据'!B568-OtherCost</f>
        <v/>
      </c>
      <c r="T568" s="37">
        <f>'03_原始数据'!C568-0.635*'03_原始数据'!B568-OtherCost</f>
        <v/>
      </c>
      <c r="U568" s="37">
        <f>'03_原始数据'!C568-0.64*'03_原始数据'!B568-OtherCost</f>
        <v/>
      </c>
      <c r="V568" s="37">
        <f>'03_原始数据'!C568-0.645*'03_原始数据'!B568-OtherCost</f>
        <v/>
      </c>
      <c r="W568" s="37">
        <f>'03_原始数据'!C568-0.65*'03_原始数据'!B568-OtherCost</f>
        <v/>
      </c>
      <c r="X568" s="37">
        <f>'03_原始数据'!C568-0.655*'03_原始数据'!B568-OtherCost</f>
        <v/>
      </c>
      <c r="Y568" s="37">
        <f>'03_原始数据'!C568-0.66*'03_原始数据'!B568-OtherCost</f>
        <v/>
      </c>
      <c r="Z568" s="37">
        <f>'03_原始数据'!C568-0.665*'03_原始数据'!B568-OtherCost</f>
        <v/>
      </c>
      <c r="AA568" s="37">
        <f>'03_原始数据'!C568-0.67*'03_原始数据'!B568-OtherCost</f>
        <v/>
      </c>
      <c r="AB568" s="37">
        <f>'03_原始数据'!C568-0.675*'03_原始数据'!B568-OtherCost</f>
        <v/>
      </c>
      <c r="AC568" s="37">
        <f>'03_原始数据'!C568-0.68*'03_原始数据'!B568-OtherCost</f>
        <v/>
      </c>
      <c r="AD568" s="37">
        <f>'03_原始数据'!C568-0.685*'03_原始数据'!B568-OtherCost</f>
        <v/>
      </c>
      <c r="AE568" s="37">
        <f>'03_原始数据'!C568-0.69*'03_原始数据'!B568-OtherCost</f>
        <v/>
      </c>
      <c r="AF568" s="37">
        <f>'03_原始数据'!C568-0.695*'03_原始数据'!B568-OtherCost</f>
        <v/>
      </c>
      <c r="AG568" s="37">
        <f>'03_原始数据'!C568-0.7*'03_原始数据'!B568-OtherCost</f>
        <v/>
      </c>
    </row>
    <row r="569">
      <c r="M569" s="37">
        <f>'03_原始数据'!C569-0.6*'03_原始数据'!B569-OtherCost</f>
        <v/>
      </c>
      <c r="N569" s="37">
        <f>'03_原始数据'!C569-0.605*'03_原始数据'!B569-OtherCost</f>
        <v/>
      </c>
      <c r="O569" s="37">
        <f>'03_原始数据'!C569-0.61*'03_原始数据'!B569-OtherCost</f>
        <v/>
      </c>
      <c r="P569" s="37">
        <f>'03_原始数据'!C569-0.615*'03_原始数据'!B569-OtherCost</f>
        <v/>
      </c>
      <c r="Q569" s="37">
        <f>'03_原始数据'!C569-0.62*'03_原始数据'!B569-OtherCost</f>
        <v/>
      </c>
      <c r="R569" s="37">
        <f>'03_原始数据'!C569-0.625*'03_原始数据'!B569-OtherCost</f>
        <v/>
      </c>
      <c r="S569" s="37">
        <f>'03_原始数据'!C569-0.63*'03_原始数据'!B569-OtherCost</f>
        <v/>
      </c>
      <c r="T569" s="37">
        <f>'03_原始数据'!C569-0.635*'03_原始数据'!B569-OtherCost</f>
        <v/>
      </c>
      <c r="U569" s="37">
        <f>'03_原始数据'!C569-0.64*'03_原始数据'!B569-OtherCost</f>
        <v/>
      </c>
      <c r="V569" s="37">
        <f>'03_原始数据'!C569-0.645*'03_原始数据'!B569-OtherCost</f>
        <v/>
      </c>
      <c r="W569" s="37">
        <f>'03_原始数据'!C569-0.65*'03_原始数据'!B569-OtherCost</f>
        <v/>
      </c>
      <c r="X569" s="37">
        <f>'03_原始数据'!C569-0.655*'03_原始数据'!B569-OtherCost</f>
        <v/>
      </c>
      <c r="Y569" s="37">
        <f>'03_原始数据'!C569-0.66*'03_原始数据'!B569-OtherCost</f>
        <v/>
      </c>
      <c r="Z569" s="37">
        <f>'03_原始数据'!C569-0.665*'03_原始数据'!B569-OtherCost</f>
        <v/>
      </c>
      <c r="AA569" s="37">
        <f>'03_原始数据'!C569-0.67*'03_原始数据'!B569-OtherCost</f>
        <v/>
      </c>
      <c r="AB569" s="37">
        <f>'03_原始数据'!C569-0.675*'03_原始数据'!B569-OtherCost</f>
        <v/>
      </c>
      <c r="AC569" s="37">
        <f>'03_原始数据'!C569-0.68*'03_原始数据'!B569-OtherCost</f>
        <v/>
      </c>
      <c r="AD569" s="37">
        <f>'03_原始数据'!C569-0.685*'03_原始数据'!B569-OtherCost</f>
        <v/>
      </c>
      <c r="AE569" s="37">
        <f>'03_原始数据'!C569-0.69*'03_原始数据'!B569-OtherCost</f>
        <v/>
      </c>
      <c r="AF569" s="37">
        <f>'03_原始数据'!C569-0.695*'03_原始数据'!B569-OtherCost</f>
        <v/>
      </c>
      <c r="AG569" s="37">
        <f>'03_原始数据'!C569-0.7*'03_原始数据'!B569-OtherCost</f>
        <v/>
      </c>
    </row>
    <row r="570">
      <c r="M570" s="37">
        <f>'03_原始数据'!C570-0.6*'03_原始数据'!B570-OtherCost</f>
        <v/>
      </c>
      <c r="N570" s="37">
        <f>'03_原始数据'!C570-0.605*'03_原始数据'!B570-OtherCost</f>
        <v/>
      </c>
      <c r="O570" s="37">
        <f>'03_原始数据'!C570-0.61*'03_原始数据'!B570-OtherCost</f>
        <v/>
      </c>
      <c r="P570" s="37">
        <f>'03_原始数据'!C570-0.615*'03_原始数据'!B570-OtherCost</f>
        <v/>
      </c>
      <c r="Q570" s="37">
        <f>'03_原始数据'!C570-0.62*'03_原始数据'!B570-OtherCost</f>
        <v/>
      </c>
      <c r="R570" s="37">
        <f>'03_原始数据'!C570-0.625*'03_原始数据'!B570-OtherCost</f>
        <v/>
      </c>
      <c r="S570" s="37">
        <f>'03_原始数据'!C570-0.63*'03_原始数据'!B570-OtherCost</f>
        <v/>
      </c>
      <c r="T570" s="37">
        <f>'03_原始数据'!C570-0.635*'03_原始数据'!B570-OtherCost</f>
        <v/>
      </c>
      <c r="U570" s="37">
        <f>'03_原始数据'!C570-0.64*'03_原始数据'!B570-OtherCost</f>
        <v/>
      </c>
      <c r="V570" s="37">
        <f>'03_原始数据'!C570-0.645*'03_原始数据'!B570-OtherCost</f>
        <v/>
      </c>
      <c r="W570" s="37">
        <f>'03_原始数据'!C570-0.65*'03_原始数据'!B570-OtherCost</f>
        <v/>
      </c>
      <c r="X570" s="37">
        <f>'03_原始数据'!C570-0.655*'03_原始数据'!B570-OtherCost</f>
        <v/>
      </c>
      <c r="Y570" s="37">
        <f>'03_原始数据'!C570-0.66*'03_原始数据'!B570-OtherCost</f>
        <v/>
      </c>
      <c r="Z570" s="37">
        <f>'03_原始数据'!C570-0.665*'03_原始数据'!B570-OtherCost</f>
        <v/>
      </c>
      <c r="AA570" s="37">
        <f>'03_原始数据'!C570-0.67*'03_原始数据'!B570-OtherCost</f>
        <v/>
      </c>
      <c r="AB570" s="37">
        <f>'03_原始数据'!C570-0.675*'03_原始数据'!B570-OtherCost</f>
        <v/>
      </c>
      <c r="AC570" s="37">
        <f>'03_原始数据'!C570-0.68*'03_原始数据'!B570-OtherCost</f>
        <v/>
      </c>
      <c r="AD570" s="37">
        <f>'03_原始数据'!C570-0.685*'03_原始数据'!B570-OtherCost</f>
        <v/>
      </c>
      <c r="AE570" s="37">
        <f>'03_原始数据'!C570-0.69*'03_原始数据'!B570-OtherCost</f>
        <v/>
      </c>
      <c r="AF570" s="37">
        <f>'03_原始数据'!C570-0.695*'03_原始数据'!B570-OtherCost</f>
        <v/>
      </c>
      <c r="AG570" s="37">
        <f>'03_原始数据'!C570-0.7*'03_原始数据'!B570-OtherCost</f>
        <v/>
      </c>
    </row>
    <row r="571">
      <c r="M571" s="37">
        <f>'03_原始数据'!C571-0.6*'03_原始数据'!B571-OtherCost</f>
        <v/>
      </c>
      <c r="N571" s="37">
        <f>'03_原始数据'!C571-0.605*'03_原始数据'!B571-OtherCost</f>
        <v/>
      </c>
      <c r="O571" s="37">
        <f>'03_原始数据'!C571-0.61*'03_原始数据'!B571-OtherCost</f>
        <v/>
      </c>
      <c r="P571" s="37">
        <f>'03_原始数据'!C571-0.615*'03_原始数据'!B571-OtherCost</f>
        <v/>
      </c>
      <c r="Q571" s="37">
        <f>'03_原始数据'!C571-0.62*'03_原始数据'!B571-OtherCost</f>
        <v/>
      </c>
      <c r="R571" s="37">
        <f>'03_原始数据'!C571-0.625*'03_原始数据'!B571-OtherCost</f>
        <v/>
      </c>
      <c r="S571" s="37">
        <f>'03_原始数据'!C571-0.63*'03_原始数据'!B571-OtherCost</f>
        <v/>
      </c>
      <c r="T571" s="37">
        <f>'03_原始数据'!C571-0.635*'03_原始数据'!B571-OtherCost</f>
        <v/>
      </c>
      <c r="U571" s="37">
        <f>'03_原始数据'!C571-0.64*'03_原始数据'!B571-OtherCost</f>
        <v/>
      </c>
      <c r="V571" s="37">
        <f>'03_原始数据'!C571-0.645*'03_原始数据'!B571-OtherCost</f>
        <v/>
      </c>
      <c r="W571" s="37">
        <f>'03_原始数据'!C571-0.65*'03_原始数据'!B571-OtherCost</f>
        <v/>
      </c>
      <c r="X571" s="37">
        <f>'03_原始数据'!C571-0.655*'03_原始数据'!B571-OtherCost</f>
        <v/>
      </c>
      <c r="Y571" s="37">
        <f>'03_原始数据'!C571-0.66*'03_原始数据'!B571-OtherCost</f>
        <v/>
      </c>
      <c r="Z571" s="37">
        <f>'03_原始数据'!C571-0.665*'03_原始数据'!B571-OtherCost</f>
        <v/>
      </c>
      <c r="AA571" s="37">
        <f>'03_原始数据'!C571-0.67*'03_原始数据'!B571-OtherCost</f>
        <v/>
      </c>
      <c r="AB571" s="37">
        <f>'03_原始数据'!C571-0.675*'03_原始数据'!B571-OtherCost</f>
        <v/>
      </c>
      <c r="AC571" s="37">
        <f>'03_原始数据'!C571-0.68*'03_原始数据'!B571-OtherCost</f>
        <v/>
      </c>
      <c r="AD571" s="37">
        <f>'03_原始数据'!C571-0.685*'03_原始数据'!B571-OtherCost</f>
        <v/>
      </c>
      <c r="AE571" s="37">
        <f>'03_原始数据'!C571-0.69*'03_原始数据'!B571-OtherCost</f>
        <v/>
      </c>
      <c r="AF571" s="37">
        <f>'03_原始数据'!C571-0.695*'03_原始数据'!B571-OtherCost</f>
        <v/>
      </c>
      <c r="AG571" s="37">
        <f>'03_原始数据'!C571-0.7*'03_原始数据'!B571-OtherCost</f>
        <v/>
      </c>
    </row>
    <row r="572">
      <c r="M572" s="37">
        <f>'03_原始数据'!C572-0.6*'03_原始数据'!B572-OtherCost</f>
        <v/>
      </c>
      <c r="N572" s="37">
        <f>'03_原始数据'!C572-0.605*'03_原始数据'!B572-OtherCost</f>
        <v/>
      </c>
      <c r="O572" s="37">
        <f>'03_原始数据'!C572-0.61*'03_原始数据'!B572-OtherCost</f>
        <v/>
      </c>
      <c r="P572" s="37">
        <f>'03_原始数据'!C572-0.615*'03_原始数据'!B572-OtherCost</f>
        <v/>
      </c>
      <c r="Q572" s="37">
        <f>'03_原始数据'!C572-0.62*'03_原始数据'!B572-OtherCost</f>
        <v/>
      </c>
      <c r="R572" s="37">
        <f>'03_原始数据'!C572-0.625*'03_原始数据'!B572-OtherCost</f>
        <v/>
      </c>
      <c r="S572" s="37">
        <f>'03_原始数据'!C572-0.63*'03_原始数据'!B572-OtherCost</f>
        <v/>
      </c>
      <c r="T572" s="37">
        <f>'03_原始数据'!C572-0.635*'03_原始数据'!B572-OtherCost</f>
        <v/>
      </c>
      <c r="U572" s="37">
        <f>'03_原始数据'!C572-0.64*'03_原始数据'!B572-OtherCost</f>
        <v/>
      </c>
      <c r="V572" s="37">
        <f>'03_原始数据'!C572-0.645*'03_原始数据'!B572-OtherCost</f>
        <v/>
      </c>
      <c r="W572" s="37">
        <f>'03_原始数据'!C572-0.65*'03_原始数据'!B572-OtherCost</f>
        <v/>
      </c>
      <c r="X572" s="37">
        <f>'03_原始数据'!C572-0.655*'03_原始数据'!B572-OtherCost</f>
        <v/>
      </c>
      <c r="Y572" s="37">
        <f>'03_原始数据'!C572-0.66*'03_原始数据'!B572-OtherCost</f>
        <v/>
      </c>
      <c r="Z572" s="37">
        <f>'03_原始数据'!C572-0.665*'03_原始数据'!B572-OtherCost</f>
        <v/>
      </c>
      <c r="AA572" s="37">
        <f>'03_原始数据'!C572-0.67*'03_原始数据'!B572-OtherCost</f>
        <v/>
      </c>
      <c r="AB572" s="37">
        <f>'03_原始数据'!C572-0.675*'03_原始数据'!B572-OtherCost</f>
        <v/>
      </c>
      <c r="AC572" s="37">
        <f>'03_原始数据'!C572-0.68*'03_原始数据'!B572-OtherCost</f>
        <v/>
      </c>
      <c r="AD572" s="37">
        <f>'03_原始数据'!C572-0.685*'03_原始数据'!B572-OtherCost</f>
        <v/>
      </c>
      <c r="AE572" s="37">
        <f>'03_原始数据'!C572-0.69*'03_原始数据'!B572-OtherCost</f>
        <v/>
      </c>
      <c r="AF572" s="37">
        <f>'03_原始数据'!C572-0.695*'03_原始数据'!B572-OtherCost</f>
        <v/>
      </c>
      <c r="AG572" s="37">
        <f>'03_原始数据'!C572-0.7*'03_原始数据'!B572-OtherCost</f>
        <v/>
      </c>
    </row>
    <row r="573">
      <c r="M573" s="37">
        <f>'03_原始数据'!C573-0.6*'03_原始数据'!B573-OtherCost</f>
        <v/>
      </c>
      <c r="N573" s="37">
        <f>'03_原始数据'!C573-0.605*'03_原始数据'!B573-OtherCost</f>
        <v/>
      </c>
      <c r="O573" s="37">
        <f>'03_原始数据'!C573-0.61*'03_原始数据'!B573-OtherCost</f>
        <v/>
      </c>
      <c r="P573" s="37">
        <f>'03_原始数据'!C573-0.615*'03_原始数据'!B573-OtherCost</f>
        <v/>
      </c>
      <c r="Q573" s="37">
        <f>'03_原始数据'!C573-0.62*'03_原始数据'!B573-OtherCost</f>
        <v/>
      </c>
      <c r="R573" s="37">
        <f>'03_原始数据'!C573-0.625*'03_原始数据'!B573-OtherCost</f>
        <v/>
      </c>
      <c r="S573" s="37">
        <f>'03_原始数据'!C573-0.63*'03_原始数据'!B573-OtherCost</f>
        <v/>
      </c>
      <c r="T573" s="37">
        <f>'03_原始数据'!C573-0.635*'03_原始数据'!B573-OtherCost</f>
        <v/>
      </c>
      <c r="U573" s="37">
        <f>'03_原始数据'!C573-0.64*'03_原始数据'!B573-OtherCost</f>
        <v/>
      </c>
      <c r="V573" s="37">
        <f>'03_原始数据'!C573-0.645*'03_原始数据'!B573-OtherCost</f>
        <v/>
      </c>
      <c r="W573" s="37">
        <f>'03_原始数据'!C573-0.65*'03_原始数据'!B573-OtherCost</f>
        <v/>
      </c>
      <c r="X573" s="37">
        <f>'03_原始数据'!C573-0.655*'03_原始数据'!B573-OtherCost</f>
        <v/>
      </c>
      <c r="Y573" s="37">
        <f>'03_原始数据'!C573-0.66*'03_原始数据'!B573-OtherCost</f>
        <v/>
      </c>
      <c r="Z573" s="37">
        <f>'03_原始数据'!C573-0.665*'03_原始数据'!B573-OtherCost</f>
        <v/>
      </c>
      <c r="AA573" s="37">
        <f>'03_原始数据'!C573-0.67*'03_原始数据'!B573-OtherCost</f>
        <v/>
      </c>
      <c r="AB573" s="37">
        <f>'03_原始数据'!C573-0.675*'03_原始数据'!B573-OtherCost</f>
        <v/>
      </c>
      <c r="AC573" s="37">
        <f>'03_原始数据'!C573-0.68*'03_原始数据'!B573-OtherCost</f>
        <v/>
      </c>
      <c r="AD573" s="37">
        <f>'03_原始数据'!C573-0.685*'03_原始数据'!B573-OtherCost</f>
        <v/>
      </c>
      <c r="AE573" s="37">
        <f>'03_原始数据'!C573-0.69*'03_原始数据'!B573-OtherCost</f>
        <v/>
      </c>
      <c r="AF573" s="37">
        <f>'03_原始数据'!C573-0.695*'03_原始数据'!B573-OtherCost</f>
        <v/>
      </c>
      <c r="AG573" s="37">
        <f>'03_原始数据'!C573-0.7*'03_原始数据'!B573-OtherCost</f>
        <v/>
      </c>
    </row>
    <row r="574">
      <c r="M574" s="37">
        <f>'03_原始数据'!C574-0.6*'03_原始数据'!B574-OtherCost</f>
        <v/>
      </c>
      <c r="N574" s="37">
        <f>'03_原始数据'!C574-0.605*'03_原始数据'!B574-OtherCost</f>
        <v/>
      </c>
      <c r="O574" s="37">
        <f>'03_原始数据'!C574-0.61*'03_原始数据'!B574-OtherCost</f>
        <v/>
      </c>
      <c r="P574" s="37">
        <f>'03_原始数据'!C574-0.615*'03_原始数据'!B574-OtherCost</f>
        <v/>
      </c>
      <c r="Q574" s="37">
        <f>'03_原始数据'!C574-0.62*'03_原始数据'!B574-OtherCost</f>
        <v/>
      </c>
      <c r="R574" s="37">
        <f>'03_原始数据'!C574-0.625*'03_原始数据'!B574-OtherCost</f>
        <v/>
      </c>
      <c r="S574" s="37">
        <f>'03_原始数据'!C574-0.63*'03_原始数据'!B574-OtherCost</f>
        <v/>
      </c>
      <c r="T574" s="37">
        <f>'03_原始数据'!C574-0.635*'03_原始数据'!B574-OtherCost</f>
        <v/>
      </c>
      <c r="U574" s="37">
        <f>'03_原始数据'!C574-0.64*'03_原始数据'!B574-OtherCost</f>
        <v/>
      </c>
      <c r="V574" s="37">
        <f>'03_原始数据'!C574-0.645*'03_原始数据'!B574-OtherCost</f>
        <v/>
      </c>
      <c r="W574" s="37">
        <f>'03_原始数据'!C574-0.65*'03_原始数据'!B574-OtherCost</f>
        <v/>
      </c>
      <c r="X574" s="37">
        <f>'03_原始数据'!C574-0.655*'03_原始数据'!B574-OtherCost</f>
        <v/>
      </c>
      <c r="Y574" s="37">
        <f>'03_原始数据'!C574-0.66*'03_原始数据'!B574-OtherCost</f>
        <v/>
      </c>
      <c r="Z574" s="37">
        <f>'03_原始数据'!C574-0.665*'03_原始数据'!B574-OtherCost</f>
        <v/>
      </c>
      <c r="AA574" s="37">
        <f>'03_原始数据'!C574-0.67*'03_原始数据'!B574-OtherCost</f>
        <v/>
      </c>
      <c r="AB574" s="37">
        <f>'03_原始数据'!C574-0.675*'03_原始数据'!B574-OtherCost</f>
        <v/>
      </c>
      <c r="AC574" s="37">
        <f>'03_原始数据'!C574-0.68*'03_原始数据'!B574-OtherCost</f>
        <v/>
      </c>
      <c r="AD574" s="37">
        <f>'03_原始数据'!C574-0.685*'03_原始数据'!B574-OtherCost</f>
        <v/>
      </c>
      <c r="AE574" s="37">
        <f>'03_原始数据'!C574-0.69*'03_原始数据'!B574-OtherCost</f>
        <v/>
      </c>
      <c r="AF574" s="37">
        <f>'03_原始数据'!C574-0.695*'03_原始数据'!B574-OtherCost</f>
        <v/>
      </c>
      <c r="AG574" s="37">
        <f>'03_原始数据'!C574-0.7*'03_原始数据'!B574-OtherCost</f>
        <v/>
      </c>
    </row>
    <row r="575">
      <c r="M575" s="37">
        <f>'03_原始数据'!C575-0.6*'03_原始数据'!B575-OtherCost</f>
        <v/>
      </c>
      <c r="N575" s="37">
        <f>'03_原始数据'!C575-0.605*'03_原始数据'!B575-OtherCost</f>
        <v/>
      </c>
      <c r="O575" s="37">
        <f>'03_原始数据'!C575-0.61*'03_原始数据'!B575-OtherCost</f>
        <v/>
      </c>
      <c r="P575" s="37">
        <f>'03_原始数据'!C575-0.615*'03_原始数据'!B575-OtherCost</f>
        <v/>
      </c>
      <c r="Q575" s="37">
        <f>'03_原始数据'!C575-0.62*'03_原始数据'!B575-OtherCost</f>
        <v/>
      </c>
      <c r="R575" s="37">
        <f>'03_原始数据'!C575-0.625*'03_原始数据'!B575-OtherCost</f>
        <v/>
      </c>
      <c r="S575" s="37">
        <f>'03_原始数据'!C575-0.63*'03_原始数据'!B575-OtherCost</f>
        <v/>
      </c>
      <c r="T575" s="37">
        <f>'03_原始数据'!C575-0.635*'03_原始数据'!B575-OtherCost</f>
        <v/>
      </c>
      <c r="U575" s="37">
        <f>'03_原始数据'!C575-0.64*'03_原始数据'!B575-OtherCost</f>
        <v/>
      </c>
      <c r="V575" s="37">
        <f>'03_原始数据'!C575-0.645*'03_原始数据'!B575-OtherCost</f>
        <v/>
      </c>
      <c r="W575" s="37">
        <f>'03_原始数据'!C575-0.65*'03_原始数据'!B575-OtherCost</f>
        <v/>
      </c>
      <c r="X575" s="37">
        <f>'03_原始数据'!C575-0.655*'03_原始数据'!B575-OtherCost</f>
        <v/>
      </c>
      <c r="Y575" s="37">
        <f>'03_原始数据'!C575-0.66*'03_原始数据'!B575-OtherCost</f>
        <v/>
      </c>
      <c r="Z575" s="37">
        <f>'03_原始数据'!C575-0.665*'03_原始数据'!B575-OtherCost</f>
        <v/>
      </c>
      <c r="AA575" s="37">
        <f>'03_原始数据'!C575-0.67*'03_原始数据'!B575-OtherCost</f>
        <v/>
      </c>
      <c r="AB575" s="37">
        <f>'03_原始数据'!C575-0.675*'03_原始数据'!B575-OtherCost</f>
        <v/>
      </c>
      <c r="AC575" s="37">
        <f>'03_原始数据'!C575-0.68*'03_原始数据'!B575-OtherCost</f>
        <v/>
      </c>
      <c r="AD575" s="37">
        <f>'03_原始数据'!C575-0.685*'03_原始数据'!B575-OtherCost</f>
        <v/>
      </c>
      <c r="AE575" s="37">
        <f>'03_原始数据'!C575-0.69*'03_原始数据'!B575-OtherCost</f>
        <v/>
      </c>
      <c r="AF575" s="37">
        <f>'03_原始数据'!C575-0.695*'03_原始数据'!B575-OtherCost</f>
        <v/>
      </c>
      <c r="AG575" s="37">
        <f>'03_原始数据'!C575-0.7*'03_原始数据'!B575-OtherCost</f>
        <v/>
      </c>
    </row>
    <row r="576">
      <c r="M576" s="37">
        <f>'03_原始数据'!C576-0.6*'03_原始数据'!B576-OtherCost</f>
        <v/>
      </c>
      <c r="N576" s="37">
        <f>'03_原始数据'!C576-0.605*'03_原始数据'!B576-OtherCost</f>
        <v/>
      </c>
      <c r="O576" s="37">
        <f>'03_原始数据'!C576-0.61*'03_原始数据'!B576-OtherCost</f>
        <v/>
      </c>
      <c r="P576" s="37">
        <f>'03_原始数据'!C576-0.615*'03_原始数据'!B576-OtherCost</f>
        <v/>
      </c>
      <c r="Q576" s="37">
        <f>'03_原始数据'!C576-0.62*'03_原始数据'!B576-OtherCost</f>
        <v/>
      </c>
      <c r="R576" s="37">
        <f>'03_原始数据'!C576-0.625*'03_原始数据'!B576-OtherCost</f>
        <v/>
      </c>
      <c r="S576" s="37">
        <f>'03_原始数据'!C576-0.63*'03_原始数据'!B576-OtherCost</f>
        <v/>
      </c>
      <c r="T576" s="37">
        <f>'03_原始数据'!C576-0.635*'03_原始数据'!B576-OtherCost</f>
        <v/>
      </c>
      <c r="U576" s="37">
        <f>'03_原始数据'!C576-0.64*'03_原始数据'!B576-OtherCost</f>
        <v/>
      </c>
      <c r="V576" s="37">
        <f>'03_原始数据'!C576-0.645*'03_原始数据'!B576-OtherCost</f>
        <v/>
      </c>
      <c r="W576" s="37">
        <f>'03_原始数据'!C576-0.65*'03_原始数据'!B576-OtherCost</f>
        <v/>
      </c>
      <c r="X576" s="37">
        <f>'03_原始数据'!C576-0.655*'03_原始数据'!B576-OtherCost</f>
        <v/>
      </c>
      <c r="Y576" s="37">
        <f>'03_原始数据'!C576-0.66*'03_原始数据'!B576-OtherCost</f>
        <v/>
      </c>
      <c r="Z576" s="37">
        <f>'03_原始数据'!C576-0.665*'03_原始数据'!B576-OtherCost</f>
        <v/>
      </c>
      <c r="AA576" s="37">
        <f>'03_原始数据'!C576-0.67*'03_原始数据'!B576-OtherCost</f>
        <v/>
      </c>
      <c r="AB576" s="37">
        <f>'03_原始数据'!C576-0.675*'03_原始数据'!B576-OtherCost</f>
        <v/>
      </c>
      <c r="AC576" s="37">
        <f>'03_原始数据'!C576-0.68*'03_原始数据'!B576-OtherCost</f>
        <v/>
      </c>
      <c r="AD576" s="37">
        <f>'03_原始数据'!C576-0.685*'03_原始数据'!B576-OtherCost</f>
        <v/>
      </c>
      <c r="AE576" s="37">
        <f>'03_原始数据'!C576-0.69*'03_原始数据'!B576-OtherCost</f>
        <v/>
      </c>
      <c r="AF576" s="37">
        <f>'03_原始数据'!C576-0.695*'03_原始数据'!B576-OtherCost</f>
        <v/>
      </c>
      <c r="AG576" s="37">
        <f>'03_原始数据'!C576-0.7*'03_原始数据'!B576-OtherCost</f>
        <v/>
      </c>
    </row>
    <row r="577">
      <c r="M577" s="37">
        <f>'03_原始数据'!C577-0.6*'03_原始数据'!B577-OtherCost</f>
        <v/>
      </c>
      <c r="N577" s="37">
        <f>'03_原始数据'!C577-0.605*'03_原始数据'!B577-OtherCost</f>
        <v/>
      </c>
      <c r="O577" s="37">
        <f>'03_原始数据'!C577-0.61*'03_原始数据'!B577-OtherCost</f>
        <v/>
      </c>
      <c r="P577" s="37">
        <f>'03_原始数据'!C577-0.615*'03_原始数据'!B577-OtherCost</f>
        <v/>
      </c>
      <c r="Q577" s="37">
        <f>'03_原始数据'!C577-0.62*'03_原始数据'!B577-OtherCost</f>
        <v/>
      </c>
      <c r="R577" s="37">
        <f>'03_原始数据'!C577-0.625*'03_原始数据'!B577-OtherCost</f>
        <v/>
      </c>
      <c r="S577" s="37">
        <f>'03_原始数据'!C577-0.63*'03_原始数据'!B577-OtherCost</f>
        <v/>
      </c>
      <c r="T577" s="37">
        <f>'03_原始数据'!C577-0.635*'03_原始数据'!B577-OtherCost</f>
        <v/>
      </c>
      <c r="U577" s="37">
        <f>'03_原始数据'!C577-0.64*'03_原始数据'!B577-OtherCost</f>
        <v/>
      </c>
      <c r="V577" s="37">
        <f>'03_原始数据'!C577-0.645*'03_原始数据'!B577-OtherCost</f>
        <v/>
      </c>
      <c r="W577" s="37">
        <f>'03_原始数据'!C577-0.65*'03_原始数据'!B577-OtherCost</f>
        <v/>
      </c>
      <c r="X577" s="37">
        <f>'03_原始数据'!C577-0.655*'03_原始数据'!B577-OtherCost</f>
        <v/>
      </c>
      <c r="Y577" s="37">
        <f>'03_原始数据'!C577-0.66*'03_原始数据'!B577-OtherCost</f>
        <v/>
      </c>
      <c r="Z577" s="37">
        <f>'03_原始数据'!C577-0.665*'03_原始数据'!B577-OtherCost</f>
        <v/>
      </c>
      <c r="AA577" s="37">
        <f>'03_原始数据'!C577-0.67*'03_原始数据'!B577-OtherCost</f>
        <v/>
      </c>
      <c r="AB577" s="37">
        <f>'03_原始数据'!C577-0.675*'03_原始数据'!B577-OtherCost</f>
        <v/>
      </c>
      <c r="AC577" s="37">
        <f>'03_原始数据'!C577-0.68*'03_原始数据'!B577-OtherCost</f>
        <v/>
      </c>
      <c r="AD577" s="37">
        <f>'03_原始数据'!C577-0.685*'03_原始数据'!B577-OtherCost</f>
        <v/>
      </c>
      <c r="AE577" s="37">
        <f>'03_原始数据'!C577-0.69*'03_原始数据'!B577-OtherCost</f>
        <v/>
      </c>
      <c r="AF577" s="37">
        <f>'03_原始数据'!C577-0.695*'03_原始数据'!B577-OtherCost</f>
        <v/>
      </c>
      <c r="AG577" s="37">
        <f>'03_原始数据'!C577-0.7*'03_原始数据'!B577-OtherCost</f>
        <v/>
      </c>
    </row>
    <row r="578">
      <c r="M578" s="37">
        <f>'03_原始数据'!C578-0.6*'03_原始数据'!B578-OtherCost</f>
        <v/>
      </c>
      <c r="N578" s="37">
        <f>'03_原始数据'!C578-0.605*'03_原始数据'!B578-OtherCost</f>
        <v/>
      </c>
      <c r="O578" s="37">
        <f>'03_原始数据'!C578-0.61*'03_原始数据'!B578-OtherCost</f>
        <v/>
      </c>
      <c r="P578" s="37">
        <f>'03_原始数据'!C578-0.615*'03_原始数据'!B578-OtherCost</f>
        <v/>
      </c>
      <c r="Q578" s="37">
        <f>'03_原始数据'!C578-0.62*'03_原始数据'!B578-OtherCost</f>
        <v/>
      </c>
      <c r="R578" s="37">
        <f>'03_原始数据'!C578-0.625*'03_原始数据'!B578-OtherCost</f>
        <v/>
      </c>
      <c r="S578" s="37">
        <f>'03_原始数据'!C578-0.63*'03_原始数据'!B578-OtherCost</f>
        <v/>
      </c>
      <c r="T578" s="37">
        <f>'03_原始数据'!C578-0.635*'03_原始数据'!B578-OtherCost</f>
        <v/>
      </c>
      <c r="U578" s="37">
        <f>'03_原始数据'!C578-0.64*'03_原始数据'!B578-OtherCost</f>
        <v/>
      </c>
      <c r="V578" s="37">
        <f>'03_原始数据'!C578-0.645*'03_原始数据'!B578-OtherCost</f>
        <v/>
      </c>
      <c r="W578" s="37">
        <f>'03_原始数据'!C578-0.65*'03_原始数据'!B578-OtherCost</f>
        <v/>
      </c>
      <c r="X578" s="37">
        <f>'03_原始数据'!C578-0.655*'03_原始数据'!B578-OtherCost</f>
        <v/>
      </c>
      <c r="Y578" s="37">
        <f>'03_原始数据'!C578-0.66*'03_原始数据'!B578-OtherCost</f>
        <v/>
      </c>
      <c r="Z578" s="37">
        <f>'03_原始数据'!C578-0.665*'03_原始数据'!B578-OtherCost</f>
        <v/>
      </c>
      <c r="AA578" s="37">
        <f>'03_原始数据'!C578-0.67*'03_原始数据'!B578-OtherCost</f>
        <v/>
      </c>
      <c r="AB578" s="37">
        <f>'03_原始数据'!C578-0.675*'03_原始数据'!B578-OtherCost</f>
        <v/>
      </c>
      <c r="AC578" s="37">
        <f>'03_原始数据'!C578-0.68*'03_原始数据'!B578-OtherCost</f>
        <v/>
      </c>
      <c r="AD578" s="37">
        <f>'03_原始数据'!C578-0.685*'03_原始数据'!B578-OtherCost</f>
        <v/>
      </c>
      <c r="AE578" s="37">
        <f>'03_原始数据'!C578-0.69*'03_原始数据'!B578-OtherCost</f>
        <v/>
      </c>
      <c r="AF578" s="37">
        <f>'03_原始数据'!C578-0.695*'03_原始数据'!B578-OtherCost</f>
        <v/>
      </c>
      <c r="AG578" s="37">
        <f>'03_原始数据'!C578-0.7*'03_原始数据'!B578-OtherCost</f>
        <v/>
      </c>
    </row>
    <row r="579">
      <c r="M579" s="37">
        <f>'03_原始数据'!C579-0.6*'03_原始数据'!B579-OtherCost</f>
        <v/>
      </c>
      <c r="N579" s="37">
        <f>'03_原始数据'!C579-0.605*'03_原始数据'!B579-OtherCost</f>
        <v/>
      </c>
      <c r="O579" s="37">
        <f>'03_原始数据'!C579-0.61*'03_原始数据'!B579-OtherCost</f>
        <v/>
      </c>
      <c r="P579" s="37">
        <f>'03_原始数据'!C579-0.615*'03_原始数据'!B579-OtherCost</f>
        <v/>
      </c>
      <c r="Q579" s="37">
        <f>'03_原始数据'!C579-0.62*'03_原始数据'!B579-OtherCost</f>
        <v/>
      </c>
      <c r="R579" s="37">
        <f>'03_原始数据'!C579-0.625*'03_原始数据'!B579-OtherCost</f>
        <v/>
      </c>
      <c r="S579" s="37">
        <f>'03_原始数据'!C579-0.63*'03_原始数据'!B579-OtherCost</f>
        <v/>
      </c>
      <c r="T579" s="37">
        <f>'03_原始数据'!C579-0.635*'03_原始数据'!B579-OtherCost</f>
        <v/>
      </c>
      <c r="U579" s="37">
        <f>'03_原始数据'!C579-0.64*'03_原始数据'!B579-OtherCost</f>
        <v/>
      </c>
      <c r="V579" s="37">
        <f>'03_原始数据'!C579-0.645*'03_原始数据'!B579-OtherCost</f>
        <v/>
      </c>
      <c r="W579" s="37">
        <f>'03_原始数据'!C579-0.65*'03_原始数据'!B579-OtherCost</f>
        <v/>
      </c>
      <c r="X579" s="37">
        <f>'03_原始数据'!C579-0.655*'03_原始数据'!B579-OtherCost</f>
        <v/>
      </c>
      <c r="Y579" s="37">
        <f>'03_原始数据'!C579-0.66*'03_原始数据'!B579-OtherCost</f>
        <v/>
      </c>
      <c r="Z579" s="37">
        <f>'03_原始数据'!C579-0.665*'03_原始数据'!B579-OtherCost</f>
        <v/>
      </c>
      <c r="AA579" s="37">
        <f>'03_原始数据'!C579-0.67*'03_原始数据'!B579-OtherCost</f>
        <v/>
      </c>
      <c r="AB579" s="37">
        <f>'03_原始数据'!C579-0.675*'03_原始数据'!B579-OtherCost</f>
        <v/>
      </c>
      <c r="AC579" s="37">
        <f>'03_原始数据'!C579-0.68*'03_原始数据'!B579-OtherCost</f>
        <v/>
      </c>
      <c r="AD579" s="37">
        <f>'03_原始数据'!C579-0.685*'03_原始数据'!B579-OtherCost</f>
        <v/>
      </c>
      <c r="AE579" s="37">
        <f>'03_原始数据'!C579-0.69*'03_原始数据'!B579-OtherCost</f>
        <v/>
      </c>
      <c r="AF579" s="37">
        <f>'03_原始数据'!C579-0.695*'03_原始数据'!B579-OtherCost</f>
        <v/>
      </c>
      <c r="AG579" s="37">
        <f>'03_原始数据'!C579-0.7*'03_原始数据'!B579-OtherCost</f>
        <v/>
      </c>
    </row>
    <row r="580">
      <c r="M580" s="37">
        <f>'03_原始数据'!C580-0.6*'03_原始数据'!B580-OtherCost</f>
        <v/>
      </c>
      <c r="N580" s="37">
        <f>'03_原始数据'!C580-0.605*'03_原始数据'!B580-OtherCost</f>
        <v/>
      </c>
      <c r="O580" s="37">
        <f>'03_原始数据'!C580-0.61*'03_原始数据'!B580-OtherCost</f>
        <v/>
      </c>
      <c r="P580" s="37">
        <f>'03_原始数据'!C580-0.615*'03_原始数据'!B580-OtherCost</f>
        <v/>
      </c>
      <c r="Q580" s="37">
        <f>'03_原始数据'!C580-0.62*'03_原始数据'!B580-OtherCost</f>
        <v/>
      </c>
      <c r="R580" s="37">
        <f>'03_原始数据'!C580-0.625*'03_原始数据'!B580-OtherCost</f>
        <v/>
      </c>
      <c r="S580" s="37">
        <f>'03_原始数据'!C580-0.63*'03_原始数据'!B580-OtherCost</f>
        <v/>
      </c>
      <c r="T580" s="37">
        <f>'03_原始数据'!C580-0.635*'03_原始数据'!B580-OtherCost</f>
        <v/>
      </c>
      <c r="U580" s="37">
        <f>'03_原始数据'!C580-0.64*'03_原始数据'!B580-OtherCost</f>
        <v/>
      </c>
      <c r="V580" s="37">
        <f>'03_原始数据'!C580-0.645*'03_原始数据'!B580-OtherCost</f>
        <v/>
      </c>
      <c r="W580" s="37">
        <f>'03_原始数据'!C580-0.65*'03_原始数据'!B580-OtherCost</f>
        <v/>
      </c>
      <c r="X580" s="37">
        <f>'03_原始数据'!C580-0.655*'03_原始数据'!B580-OtherCost</f>
        <v/>
      </c>
      <c r="Y580" s="37">
        <f>'03_原始数据'!C580-0.66*'03_原始数据'!B580-OtherCost</f>
        <v/>
      </c>
      <c r="Z580" s="37">
        <f>'03_原始数据'!C580-0.665*'03_原始数据'!B580-OtherCost</f>
        <v/>
      </c>
      <c r="AA580" s="37">
        <f>'03_原始数据'!C580-0.67*'03_原始数据'!B580-OtherCost</f>
        <v/>
      </c>
      <c r="AB580" s="37">
        <f>'03_原始数据'!C580-0.675*'03_原始数据'!B580-OtherCost</f>
        <v/>
      </c>
      <c r="AC580" s="37">
        <f>'03_原始数据'!C580-0.68*'03_原始数据'!B580-OtherCost</f>
        <v/>
      </c>
      <c r="AD580" s="37">
        <f>'03_原始数据'!C580-0.685*'03_原始数据'!B580-OtherCost</f>
        <v/>
      </c>
      <c r="AE580" s="37">
        <f>'03_原始数据'!C580-0.69*'03_原始数据'!B580-OtherCost</f>
        <v/>
      </c>
      <c r="AF580" s="37">
        <f>'03_原始数据'!C580-0.695*'03_原始数据'!B580-OtherCost</f>
        <v/>
      </c>
      <c r="AG580" s="37">
        <f>'03_原始数据'!C580-0.7*'03_原始数据'!B580-OtherCost</f>
        <v/>
      </c>
    </row>
    <row r="581">
      <c r="M581" s="37">
        <f>'03_原始数据'!C581-0.6*'03_原始数据'!B581-OtherCost</f>
        <v/>
      </c>
      <c r="N581" s="37">
        <f>'03_原始数据'!C581-0.605*'03_原始数据'!B581-OtherCost</f>
        <v/>
      </c>
      <c r="O581" s="37">
        <f>'03_原始数据'!C581-0.61*'03_原始数据'!B581-OtherCost</f>
        <v/>
      </c>
      <c r="P581" s="37">
        <f>'03_原始数据'!C581-0.615*'03_原始数据'!B581-OtherCost</f>
        <v/>
      </c>
      <c r="Q581" s="37">
        <f>'03_原始数据'!C581-0.62*'03_原始数据'!B581-OtherCost</f>
        <v/>
      </c>
      <c r="R581" s="37">
        <f>'03_原始数据'!C581-0.625*'03_原始数据'!B581-OtherCost</f>
        <v/>
      </c>
      <c r="S581" s="37">
        <f>'03_原始数据'!C581-0.63*'03_原始数据'!B581-OtherCost</f>
        <v/>
      </c>
      <c r="T581" s="37">
        <f>'03_原始数据'!C581-0.635*'03_原始数据'!B581-OtherCost</f>
        <v/>
      </c>
      <c r="U581" s="37">
        <f>'03_原始数据'!C581-0.64*'03_原始数据'!B581-OtherCost</f>
        <v/>
      </c>
      <c r="V581" s="37">
        <f>'03_原始数据'!C581-0.645*'03_原始数据'!B581-OtherCost</f>
        <v/>
      </c>
      <c r="W581" s="37">
        <f>'03_原始数据'!C581-0.65*'03_原始数据'!B581-OtherCost</f>
        <v/>
      </c>
      <c r="X581" s="37">
        <f>'03_原始数据'!C581-0.655*'03_原始数据'!B581-OtherCost</f>
        <v/>
      </c>
      <c r="Y581" s="37">
        <f>'03_原始数据'!C581-0.66*'03_原始数据'!B581-OtherCost</f>
        <v/>
      </c>
      <c r="Z581" s="37">
        <f>'03_原始数据'!C581-0.665*'03_原始数据'!B581-OtherCost</f>
        <v/>
      </c>
      <c r="AA581" s="37">
        <f>'03_原始数据'!C581-0.67*'03_原始数据'!B581-OtherCost</f>
        <v/>
      </c>
      <c r="AB581" s="37">
        <f>'03_原始数据'!C581-0.675*'03_原始数据'!B581-OtherCost</f>
        <v/>
      </c>
      <c r="AC581" s="37">
        <f>'03_原始数据'!C581-0.68*'03_原始数据'!B581-OtherCost</f>
        <v/>
      </c>
      <c r="AD581" s="37">
        <f>'03_原始数据'!C581-0.685*'03_原始数据'!B581-OtherCost</f>
        <v/>
      </c>
      <c r="AE581" s="37">
        <f>'03_原始数据'!C581-0.69*'03_原始数据'!B581-OtherCost</f>
        <v/>
      </c>
      <c r="AF581" s="37">
        <f>'03_原始数据'!C581-0.695*'03_原始数据'!B581-OtherCost</f>
        <v/>
      </c>
      <c r="AG581" s="37">
        <f>'03_原始数据'!C581-0.7*'03_原始数据'!B581-OtherCost</f>
        <v/>
      </c>
    </row>
    <row r="582">
      <c r="M582" s="37">
        <f>'03_原始数据'!C582-0.6*'03_原始数据'!B582-OtherCost</f>
        <v/>
      </c>
      <c r="N582" s="37">
        <f>'03_原始数据'!C582-0.605*'03_原始数据'!B582-OtherCost</f>
        <v/>
      </c>
      <c r="O582" s="37">
        <f>'03_原始数据'!C582-0.61*'03_原始数据'!B582-OtherCost</f>
        <v/>
      </c>
      <c r="P582" s="37">
        <f>'03_原始数据'!C582-0.615*'03_原始数据'!B582-OtherCost</f>
        <v/>
      </c>
      <c r="Q582" s="37">
        <f>'03_原始数据'!C582-0.62*'03_原始数据'!B582-OtherCost</f>
        <v/>
      </c>
      <c r="R582" s="37">
        <f>'03_原始数据'!C582-0.625*'03_原始数据'!B582-OtherCost</f>
        <v/>
      </c>
      <c r="S582" s="37">
        <f>'03_原始数据'!C582-0.63*'03_原始数据'!B582-OtherCost</f>
        <v/>
      </c>
      <c r="T582" s="37">
        <f>'03_原始数据'!C582-0.635*'03_原始数据'!B582-OtherCost</f>
        <v/>
      </c>
      <c r="U582" s="37">
        <f>'03_原始数据'!C582-0.64*'03_原始数据'!B582-OtherCost</f>
        <v/>
      </c>
      <c r="V582" s="37">
        <f>'03_原始数据'!C582-0.645*'03_原始数据'!B582-OtherCost</f>
        <v/>
      </c>
      <c r="W582" s="37">
        <f>'03_原始数据'!C582-0.65*'03_原始数据'!B582-OtherCost</f>
        <v/>
      </c>
      <c r="X582" s="37">
        <f>'03_原始数据'!C582-0.655*'03_原始数据'!B582-OtherCost</f>
        <v/>
      </c>
      <c r="Y582" s="37">
        <f>'03_原始数据'!C582-0.66*'03_原始数据'!B582-OtherCost</f>
        <v/>
      </c>
      <c r="Z582" s="37">
        <f>'03_原始数据'!C582-0.665*'03_原始数据'!B582-OtherCost</f>
        <v/>
      </c>
      <c r="AA582" s="37">
        <f>'03_原始数据'!C582-0.67*'03_原始数据'!B582-OtherCost</f>
        <v/>
      </c>
      <c r="AB582" s="37">
        <f>'03_原始数据'!C582-0.675*'03_原始数据'!B582-OtherCost</f>
        <v/>
      </c>
      <c r="AC582" s="37">
        <f>'03_原始数据'!C582-0.68*'03_原始数据'!B582-OtherCost</f>
        <v/>
      </c>
      <c r="AD582" s="37">
        <f>'03_原始数据'!C582-0.685*'03_原始数据'!B582-OtherCost</f>
        <v/>
      </c>
      <c r="AE582" s="37">
        <f>'03_原始数据'!C582-0.69*'03_原始数据'!B582-OtherCost</f>
        <v/>
      </c>
      <c r="AF582" s="37">
        <f>'03_原始数据'!C582-0.695*'03_原始数据'!B582-OtherCost</f>
        <v/>
      </c>
      <c r="AG582" s="37">
        <f>'03_原始数据'!C582-0.7*'03_原始数据'!B582-OtherCost</f>
        <v/>
      </c>
    </row>
    <row r="583">
      <c r="M583" s="37">
        <f>'03_原始数据'!C583-0.6*'03_原始数据'!B583-OtherCost</f>
        <v/>
      </c>
      <c r="N583" s="37">
        <f>'03_原始数据'!C583-0.605*'03_原始数据'!B583-OtherCost</f>
        <v/>
      </c>
      <c r="O583" s="37">
        <f>'03_原始数据'!C583-0.61*'03_原始数据'!B583-OtherCost</f>
        <v/>
      </c>
      <c r="P583" s="37">
        <f>'03_原始数据'!C583-0.615*'03_原始数据'!B583-OtherCost</f>
        <v/>
      </c>
      <c r="Q583" s="37">
        <f>'03_原始数据'!C583-0.62*'03_原始数据'!B583-OtherCost</f>
        <v/>
      </c>
      <c r="R583" s="37">
        <f>'03_原始数据'!C583-0.625*'03_原始数据'!B583-OtherCost</f>
        <v/>
      </c>
      <c r="S583" s="37">
        <f>'03_原始数据'!C583-0.63*'03_原始数据'!B583-OtherCost</f>
        <v/>
      </c>
      <c r="T583" s="37">
        <f>'03_原始数据'!C583-0.635*'03_原始数据'!B583-OtherCost</f>
        <v/>
      </c>
      <c r="U583" s="37">
        <f>'03_原始数据'!C583-0.64*'03_原始数据'!B583-OtherCost</f>
        <v/>
      </c>
      <c r="V583" s="37">
        <f>'03_原始数据'!C583-0.645*'03_原始数据'!B583-OtherCost</f>
        <v/>
      </c>
      <c r="W583" s="37">
        <f>'03_原始数据'!C583-0.65*'03_原始数据'!B583-OtherCost</f>
        <v/>
      </c>
      <c r="X583" s="37">
        <f>'03_原始数据'!C583-0.655*'03_原始数据'!B583-OtherCost</f>
        <v/>
      </c>
      <c r="Y583" s="37">
        <f>'03_原始数据'!C583-0.66*'03_原始数据'!B583-OtherCost</f>
        <v/>
      </c>
      <c r="Z583" s="37">
        <f>'03_原始数据'!C583-0.665*'03_原始数据'!B583-OtherCost</f>
        <v/>
      </c>
      <c r="AA583" s="37">
        <f>'03_原始数据'!C583-0.67*'03_原始数据'!B583-OtherCost</f>
        <v/>
      </c>
      <c r="AB583" s="37">
        <f>'03_原始数据'!C583-0.675*'03_原始数据'!B583-OtherCost</f>
        <v/>
      </c>
      <c r="AC583" s="37">
        <f>'03_原始数据'!C583-0.68*'03_原始数据'!B583-OtherCost</f>
        <v/>
      </c>
      <c r="AD583" s="37">
        <f>'03_原始数据'!C583-0.685*'03_原始数据'!B583-OtherCost</f>
        <v/>
      </c>
      <c r="AE583" s="37">
        <f>'03_原始数据'!C583-0.69*'03_原始数据'!B583-OtherCost</f>
        <v/>
      </c>
      <c r="AF583" s="37">
        <f>'03_原始数据'!C583-0.695*'03_原始数据'!B583-OtherCost</f>
        <v/>
      </c>
      <c r="AG583" s="37">
        <f>'03_原始数据'!C583-0.7*'03_原始数据'!B583-OtherCost</f>
        <v/>
      </c>
    </row>
    <row r="584">
      <c r="M584" s="37">
        <f>'03_原始数据'!C584-0.6*'03_原始数据'!B584-OtherCost</f>
        <v/>
      </c>
      <c r="N584" s="37">
        <f>'03_原始数据'!C584-0.605*'03_原始数据'!B584-OtherCost</f>
        <v/>
      </c>
      <c r="O584" s="37">
        <f>'03_原始数据'!C584-0.61*'03_原始数据'!B584-OtherCost</f>
        <v/>
      </c>
      <c r="P584" s="37">
        <f>'03_原始数据'!C584-0.615*'03_原始数据'!B584-OtherCost</f>
        <v/>
      </c>
      <c r="Q584" s="37">
        <f>'03_原始数据'!C584-0.62*'03_原始数据'!B584-OtherCost</f>
        <v/>
      </c>
      <c r="R584" s="37">
        <f>'03_原始数据'!C584-0.625*'03_原始数据'!B584-OtherCost</f>
        <v/>
      </c>
      <c r="S584" s="37">
        <f>'03_原始数据'!C584-0.63*'03_原始数据'!B584-OtherCost</f>
        <v/>
      </c>
      <c r="T584" s="37">
        <f>'03_原始数据'!C584-0.635*'03_原始数据'!B584-OtherCost</f>
        <v/>
      </c>
      <c r="U584" s="37">
        <f>'03_原始数据'!C584-0.64*'03_原始数据'!B584-OtherCost</f>
        <v/>
      </c>
      <c r="V584" s="37">
        <f>'03_原始数据'!C584-0.645*'03_原始数据'!B584-OtherCost</f>
        <v/>
      </c>
      <c r="W584" s="37">
        <f>'03_原始数据'!C584-0.65*'03_原始数据'!B584-OtherCost</f>
        <v/>
      </c>
      <c r="X584" s="37">
        <f>'03_原始数据'!C584-0.655*'03_原始数据'!B584-OtherCost</f>
        <v/>
      </c>
      <c r="Y584" s="37">
        <f>'03_原始数据'!C584-0.66*'03_原始数据'!B584-OtherCost</f>
        <v/>
      </c>
      <c r="Z584" s="37">
        <f>'03_原始数据'!C584-0.665*'03_原始数据'!B584-OtherCost</f>
        <v/>
      </c>
      <c r="AA584" s="37">
        <f>'03_原始数据'!C584-0.67*'03_原始数据'!B584-OtherCost</f>
        <v/>
      </c>
      <c r="AB584" s="37">
        <f>'03_原始数据'!C584-0.675*'03_原始数据'!B584-OtherCost</f>
        <v/>
      </c>
      <c r="AC584" s="37">
        <f>'03_原始数据'!C584-0.68*'03_原始数据'!B584-OtherCost</f>
        <v/>
      </c>
      <c r="AD584" s="37">
        <f>'03_原始数据'!C584-0.685*'03_原始数据'!B584-OtherCost</f>
        <v/>
      </c>
      <c r="AE584" s="37">
        <f>'03_原始数据'!C584-0.69*'03_原始数据'!B584-OtherCost</f>
        <v/>
      </c>
      <c r="AF584" s="37">
        <f>'03_原始数据'!C584-0.695*'03_原始数据'!B584-OtherCost</f>
        <v/>
      </c>
      <c r="AG584" s="37">
        <f>'03_原始数据'!C584-0.7*'03_原始数据'!B584-OtherCost</f>
        <v/>
      </c>
    </row>
    <row r="585">
      <c r="M585" s="37">
        <f>'03_原始数据'!C585-0.6*'03_原始数据'!B585-OtherCost</f>
        <v/>
      </c>
      <c r="N585" s="37">
        <f>'03_原始数据'!C585-0.605*'03_原始数据'!B585-OtherCost</f>
        <v/>
      </c>
      <c r="O585" s="37">
        <f>'03_原始数据'!C585-0.61*'03_原始数据'!B585-OtherCost</f>
        <v/>
      </c>
      <c r="P585" s="37">
        <f>'03_原始数据'!C585-0.615*'03_原始数据'!B585-OtherCost</f>
        <v/>
      </c>
      <c r="Q585" s="37">
        <f>'03_原始数据'!C585-0.62*'03_原始数据'!B585-OtherCost</f>
        <v/>
      </c>
      <c r="R585" s="37">
        <f>'03_原始数据'!C585-0.625*'03_原始数据'!B585-OtherCost</f>
        <v/>
      </c>
      <c r="S585" s="37">
        <f>'03_原始数据'!C585-0.63*'03_原始数据'!B585-OtherCost</f>
        <v/>
      </c>
      <c r="T585" s="37">
        <f>'03_原始数据'!C585-0.635*'03_原始数据'!B585-OtherCost</f>
        <v/>
      </c>
      <c r="U585" s="37">
        <f>'03_原始数据'!C585-0.64*'03_原始数据'!B585-OtherCost</f>
        <v/>
      </c>
      <c r="V585" s="37">
        <f>'03_原始数据'!C585-0.645*'03_原始数据'!B585-OtherCost</f>
        <v/>
      </c>
      <c r="W585" s="37">
        <f>'03_原始数据'!C585-0.65*'03_原始数据'!B585-OtherCost</f>
        <v/>
      </c>
      <c r="X585" s="37">
        <f>'03_原始数据'!C585-0.655*'03_原始数据'!B585-OtherCost</f>
        <v/>
      </c>
      <c r="Y585" s="37">
        <f>'03_原始数据'!C585-0.66*'03_原始数据'!B585-OtherCost</f>
        <v/>
      </c>
      <c r="Z585" s="37">
        <f>'03_原始数据'!C585-0.665*'03_原始数据'!B585-OtherCost</f>
        <v/>
      </c>
      <c r="AA585" s="37">
        <f>'03_原始数据'!C585-0.67*'03_原始数据'!B585-OtherCost</f>
        <v/>
      </c>
      <c r="AB585" s="37">
        <f>'03_原始数据'!C585-0.675*'03_原始数据'!B585-OtherCost</f>
        <v/>
      </c>
      <c r="AC585" s="37">
        <f>'03_原始数据'!C585-0.68*'03_原始数据'!B585-OtherCost</f>
        <v/>
      </c>
      <c r="AD585" s="37">
        <f>'03_原始数据'!C585-0.685*'03_原始数据'!B585-OtherCost</f>
        <v/>
      </c>
      <c r="AE585" s="37">
        <f>'03_原始数据'!C585-0.69*'03_原始数据'!B585-OtherCost</f>
        <v/>
      </c>
      <c r="AF585" s="37">
        <f>'03_原始数据'!C585-0.695*'03_原始数据'!B585-OtherCost</f>
        <v/>
      </c>
      <c r="AG585" s="37">
        <f>'03_原始数据'!C585-0.7*'03_原始数据'!B585-OtherCost</f>
        <v/>
      </c>
    </row>
    <row r="586">
      <c r="M586" s="37">
        <f>'03_原始数据'!C586-0.6*'03_原始数据'!B586-OtherCost</f>
        <v/>
      </c>
      <c r="N586" s="37">
        <f>'03_原始数据'!C586-0.605*'03_原始数据'!B586-OtherCost</f>
        <v/>
      </c>
      <c r="O586" s="37">
        <f>'03_原始数据'!C586-0.61*'03_原始数据'!B586-OtherCost</f>
        <v/>
      </c>
      <c r="P586" s="37">
        <f>'03_原始数据'!C586-0.615*'03_原始数据'!B586-OtherCost</f>
        <v/>
      </c>
      <c r="Q586" s="37">
        <f>'03_原始数据'!C586-0.62*'03_原始数据'!B586-OtherCost</f>
        <v/>
      </c>
      <c r="R586" s="37">
        <f>'03_原始数据'!C586-0.625*'03_原始数据'!B586-OtherCost</f>
        <v/>
      </c>
      <c r="S586" s="37">
        <f>'03_原始数据'!C586-0.63*'03_原始数据'!B586-OtherCost</f>
        <v/>
      </c>
      <c r="T586" s="37">
        <f>'03_原始数据'!C586-0.635*'03_原始数据'!B586-OtherCost</f>
        <v/>
      </c>
      <c r="U586" s="37">
        <f>'03_原始数据'!C586-0.64*'03_原始数据'!B586-OtherCost</f>
        <v/>
      </c>
      <c r="V586" s="37">
        <f>'03_原始数据'!C586-0.645*'03_原始数据'!B586-OtherCost</f>
        <v/>
      </c>
      <c r="W586" s="37">
        <f>'03_原始数据'!C586-0.65*'03_原始数据'!B586-OtherCost</f>
        <v/>
      </c>
      <c r="X586" s="37">
        <f>'03_原始数据'!C586-0.655*'03_原始数据'!B586-OtherCost</f>
        <v/>
      </c>
      <c r="Y586" s="37">
        <f>'03_原始数据'!C586-0.66*'03_原始数据'!B586-OtherCost</f>
        <v/>
      </c>
      <c r="Z586" s="37">
        <f>'03_原始数据'!C586-0.665*'03_原始数据'!B586-OtherCost</f>
        <v/>
      </c>
      <c r="AA586" s="37">
        <f>'03_原始数据'!C586-0.67*'03_原始数据'!B586-OtherCost</f>
        <v/>
      </c>
      <c r="AB586" s="37">
        <f>'03_原始数据'!C586-0.675*'03_原始数据'!B586-OtherCost</f>
        <v/>
      </c>
      <c r="AC586" s="37">
        <f>'03_原始数据'!C586-0.68*'03_原始数据'!B586-OtherCost</f>
        <v/>
      </c>
      <c r="AD586" s="37">
        <f>'03_原始数据'!C586-0.685*'03_原始数据'!B586-OtherCost</f>
        <v/>
      </c>
      <c r="AE586" s="37">
        <f>'03_原始数据'!C586-0.69*'03_原始数据'!B586-OtherCost</f>
        <v/>
      </c>
      <c r="AF586" s="37">
        <f>'03_原始数据'!C586-0.695*'03_原始数据'!B586-OtherCost</f>
        <v/>
      </c>
      <c r="AG586" s="37">
        <f>'03_原始数据'!C586-0.7*'03_原始数据'!B586-OtherCost</f>
        <v/>
      </c>
    </row>
    <row r="587">
      <c r="M587" s="37">
        <f>'03_原始数据'!C587-0.6*'03_原始数据'!B587-OtherCost</f>
        <v/>
      </c>
      <c r="N587" s="37">
        <f>'03_原始数据'!C587-0.605*'03_原始数据'!B587-OtherCost</f>
        <v/>
      </c>
      <c r="O587" s="37">
        <f>'03_原始数据'!C587-0.61*'03_原始数据'!B587-OtherCost</f>
        <v/>
      </c>
      <c r="P587" s="37">
        <f>'03_原始数据'!C587-0.615*'03_原始数据'!B587-OtherCost</f>
        <v/>
      </c>
      <c r="Q587" s="37">
        <f>'03_原始数据'!C587-0.62*'03_原始数据'!B587-OtherCost</f>
        <v/>
      </c>
      <c r="R587" s="37">
        <f>'03_原始数据'!C587-0.625*'03_原始数据'!B587-OtherCost</f>
        <v/>
      </c>
      <c r="S587" s="37">
        <f>'03_原始数据'!C587-0.63*'03_原始数据'!B587-OtherCost</f>
        <v/>
      </c>
      <c r="T587" s="37">
        <f>'03_原始数据'!C587-0.635*'03_原始数据'!B587-OtherCost</f>
        <v/>
      </c>
      <c r="U587" s="37">
        <f>'03_原始数据'!C587-0.64*'03_原始数据'!B587-OtherCost</f>
        <v/>
      </c>
      <c r="V587" s="37">
        <f>'03_原始数据'!C587-0.645*'03_原始数据'!B587-OtherCost</f>
        <v/>
      </c>
      <c r="W587" s="37">
        <f>'03_原始数据'!C587-0.65*'03_原始数据'!B587-OtherCost</f>
        <v/>
      </c>
      <c r="X587" s="37">
        <f>'03_原始数据'!C587-0.655*'03_原始数据'!B587-OtherCost</f>
        <v/>
      </c>
      <c r="Y587" s="37">
        <f>'03_原始数据'!C587-0.66*'03_原始数据'!B587-OtherCost</f>
        <v/>
      </c>
      <c r="Z587" s="37">
        <f>'03_原始数据'!C587-0.665*'03_原始数据'!B587-OtherCost</f>
        <v/>
      </c>
      <c r="AA587" s="37">
        <f>'03_原始数据'!C587-0.67*'03_原始数据'!B587-OtherCost</f>
        <v/>
      </c>
      <c r="AB587" s="37">
        <f>'03_原始数据'!C587-0.675*'03_原始数据'!B587-OtherCost</f>
        <v/>
      </c>
      <c r="AC587" s="37">
        <f>'03_原始数据'!C587-0.68*'03_原始数据'!B587-OtherCost</f>
        <v/>
      </c>
      <c r="AD587" s="37">
        <f>'03_原始数据'!C587-0.685*'03_原始数据'!B587-OtherCost</f>
        <v/>
      </c>
      <c r="AE587" s="37">
        <f>'03_原始数据'!C587-0.69*'03_原始数据'!B587-OtherCost</f>
        <v/>
      </c>
      <c r="AF587" s="37">
        <f>'03_原始数据'!C587-0.695*'03_原始数据'!B587-OtherCost</f>
        <v/>
      </c>
      <c r="AG587" s="37">
        <f>'03_原始数据'!C587-0.7*'03_原始数据'!B587-OtherCost</f>
        <v/>
      </c>
    </row>
    <row r="588">
      <c r="M588" s="37">
        <f>'03_原始数据'!C588-0.6*'03_原始数据'!B588-OtherCost</f>
        <v/>
      </c>
      <c r="N588" s="37">
        <f>'03_原始数据'!C588-0.605*'03_原始数据'!B588-OtherCost</f>
        <v/>
      </c>
      <c r="O588" s="37">
        <f>'03_原始数据'!C588-0.61*'03_原始数据'!B588-OtherCost</f>
        <v/>
      </c>
      <c r="P588" s="37">
        <f>'03_原始数据'!C588-0.615*'03_原始数据'!B588-OtherCost</f>
        <v/>
      </c>
      <c r="Q588" s="37">
        <f>'03_原始数据'!C588-0.62*'03_原始数据'!B588-OtherCost</f>
        <v/>
      </c>
      <c r="R588" s="37">
        <f>'03_原始数据'!C588-0.625*'03_原始数据'!B588-OtherCost</f>
        <v/>
      </c>
      <c r="S588" s="37">
        <f>'03_原始数据'!C588-0.63*'03_原始数据'!B588-OtherCost</f>
        <v/>
      </c>
      <c r="T588" s="37">
        <f>'03_原始数据'!C588-0.635*'03_原始数据'!B588-OtherCost</f>
        <v/>
      </c>
      <c r="U588" s="37">
        <f>'03_原始数据'!C588-0.64*'03_原始数据'!B588-OtherCost</f>
        <v/>
      </c>
      <c r="V588" s="37">
        <f>'03_原始数据'!C588-0.645*'03_原始数据'!B588-OtherCost</f>
        <v/>
      </c>
      <c r="W588" s="37">
        <f>'03_原始数据'!C588-0.65*'03_原始数据'!B588-OtherCost</f>
        <v/>
      </c>
      <c r="X588" s="37">
        <f>'03_原始数据'!C588-0.655*'03_原始数据'!B588-OtherCost</f>
        <v/>
      </c>
      <c r="Y588" s="37">
        <f>'03_原始数据'!C588-0.66*'03_原始数据'!B588-OtherCost</f>
        <v/>
      </c>
      <c r="Z588" s="37">
        <f>'03_原始数据'!C588-0.665*'03_原始数据'!B588-OtherCost</f>
        <v/>
      </c>
      <c r="AA588" s="37">
        <f>'03_原始数据'!C588-0.67*'03_原始数据'!B588-OtherCost</f>
        <v/>
      </c>
      <c r="AB588" s="37">
        <f>'03_原始数据'!C588-0.675*'03_原始数据'!B588-OtherCost</f>
        <v/>
      </c>
      <c r="AC588" s="37">
        <f>'03_原始数据'!C588-0.68*'03_原始数据'!B588-OtherCost</f>
        <v/>
      </c>
      <c r="AD588" s="37">
        <f>'03_原始数据'!C588-0.685*'03_原始数据'!B588-OtherCost</f>
        <v/>
      </c>
      <c r="AE588" s="37">
        <f>'03_原始数据'!C588-0.69*'03_原始数据'!B588-OtherCost</f>
        <v/>
      </c>
      <c r="AF588" s="37">
        <f>'03_原始数据'!C588-0.695*'03_原始数据'!B588-OtherCost</f>
        <v/>
      </c>
      <c r="AG588" s="37">
        <f>'03_原始数据'!C588-0.7*'03_原始数据'!B588-OtherCost</f>
        <v/>
      </c>
    </row>
    <row r="589">
      <c r="M589" s="37">
        <f>'03_原始数据'!C589-0.6*'03_原始数据'!B589-OtherCost</f>
        <v/>
      </c>
      <c r="N589" s="37">
        <f>'03_原始数据'!C589-0.605*'03_原始数据'!B589-OtherCost</f>
        <v/>
      </c>
      <c r="O589" s="37">
        <f>'03_原始数据'!C589-0.61*'03_原始数据'!B589-OtherCost</f>
        <v/>
      </c>
      <c r="P589" s="37">
        <f>'03_原始数据'!C589-0.615*'03_原始数据'!B589-OtherCost</f>
        <v/>
      </c>
      <c r="Q589" s="37">
        <f>'03_原始数据'!C589-0.62*'03_原始数据'!B589-OtherCost</f>
        <v/>
      </c>
      <c r="R589" s="37">
        <f>'03_原始数据'!C589-0.625*'03_原始数据'!B589-OtherCost</f>
        <v/>
      </c>
      <c r="S589" s="37">
        <f>'03_原始数据'!C589-0.63*'03_原始数据'!B589-OtherCost</f>
        <v/>
      </c>
      <c r="T589" s="37">
        <f>'03_原始数据'!C589-0.635*'03_原始数据'!B589-OtherCost</f>
        <v/>
      </c>
      <c r="U589" s="37">
        <f>'03_原始数据'!C589-0.64*'03_原始数据'!B589-OtherCost</f>
        <v/>
      </c>
      <c r="V589" s="37">
        <f>'03_原始数据'!C589-0.645*'03_原始数据'!B589-OtherCost</f>
        <v/>
      </c>
      <c r="W589" s="37">
        <f>'03_原始数据'!C589-0.65*'03_原始数据'!B589-OtherCost</f>
        <v/>
      </c>
      <c r="X589" s="37">
        <f>'03_原始数据'!C589-0.655*'03_原始数据'!B589-OtherCost</f>
        <v/>
      </c>
      <c r="Y589" s="37">
        <f>'03_原始数据'!C589-0.66*'03_原始数据'!B589-OtherCost</f>
        <v/>
      </c>
      <c r="Z589" s="37">
        <f>'03_原始数据'!C589-0.665*'03_原始数据'!B589-OtherCost</f>
        <v/>
      </c>
      <c r="AA589" s="37">
        <f>'03_原始数据'!C589-0.67*'03_原始数据'!B589-OtherCost</f>
        <v/>
      </c>
      <c r="AB589" s="37">
        <f>'03_原始数据'!C589-0.675*'03_原始数据'!B589-OtherCost</f>
        <v/>
      </c>
      <c r="AC589" s="37">
        <f>'03_原始数据'!C589-0.68*'03_原始数据'!B589-OtherCost</f>
        <v/>
      </c>
      <c r="AD589" s="37">
        <f>'03_原始数据'!C589-0.685*'03_原始数据'!B589-OtherCost</f>
        <v/>
      </c>
      <c r="AE589" s="37">
        <f>'03_原始数据'!C589-0.69*'03_原始数据'!B589-OtherCost</f>
        <v/>
      </c>
      <c r="AF589" s="37">
        <f>'03_原始数据'!C589-0.695*'03_原始数据'!B589-OtherCost</f>
        <v/>
      </c>
      <c r="AG589" s="37">
        <f>'03_原始数据'!C589-0.7*'03_原始数据'!B589-OtherCost</f>
        <v/>
      </c>
    </row>
    <row r="590">
      <c r="M590" s="37">
        <f>'03_原始数据'!C590-0.6*'03_原始数据'!B590-OtherCost</f>
        <v/>
      </c>
      <c r="N590" s="37">
        <f>'03_原始数据'!C590-0.605*'03_原始数据'!B590-OtherCost</f>
        <v/>
      </c>
      <c r="O590" s="37">
        <f>'03_原始数据'!C590-0.61*'03_原始数据'!B590-OtherCost</f>
        <v/>
      </c>
      <c r="P590" s="37">
        <f>'03_原始数据'!C590-0.615*'03_原始数据'!B590-OtherCost</f>
        <v/>
      </c>
      <c r="Q590" s="37">
        <f>'03_原始数据'!C590-0.62*'03_原始数据'!B590-OtherCost</f>
        <v/>
      </c>
      <c r="R590" s="37">
        <f>'03_原始数据'!C590-0.625*'03_原始数据'!B590-OtherCost</f>
        <v/>
      </c>
      <c r="S590" s="37">
        <f>'03_原始数据'!C590-0.63*'03_原始数据'!B590-OtherCost</f>
        <v/>
      </c>
      <c r="T590" s="37">
        <f>'03_原始数据'!C590-0.635*'03_原始数据'!B590-OtherCost</f>
        <v/>
      </c>
      <c r="U590" s="37">
        <f>'03_原始数据'!C590-0.64*'03_原始数据'!B590-OtherCost</f>
        <v/>
      </c>
      <c r="V590" s="37">
        <f>'03_原始数据'!C590-0.645*'03_原始数据'!B590-OtherCost</f>
        <v/>
      </c>
      <c r="W590" s="37">
        <f>'03_原始数据'!C590-0.65*'03_原始数据'!B590-OtherCost</f>
        <v/>
      </c>
      <c r="X590" s="37">
        <f>'03_原始数据'!C590-0.655*'03_原始数据'!B590-OtherCost</f>
        <v/>
      </c>
      <c r="Y590" s="37">
        <f>'03_原始数据'!C590-0.66*'03_原始数据'!B590-OtherCost</f>
        <v/>
      </c>
      <c r="Z590" s="37">
        <f>'03_原始数据'!C590-0.665*'03_原始数据'!B590-OtherCost</f>
        <v/>
      </c>
      <c r="AA590" s="37">
        <f>'03_原始数据'!C590-0.67*'03_原始数据'!B590-OtherCost</f>
        <v/>
      </c>
      <c r="AB590" s="37">
        <f>'03_原始数据'!C590-0.675*'03_原始数据'!B590-OtherCost</f>
        <v/>
      </c>
      <c r="AC590" s="37">
        <f>'03_原始数据'!C590-0.68*'03_原始数据'!B590-OtherCost</f>
        <v/>
      </c>
      <c r="AD590" s="37">
        <f>'03_原始数据'!C590-0.685*'03_原始数据'!B590-OtherCost</f>
        <v/>
      </c>
      <c r="AE590" s="37">
        <f>'03_原始数据'!C590-0.69*'03_原始数据'!B590-OtherCost</f>
        <v/>
      </c>
      <c r="AF590" s="37">
        <f>'03_原始数据'!C590-0.695*'03_原始数据'!B590-OtherCost</f>
        <v/>
      </c>
      <c r="AG590" s="37">
        <f>'03_原始数据'!C590-0.7*'03_原始数据'!B590-OtherCost</f>
        <v/>
      </c>
    </row>
    <row r="591">
      <c r="M591" s="37">
        <f>'03_原始数据'!C591-0.6*'03_原始数据'!B591-OtherCost</f>
        <v/>
      </c>
      <c r="N591" s="37">
        <f>'03_原始数据'!C591-0.605*'03_原始数据'!B591-OtherCost</f>
        <v/>
      </c>
      <c r="O591" s="37">
        <f>'03_原始数据'!C591-0.61*'03_原始数据'!B591-OtherCost</f>
        <v/>
      </c>
      <c r="P591" s="37">
        <f>'03_原始数据'!C591-0.615*'03_原始数据'!B591-OtherCost</f>
        <v/>
      </c>
      <c r="Q591" s="37">
        <f>'03_原始数据'!C591-0.62*'03_原始数据'!B591-OtherCost</f>
        <v/>
      </c>
      <c r="R591" s="37">
        <f>'03_原始数据'!C591-0.625*'03_原始数据'!B591-OtherCost</f>
        <v/>
      </c>
      <c r="S591" s="37">
        <f>'03_原始数据'!C591-0.63*'03_原始数据'!B591-OtherCost</f>
        <v/>
      </c>
      <c r="T591" s="37">
        <f>'03_原始数据'!C591-0.635*'03_原始数据'!B591-OtherCost</f>
        <v/>
      </c>
      <c r="U591" s="37">
        <f>'03_原始数据'!C591-0.64*'03_原始数据'!B591-OtherCost</f>
        <v/>
      </c>
      <c r="V591" s="37">
        <f>'03_原始数据'!C591-0.645*'03_原始数据'!B591-OtherCost</f>
        <v/>
      </c>
      <c r="W591" s="37">
        <f>'03_原始数据'!C591-0.65*'03_原始数据'!B591-OtherCost</f>
        <v/>
      </c>
      <c r="X591" s="37">
        <f>'03_原始数据'!C591-0.655*'03_原始数据'!B591-OtherCost</f>
        <v/>
      </c>
      <c r="Y591" s="37">
        <f>'03_原始数据'!C591-0.66*'03_原始数据'!B591-OtherCost</f>
        <v/>
      </c>
      <c r="Z591" s="37">
        <f>'03_原始数据'!C591-0.665*'03_原始数据'!B591-OtherCost</f>
        <v/>
      </c>
      <c r="AA591" s="37">
        <f>'03_原始数据'!C591-0.67*'03_原始数据'!B591-OtherCost</f>
        <v/>
      </c>
      <c r="AB591" s="37">
        <f>'03_原始数据'!C591-0.675*'03_原始数据'!B591-OtherCost</f>
        <v/>
      </c>
      <c r="AC591" s="37">
        <f>'03_原始数据'!C591-0.68*'03_原始数据'!B591-OtherCost</f>
        <v/>
      </c>
      <c r="AD591" s="37">
        <f>'03_原始数据'!C591-0.685*'03_原始数据'!B591-OtherCost</f>
        <v/>
      </c>
      <c r="AE591" s="37">
        <f>'03_原始数据'!C591-0.69*'03_原始数据'!B591-OtherCost</f>
        <v/>
      </c>
      <c r="AF591" s="37">
        <f>'03_原始数据'!C591-0.695*'03_原始数据'!B591-OtherCost</f>
        <v/>
      </c>
      <c r="AG591" s="37">
        <f>'03_原始数据'!C591-0.7*'03_原始数据'!B591-OtherCost</f>
        <v/>
      </c>
    </row>
    <row r="592">
      <c r="M592" s="37">
        <f>'03_原始数据'!C592-0.6*'03_原始数据'!B592-OtherCost</f>
        <v/>
      </c>
      <c r="N592" s="37">
        <f>'03_原始数据'!C592-0.605*'03_原始数据'!B592-OtherCost</f>
        <v/>
      </c>
      <c r="O592" s="37">
        <f>'03_原始数据'!C592-0.61*'03_原始数据'!B592-OtherCost</f>
        <v/>
      </c>
      <c r="P592" s="37">
        <f>'03_原始数据'!C592-0.615*'03_原始数据'!B592-OtherCost</f>
        <v/>
      </c>
      <c r="Q592" s="37">
        <f>'03_原始数据'!C592-0.62*'03_原始数据'!B592-OtherCost</f>
        <v/>
      </c>
      <c r="R592" s="37">
        <f>'03_原始数据'!C592-0.625*'03_原始数据'!B592-OtherCost</f>
        <v/>
      </c>
      <c r="S592" s="37">
        <f>'03_原始数据'!C592-0.63*'03_原始数据'!B592-OtherCost</f>
        <v/>
      </c>
      <c r="T592" s="37">
        <f>'03_原始数据'!C592-0.635*'03_原始数据'!B592-OtherCost</f>
        <v/>
      </c>
      <c r="U592" s="37">
        <f>'03_原始数据'!C592-0.64*'03_原始数据'!B592-OtherCost</f>
        <v/>
      </c>
      <c r="V592" s="37">
        <f>'03_原始数据'!C592-0.645*'03_原始数据'!B592-OtherCost</f>
        <v/>
      </c>
      <c r="W592" s="37">
        <f>'03_原始数据'!C592-0.65*'03_原始数据'!B592-OtherCost</f>
        <v/>
      </c>
      <c r="X592" s="37">
        <f>'03_原始数据'!C592-0.655*'03_原始数据'!B592-OtherCost</f>
        <v/>
      </c>
      <c r="Y592" s="37">
        <f>'03_原始数据'!C592-0.66*'03_原始数据'!B592-OtherCost</f>
        <v/>
      </c>
      <c r="Z592" s="37">
        <f>'03_原始数据'!C592-0.665*'03_原始数据'!B592-OtherCost</f>
        <v/>
      </c>
      <c r="AA592" s="37">
        <f>'03_原始数据'!C592-0.67*'03_原始数据'!B592-OtherCost</f>
        <v/>
      </c>
      <c r="AB592" s="37">
        <f>'03_原始数据'!C592-0.675*'03_原始数据'!B592-OtherCost</f>
        <v/>
      </c>
      <c r="AC592" s="37">
        <f>'03_原始数据'!C592-0.68*'03_原始数据'!B592-OtherCost</f>
        <v/>
      </c>
      <c r="AD592" s="37">
        <f>'03_原始数据'!C592-0.685*'03_原始数据'!B592-OtherCost</f>
        <v/>
      </c>
      <c r="AE592" s="37">
        <f>'03_原始数据'!C592-0.69*'03_原始数据'!B592-OtherCost</f>
        <v/>
      </c>
      <c r="AF592" s="37">
        <f>'03_原始数据'!C592-0.695*'03_原始数据'!B592-OtherCost</f>
        <v/>
      </c>
      <c r="AG592" s="37">
        <f>'03_原始数据'!C592-0.7*'03_原始数据'!B592-OtherCost</f>
        <v/>
      </c>
    </row>
    <row r="593">
      <c r="M593" s="37">
        <f>'03_原始数据'!C593-0.6*'03_原始数据'!B593-OtherCost</f>
        <v/>
      </c>
      <c r="N593" s="37">
        <f>'03_原始数据'!C593-0.605*'03_原始数据'!B593-OtherCost</f>
        <v/>
      </c>
      <c r="O593" s="37">
        <f>'03_原始数据'!C593-0.61*'03_原始数据'!B593-OtherCost</f>
        <v/>
      </c>
      <c r="P593" s="37">
        <f>'03_原始数据'!C593-0.615*'03_原始数据'!B593-OtherCost</f>
        <v/>
      </c>
      <c r="Q593" s="37">
        <f>'03_原始数据'!C593-0.62*'03_原始数据'!B593-OtherCost</f>
        <v/>
      </c>
      <c r="R593" s="37">
        <f>'03_原始数据'!C593-0.625*'03_原始数据'!B593-OtherCost</f>
        <v/>
      </c>
      <c r="S593" s="37">
        <f>'03_原始数据'!C593-0.63*'03_原始数据'!B593-OtherCost</f>
        <v/>
      </c>
      <c r="T593" s="37">
        <f>'03_原始数据'!C593-0.635*'03_原始数据'!B593-OtherCost</f>
        <v/>
      </c>
      <c r="U593" s="37">
        <f>'03_原始数据'!C593-0.64*'03_原始数据'!B593-OtherCost</f>
        <v/>
      </c>
      <c r="V593" s="37">
        <f>'03_原始数据'!C593-0.645*'03_原始数据'!B593-OtherCost</f>
        <v/>
      </c>
      <c r="W593" s="37">
        <f>'03_原始数据'!C593-0.65*'03_原始数据'!B593-OtherCost</f>
        <v/>
      </c>
      <c r="X593" s="37">
        <f>'03_原始数据'!C593-0.655*'03_原始数据'!B593-OtherCost</f>
        <v/>
      </c>
      <c r="Y593" s="37">
        <f>'03_原始数据'!C593-0.66*'03_原始数据'!B593-OtherCost</f>
        <v/>
      </c>
      <c r="Z593" s="37">
        <f>'03_原始数据'!C593-0.665*'03_原始数据'!B593-OtherCost</f>
        <v/>
      </c>
      <c r="AA593" s="37">
        <f>'03_原始数据'!C593-0.67*'03_原始数据'!B593-OtherCost</f>
        <v/>
      </c>
      <c r="AB593" s="37">
        <f>'03_原始数据'!C593-0.675*'03_原始数据'!B593-OtherCost</f>
        <v/>
      </c>
      <c r="AC593" s="37">
        <f>'03_原始数据'!C593-0.68*'03_原始数据'!B593-OtherCost</f>
        <v/>
      </c>
      <c r="AD593" s="37">
        <f>'03_原始数据'!C593-0.685*'03_原始数据'!B593-OtherCost</f>
        <v/>
      </c>
      <c r="AE593" s="37">
        <f>'03_原始数据'!C593-0.69*'03_原始数据'!B593-OtherCost</f>
        <v/>
      </c>
      <c r="AF593" s="37">
        <f>'03_原始数据'!C593-0.695*'03_原始数据'!B593-OtherCost</f>
        <v/>
      </c>
      <c r="AG593" s="37">
        <f>'03_原始数据'!C593-0.7*'03_原始数据'!B593-OtherCost</f>
        <v/>
      </c>
    </row>
    <row r="594">
      <c r="M594" s="37">
        <f>'03_原始数据'!C594-0.6*'03_原始数据'!B594-OtherCost</f>
        <v/>
      </c>
      <c r="N594" s="37">
        <f>'03_原始数据'!C594-0.605*'03_原始数据'!B594-OtherCost</f>
        <v/>
      </c>
      <c r="O594" s="37">
        <f>'03_原始数据'!C594-0.61*'03_原始数据'!B594-OtherCost</f>
        <v/>
      </c>
      <c r="P594" s="37">
        <f>'03_原始数据'!C594-0.615*'03_原始数据'!B594-OtherCost</f>
        <v/>
      </c>
      <c r="Q594" s="37">
        <f>'03_原始数据'!C594-0.62*'03_原始数据'!B594-OtherCost</f>
        <v/>
      </c>
      <c r="R594" s="37">
        <f>'03_原始数据'!C594-0.625*'03_原始数据'!B594-OtherCost</f>
        <v/>
      </c>
      <c r="S594" s="37">
        <f>'03_原始数据'!C594-0.63*'03_原始数据'!B594-OtherCost</f>
        <v/>
      </c>
      <c r="T594" s="37">
        <f>'03_原始数据'!C594-0.635*'03_原始数据'!B594-OtherCost</f>
        <v/>
      </c>
      <c r="U594" s="37">
        <f>'03_原始数据'!C594-0.64*'03_原始数据'!B594-OtherCost</f>
        <v/>
      </c>
      <c r="V594" s="37">
        <f>'03_原始数据'!C594-0.645*'03_原始数据'!B594-OtherCost</f>
        <v/>
      </c>
      <c r="W594" s="37">
        <f>'03_原始数据'!C594-0.65*'03_原始数据'!B594-OtherCost</f>
        <v/>
      </c>
      <c r="X594" s="37">
        <f>'03_原始数据'!C594-0.655*'03_原始数据'!B594-OtherCost</f>
        <v/>
      </c>
      <c r="Y594" s="37">
        <f>'03_原始数据'!C594-0.66*'03_原始数据'!B594-OtherCost</f>
        <v/>
      </c>
      <c r="Z594" s="37">
        <f>'03_原始数据'!C594-0.665*'03_原始数据'!B594-OtherCost</f>
        <v/>
      </c>
      <c r="AA594" s="37">
        <f>'03_原始数据'!C594-0.67*'03_原始数据'!B594-OtherCost</f>
        <v/>
      </c>
      <c r="AB594" s="37">
        <f>'03_原始数据'!C594-0.675*'03_原始数据'!B594-OtherCost</f>
        <v/>
      </c>
      <c r="AC594" s="37">
        <f>'03_原始数据'!C594-0.68*'03_原始数据'!B594-OtherCost</f>
        <v/>
      </c>
      <c r="AD594" s="37">
        <f>'03_原始数据'!C594-0.685*'03_原始数据'!B594-OtherCost</f>
        <v/>
      </c>
      <c r="AE594" s="37">
        <f>'03_原始数据'!C594-0.69*'03_原始数据'!B594-OtherCost</f>
        <v/>
      </c>
      <c r="AF594" s="37">
        <f>'03_原始数据'!C594-0.695*'03_原始数据'!B594-OtherCost</f>
        <v/>
      </c>
      <c r="AG594" s="37">
        <f>'03_原始数据'!C594-0.7*'03_原始数据'!B594-OtherCost</f>
        <v/>
      </c>
    </row>
    <row r="595">
      <c r="M595" s="37">
        <f>'03_原始数据'!C595-0.6*'03_原始数据'!B595-OtherCost</f>
        <v/>
      </c>
      <c r="N595" s="37">
        <f>'03_原始数据'!C595-0.605*'03_原始数据'!B595-OtherCost</f>
        <v/>
      </c>
      <c r="O595" s="37">
        <f>'03_原始数据'!C595-0.61*'03_原始数据'!B595-OtherCost</f>
        <v/>
      </c>
      <c r="P595" s="37">
        <f>'03_原始数据'!C595-0.615*'03_原始数据'!B595-OtherCost</f>
        <v/>
      </c>
      <c r="Q595" s="37">
        <f>'03_原始数据'!C595-0.62*'03_原始数据'!B595-OtherCost</f>
        <v/>
      </c>
      <c r="R595" s="37">
        <f>'03_原始数据'!C595-0.625*'03_原始数据'!B595-OtherCost</f>
        <v/>
      </c>
      <c r="S595" s="37">
        <f>'03_原始数据'!C595-0.63*'03_原始数据'!B595-OtherCost</f>
        <v/>
      </c>
      <c r="T595" s="37">
        <f>'03_原始数据'!C595-0.635*'03_原始数据'!B595-OtherCost</f>
        <v/>
      </c>
      <c r="U595" s="37">
        <f>'03_原始数据'!C595-0.64*'03_原始数据'!B595-OtherCost</f>
        <v/>
      </c>
      <c r="V595" s="37">
        <f>'03_原始数据'!C595-0.645*'03_原始数据'!B595-OtherCost</f>
        <v/>
      </c>
      <c r="W595" s="37">
        <f>'03_原始数据'!C595-0.65*'03_原始数据'!B595-OtherCost</f>
        <v/>
      </c>
      <c r="X595" s="37">
        <f>'03_原始数据'!C595-0.655*'03_原始数据'!B595-OtherCost</f>
        <v/>
      </c>
      <c r="Y595" s="37">
        <f>'03_原始数据'!C595-0.66*'03_原始数据'!B595-OtherCost</f>
        <v/>
      </c>
      <c r="Z595" s="37">
        <f>'03_原始数据'!C595-0.665*'03_原始数据'!B595-OtherCost</f>
        <v/>
      </c>
      <c r="AA595" s="37">
        <f>'03_原始数据'!C595-0.67*'03_原始数据'!B595-OtherCost</f>
        <v/>
      </c>
      <c r="AB595" s="37">
        <f>'03_原始数据'!C595-0.675*'03_原始数据'!B595-OtherCost</f>
        <v/>
      </c>
      <c r="AC595" s="37">
        <f>'03_原始数据'!C595-0.68*'03_原始数据'!B595-OtherCost</f>
        <v/>
      </c>
      <c r="AD595" s="37">
        <f>'03_原始数据'!C595-0.685*'03_原始数据'!B595-OtherCost</f>
        <v/>
      </c>
      <c r="AE595" s="37">
        <f>'03_原始数据'!C595-0.69*'03_原始数据'!B595-OtherCost</f>
        <v/>
      </c>
      <c r="AF595" s="37">
        <f>'03_原始数据'!C595-0.695*'03_原始数据'!B595-OtherCost</f>
        <v/>
      </c>
      <c r="AG595" s="37">
        <f>'03_原始数据'!C595-0.7*'03_原始数据'!B595-OtherCost</f>
        <v/>
      </c>
    </row>
    <row r="596">
      <c r="M596" s="37">
        <f>'03_原始数据'!C596-0.6*'03_原始数据'!B596-OtherCost</f>
        <v/>
      </c>
      <c r="N596" s="37">
        <f>'03_原始数据'!C596-0.605*'03_原始数据'!B596-OtherCost</f>
        <v/>
      </c>
      <c r="O596" s="37">
        <f>'03_原始数据'!C596-0.61*'03_原始数据'!B596-OtherCost</f>
        <v/>
      </c>
      <c r="P596" s="37">
        <f>'03_原始数据'!C596-0.615*'03_原始数据'!B596-OtherCost</f>
        <v/>
      </c>
      <c r="Q596" s="37">
        <f>'03_原始数据'!C596-0.62*'03_原始数据'!B596-OtherCost</f>
        <v/>
      </c>
      <c r="R596" s="37">
        <f>'03_原始数据'!C596-0.625*'03_原始数据'!B596-OtherCost</f>
        <v/>
      </c>
      <c r="S596" s="37">
        <f>'03_原始数据'!C596-0.63*'03_原始数据'!B596-OtherCost</f>
        <v/>
      </c>
      <c r="T596" s="37">
        <f>'03_原始数据'!C596-0.635*'03_原始数据'!B596-OtherCost</f>
        <v/>
      </c>
      <c r="U596" s="37">
        <f>'03_原始数据'!C596-0.64*'03_原始数据'!B596-OtherCost</f>
        <v/>
      </c>
      <c r="V596" s="37">
        <f>'03_原始数据'!C596-0.645*'03_原始数据'!B596-OtherCost</f>
        <v/>
      </c>
      <c r="W596" s="37">
        <f>'03_原始数据'!C596-0.65*'03_原始数据'!B596-OtherCost</f>
        <v/>
      </c>
      <c r="X596" s="37">
        <f>'03_原始数据'!C596-0.655*'03_原始数据'!B596-OtherCost</f>
        <v/>
      </c>
      <c r="Y596" s="37">
        <f>'03_原始数据'!C596-0.66*'03_原始数据'!B596-OtherCost</f>
        <v/>
      </c>
      <c r="Z596" s="37">
        <f>'03_原始数据'!C596-0.665*'03_原始数据'!B596-OtherCost</f>
        <v/>
      </c>
      <c r="AA596" s="37">
        <f>'03_原始数据'!C596-0.67*'03_原始数据'!B596-OtherCost</f>
        <v/>
      </c>
      <c r="AB596" s="37">
        <f>'03_原始数据'!C596-0.675*'03_原始数据'!B596-OtherCost</f>
        <v/>
      </c>
      <c r="AC596" s="37">
        <f>'03_原始数据'!C596-0.68*'03_原始数据'!B596-OtherCost</f>
        <v/>
      </c>
      <c r="AD596" s="37">
        <f>'03_原始数据'!C596-0.685*'03_原始数据'!B596-OtherCost</f>
        <v/>
      </c>
      <c r="AE596" s="37">
        <f>'03_原始数据'!C596-0.69*'03_原始数据'!B596-OtherCost</f>
        <v/>
      </c>
      <c r="AF596" s="37">
        <f>'03_原始数据'!C596-0.695*'03_原始数据'!B596-OtherCost</f>
        <v/>
      </c>
      <c r="AG596" s="37">
        <f>'03_原始数据'!C596-0.7*'03_原始数据'!B596-OtherCost</f>
        <v/>
      </c>
    </row>
    <row r="597">
      <c r="M597" s="37">
        <f>'03_原始数据'!C597-0.6*'03_原始数据'!B597-OtherCost</f>
        <v/>
      </c>
      <c r="N597" s="37">
        <f>'03_原始数据'!C597-0.605*'03_原始数据'!B597-OtherCost</f>
        <v/>
      </c>
      <c r="O597" s="37">
        <f>'03_原始数据'!C597-0.61*'03_原始数据'!B597-OtherCost</f>
        <v/>
      </c>
      <c r="P597" s="37">
        <f>'03_原始数据'!C597-0.615*'03_原始数据'!B597-OtherCost</f>
        <v/>
      </c>
      <c r="Q597" s="37">
        <f>'03_原始数据'!C597-0.62*'03_原始数据'!B597-OtherCost</f>
        <v/>
      </c>
      <c r="R597" s="37">
        <f>'03_原始数据'!C597-0.625*'03_原始数据'!B597-OtherCost</f>
        <v/>
      </c>
      <c r="S597" s="37">
        <f>'03_原始数据'!C597-0.63*'03_原始数据'!B597-OtherCost</f>
        <v/>
      </c>
      <c r="T597" s="37">
        <f>'03_原始数据'!C597-0.635*'03_原始数据'!B597-OtherCost</f>
        <v/>
      </c>
      <c r="U597" s="37">
        <f>'03_原始数据'!C597-0.64*'03_原始数据'!B597-OtherCost</f>
        <v/>
      </c>
      <c r="V597" s="37">
        <f>'03_原始数据'!C597-0.645*'03_原始数据'!B597-OtherCost</f>
        <v/>
      </c>
      <c r="W597" s="37">
        <f>'03_原始数据'!C597-0.65*'03_原始数据'!B597-OtherCost</f>
        <v/>
      </c>
      <c r="X597" s="37">
        <f>'03_原始数据'!C597-0.655*'03_原始数据'!B597-OtherCost</f>
        <v/>
      </c>
      <c r="Y597" s="37">
        <f>'03_原始数据'!C597-0.66*'03_原始数据'!B597-OtherCost</f>
        <v/>
      </c>
      <c r="Z597" s="37">
        <f>'03_原始数据'!C597-0.665*'03_原始数据'!B597-OtherCost</f>
        <v/>
      </c>
      <c r="AA597" s="37">
        <f>'03_原始数据'!C597-0.67*'03_原始数据'!B597-OtherCost</f>
        <v/>
      </c>
      <c r="AB597" s="37">
        <f>'03_原始数据'!C597-0.675*'03_原始数据'!B597-OtherCost</f>
        <v/>
      </c>
      <c r="AC597" s="37">
        <f>'03_原始数据'!C597-0.68*'03_原始数据'!B597-OtherCost</f>
        <v/>
      </c>
      <c r="AD597" s="37">
        <f>'03_原始数据'!C597-0.685*'03_原始数据'!B597-OtherCost</f>
        <v/>
      </c>
      <c r="AE597" s="37">
        <f>'03_原始数据'!C597-0.69*'03_原始数据'!B597-OtherCost</f>
        <v/>
      </c>
      <c r="AF597" s="37">
        <f>'03_原始数据'!C597-0.695*'03_原始数据'!B597-OtherCost</f>
        <v/>
      </c>
      <c r="AG597" s="37">
        <f>'03_原始数据'!C597-0.7*'03_原始数据'!B597-OtherCost</f>
        <v/>
      </c>
    </row>
    <row r="598">
      <c r="M598" s="37">
        <f>'03_原始数据'!C598-0.6*'03_原始数据'!B598-OtherCost</f>
        <v/>
      </c>
      <c r="N598" s="37">
        <f>'03_原始数据'!C598-0.605*'03_原始数据'!B598-OtherCost</f>
        <v/>
      </c>
      <c r="O598" s="37">
        <f>'03_原始数据'!C598-0.61*'03_原始数据'!B598-OtherCost</f>
        <v/>
      </c>
      <c r="P598" s="37">
        <f>'03_原始数据'!C598-0.615*'03_原始数据'!B598-OtherCost</f>
        <v/>
      </c>
      <c r="Q598" s="37">
        <f>'03_原始数据'!C598-0.62*'03_原始数据'!B598-OtherCost</f>
        <v/>
      </c>
      <c r="R598" s="37">
        <f>'03_原始数据'!C598-0.625*'03_原始数据'!B598-OtherCost</f>
        <v/>
      </c>
      <c r="S598" s="37">
        <f>'03_原始数据'!C598-0.63*'03_原始数据'!B598-OtherCost</f>
        <v/>
      </c>
      <c r="T598" s="37">
        <f>'03_原始数据'!C598-0.635*'03_原始数据'!B598-OtherCost</f>
        <v/>
      </c>
      <c r="U598" s="37">
        <f>'03_原始数据'!C598-0.64*'03_原始数据'!B598-OtherCost</f>
        <v/>
      </c>
      <c r="V598" s="37">
        <f>'03_原始数据'!C598-0.645*'03_原始数据'!B598-OtherCost</f>
        <v/>
      </c>
      <c r="W598" s="37">
        <f>'03_原始数据'!C598-0.65*'03_原始数据'!B598-OtherCost</f>
        <v/>
      </c>
      <c r="X598" s="37">
        <f>'03_原始数据'!C598-0.655*'03_原始数据'!B598-OtherCost</f>
        <v/>
      </c>
      <c r="Y598" s="37">
        <f>'03_原始数据'!C598-0.66*'03_原始数据'!B598-OtherCost</f>
        <v/>
      </c>
      <c r="Z598" s="37">
        <f>'03_原始数据'!C598-0.665*'03_原始数据'!B598-OtherCost</f>
        <v/>
      </c>
      <c r="AA598" s="37">
        <f>'03_原始数据'!C598-0.67*'03_原始数据'!B598-OtherCost</f>
        <v/>
      </c>
      <c r="AB598" s="37">
        <f>'03_原始数据'!C598-0.675*'03_原始数据'!B598-OtherCost</f>
        <v/>
      </c>
      <c r="AC598" s="37">
        <f>'03_原始数据'!C598-0.68*'03_原始数据'!B598-OtherCost</f>
        <v/>
      </c>
      <c r="AD598" s="37">
        <f>'03_原始数据'!C598-0.685*'03_原始数据'!B598-OtherCost</f>
        <v/>
      </c>
      <c r="AE598" s="37">
        <f>'03_原始数据'!C598-0.69*'03_原始数据'!B598-OtherCost</f>
        <v/>
      </c>
      <c r="AF598" s="37">
        <f>'03_原始数据'!C598-0.695*'03_原始数据'!B598-OtherCost</f>
        <v/>
      </c>
      <c r="AG598" s="37">
        <f>'03_原始数据'!C598-0.7*'03_原始数据'!B598-OtherCost</f>
        <v/>
      </c>
    </row>
    <row r="599">
      <c r="M599" s="37">
        <f>'03_原始数据'!C599-0.6*'03_原始数据'!B599-OtherCost</f>
        <v/>
      </c>
      <c r="N599" s="37">
        <f>'03_原始数据'!C599-0.605*'03_原始数据'!B599-OtherCost</f>
        <v/>
      </c>
      <c r="O599" s="37">
        <f>'03_原始数据'!C599-0.61*'03_原始数据'!B599-OtherCost</f>
        <v/>
      </c>
      <c r="P599" s="37">
        <f>'03_原始数据'!C599-0.615*'03_原始数据'!B599-OtherCost</f>
        <v/>
      </c>
      <c r="Q599" s="37">
        <f>'03_原始数据'!C599-0.62*'03_原始数据'!B599-OtherCost</f>
        <v/>
      </c>
      <c r="R599" s="37">
        <f>'03_原始数据'!C599-0.625*'03_原始数据'!B599-OtherCost</f>
        <v/>
      </c>
      <c r="S599" s="37">
        <f>'03_原始数据'!C599-0.63*'03_原始数据'!B599-OtherCost</f>
        <v/>
      </c>
      <c r="T599" s="37">
        <f>'03_原始数据'!C599-0.635*'03_原始数据'!B599-OtherCost</f>
        <v/>
      </c>
      <c r="U599" s="37">
        <f>'03_原始数据'!C599-0.64*'03_原始数据'!B599-OtherCost</f>
        <v/>
      </c>
      <c r="V599" s="37">
        <f>'03_原始数据'!C599-0.645*'03_原始数据'!B599-OtherCost</f>
        <v/>
      </c>
      <c r="W599" s="37">
        <f>'03_原始数据'!C599-0.65*'03_原始数据'!B599-OtherCost</f>
        <v/>
      </c>
      <c r="X599" s="37">
        <f>'03_原始数据'!C599-0.655*'03_原始数据'!B599-OtherCost</f>
        <v/>
      </c>
      <c r="Y599" s="37">
        <f>'03_原始数据'!C599-0.66*'03_原始数据'!B599-OtherCost</f>
        <v/>
      </c>
      <c r="Z599" s="37">
        <f>'03_原始数据'!C599-0.665*'03_原始数据'!B599-OtherCost</f>
        <v/>
      </c>
      <c r="AA599" s="37">
        <f>'03_原始数据'!C599-0.67*'03_原始数据'!B599-OtherCost</f>
        <v/>
      </c>
      <c r="AB599" s="37">
        <f>'03_原始数据'!C599-0.675*'03_原始数据'!B599-OtherCost</f>
        <v/>
      </c>
      <c r="AC599" s="37">
        <f>'03_原始数据'!C599-0.68*'03_原始数据'!B599-OtherCost</f>
        <v/>
      </c>
      <c r="AD599" s="37">
        <f>'03_原始数据'!C599-0.685*'03_原始数据'!B599-OtherCost</f>
        <v/>
      </c>
      <c r="AE599" s="37">
        <f>'03_原始数据'!C599-0.69*'03_原始数据'!B599-OtherCost</f>
        <v/>
      </c>
      <c r="AF599" s="37">
        <f>'03_原始数据'!C599-0.695*'03_原始数据'!B599-OtherCost</f>
        <v/>
      </c>
      <c r="AG599" s="37">
        <f>'03_原始数据'!C599-0.7*'03_原始数据'!B599-OtherCost</f>
        <v/>
      </c>
    </row>
    <row r="600">
      <c r="M600" s="37">
        <f>'03_原始数据'!C600-0.6*'03_原始数据'!B600-OtherCost</f>
        <v/>
      </c>
      <c r="N600" s="37">
        <f>'03_原始数据'!C600-0.605*'03_原始数据'!B600-OtherCost</f>
        <v/>
      </c>
      <c r="O600" s="37">
        <f>'03_原始数据'!C600-0.61*'03_原始数据'!B600-OtherCost</f>
        <v/>
      </c>
      <c r="P600" s="37">
        <f>'03_原始数据'!C600-0.615*'03_原始数据'!B600-OtherCost</f>
        <v/>
      </c>
      <c r="Q600" s="37">
        <f>'03_原始数据'!C600-0.62*'03_原始数据'!B600-OtherCost</f>
        <v/>
      </c>
      <c r="R600" s="37">
        <f>'03_原始数据'!C600-0.625*'03_原始数据'!B600-OtherCost</f>
        <v/>
      </c>
      <c r="S600" s="37">
        <f>'03_原始数据'!C600-0.63*'03_原始数据'!B600-OtherCost</f>
        <v/>
      </c>
      <c r="T600" s="37">
        <f>'03_原始数据'!C600-0.635*'03_原始数据'!B600-OtherCost</f>
        <v/>
      </c>
      <c r="U600" s="37">
        <f>'03_原始数据'!C600-0.64*'03_原始数据'!B600-OtherCost</f>
        <v/>
      </c>
      <c r="V600" s="37">
        <f>'03_原始数据'!C600-0.645*'03_原始数据'!B600-OtherCost</f>
        <v/>
      </c>
      <c r="W600" s="37">
        <f>'03_原始数据'!C600-0.65*'03_原始数据'!B600-OtherCost</f>
        <v/>
      </c>
      <c r="X600" s="37">
        <f>'03_原始数据'!C600-0.655*'03_原始数据'!B600-OtherCost</f>
        <v/>
      </c>
      <c r="Y600" s="37">
        <f>'03_原始数据'!C600-0.66*'03_原始数据'!B600-OtherCost</f>
        <v/>
      </c>
      <c r="Z600" s="37">
        <f>'03_原始数据'!C600-0.665*'03_原始数据'!B600-OtherCost</f>
        <v/>
      </c>
      <c r="AA600" s="37">
        <f>'03_原始数据'!C600-0.67*'03_原始数据'!B600-OtherCost</f>
        <v/>
      </c>
      <c r="AB600" s="37">
        <f>'03_原始数据'!C600-0.675*'03_原始数据'!B600-OtherCost</f>
        <v/>
      </c>
      <c r="AC600" s="37">
        <f>'03_原始数据'!C600-0.68*'03_原始数据'!B600-OtherCost</f>
        <v/>
      </c>
      <c r="AD600" s="37">
        <f>'03_原始数据'!C600-0.685*'03_原始数据'!B600-OtherCost</f>
        <v/>
      </c>
      <c r="AE600" s="37">
        <f>'03_原始数据'!C600-0.69*'03_原始数据'!B600-OtherCost</f>
        <v/>
      </c>
      <c r="AF600" s="37">
        <f>'03_原始数据'!C600-0.695*'03_原始数据'!B600-OtherCost</f>
        <v/>
      </c>
      <c r="AG600" s="37">
        <f>'03_原始数据'!C600-0.7*'03_原始数据'!B600-OtherCost</f>
        <v/>
      </c>
    </row>
    <row r="601">
      <c r="M601" s="37">
        <f>'03_原始数据'!C601-0.6*'03_原始数据'!B601-OtherCost</f>
        <v/>
      </c>
      <c r="N601" s="37">
        <f>'03_原始数据'!C601-0.605*'03_原始数据'!B601-OtherCost</f>
        <v/>
      </c>
      <c r="O601" s="37">
        <f>'03_原始数据'!C601-0.61*'03_原始数据'!B601-OtherCost</f>
        <v/>
      </c>
      <c r="P601" s="37">
        <f>'03_原始数据'!C601-0.615*'03_原始数据'!B601-OtherCost</f>
        <v/>
      </c>
      <c r="Q601" s="37">
        <f>'03_原始数据'!C601-0.62*'03_原始数据'!B601-OtherCost</f>
        <v/>
      </c>
      <c r="R601" s="37">
        <f>'03_原始数据'!C601-0.625*'03_原始数据'!B601-OtherCost</f>
        <v/>
      </c>
      <c r="S601" s="37">
        <f>'03_原始数据'!C601-0.63*'03_原始数据'!B601-OtherCost</f>
        <v/>
      </c>
      <c r="T601" s="37">
        <f>'03_原始数据'!C601-0.635*'03_原始数据'!B601-OtherCost</f>
        <v/>
      </c>
      <c r="U601" s="37">
        <f>'03_原始数据'!C601-0.64*'03_原始数据'!B601-OtherCost</f>
        <v/>
      </c>
      <c r="V601" s="37">
        <f>'03_原始数据'!C601-0.645*'03_原始数据'!B601-OtherCost</f>
        <v/>
      </c>
      <c r="W601" s="37">
        <f>'03_原始数据'!C601-0.65*'03_原始数据'!B601-OtherCost</f>
        <v/>
      </c>
      <c r="X601" s="37">
        <f>'03_原始数据'!C601-0.655*'03_原始数据'!B601-OtherCost</f>
        <v/>
      </c>
      <c r="Y601" s="37">
        <f>'03_原始数据'!C601-0.66*'03_原始数据'!B601-OtherCost</f>
        <v/>
      </c>
      <c r="Z601" s="37">
        <f>'03_原始数据'!C601-0.665*'03_原始数据'!B601-OtherCost</f>
        <v/>
      </c>
      <c r="AA601" s="37">
        <f>'03_原始数据'!C601-0.67*'03_原始数据'!B601-OtherCost</f>
        <v/>
      </c>
      <c r="AB601" s="37">
        <f>'03_原始数据'!C601-0.675*'03_原始数据'!B601-OtherCost</f>
        <v/>
      </c>
      <c r="AC601" s="37">
        <f>'03_原始数据'!C601-0.68*'03_原始数据'!B601-OtherCost</f>
        <v/>
      </c>
      <c r="AD601" s="37">
        <f>'03_原始数据'!C601-0.685*'03_原始数据'!B601-OtherCost</f>
        <v/>
      </c>
      <c r="AE601" s="37">
        <f>'03_原始数据'!C601-0.69*'03_原始数据'!B601-OtherCost</f>
        <v/>
      </c>
      <c r="AF601" s="37">
        <f>'03_原始数据'!C601-0.695*'03_原始数据'!B601-OtherCost</f>
        <v/>
      </c>
      <c r="AG601" s="37">
        <f>'03_原始数据'!C601-0.7*'03_原始数据'!B601-OtherCost</f>
        <v/>
      </c>
    </row>
    <row r="602">
      <c r="M602" s="37">
        <f>'03_原始数据'!C602-0.6*'03_原始数据'!B602-OtherCost</f>
        <v/>
      </c>
      <c r="N602" s="37">
        <f>'03_原始数据'!C602-0.605*'03_原始数据'!B602-OtherCost</f>
        <v/>
      </c>
      <c r="O602" s="37">
        <f>'03_原始数据'!C602-0.61*'03_原始数据'!B602-OtherCost</f>
        <v/>
      </c>
      <c r="P602" s="37">
        <f>'03_原始数据'!C602-0.615*'03_原始数据'!B602-OtherCost</f>
        <v/>
      </c>
      <c r="Q602" s="37">
        <f>'03_原始数据'!C602-0.62*'03_原始数据'!B602-OtherCost</f>
        <v/>
      </c>
      <c r="R602" s="37">
        <f>'03_原始数据'!C602-0.625*'03_原始数据'!B602-OtherCost</f>
        <v/>
      </c>
      <c r="S602" s="37">
        <f>'03_原始数据'!C602-0.63*'03_原始数据'!B602-OtherCost</f>
        <v/>
      </c>
      <c r="T602" s="37">
        <f>'03_原始数据'!C602-0.635*'03_原始数据'!B602-OtherCost</f>
        <v/>
      </c>
      <c r="U602" s="37">
        <f>'03_原始数据'!C602-0.64*'03_原始数据'!B602-OtherCost</f>
        <v/>
      </c>
      <c r="V602" s="37">
        <f>'03_原始数据'!C602-0.645*'03_原始数据'!B602-OtherCost</f>
        <v/>
      </c>
      <c r="W602" s="37">
        <f>'03_原始数据'!C602-0.65*'03_原始数据'!B602-OtherCost</f>
        <v/>
      </c>
      <c r="X602" s="37">
        <f>'03_原始数据'!C602-0.655*'03_原始数据'!B602-OtherCost</f>
        <v/>
      </c>
      <c r="Y602" s="37">
        <f>'03_原始数据'!C602-0.66*'03_原始数据'!B602-OtherCost</f>
        <v/>
      </c>
      <c r="Z602" s="37">
        <f>'03_原始数据'!C602-0.665*'03_原始数据'!B602-OtherCost</f>
        <v/>
      </c>
      <c r="AA602" s="37">
        <f>'03_原始数据'!C602-0.67*'03_原始数据'!B602-OtherCost</f>
        <v/>
      </c>
      <c r="AB602" s="37">
        <f>'03_原始数据'!C602-0.675*'03_原始数据'!B602-OtherCost</f>
        <v/>
      </c>
      <c r="AC602" s="37">
        <f>'03_原始数据'!C602-0.68*'03_原始数据'!B602-OtherCost</f>
        <v/>
      </c>
      <c r="AD602" s="37">
        <f>'03_原始数据'!C602-0.685*'03_原始数据'!B602-OtherCost</f>
        <v/>
      </c>
      <c r="AE602" s="37">
        <f>'03_原始数据'!C602-0.69*'03_原始数据'!B602-OtherCost</f>
        <v/>
      </c>
      <c r="AF602" s="37">
        <f>'03_原始数据'!C602-0.695*'03_原始数据'!B602-OtherCost</f>
        <v/>
      </c>
      <c r="AG602" s="37">
        <f>'03_原始数据'!C602-0.7*'03_原始数据'!B602-OtherCost</f>
        <v/>
      </c>
    </row>
    <row r="603">
      <c r="M603" s="37">
        <f>'03_原始数据'!C603-0.6*'03_原始数据'!B603-OtherCost</f>
        <v/>
      </c>
      <c r="N603" s="37">
        <f>'03_原始数据'!C603-0.605*'03_原始数据'!B603-OtherCost</f>
        <v/>
      </c>
      <c r="O603" s="37">
        <f>'03_原始数据'!C603-0.61*'03_原始数据'!B603-OtherCost</f>
        <v/>
      </c>
      <c r="P603" s="37">
        <f>'03_原始数据'!C603-0.615*'03_原始数据'!B603-OtherCost</f>
        <v/>
      </c>
      <c r="Q603" s="37">
        <f>'03_原始数据'!C603-0.62*'03_原始数据'!B603-OtherCost</f>
        <v/>
      </c>
      <c r="R603" s="37">
        <f>'03_原始数据'!C603-0.625*'03_原始数据'!B603-OtherCost</f>
        <v/>
      </c>
      <c r="S603" s="37">
        <f>'03_原始数据'!C603-0.63*'03_原始数据'!B603-OtherCost</f>
        <v/>
      </c>
      <c r="T603" s="37">
        <f>'03_原始数据'!C603-0.635*'03_原始数据'!B603-OtherCost</f>
        <v/>
      </c>
      <c r="U603" s="37">
        <f>'03_原始数据'!C603-0.64*'03_原始数据'!B603-OtherCost</f>
        <v/>
      </c>
      <c r="V603" s="37">
        <f>'03_原始数据'!C603-0.645*'03_原始数据'!B603-OtherCost</f>
        <v/>
      </c>
      <c r="W603" s="37">
        <f>'03_原始数据'!C603-0.65*'03_原始数据'!B603-OtherCost</f>
        <v/>
      </c>
      <c r="X603" s="37">
        <f>'03_原始数据'!C603-0.655*'03_原始数据'!B603-OtherCost</f>
        <v/>
      </c>
      <c r="Y603" s="37">
        <f>'03_原始数据'!C603-0.66*'03_原始数据'!B603-OtherCost</f>
        <v/>
      </c>
      <c r="Z603" s="37">
        <f>'03_原始数据'!C603-0.665*'03_原始数据'!B603-OtherCost</f>
        <v/>
      </c>
      <c r="AA603" s="37">
        <f>'03_原始数据'!C603-0.67*'03_原始数据'!B603-OtherCost</f>
        <v/>
      </c>
      <c r="AB603" s="37">
        <f>'03_原始数据'!C603-0.675*'03_原始数据'!B603-OtherCost</f>
        <v/>
      </c>
      <c r="AC603" s="37">
        <f>'03_原始数据'!C603-0.68*'03_原始数据'!B603-OtherCost</f>
        <v/>
      </c>
      <c r="AD603" s="37">
        <f>'03_原始数据'!C603-0.685*'03_原始数据'!B603-OtherCost</f>
        <v/>
      </c>
      <c r="AE603" s="37">
        <f>'03_原始数据'!C603-0.69*'03_原始数据'!B603-OtherCost</f>
        <v/>
      </c>
      <c r="AF603" s="37">
        <f>'03_原始数据'!C603-0.695*'03_原始数据'!B603-OtherCost</f>
        <v/>
      </c>
      <c r="AG603" s="37">
        <f>'03_原始数据'!C603-0.7*'03_原始数据'!B603-OtherCost</f>
        <v/>
      </c>
    </row>
    <row r="604">
      <c r="M604" s="37">
        <f>'03_原始数据'!C604-0.6*'03_原始数据'!B604-OtherCost</f>
        <v/>
      </c>
      <c r="N604" s="37">
        <f>'03_原始数据'!C604-0.605*'03_原始数据'!B604-OtherCost</f>
        <v/>
      </c>
      <c r="O604" s="37">
        <f>'03_原始数据'!C604-0.61*'03_原始数据'!B604-OtherCost</f>
        <v/>
      </c>
      <c r="P604" s="37">
        <f>'03_原始数据'!C604-0.615*'03_原始数据'!B604-OtherCost</f>
        <v/>
      </c>
      <c r="Q604" s="37">
        <f>'03_原始数据'!C604-0.62*'03_原始数据'!B604-OtherCost</f>
        <v/>
      </c>
      <c r="R604" s="37">
        <f>'03_原始数据'!C604-0.625*'03_原始数据'!B604-OtherCost</f>
        <v/>
      </c>
      <c r="S604" s="37">
        <f>'03_原始数据'!C604-0.63*'03_原始数据'!B604-OtherCost</f>
        <v/>
      </c>
      <c r="T604" s="37">
        <f>'03_原始数据'!C604-0.635*'03_原始数据'!B604-OtherCost</f>
        <v/>
      </c>
      <c r="U604" s="37">
        <f>'03_原始数据'!C604-0.64*'03_原始数据'!B604-OtherCost</f>
        <v/>
      </c>
      <c r="V604" s="37">
        <f>'03_原始数据'!C604-0.645*'03_原始数据'!B604-OtherCost</f>
        <v/>
      </c>
      <c r="W604" s="37">
        <f>'03_原始数据'!C604-0.65*'03_原始数据'!B604-OtherCost</f>
        <v/>
      </c>
      <c r="X604" s="37">
        <f>'03_原始数据'!C604-0.655*'03_原始数据'!B604-OtherCost</f>
        <v/>
      </c>
      <c r="Y604" s="37">
        <f>'03_原始数据'!C604-0.66*'03_原始数据'!B604-OtherCost</f>
        <v/>
      </c>
      <c r="Z604" s="37">
        <f>'03_原始数据'!C604-0.665*'03_原始数据'!B604-OtherCost</f>
        <v/>
      </c>
      <c r="AA604" s="37">
        <f>'03_原始数据'!C604-0.67*'03_原始数据'!B604-OtherCost</f>
        <v/>
      </c>
      <c r="AB604" s="37">
        <f>'03_原始数据'!C604-0.675*'03_原始数据'!B604-OtherCost</f>
        <v/>
      </c>
      <c r="AC604" s="37">
        <f>'03_原始数据'!C604-0.68*'03_原始数据'!B604-OtherCost</f>
        <v/>
      </c>
      <c r="AD604" s="37">
        <f>'03_原始数据'!C604-0.685*'03_原始数据'!B604-OtherCost</f>
        <v/>
      </c>
      <c r="AE604" s="37">
        <f>'03_原始数据'!C604-0.69*'03_原始数据'!B604-OtherCost</f>
        <v/>
      </c>
      <c r="AF604" s="37">
        <f>'03_原始数据'!C604-0.695*'03_原始数据'!B604-OtherCost</f>
        <v/>
      </c>
      <c r="AG604" s="37">
        <f>'03_原始数据'!C604-0.7*'03_原始数据'!B604-OtherCost</f>
        <v/>
      </c>
    </row>
    <row r="605">
      <c r="M605" s="37">
        <f>'03_原始数据'!C605-0.6*'03_原始数据'!B605-OtherCost</f>
        <v/>
      </c>
      <c r="N605" s="37">
        <f>'03_原始数据'!C605-0.605*'03_原始数据'!B605-OtherCost</f>
        <v/>
      </c>
      <c r="O605" s="37">
        <f>'03_原始数据'!C605-0.61*'03_原始数据'!B605-OtherCost</f>
        <v/>
      </c>
      <c r="P605" s="37">
        <f>'03_原始数据'!C605-0.615*'03_原始数据'!B605-OtherCost</f>
        <v/>
      </c>
      <c r="Q605" s="37">
        <f>'03_原始数据'!C605-0.62*'03_原始数据'!B605-OtherCost</f>
        <v/>
      </c>
      <c r="R605" s="37">
        <f>'03_原始数据'!C605-0.625*'03_原始数据'!B605-OtherCost</f>
        <v/>
      </c>
      <c r="S605" s="37">
        <f>'03_原始数据'!C605-0.63*'03_原始数据'!B605-OtherCost</f>
        <v/>
      </c>
      <c r="T605" s="37">
        <f>'03_原始数据'!C605-0.635*'03_原始数据'!B605-OtherCost</f>
        <v/>
      </c>
      <c r="U605" s="37">
        <f>'03_原始数据'!C605-0.64*'03_原始数据'!B605-OtherCost</f>
        <v/>
      </c>
      <c r="V605" s="37">
        <f>'03_原始数据'!C605-0.645*'03_原始数据'!B605-OtherCost</f>
        <v/>
      </c>
      <c r="W605" s="37">
        <f>'03_原始数据'!C605-0.65*'03_原始数据'!B605-OtherCost</f>
        <v/>
      </c>
      <c r="X605" s="37">
        <f>'03_原始数据'!C605-0.655*'03_原始数据'!B605-OtherCost</f>
        <v/>
      </c>
      <c r="Y605" s="37">
        <f>'03_原始数据'!C605-0.66*'03_原始数据'!B605-OtherCost</f>
        <v/>
      </c>
      <c r="Z605" s="37">
        <f>'03_原始数据'!C605-0.665*'03_原始数据'!B605-OtherCost</f>
        <v/>
      </c>
      <c r="AA605" s="37">
        <f>'03_原始数据'!C605-0.67*'03_原始数据'!B605-OtherCost</f>
        <v/>
      </c>
      <c r="AB605" s="37">
        <f>'03_原始数据'!C605-0.675*'03_原始数据'!B605-OtherCost</f>
        <v/>
      </c>
      <c r="AC605" s="37">
        <f>'03_原始数据'!C605-0.68*'03_原始数据'!B605-OtherCost</f>
        <v/>
      </c>
      <c r="AD605" s="37">
        <f>'03_原始数据'!C605-0.685*'03_原始数据'!B605-OtherCost</f>
        <v/>
      </c>
      <c r="AE605" s="37">
        <f>'03_原始数据'!C605-0.69*'03_原始数据'!B605-OtherCost</f>
        <v/>
      </c>
      <c r="AF605" s="37">
        <f>'03_原始数据'!C605-0.695*'03_原始数据'!B605-OtherCost</f>
        <v/>
      </c>
      <c r="AG605" s="37">
        <f>'03_原始数据'!C605-0.7*'03_原始数据'!B605-OtherCost</f>
        <v/>
      </c>
    </row>
    <row r="606">
      <c r="M606" s="37">
        <f>'03_原始数据'!C606-0.6*'03_原始数据'!B606-OtherCost</f>
        <v/>
      </c>
      <c r="N606" s="37">
        <f>'03_原始数据'!C606-0.605*'03_原始数据'!B606-OtherCost</f>
        <v/>
      </c>
      <c r="O606" s="37">
        <f>'03_原始数据'!C606-0.61*'03_原始数据'!B606-OtherCost</f>
        <v/>
      </c>
      <c r="P606" s="37">
        <f>'03_原始数据'!C606-0.615*'03_原始数据'!B606-OtherCost</f>
        <v/>
      </c>
      <c r="Q606" s="37">
        <f>'03_原始数据'!C606-0.62*'03_原始数据'!B606-OtherCost</f>
        <v/>
      </c>
      <c r="R606" s="37">
        <f>'03_原始数据'!C606-0.625*'03_原始数据'!B606-OtherCost</f>
        <v/>
      </c>
      <c r="S606" s="37">
        <f>'03_原始数据'!C606-0.63*'03_原始数据'!B606-OtherCost</f>
        <v/>
      </c>
      <c r="T606" s="37">
        <f>'03_原始数据'!C606-0.635*'03_原始数据'!B606-OtherCost</f>
        <v/>
      </c>
      <c r="U606" s="37">
        <f>'03_原始数据'!C606-0.64*'03_原始数据'!B606-OtherCost</f>
        <v/>
      </c>
      <c r="V606" s="37">
        <f>'03_原始数据'!C606-0.645*'03_原始数据'!B606-OtherCost</f>
        <v/>
      </c>
      <c r="W606" s="37">
        <f>'03_原始数据'!C606-0.65*'03_原始数据'!B606-OtherCost</f>
        <v/>
      </c>
      <c r="X606" s="37">
        <f>'03_原始数据'!C606-0.655*'03_原始数据'!B606-OtherCost</f>
        <v/>
      </c>
      <c r="Y606" s="37">
        <f>'03_原始数据'!C606-0.66*'03_原始数据'!B606-OtherCost</f>
        <v/>
      </c>
      <c r="Z606" s="37">
        <f>'03_原始数据'!C606-0.665*'03_原始数据'!B606-OtherCost</f>
        <v/>
      </c>
      <c r="AA606" s="37">
        <f>'03_原始数据'!C606-0.67*'03_原始数据'!B606-OtherCost</f>
        <v/>
      </c>
      <c r="AB606" s="37">
        <f>'03_原始数据'!C606-0.675*'03_原始数据'!B606-OtherCost</f>
        <v/>
      </c>
      <c r="AC606" s="37">
        <f>'03_原始数据'!C606-0.68*'03_原始数据'!B606-OtherCost</f>
        <v/>
      </c>
      <c r="AD606" s="37">
        <f>'03_原始数据'!C606-0.685*'03_原始数据'!B606-OtherCost</f>
        <v/>
      </c>
      <c r="AE606" s="37">
        <f>'03_原始数据'!C606-0.69*'03_原始数据'!B606-OtherCost</f>
        <v/>
      </c>
      <c r="AF606" s="37">
        <f>'03_原始数据'!C606-0.695*'03_原始数据'!B606-OtherCost</f>
        <v/>
      </c>
      <c r="AG606" s="37">
        <f>'03_原始数据'!C606-0.7*'03_原始数据'!B606-OtherCost</f>
        <v/>
      </c>
    </row>
    <row r="607">
      <c r="M607" s="37">
        <f>'03_原始数据'!C607-0.6*'03_原始数据'!B607-OtherCost</f>
        <v/>
      </c>
      <c r="N607" s="37">
        <f>'03_原始数据'!C607-0.605*'03_原始数据'!B607-OtherCost</f>
        <v/>
      </c>
      <c r="O607" s="37">
        <f>'03_原始数据'!C607-0.61*'03_原始数据'!B607-OtherCost</f>
        <v/>
      </c>
      <c r="P607" s="37">
        <f>'03_原始数据'!C607-0.615*'03_原始数据'!B607-OtherCost</f>
        <v/>
      </c>
      <c r="Q607" s="37">
        <f>'03_原始数据'!C607-0.62*'03_原始数据'!B607-OtherCost</f>
        <v/>
      </c>
      <c r="R607" s="37">
        <f>'03_原始数据'!C607-0.625*'03_原始数据'!B607-OtherCost</f>
        <v/>
      </c>
      <c r="S607" s="37">
        <f>'03_原始数据'!C607-0.63*'03_原始数据'!B607-OtherCost</f>
        <v/>
      </c>
      <c r="T607" s="37">
        <f>'03_原始数据'!C607-0.635*'03_原始数据'!B607-OtherCost</f>
        <v/>
      </c>
      <c r="U607" s="37">
        <f>'03_原始数据'!C607-0.64*'03_原始数据'!B607-OtherCost</f>
        <v/>
      </c>
      <c r="V607" s="37">
        <f>'03_原始数据'!C607-0.645*'03_原始数据'!B607-OtherCost</f>
        <v/>
      </c>
      <c r="W607" s="37">
        <f>'03_原始数据'!C607-0.65*'03_原始数据'!B607-OtherCost</f>
        <v/>
      </c>
      <c r="X607" s="37">
        <f>'03_原始数据'!C607-0.655*'03_原始数据'!B607-OtherCost</f>
        <v/>
      </c>
      <c r="Y607" s="37">
        <f>'03_原始数据'!C607-0.66*'03_原始数据'!B607-OtherCost</f>
        <v/>
      </c>
      <c r="Z607" s="37">
        <f>'03_原始数据'!C607-0.665*'03_原始数据'!B607-OtherCost</f>
        <v/>
      </c>
      <c r="AA607" s="37">
        <f>'03_原始数据'!C607-0.67*'03_原始数据'!B607-OtherCost</f>
        <v/>
      </c>
      <c r="AB607" s="37">
        <f>'03_原始数据'!C607-0.675*'03_原始数据'!B607-OtherCost</f>
        <v/>
      </c>
      <c r="AC607" s="37">
        <f>'03_原始数据'!C607-0.68*'03_原始数据'!B607-OtherCost</f>
        <v/>
      </c>
      <c r="AD607" s="37">
        <f>'03_原始数据'!C607-0.685*'03_原始数据'!B607-OtherCost</f>
        <v/>
      </c>
      <c r="AE607" s="37">
        <f>'03_原始数据'!C607-0.69*'03_原始数据'!B607-OtherCost</f>
        <v/>
      </c>
      <c r="AF607" s="37">
        <f>'03_原始数据'!C607-0.695*'03_原始数据'!B607-OtherCost</f>
        <v/>
      </c>
      <c r="AG607" s="37">
        <f>'03_原始数据'!C607-0.7*'03_原始数据'!B607-OtherCost</f>
        <v/>
      </c>
    </row>
    <row r="608">
      <c r="M608" s="37">
        <f>'03_原始数据'!C608-0.6*'03_原始数据'!B608-OtherCost</f>
        <v/>
      </c>
      <c r="N608" s="37">
        <f>'03_原始数据'!C608-0.605*'03_原始数据'!B608-OtherCost</f>
        <v/>
      </c>
      <c r="O608" s="37">
        <f>'03_原始数据'!C608-0.61*'03_原始数据'!B608-OtherCost</f>
        <v/>
      </c>
      <c r="P608" s="37">
        <f>'03_原始数据'!C608-0.615*'03_原始数据'!B608-OtherCost</f>
        <v/>
      </c>
      <c r="Q608" s="37">
        <f>'03_原始数据'!C608-0.62*'03_原始数据'!B608-OtherCost</f>
        <v/>
      </c>
      <c r="R608" s="37">
        <f>'03_原始数据'!C608-0.625*'03_原始数据'!B608-OtherCost</f>
        <v/>
      </c>
      <c r="S608" s="37">
        <f>'03_原始数据'!C608-0.63*'03_原始数据'!B608-OtherCost</f>
        <v/>
      </c>
      <c r="T608" s="37">
        <f>'03_原始数据'!C608-0.635*'03_原始数据'!B608-OtherCost</f>
        <v/>
      </c>
      <c r="U608" s="37">
        <f>'03_原始数据'!C608-0.64*'03_原始数据'!B608-OtherCost</f>
        <v/>
      </c>
      <c r="V608" s="37">
        <f>'03_原始数据'!C608-0.645*'03_原始数据'!B608-OtherCost</f>
        <v/>
      </c>
      <c r="W608" s="37">
        <f>'03_原始数据'!C608-0.65*'03_原始数据'!B608-OtherCost</f>
        <v/>
      </c>
      <c r="X608" s="37">
        <f>'03_原始数据'!C608-0.655*'03_原始数据'!B608-OtherCost</f>
        <v/>
      </c>
      <c r="Y608" s="37">
        <f>'03_原始数据'!C608-0.66*'03_原始数据'!B608-OtherCost</f>
        <v/>
      </c>
      <c r="Z608" s="37">
        <f>'03_原始数据'!C608-0.665*'03_原始数据'!B608-OtherCost</f>
        <v/>
      </c>
      <c r="AA608" s="37">
        <f>'03_原始数据'!C608-0.67*'03_原始数据'!B608-OtherCost</f>
        <v/>
      </c>
      <c r="AB608" s="37">
        <f>'03_原始数据'!C608-0.675*'03_原始数据'!B608-OtherCost</f>
        <v/>
      </c>
      <c r="AC608" s="37">
        <f>'03_原始数据'!C608-0.68*'03_原始数据'!B608-OtherCost</f>
        <v/>
      </c>
      <c r="AD608" s="37">
        <f>'03_原始数据'!C608-0.685*'03_原始数据'!B608-OtherCost</f>
        <v/>
      </c>
      <c r="AE608" s="37">
        <f>'03_原始数据'!C608-0.69*'03_原始数据'!B608-OtherCost</f>
        <v/>
      </c>
      <c r="AF608" s="37">
        <f>'03_原始数据'!C608-0.695*'03_原始数据'!B608-OtherCost</f>
        <v/>
      </c>
      <c r="AG608" s="37">
        <f>'03_原始数据'!C608-0.7*'03_原始数据'!B608-OtherCost</f>
        <v/>
      </c>
    </row>
    <row r="609">
      <c r="M609" s="37">
        <f>'03_原始数据'!C609-0.6*'03_原始数据'!B609-OtherCost</f>
        <v/>
      </c>
      <c r="N609" s="37">
        <f>'03_原始数据'!C609-0.605*'03_原始数据'!B609-OtherCost</f>
        <v/>
      </c>
      <c r="O609" s="37">
        <f>'03_原始数据'!C609-0.61*'03_原始数据'!B609-OtherCost</f>
        <v/>
      </c>
      <c r="P609" s="37">
        <f>'03_原始数据'!C609-0.615*'03_原始数据'!B609-OtherCost</f>
        <v/>
      </c>
      <c r="Q609" s="37">
        <f>'03_原始数据'!C609-0.62*'03_原始数据'!B609-OtherCost</f>
        <v/>
      </c>
      <c r="R609" s="37">
        <f>'03_原始数据'!C609-0.625*'03_原始数据'!B609-OtherCost</f>
        <v/>
      </c>
      <c r="S609" s="37">
        <f>'03_原始数据'!C609-0.63*'03_原始数据'!B609-OtherCost</f>
        <v/>
      </c>
      <c r="T609" s="37">
        <f>'03_原始数据'!C609-0.635*'03_原始数据'!B609-OtherCost</f>
        <v/>
      </c>
      <c r="U609" s="37">
        <f>'03_原始数据'!C609-0.64*'03_原始数据'!B609-OtherCost</f>
        <v/>
      </c>
      <c r="V609" s="37">
        <f>'03_原始数据'!C609-0.645*'03_原始数据'!B609-OtherCost</f>
        <v/>
      </c>
      <c r="W609" s="37">
        <f>'03_原始数据'!C609-0.65*'03_原始数据'!B609-OtherCost</f>
        <v/>
      </c>
      <c r="X609" s="37">
        <f>'03_原始数据'!C609-0.655*'03_原始数据'!B609-OtherCost</f>
        <v/>
      </c>
      <c r="Y609" s="37">
        <f>'03_原始数据'!C609-0.66*'03_原始数据'!B609-OtherCost</f>
        <v/>
      </c>
      <c r="Z609" s="37">
        <f>'03_原始数据'!C609-0.665*'03_原始数据'!B609-OtherCost</f>
        <v/>
      </c>
      <c r="AA609" s="37">
        <f>'03_原始数据'!C609-0.67*'03_原始数据'!B609-OtherCost</f>
        <v/>
      </c>
      <c r="AB609" s="37">
        <f>'03_原始数据'!C609-0.675*'03_原始数据'!B609-OtherCost</f>
        <v/>
      </c>
      <c r="AC609" s="37">
        <f>'03_原始数据'!C609-0.68*'03_原始数据'!B609-OtherCost</f>
        <v/>
      </c>
      <c r="AD609" s="37">
        <f>'03_原始数据'!C609-0.685*'03_原始数据'!B609-OtherCost</f>
        <v/>
      </c>
      <c r="AE609" s="37">
        <f>'03_原始数据'!C609-0.69*'03_原始数据'!B609-OtherCost</f>
        <v/>
      </c>
      <c r="AF609" s="37">
        <f>'03_原始数据'!C609-0.695*'03_原始数据'!B609-OtherCost</f>
        <v/>
      </c>
      <c r="AG609" s="37">
        <f>'03_原始数据'!C609-0.7*'03_原始数据'!B609-OtherCost</f>
        <v/>
      </c>
    </row>
    <row r="610">
      <c r="M610" s="37">
        <f>'03_原始数据'!C610-0.6*'03_原始数据'!B610-OtherCost</f>
        <v/>
      </c>
      <c r="N610" s="37">
        <f>'03_原始数据'!C610-0.605*'03_原始数据'!B610-OtherCost</f>
        <v/>
      </c>
      <c r="O610" s="37">
        <f>'03_原始数据'!C610-0.61*'03_原始数据'!B610-OtherCost</f>
        <v/>
      </c>
      <c r="P610" s="37">
        <f>'03_原始数据'!C610-0.615*'03_原始数据'!B610-OtherCost</f>
        <v/>
      </c>
      <c r="Q610" s="37">
        <f>'03_原始数据'!C610-0.62*'03_原始数据'!B610-OtherCost</f>
        <v/>
      </c>
      <c r="R610" s="37">
        <f>'03_原始数据'!C610-0.625*'03_原始数据'!B610-OtherCost</f>
        <v/>
      </c>
      <c r="S610" s="37">
        <f>'03_原始数据'!C610-0.63*'03_原始数据'!B610-OtherCost</f>
        <v/>
      </c>
      <c r="T610" s="37">
        <f>'03_原始数据'!C610-0.635*'03_原始数据'!B610-OtherCost</f>
        <v/>
      </c>
      <c r="U610" s="37">
        <f>'03_原始数据'!C610-0.64*'03_原始数据'!B610-OtherCost</f>
        <v/>
      </c>
      <c r="V610" s="37">
        <f>'03_原始数据'!C610-0.645*'03_原始数据'!B610-OtherCost</f>
        <v/>
      </c>
      <c r="W610" s="37">
        <f>'03_原始数据'!C610-0.65*'03_原始数据'!B610-OtherCost</f>
        <v/>
      </c>
      <c r="X610" s="37">
        <f>'03_原始数据'!C610-0.655*'03_原始数据'!B610-OtherCost</f>
        <v/>
      </c>
      <c r="Y610" s="37">
        <f>'03_原始数据'!C610-0.66*'03_原始数据'!B610-OtherCost</f>
        <v/>
      </c>
      <c r="Z610" s="37">
        <f>'03_原始数据'!C610-0.665*'03_原始数据'!B610-OtherCost</f>
        <v/>
      </c>
      <c r="AA610" s="37">
        <f>'03_原始数据'!C610-0.67*'03_原始数据'!B610-OtherCost</f>
        <v/>
      </c>
      <c r="AB610" s="37">
        <f>'03_原始数据'!C610-0.675*'03_原始数据'!B610-OtherCost</f>
        <v/>
      </c>
      <c r="AC610" s="37">
        <f>'03_原始数据'!C610-0.68*'03_原始数据'!B610-OtherCost</f>
        <v/>
      </c>
      <c r="AD610" s="37">
        <f>'03_原始数据'!C610-0.685*'03_原始数据'!B610-OtherCost</f>
        <v/>
      </c>
      <c r="AE610" s="37">
        <f>'03_原始数据'!C610-0.69*'03_原始数据'!B610-OtherCost</f>
        <v/>
      </c>
      <c r="AF610" s="37">
        <f>'03_原始数据'!C610-0.695*'03_原始数据'!B610-OtherCost</f>
        <v/>
      </c>
      <c r="AG610" s="37">
        <f>'03_原始数据'!C610-0.7*'03_原始数据'!B610-OtherCost</f>
        <v/>
      </c>
    </row>
    <row r="611">
      <c r="M611" s="37">
        <f>'03_原始数据'!C611-0.6*'03_原始数据'!B611-OtherCost</f>
        <v/>
      </c>
      <c r="N611" s="37">
        <f>'03_原始数据'!C611-0.605*'03_原始数据'!B611-OtherCost</f>
        <v/>
      </c>
      <c r="O611" s="37">
        <f>'03_原始数据'!C611-0.61*'03_原始数据'!B611-OtherCost</f>
        <v/>
      </c>
      <c r="P611" s="37">
        <f>'03_原始数据'!C611-0.615*'03_原始数据'!B611-OtherCost</f>
        <v/>
      </c>
      <c r="Q611" s="37">
        <f>'03_原始数据'!C611-0.62*'03_原始数据'!B611-OtherCost</f>
        <v/>
      </c>
      <c r="R611" s="37">
        <f>'03_原始数据'!C611-0.625*'03_原始数据'!B611-OtherCost</f>
        <v/>
      </c>
      <c r="S611" s="37">
        <f>'03_原始数据'!C611-0.63*'03_原始数据'!B611-OtherCost</f>
        <v/>
      </c>
      <c r="T611" s="37">
        <f>'03_原始数据'!C611-0.635*'03_原始数据'!B611-OtherCost</f>
        <v/>
      </c>
      <c r="U611" s="37">
        <f>'03_原始数据'!C611-0.64*'03_原始数据'!B611-OtherCost</f>
        <v/>
      </c>
      <c r="V611" s="37">
        <f>'03_原始数据'!C611-0.645*'03_原始数据'!B611-OtherCost</f>
        <v/>
      </c>
      <c r="W611" s="37">
        <f>'03_原始数据'!C611-0.65*'03_原始数据'!B611-OtherCost</f>
        <v/>
      </c>
      <c r="X611" s="37">
        <f>'03_原始数据'!C611-0.655*'03_原始数据'!B611-OtherCost</f>
        <v/>
      </c>
      <c r="Y611" s="37">
        <f>'03_原始数据'!C611-0.66*'03_原始数据'!B611-OtherCost</f>
        <v/>
      </c>
      <c r="Z611" s="37">
        <f>'03_原始数据'!C611-0.665*'03_原始数据'!B611-OtherCost</f>
        <v/>
      </c>
      <c r="AA611" s="37">
        <f>'03_原始数据'!C611-0.67*'03_原始数据'!B611-OtherCost</f>
        <v/>
      </c>
      <c r="AB611" s="37">
        <f>'03_原始数据'!C611-0.675*'03_原始数据'!B611-OtherCost</f>
        <v/>
      </c>
      <c r="AC611" s="37">
        <f>'03_原始数据'!C611-0.68*'03_原始数据'!B611-OtherCost</f>
        <v/>
      </c>
      <c r="AD611" s="37">
        <f>'03_原始数据'!C611-0.685*'03_原始数据'!B611-OtherCost</f>
        <v/>
      </c>
      <c r="AE611" s="37">
        <f>'03_原始数据'!C611-0.69*'03_原始数据'!B611-OtherCost</f>
        <v/>
      </c>
      <c r="AF611" s="37">
        <f>'03_原始数据'!C611-0.695*'03_原始数据'!B611-OtherCost</f>
        <v/>
      </c>
      <c r="AG611" s="37">
        <f>'03_原始数据'!C611-0.7*'03_原始数据'!B611-OtherCost</f>
        <v/>
      </c>
    </row>
    <row r="612">
      <c r="M612" s="37">
        <f>'03_原始数据'!C612-0.6*'03_原始数据'!B612-OtherCost</f>
        <v/>
      </c>
      <c r="N612" s="37">
        <f>'03_原始数据'!C612-0.605*'03_原始数据'!B612-OtherCost</f>
        <v/>
      </c>
      <c r="O612" s="37">
        <f>'03_原始数据'!C612-0.61*'03_原始数据'!B612-OtherCost</f>
        <v/>
      </c>
      <c r="P612" s="37">
        <f>'03_原始数据'!C612-0.615*'03_原始数据'!B612-OtherCost</f>
        <v/>
      </c>
      <c r="Q612" s="37">
        <f>'03_原始数据'!C612-0.62*'03_原始数据'!B612-OtherCost</f>
        <v/>
      </c>
      <c r="R612" s="37">
        <f>'03_原始数据'!C612-0.625*'03_原始数据'!B612-OtherCost</f>
        <v/>
      </c>
      <c r="S612" s="37">
        <f>'03_原始数据'!C612-0.63*'03_原始数据'!B612-OtherCost</f>
        <v/>
      </c>
      <c r="T612" s="37">
        <f>'03_原始数据'!C612-0.635*'03_原始数据'!B612-OtherCost</f>
        <v/>
      </c>
      <c r="U612" s="37">
        <f>'03_原始数据'!C612-0.64*'03_原始数据'!B612-OtherCost</f>
        <v/>
      </c>
      <c r="V612" s="37">
        <f>'03_原始数据'!C612-0.645*'03_原始数据'!B612-OtherCost</f>
        <v/>
      </c>
      <c r="W612" s="37">
        <f>'03_原始数据'!C612-0.65*'03_原始数据'!B612-OtherCost</f>
        <v/>
      </c>
      <c r="X612" s="37">
        <f>'03_原始数据'!C612-0.655*'03_原始数据'!B612-OtherCost</f>
        <v/>
      </c>
      <c r="Y612" s="37">
        <f>'03_原始数据'!C612-0.66*'03_原始数据'!B612-OtherCost</f>
        <v/>
      </c>
      <c r="Z612" s="37">
        <f>'03_原始数据'!C612-0.665*'03_原始数据'!B612-OtherCost</f>
        <v/>
      </c>
      <c r="AA612" s="37">
        <f>'03_原始数据'!C612-0.67*'03_原始数据'!B612-OtherCost</f>
        <v/>
      </c>
      <c r="AB612" s="37">
        <f>'03_原始数据'!C612-0.675*'03_原始数据'!B612-OtherCost</f>
        <v/>
      </c>
      <c r="AC612" s="37">
        <f>'03_原始数据'!C612-0.68*'03_原始数据'!B612-OtherCost</f>
        <v/>
      </c>
      <c r="AD612" s="37">
        <f>'03_原始数据'!C612-0.685*'03_原始数据'!B612-OtherCost</f>
        <v/>
      </c>
      <c r="AE612" s="37">
        <f>'03_原始数据'!C612-0.69*'03_原始数据'!B612-OtherCost</f>
        <v/>
      </c>
      <c r="AF612" s="37">
        <f>'03_原始数据'!C612-0.695*'03_原始数据'!B612-OtherCost</f>
        <v/>
      </c>
      <c r="AG612" s="37">
        <f>'03_原始数据'!C612-0.7*'03_原始数据'!B612-OtherCost</f>
        <v/>
      </c>
    </row>
    <row r="613">
      <c r="M613" s="37">
        <f>'03_原始数据'!C613-0.6*'03_原始数据'!B613-OtherCost</f>
        <v/>
      </c>
      <c r="N613" s="37">
        <f>'03_原始数据'!C613-0.605*'03_原始数据'!B613-OtherCost</f>
        <v/>
      </c>
      <c r="O613" s="37">
        <f>'03_原始数据'!C613-0.61*'03_原始数据'!B613-OtherCost</f>
        <v/>
      </c>
      <c r="P613" s="37">
        <f>'03_原始数据'!C613-0.615*'03_原始数据'!B613-OtherCost</f>
        <v/>
      </c>
      <c r="Q613" s="37">
        <f>'03_原始数据'!C613-0.62*'03_原始数据'!B613-OtherCost</f>
        <v/>
      </c>
      <c r="R613" s="37">
        <f>'03_原始数据'!C613-0.625*'03_原始数据'!B613-OtherCost</f>
        <v/>
      </c>
      <c r="S613" s="37">
        <f>'03_原始数据'!C613-0.63*'03_原始数据'!B613-OtherCost</f>
        <v/>
      </c>
      <c r="T613" s="37">
        <f>'03_原始数据'!C613-0.635*'03_原始数据'!B613-OtherCost</f>
        <v/>
      </c>
      <c r="U613" s="37">
        <f>'03_原始数据'!C613-0.64*'03_原始数据'!B613-OtherCost</f>
        <v/>
      </c>
      <c r="V613" s="37">
        <f>'03_原始数据'!C613-0.645*'03_原始数据'!B613-OtherCost</f>
        <v/>
      </c>
      <c r="W613" s="37">
        <f>'03_原始数据'!C613-0.65*'03_原始数据'!B613-OtherCost</f>
        <v/>
      </c>
      <c r="X613" s="37">
        <f>'03_原始数据'!C613-0.655*'03_原始数据'!B613-OtherCost</f>
        <v/>
      </c>
      <c r="Y613" s="37">
        <f>'03_原始数据'!C613-0.66*'03_原始数据'!B613-OtherCost</f>
        <v/>
      </c>
      <c r="Z613" s="37">
        <f>'03_原始数据'!C613-0.665*'03_原始数据'!B613-OtherCost</f>
        <v/>
      </c>
      <c r="AA613" s="37">
        <f>'03_原始数据'!C613-0.67*'03_原始数据'!B613-OtherCost</f>
        <v/>
      </c>
      <c r="AB613" s="37">
        <f>'03_原始数据'!C613-0.675*'03_原始数据'!B613-OtherCost</f>
        <v/>
      </c>
      <c r="AC613" s="37">
        <f>'03_原始数据'!C613-0.68*'03_原始数据'!B613-OtherCost</f>
        <v/>
      </c>
      <c r="AD613" s="37">
        <f>'03_原始数据'!C613-0.685*'03_原始数据'!B613-OtherCost</f>
        <v/>
      </c>
      <c r="AE613" s="37">
        <f>'03_原始数据'!C613-0.69*'03_原始数据'!B613-OtherCost</f>
        <v/>
      </c>
      <c r="AF613" s="37">
        <f>'03_原始数据'!C613-0.695*'03_原始数据'!B613-OtherCost</f>
        <v/>
      </c>
      <c r="AG613" s="37">
        <f>'03_原始数据'!C613-0.7*'03_原始数据'!B613-OtherCost</f>
        <v/>
      </c>
    </row>
    <row r="614">
      <c r="M614" s="37">
        <f>'03_原始数据'!C614-0.6*'03_原始数据'!B614-OtherCost</f>
        <v/>
      </c>
      <c r="N614" s="37">
        <f>'03_原始数据'!C614-0.605*'03_原始数据'!B614-OtherCost</f>
        <v/>
      </c>
      <c r="O614" s="37">
        <f>'03_原始数据'!C614-0.61*'03_原始数据'!B614-OtherCost</f>
        <v/>
      </c>
      <c r="P614" s="37">
        <f>'03_原始数据'!C614-0.615*'03_原始数据'!B614-OtherCost</f>
        <v/>
      </c>
      <c r="Q614" s="37">
        <f>'03_原始数据'!C614-0.62*'03_原始数据'!B614-OtherCost</f>
        <v/>
      </c>
      <c r="R614" s="37">
        <f>'03_原始数据'!C614-0.625*'03_原始数据'!B614-OtherCost</f>
        <v/>
      </c>
      <c r="S614" s="37">
        <f>'03_原始数据'!C614-0.63*'03_原始数据'!B614-OtherCost</f>
        <v/>
      </c>
      <c r="T614" s="37">
        <f>'03_原始数据'!C614-0.635*'03_原始数据'!B614-OtherCost</f>
        <v/>
      </c>
      <c r="U614" s="37">
        <f>'03_原始数据'!C614-0.64*'03_原始数据'!B614-OtherCost</f>
        <v/>
      </c>
      <c r="V614" s="37">
        <f>'03_原始数据'!C614-0.645*'03_原始数据'!B614-OtherCost</f>
        <v/>
      </c>
      <c r="W614" s="37">
        <f>'03_原始数据'!C614-0.65*'03_原始数据'!B614-OtherCost</f>
        <v/>
      </c>
      <c r="X614" s="37">
        <f>'03_原始数据'!C614-0.655*'03_原始数据'!B614-OtherCost</f>
        <v/>
      </c>
      <c r="Y614" s="37">
        <f>'03_原始数据'!C614-0.66*'03_原始数据'!B614-OtherCost</f>
        <v/>
      </c>
      <c r="Z614" s="37">
        <f>'03_原始数据'!C614-0.665*'03_原始数据'!B614-OtherCost</f>
        <v/>
      </c>
      <c r="AA614" s="37">
        <f>'03_原始数据'!C614-0.67*'03_原始数据'!B614-OtherCost</f>
        <v/>
      </c>
      <c r="AB614" s="37">
        <f>'03_原始数据'!C614-0.675*'03_原始数据'!B614-OtherCost</f>
        <v/>
      </c>
      <c r="AC614" s="37">
        <f>'03_原始数据'!C614-0.68*'03_原始数据'!B614-OtherCost</f>
        <v/>
      </c>
      <c r="AD614" s="37">
        <f>'03_原始数据'!C614-0.685*'03_原始数据'!B614-OtherCost</f>
        <v/>
      </c>
      <c r="AE614" s="37">
        <f>'03_原始数据'!C614-0.69*'03_原始数据'!B614-OtherCost</f>
        <v/>
      </c>
      <c r="AF614" s="37">
        <f>'03_原始数据'!C614-0.695*'03_原始数据'!B614-OtherCost</f>
        <v/>
      </c>
      <c r="AG614" s="37">
        <f>'03_原始数据'!C614-0.7*'03_原始数据'!B614-OtherCost</f>
        <v/>
      </c>
    </row>
    <row r="615">
      <c r="M615" s="37">
        <f>'03_原始数据'!C615-0.6*'03_原始数据'!B615-OtherCost</f>
        <v/>
      </c>
      <c r="N615" s="37">
        <f>'03_原始数据'!C615-0.605*'03_原始数据'!B615-OtherCost</f>
        <v/>
      </c>
      <c r="O615" s="37">
        <f>'03_原始数据'!C615-0.61*'03_原始数据'!B615-OtherCost</f>
        <v/>
      </c>
      <c r="P615" s="37">
        <f>'03_原始数据'!C615-0.615*'03_原始数据'!B615-OtherCost</f>
        <v/>
      </c>
      <c r="Q615" s="37">
        <f>'03_原始数据'!C615-0.62*'03_原始数据'!B615-OtherCost</f>
        <v/>
      </c>
      <c r="R615" s="37">
        <f>'03_原始数据'!C615-0.625*'03_原始数据'!B615-OtherCost</f>
        <v/>
      </c>
      <c r="S615" s="37">
        <f>'03_原始数据'!C615-0.63*'03_原始数据'!B615-OtherCost</f>
        <v/>
      </c>
      <c r="T615" s="37">
        <f>'03_原始数据'!C615-0.635*'03_原始数据'!B615-OtherCost</f>
        <v/>
      </c>
      <c r="U615" s="37">
        <f>'03_原始数据'!C615-0.64*'03_原始数据'!B615-OtherCost</f>
        <v/>
      </c>
      <c r="V615" s="37">
        <f>'03_原始数据'!C615-0.645*'03_原始数据'!B615-OtherCost</f>
        <v/>
      </c>
      <c r="W615" s="37">
        <f>'03_原始数据'!C615-0.65*'03_原始数据'!B615-OtherCost</f>
        <v/>
      </c>
      <c r="X615" s="37">
        <f>'03_原始数据'!C615-0.655*'03_原始数据'!B615-OtherCost</f>
        <v/>
      </c>
      <c r="Y615" s="37">
        <f>'03_原始数据'!C615-0.66*'03_原始数据'!B615-OtherCost</f>
        <v/>
      </c>
      <c r="Z615" s="37">
        <f>'03_原始数据'!C615-0.665*'03_原始数据'!B615-OtherCost</f>
        <v/>
      </c>
      <c r="AA615" s="37">
        <f>'03_原始数据'!C615-0.67*'03_原始数据'!B615-OtherCost</f>
        <v/>
      </c>
      <c r="AB615" s="37">
        <f>'03_原始数据'!C615-0.675*'03_原始数据'!B615-OtherCost</f>
        <v/>
      </c>
      <c r="AC615" s="37">
        <f>'03_原始数据'!C615-0.68*'03_原始数据'!B615-OtherCost</f>
        <v/>
      </c>
      <c r="AD615" s="37">
        <f>'03_原始数据'!C615-0.685*'03_原始数据'!B615-OtherCost</f>
        <v/>
      </c>
      <c r="AE615" s="37">
        <f>'03_原始数据'!C615-0.69*'03_原始数据'!B615-OtherCost</f>
        <v/>
      </c>
      <c r="AF615" s="37">
        <f>'03_原始数据'!C615-0.695*'03_原始数据'!B615-OtherCost</f>
        <v/>
      </c>
      <c r="AG615" s="37">
        <f>'03_原始数据'!C615-0.7*'03_原始数据'!B615-OtherCost</f>
        <v/>
      </c>
    </row>
    <row r="616">
      <c r="M616" s="37">
        <f>'03_原始数据'!C616-0.6*'03_原始数据'!B616-OtherCost</f>
        <v/>
      </c>
      <c r="N616" s="37">
        <f>'03_原始数据'!C616-0.605*'03_原始数据'!B616-OtherCost</f>
        <v/>
      </c>
      <c r="O616" s="37">
        <f>'03_原始数据'!C616-0.61*'03_原始数据'!B616-OtherCost</f>
        <v/>
      </c>
      <c r="P616" s="37">
        <f>'03_原始数据'!C616-0.615*'03_原始数据'!B616-OtherCost</f>
        <v/>
      </c>
      <c r="Q616" s="37">
        <f>'03_原始数据'!C616-0.62*'03_原始数据'!B616-OtherCost</f>
        <v/>
      </c>
      <c r="R616" s="37">
        <f>'03_原始数据'!C616-0.625*'03_原始数据'!B616-OtherCost</f>
        <v/>
      </c>
      <c r="S616" s="37">
        <f>'03_原始数据'!C616-0.63*'03_原始数据'!B616-OtherCost</f>
        <v/>
      </c>
      <c r="T616" s="37">
        <f>'03_原始数据'!C616-0.635*'03_原始数据'!B616-OtherCost</f>
        <v/>
      </c>
      <c r="U616" s="37">
        <f>'03_原始数据'!C616-0.64*'03_原始数据'!B616-OtherCost</f>
        <v/>
      </c>
      <c r="V616" s="37">
        <f>'03_原始数据'!C616-0.645*'03_原始数据'!B616-OtherCost</f>
        <v/>
      </c>
      <c r="W616" s="37">
        <f>'03_原始数据'!C616-0.65*'03_原始数据'!B616-OtherCost</f>
        <v/>
      </c>
      <c r="X616" s="37">
        <f>'03_原始数据'!C616-0.655*'03_原始数据'!B616-OtherCost</f>
        <v/>
      </c>
      <c r="Y616" s="37">
        <f>'03_原始数据'!C616-0.66*'03_原始数据'!B616-OtherCost</f>
        <v/>
      </c>
      <c r="Z616" s="37">
        <f>'03_原始数据'!C616-0.665*'03_原始数据'!B616-OtherCost</f>
        <v/>
      </c>
      <c r="AA616" s="37">
        <f>'03_原始数据'!C616-0.67*'03_原始数据'!B616-OtherCost</f>
        <v/>
      </c>
      <c r="AB616" s="37">
        <f>'03_原始数据'!C616-0.675*'03_原始数据'!B616-OtherCost</f>
        <v/>
      </c>
      <c r="AC616" s="37">
        <f>'03_原始数据'!C616-0.68*'03_原始数据'!B616-OtherCost</f>
        <v/>
      </c>
      <c r="AD616" s="37">
        <f>'03_原始数据'!C616-0.685*'03_原始数据'!B616-OtherCost</f>
        <v/>
      </c>
      <c r="AE616" s="37">
        <f>'03_原始数据'!C616-0.69*'03_原始数据'!B616-OtherCost</f>
        <v/>
      </c>
      <c r="AF616" s="37">
        <f>'03_原始数据'!C616-0.695*'03_原始数据'!B616-OtherCost</f>
        <v/>
      </c>
      <c r="AG616" s="37">
        <f>'03_原始数据'!C616-0.7*'03_原始数据'!B616-OtherCost</f>
        <v/>
      </c>
    </row>
    <row r="617">
      <c r="M617" s="37">
        <f>'03_原始数据'!C617-0.6*'03_原始数据'!B617-OtherCost</f>
        <v/>
      </c>
      <c r="N617" s="37">
        <f>'03_原始数据'!C617-0.605*'03_原始数据'!B617-OtherCost</f>
        <v/>
      </c>
      <c r="O617" s="37">
        <f>'03_原始数据'!C617-0.61*'03_原始数据'!B617-OtherCost</f>
        <v/>
      </c>
      <c r="P617" s="37">
        <f>'03_原始数据'!C617-0.615*'03_原始数据'!B617-OtherCost</f>
        <v/>
      </c>
      <c r="Q617" s="37">
        <f>'03_原始数据'!C617-0.62*'03_原始数据'!B617-OtherCost</f>
        <v/>
      </c>
      <c r="R617" s="37">
        <f>'03_原始数据'!C617-0.625*'03_原始数据'!B617-OtherCost</f>
        <v/>
      </c>
      <c r="S617" s="37">
        <f>'03_原始数据'!C617-0.63*'03_原始数据'!B617-OtherCost</f>
        <v/>
      </c>
      <c r="T617" s="37">
        <f>'03_原始数据'!C617-0.635*'03_原始数据'!B617-OtherCost</f>
        <v/>
      </c>
      <c r="U617" s="37">
        <f>'03_原始数据'!C617-0.64*'03_原始数据'!B617-OtherCost</f>
        <v/>
      </c>
      <c r="V617" s="37">
        <f>'03_原始数据'!C617-0.645*'03_原始数据'!B617-OtherCost</f>
        <v/>
      </c>
      <c r="W617" s="37">
        <f>'03_原始数据'!C617-0.65*'03_原始数据'!B617-OtherCost</f>
        <v/>
      </c>
      <c r="X617" s="37">
        <f>'03_原始数据'!C617-0.655*'03_原始数据'!B617-OtherCost</f>
        <v/>
      </c>
      <c r="Y617" s="37">
        <f>'03_原始数据'!C617-0.66*'03_原始数据'!B617-OtherCost</f>
        <v/>
      </c>
      <c r="Z617" s="37">
        <f>'03_原始数据'!C617-0.665*'03_原始数据'!B617-OtherCost</f>
        <v/>
      </c>
      <c r="AA617" s="37">
        <f>'03_原始数据'!C617-0.67*'03_原始数据'!B617-OtherCost</f>
        <v/>
      </c>
      <c r="AB617" s="37">
        <f>'03_原始数据'!C617-0.675*'03_原始数据'!B617-OtherCost</f>
        <v/>
      </c>
      <c r="AC617" s="37">
        <f>'03_原始数据'!C617-0.68*'03_原始数据'!B617-OtherCost</f>
        <v/>
      </c>
      <c r="AD617" s="37">
        <f>'03_原始数据'!C617-0.685*'03_原始数据'!B617-OtherCost</f>
        <v/>
      </c>
      <c r="AE617" s="37">
        <f>'03_原始数据'!C617-0.69*'03_原始数据'!B617-OtherCost</f>
        <v/>
      </c>
      <c r="AF617" s="37">
        <f>'03_原始数据'!C617-0.695*'03_原始数据'!B617-OtherCost</f>
        <v/>
      </c>
      <c r="AG617" s="37">
        <f>'03_原始数据'!C617-0.7*'03_原始数据'!B617-OtherCost</f>
        <v/>
      </c>
    </row>
    <row r="618">
      <c r="M618" s="37">
        <f>'03_原始数据'!C618-0.6*'03_原始数据'!B618-OtherCost</f>
        <v/>
      </c>
      <c r="N618" s="37">
        <f>'03_原始数据'!C618-0.605*'03_原始数据'!B618-OtherCost</f>
        <v/>
      </c>
      <c r="O618" s="37">
        <f>'03_原始数据'!C618-0.61*'03_原始数据'!B618-OtherCost</f>
        <v/>
      </c>
      <c r="P618" s="37">
        <f>'03_原始数据'!C618-0.615*'03_原始数据'!B618-OtherCost</f>
        <v/>
      </c>
      <c r="Q618" s="37">
        <f>'03_原始数据'!C618-0.62*'03_原始数据'!B618-OtherCost</f>
        <v/>
      </c>
      <c r="R618" s="37">
        <f>'03_原始数据'!C618-0.625*'03_原始数据'!B618-OtherCost</f>
        <v/>
      </c>
      <c r="S618" s="37">
        <f>'03_原始数据'!C618-0.63*'03_原始数据'!B618-OtherCost</f>
        <v/>
      </c>
      <c r="T618" s="37">
        <f>'03_原始数据'!C618-0.635*'03_原始数据'!B618-OtherCost</f>
        <v/>
      </c>
      <c r="U618" s="37">
        <f>'03_原始数据'!C618-0.64*'03_原始数据'!B618-OtherCost</f>
        <v/>
      </c>
      <c r="V618" s="37">
        <f>'03_原始数据'!C618-0.645*'03_原始数据'!B618-OtherCost</f>
        <v/>
      </c>
      <c r="W618" s="37">
        <f>'03_原始数据'!C618-0.65*'03_原始数据'!B618-OtherCost</f>
        <v/>
      </c>
      <c r="X618" s="37">
        <f>'03_原始数据'!C618-0.655*'03_原始数据'!B618-OtherCost</f>
        <v/>
      </c>
      <c r="Y618" s="37">
        <f>'03_原始数据'!C618-0.66*'03_原始数据'!B618-OtherCost</f>
        <v/>
      </c>
      <c r="Z618" s="37">
        <f>'03_原始数据'!C618-0.665*'03_原始数据'!B618-OtherCost</f>
        <v/>
      </c>
      <c r="AA618" s="37">
        <f>'03_原始数据'!C618-0.67*'03_原始数据'!B618-OtherCost</f>
        <v/>
      </c>
      <c r="AB618" s="37">
        <f>'03_原始数据'!C618-0.675*'03_原始数据'!B618-OtherCost</f>
        <v/>
      </c>
      <c r="AC618" s="37">
        <f>'03_原始数据'!C618-0.68*'03_原始数据'!B618-OtherCost</f>
        <v/>
      </c>
      <c r="AD618" s="37">
        <f>'03_原始数据'!C618-0.685*'03_原始数据'!B618-OtherCost</f>
        <v/>
      </c>
      <c r="AE618" s="37">
        <f>'03_原始数据'!C618-0.69*'03_原始数据'!B618-OtherCost</f>
        <v/>
      </c>
      <c r="AF618" s="37">
        <f>'03_原始数据'!C618-0.695*'03_原始数据'!B618-OtherCost</f>
        <v/>
      </c>
      <c r="AG618" s="37">
        <f>'03_原始数据'!C618-0.7*'03_原始数据'!B618-OtherCost</f>
        <v/>
      </c>
    </row>
    <row r="619">
      <c r="M619" s="37">
        <f>'03_原始数据'!C619-0.6*'03_原始数据'!B619-OtherCost</f>
        <v/>
      </c>
      <c r="N619" s="37">
        <f>'03_原始数据'!C619-0.605*'03_原始数据'!B619-OtherCost</f>
        <v/>
      </c>
      <c r="O619" s="37">
        <f>'03_原始数据'!C619-0.61*'03_原始数据'!B619-OtherCost</f>
        <v/>
      </c>
      <c r="P619" s="37">
        <f>'03_原始数据'!C619-0.615*'03_原始数据'!B619-OtherCost</f>
        <v/>
      </c>
      <c r="Q619" s="37">
        <f>'03_原始数据'!C619-0.62*'03_原始数据'!B619-OtherCost</f>
        <v/>
      </c>
      <c r="R619" s="37">
        <f>'03_原始数据'!C619-0.625*'03_原始数据'!B619-OtherCost</f>
        <v/>
      </c>
      <c r="S619" s="37">
        <f>'03_原始数据'!C619-0.63*'03_原始数据'!B619-OtherCost</f>
        <v/>
      </c>
      <c r="T619" s="37">
        <f>'03_原始数据'!C619-0.635*'03_原始数据'!B619-OtherCost</f>
        <v/>
      </c>
      <c r="U619" s="37">
        <f>'03_原始数据'!C619-0.64*'03_原始数据'!B619-OtherCost</f>
        <v/>
      </c>
      <c r="V619" s="37">
        <f>'03_原始数据'!C619-0.645*'03_原始数据'!B619-OtherCost</f>
        <v/>
      </c>
      <c r="W619" s="37">
        <f>'03_原始数据'!C619-0.65*'03_原始数据'!B619-OtherCost</f>
        <v/>
      </c>
      <c r="X619" s="37">
        <f>'03_原始数据'!C619-0.655*'03_原始数据'!B619-OtherCost</f>
        <v/>
      </c>
      <c r="Y619" s="37">
        <f>'03_原始数据'!C619-0.66*'03_原始数据'!B619-OtherCost</f>
        <v/>
      </c>
      <c r="Z619" s="37">
        <f>'03_原始数据'!C619-0.665*'03_原始数据'!B619-OtherCost</f>
        <v/>
      </c>
      <c r="AA619" s="37">
        <f>'03_原始数据'!C619-0.67*'03_原始数据'!B619-OtherCost</f>
        <v/>
      </c>
      <c r="AB619" s="37">
        <f>'03_原始数据'!C619-0.675*'03_原始数据'!B619-OtherCost</f>
        <v/>
      </c>
      <c r="AC619" s="37">
        <f>'03_原始数据'!C619-0.68*'03_原始数据'!B619-OtherCost</f>
        <v/>
      </c>
      <c r="AD619" s="37">
        <f>'03_原始数据'!C619-0.685*'03_原始数据'!B619-OtherCost</f>
        <v/>
      </c>
      <c r="AE619" s="37">
        <f>'03_原始数据'!C619-0.69*'03_原始数据'!B619-OtherCost</f>
        <v/>
      </c>
      <c r="AF619" s="37">
        <f>'03_原始数据'!C619-0.695*'03_原始数据'!B619-OtherCost</f>
        <v/>
      </c>
      <c r="AG619" s="37">
        <f>'03_原始数据'!C619-0.7*'03_原始数据'!B619-OtherCost</f>
        <v/>
      </c>
    </row>
    <row r="620">
      <c r="M620" s="37">
        <f>'03_原始数据'!C620-0.6*'03_原始数据'!B620-OtherCost</f>
        <v/>
      </c>
      <c r="N620" s="37">
        <f>'03_原始数据'!C620-0.605*'03_原始数据'!B620-OtherCost</f>
        <v/>
      </c>
      <c r="O620" s="37">
        <f>'03_原始数据'!C620-0.61*'03_原始数据'!B620-OtherCost</f>
        <v/>
      </c>
      <c r="P620" s="37">
        <f>'03_原始数据'!C620-0.615*'03_原始数据'!B620-OtherCost</f>
        <v/>
      </c>
      <c r="Q620" s="37">
        <f>'03_原始数据'!C620-0.62*'03_原始数据'!B620-OtherCost</f>
        <v/>
      </c>
      <c r="R620" s="37">
        <f>'03_原始数据'!C620-0.625*'03_原始数据'!B620-OtherCost</f>
        <v/>
      </c>
      <c r="S620" s="37">
        <f>'03_原始数据'!C620-0.63*'03_原始数据'!B620-OtherCost</f>
        <v/>
      </c>
      <c r="T620" s="37">
        <f>'03_原始数据'!C620-0.635*'03_原始数据'!B620-OtherCost</f>
        <v/>
      </c>
      <c r="U620" s="37">
        <f>'03_原始数据'!C620-0.64*'03_原始数据'!B620-OtherCost</f>
        <v/>
      </c>
      <c r="V620" s="37">
        <f>'03_原始数据'!C620-0.645*'03_原始数据'!B620-OtherCost</f>
        <v/>
      </c>
      <c r="W620" s="37">
        <f>'03_原始数据'!C620-0.65*'03_原始数据'!B620-OtherCost</f>
        <v/>
      </c>
      <c r="X620" s="37">
        <f>'03_原始数据'!C620-0.655*'03_原始数据'!B620-OtherCost</f>
        <v/>
      </c>
      <c r="Y620" s="37">
        <f>'03_原始数据'!C620-0.66*'03_原始数据'!B620-OtherCost</f>
        <v/>
      </c>
      <c r="Z620" s="37">
        <f>'03_原始数据'!C620-0.665*'03_原始数据'!B620-OtherCost</f>
        <v/>
      </c>
      <c r="AA620" s="37">
        <f>'03_原始数据'!C620-0.67*'03_原始数据'!B620-OtherCost</f>
        <v/>
      </c>
      <c r="AB620" s="37">
        <f>'03_原始数据'!C620-0.675*'03_原始数据'!B620-OtherCost</f>
        <v/>
      </c>
      <c r="AC620" s="37">
        <f>'03_原始数据'!C620-0.68*'03_原始数据'!B620-OtherCost</f>
        <v/>
      </c>
      <c r="AD620" s="37">
        <f>'03_原始数据'!C620-0.685*'03_原始数据'!B620-OtherCost</f>
        <v/>
      </c>
      <c r="AE620" s="37">
        <f>'03_原始数据'!C620-0.69*'03_原始数据'!B620-OtherCost</f>
        <v/>
      </c>
      <c r="AF620" s="37">
        <f>'03_原始数据'!C620-0.695*'03_原始数据'!B620-OtherCost</f>
        <v/>
      </c>
      <c r="AG620" s="37">
        <f>'03_原始数据'!C620-0.7*'03_原始数据'!B620-OtherCost</f>
        <v/>
      </c>
    </row>
    <row r="621">
      <c r="M621" s="37">
        <f>'03_原始数据'!C621-0.6*'03_原始数据'!B621-OtherCost</f>
        <v/>
      </c>
      <c r="N621" s="37">
        <f>'03_原始数据'!C621-0.605*'03_原始数据'!B621-OtherCost</f>
        <v/>
      </c>
      <c r="O621" s="37">
        <f>'03_原始数据'!C621-0.61*'03_原始数据'!B621-OtherCost</f>
        <v/>
      </c>
      <c r="P621" s="37">
        <f>'03_原始数据'!C621-0.615*'03_原始数据'!B621-OtherCost</f>
        <v/>
      </c>
      <c r="Q621" s="37">
        <f>'03_原始数据'!C621-0.62*'03_原始数据'!B621-OtherCost</f>
        <v/>
      </c>
      <c r="R621" s="37">
        <f>'03_原始数据'!C621-0.625*'03_原始数据'!B621-OtherCost</f>
        <v/>
      </c>
      <c r="S621" s="37">
        <f>'03_原始数据'!C621-0.63*'03_原始数据'!B621-OtherCost</f>
        <v/>
      </c>
      <c r="T621" s="37">
        <f>'03_原始数据'!C621-0.635*'03_原始数据'!B621-OtherCost</f>
        <v/>
      </c>
      <c r="U621" s="37">
        <f>'03_原始数据'!C621-0.64*'03_原始数据'!B621-OtherCost</f>
        <v/>
      </c>
      <c r="V621" s="37">
        <f>'03_原始数据'!C621-0.645*'03_原始数据'!B621-OtherCost</f>
        <v/>
      </c>
      <c r="W621" s="37">
        <f>'03_原始数据'!C621-0.65*'03_原始数据'!B621-OtherCost</f>
        <v/>
      </c>
      <c r="X621" s="37">
        <f>'03_原始数据'!C621-0.655*'03_原始数据'!B621-OtherCost</f>
        <v/>
      </c>
      <c r="Y621" s="37">
        <f>'03_原始数据'!C621-0.66*'03_原始数据'!B621-OtherCost</f>
        <v/>
      </c>
      <c r="Z621" s="37">
        <f>'03_原始数据'!C621-0.665*'03_原始数据'!B621-OtherCost</f>
        <v/>
      </c>
      <c r="AA621" s="37">
        <f>'03_原始数据'!C621-0.67*'03_原始数据'!B621-OtherCost</f>
        <v/>
      </c>
      <c r="AB621" s="37">
        <f>'03_原始数据'!C621-0.675*'03_原始数据'!B621-OtherCost</f>
        <v/>
      </c>
      <c r="AC621" s="37">
        <f>'03_原始数据'!C621-0.68*'03_原始数据'!B621-OtherCost</f>
        <v/>
      </c>
      <c r="AD621" s="37">
        <f>'03_原始数据'!C621-0.685*'03_原始数据'!B621-OtherCost</f>
        <v/>
      </c>
      <c r="AE621" s="37">
        <f>'03_原始数据'!C621-0.69*'03_原始数据'!B621-OtherCost</f>
        <v/>
      </c>
      <c r="AF621" s="37">
        <f>'03_原始数据'!C621-0.695*'03_原始数据'!B621-OtherCost</f>
        <v/>
      </c>
      <c r="AG621" s="37">
        <f>'03_原始数据'!C621-0.7*'03_原始数据'!B621-OtherCost</f>
        <v/>
      </c>
    </row>
    <row r="622">
      <c r="M622" s="37">
        <f>'03_原始数据'!C622-0.6*'03_原始数据'!B622-OtherCost</f>
        <v/>
      </c>
      <c r="N622" s="37">
        <f>'03_原始数据'!C622-0.605*'03_原始数据'!B622-OtherCost</f>
        <v/>
      </c>
      <c r="O622" s="37">
        <f>'03_原始数据'!C622-0.61*'03_原始数据'!B622-OtherCost</f>
        <v/>
      </c>
      <c r="P622" s="37">
        <f>'03_原始数据'!C622-0.615*'03_原始数据'!B622-OtherCost</f>
        <v/>
      </c>
      <c r="Q622" s="37">
        <f>'03_原始数据'!C622-0.62*'03_原始数据'!B622-OtherCost</f>
        <v/>
      </c>
      <c r="R622" s="37">
        <f>'03_原始数据'!C622-0.625*'03_原始数据'!B622-OtherCost</f>
        <v/>
      </c>
      <c r="S622" s="37">
        <f>'03_原始数据'!C622-0.63*'03_原始数据'!B622-OtherCost</f>
        <v/>
      </c>
      <c r="T622" s="37">
        <f>'03_原始数据'!C622-0.635*'03_原始数据'!B622-OtherCost</f>
        <v/>
      </c>
      <c r="U622" s="37">
        <f>'03_原始数据'!C622-0.64*'03_原始数据'!B622-OtherCost</f>
        <v/>
      </c>
      <c r="V622" s="37">
        <f>'03_原始数据'!C622-0.645*'03_原始数据'!B622-OtherCost</f>
        <v/>
      </c>
      <c r="W622" s="37">
        <f>'03_原始数据'!C622-0.65*'03_原始数据'!B622-OtherCost</f>
        <v/>
      </c>
      <c r="X622" s="37">
        <f>'03_原始数据'!C622-0.655*'03_原始数据'!B622-OtherCost</f>
        <v/>
      </c>
      <c r="Y622" s="37">
        <f>'03_原始数据'!C622-0.66*'03_原始数据'!B622-OtherCost</f>
        <v/>
      </c>
      <c r="Z622" s="37">
        <f>'03_原始数据'!C622-0.665*'03_原始数据'!B622-OtherCost</f>
        <v/>
      </c>
      <c r="AA622" s="37">
        <f>'03_原始数据'!C622-0.67*'03_原始数据'!B622-OtherCost</f>
        <v/>
      </c>
      <c r="AB622" s="37">
        <f>'03_原始数据'!C622-0.675*'03_原始数据'!B622-OtherCost</f>
        <v/>
      </c>
      <c r="AC622" s="37">
        <f>'03_原始数据'!C622-0.68*'03_原始数据'!B622-OtherCost</f>
        <v/>
      </c>
      <c r="AD622" s="37">
        <f>'03_原始数据'!C622-0.685*'03_原始数据'!B622-OtherCost</f>
        <v/>
      </c>
      <c r="AE622" s="37">
        <f>'03_原始数据'!C622-0.69*'03_原始数据'!B622-OtherCost</f>
        <v/>
      </c>
      <c r="AF622" s="37">
        <f>'03_原始数据'!C622-0.695*'03_原始数据'!B622-OtherCost</f>
        <v/>
      </c>
      <c r="AG622" s="37">
        <f>'03_原始数据'!C622-0.7*'03_原始数据'!B622-OtherCost</f>
        <v/>
      </c>
    </row>
    <row r="623">
      <c r="M623" s="37">
        <f>'03_原始数据'!C623-0.6*'03_原始数据'!B623-OtherCost</f>
        <v/>
      </c>
      <c r="N623" s="37">
        <f>'03_原始数据'!C623-0.605*'03_原始数据'!B623-OtherCost</f>
        <v/>
      </c>
      <c r="O623" s="37">
        <f>'03_原始数据'!C623-0.61*'03_原始数据'!B623-OtherCost</f>
        <v/>
      </c>
      <c r="P623" s="37">
        <f>'03_原始数据'!C623-0.615*'03_原始数据'!B623-OtherCost</f>
        <v/>
      </c>
      <c r="Q623" s="37">
        <f>'03_原始数据'!C623-0.62*'03_原始数据'!B623-OtherCost</f>
        <v/>
      </c>
      <c r="R623" s="37">
        <f>'03_原始数据'!C623-0.625*'03_原始数据'!B623-OtherCost</f>
        <v/>
      </c>
      <c r="S623" s="37">
        <f>'03_原始数据'!C623-0.63*'03_原始数据'!B623-OtherCost</f>
        <v/>
      </c>
      <c r="T623" s="37">
        <f>'03_原始数据'!C623-0.635*'03_原始数据'!B623-OtherCost</f>
        <v/>
      </c>
      <c r="U623" s="37">
        <f>'03_原始数据'!C623-0.64*'03_原始数据'!B623-OtherCost</f>
        <v/>
      </c>
      <c r="V623" s="37">
        <f>'03_原始数据'!C623-0.645*'03_原始数据'!B623-OtherCost</f>
        <v/>
      </c>
      <c r="W623" s="37">
        <f>'03_原始数据'!C623-0.65*'03_原始数据'!B623-OtherCost</f>
        <v/>
      </c>
      <c r="X623" s="37">
        <f>'03_原始数据'!C623-0.655*'03_原始数据'!B623-OtherCost</f>
        <v/>
      </c>
      <c r="Y623" s="37">
        <f>'03_原始数据'!C623-0.66*'03_原始数据'!B623-OtherCost</f>
        <v/>
      </c>
      <c r="Z623" s="37">
        <f>'03_原始数据'!C623-0.665*'03_原始数据'!B623-OtherCost</f>
        <v/>
      </c>
      <c r="AA623" s="37">
        <f>'03_原始数据'!C623-0.67*'03_原始数据'!B623-OtherCost</f>
        <v/>
      </c>
      <c r="AB623" s="37">
        <f>'03_原始数据'!C623-0.675*'03_原始数据'!B623-OtherCost</f>
        <v/>
      </c>
      <c r="AC623" s="37">
        <f>'03_原始数据'!C623-0.68*'03_原始数据'!B623-OtherCost</f>
        <v/>
      </c>
      <c r="AD623" s="37">
        <f>'03_原始数据'!C623-0.685*'03_原始数据'!B623-OtherCost</f>
        <v/>
      </c>
      <c r="AE623" s="37">
        <f>'03_原始数据'!C623-0.69*'03_原始数据'!B623-OtherCost</f>
        <v/>
      </c>
      <c r="AF623" s="37">
        <f>'03_原始数据'!C623-0.695*'03_原始数据'!B623-OtherCost</f>
        <v/>
      </c>
      <c r="AG623" s="37">
        <f>'03_原始数据'!C623-0.7*'03_原始数据'!B623-OtherCost</f>
        <v/>
      </c>
    </row>
    <row r="624">
      <c r="M624" s="37">
        <f>'03_原始数据'!C624-0.6*'03_原始数据'!B624-OtherCost</f>
        <v/>
      </c>
      <c r="N624" s="37">
        <f>'03_原始数据'!C624-0.605*'03_原始数据'!B624-OtherCost</f>
        <v/>
      </c>
      <c r="O624" s="37">
        <f>'03_原始数据'!C624-0.61*'03_原始数据'!B624-OtherCost</f>
        <v/>
      </c>
      <c r="P624" s="37">
        <f>'03_原始数据'!C624-0.615*'03_原始数据'!B624-OtherCost</f>
        <v/>
      </c>
      <c r="Q624" s="37">
        <f>'03_原始数据'!C624-0.62*'03_原始数据'!B624-OtherCost</f>
        <v/>
      </c>
      <c r="R624" s="37">
        <f>'03_原始数据'!C624-0.625*'03_原始数据'!B624-OtherCost</f>
        <v/>
      </c>
      <c r="S624" s="37">
        <f>'03_原始数据'!C624-0.63*'03_原始数据'!B624-OtherCost</f>
        <v/>
      </c>
      <c r="T624" s="37">
        <f>'03_原始数据'!C624-0.635*'03_原始数据'!B624-OtherCost</f>
        <v/>
      </c>
      <c r="U624" s="37">
        <f>'03_原始数据'!C624-0.64*'03_原始数据'!B624-OtherCost</f>
        <v/>
      </c>
      <c r="V624" s="37">
        <f>'03_原始数据'!C624-0.645*'03_原始数据'!B624-OtherCost</f>
        <v/>
      </c>
      <c r="W624" s="37">
        <f>'03_原始数据'!C624-0.65*'03_原始数据'!B624-OtherCost</f>
        <v/>
      </c>
      <c r="X624" s="37">
        <f>'03_原始数据'!C624-0.655*'03_原始数据'!B624-OtherCost</f>
        <v/>
      </c>
      <c r="Y624" s="37">
        <f>'03_原始数据'!C624-0.66*'03_原始数据'!B624-OtherCost</f>
        <v/>
      </c>
      <c r="Z624" s="37">
        <f>'03_原始数据'!C624-0.665*'03_原始数据'!B624-OtherCost</f>
        <v/>
      </c>
      <c r="AA624" s="37">
        <f>'03_原始数据'!C624-0.67*'03_原始数据'!B624-OtherCost</f>
        <v/>
      </c>
      <c r="AB624" s="37">
        <f>'03_原始数据'!C624-0.675*'03_原始数据'!B624-OtherCost</f>
        <v/>
      </c>
      <c r="AC624" s="37">
        <f>'03_原始数据'!C624-0.68*'03_原始数据'!B624-OtherCost</f>
        <v/>
      </c>
      <c r="AD624" s="37">
        <f>'03_原始数据'!C624-0.685*'03_原始数据'!B624-OtherCost</f>
        <v/>
      </c>
      <c r="AE624" s="37">
        <f>'03_原始数据'!C624-0.69*'03_原始数据'!B624-OtherCost</f>
        <v/>
      </c>
      <c r="AF624" s="37">
        <f>'03_原始数据'!C624-0.695*'03_原始数据'!B624-OtherCost</f>
        <v/>
      </c>
      <c r="AG624" s="37">
        <f>'03_原始数据'!C624-0.7*'03_原始数据'!B624-OtherCost</f>
        <v/>
      </c>
    </row>
    <row r="625">
      <c r="M625" s="37">
        <f>'03_原始数据'!C625-0.6*'03_原始数据'!B625-OtherCost</f>
        <v/>
      </c>
      <c r="N625" s="37">
        <f>'03_原始数据'!C625-0.605*'03_原始数据'!B625-OtherCost</f>
        <v/>
      </c>
      <c r="O625" s="37">
        <f>'03_原始数据'!C625-0.61*'03_原始数据'!B625-OtherCost</f>
        <v/>
      </c>
      <c r="P625" s="37">
        <f>'03_原始数据'!C625-0.615*'03_原始数据'!B625-OtherCost</f>
        <v/>
      </c>
      <c r="Q625" s="37">
        <f>'03_原始数据'!C625-0.62*'03_原始数据'!B625-OtherCost</f>
        <v/>
      </c>
      <c r="R625" s="37">
        <f>'03_原始数据'!C625-0.625*'03_原始数据'!B625-OtherCost</f>
        <v/>
      </c>
      <c r="S625" s="37">
        <f>'03_原始数据'!C625-0.63*'03_原始数据'!B625-OtherCost</f>
        <v/>
      </c>
      <c r="T625" s="37">
        <f>'03_原始数据'!C625-0.635*'03_原始数据'!B625-OtherCost</f>
        <v/>
      </c>
      <c r="U625" s="37">
        <f>'03_原始数据'!C625-0.64*'03_原始数据'!B625-OtherCost</f>
        <v/>
      </c>
      <c r="V625" s="37">
        <f>'03_原始数据'!C625-0.645*'03_原始数据'!B625-OtherCost</f>
        <v/>
      </c>
      <c r="W625" s="37">
        <f>'03_原始数据'!C625-0.65*'03_原始数据'!B625-OtherCost</f>
        <v/>
      </c>
      <c r="X625" s="37">
        <f>'03_原始数据'!C625-0.655*'03_原始数据'!B625-OtherCost</f>
        <v/>
      </c>
      <c r="Y625" s="37">
        <f>'03_原始数据'!C625-0.66*'03_原始数据'!B625-OtherCost</f>
        <v/>
      </c>
      <c r="Z625" s="37">
        <f>'03_原始数据'!C625-0.665*'03_原始数据'!B625-OtherCost</f>
        <v/>
      </c>
      <c r="AA625" s="37">
        <f>'03_原始数据'!C625-0.67*'03_原始数据'!B625-OtherCost</f>
        <v/>
      </c>
      <c r="AB625" s="37">
        <f>'03_原始数据'!C625-0.675*'03_原始数据'!B625-OtherCost</f>
        <v/>
      </c>
      <c r="AC625" s="37">
        <f>'03_原始数据'!C625-0.68*'03_原始数据'!B625-OtherCost</f>
        <v/>
      </c>
      <c r="AD625" s="37">
        <f>'03_原始数据'!C625-0.685*'03_原始数据'!B625-OtherCost</f>
        <v/>
      </c>
      <c r="AE625" s="37">
        <f>'03_原始数据'!C625-0.69*'03_原始数据'!B625-OtherCost</f>
        <v/>
      </c>
      <c r="AF625" s="37">
        <f>'03_原始数据'!C625-0.695*'03_原始数据'!B625-OtherCost</f>
        <v/>
      </c>
      <c r="AG625" s="37">
        <f>'03_原始数据'!C625-0.7*'03_原始数据'!B625-OtherCost</f>
        <v/>
      </c>
    </row>
    <row r="626">
      <c r="M626" s="37">
        <f>'03_原始数据'!C626-0.6*'03_原始数据'!B626-OtherCost</f>
        <v/>
      </c>
      <c r="N626" s="37">
        <f>'03_原始数据'!C626-0.605*'03_原始数据'!B626-OtherCost</f>
        <v/>
      </c>
      <c r="O626" s="37">
        <f>'03_原始数据'!C626-0.61*'03_原始数据'!B626-OtherCost</f>
        <v/>
      </c>
      <c r="P626" s="37">
        <f>'03_原始数据'!C626-0.615*'03_原始数据'!B626-OtherCost</f>
        <v/>
      </c>
      <c r="Q626" s="37">
        <f>'03_原始数据'!C626-0.62*'03_原始数据'!B626-OtherCost</f>
        <v/>
      </c>
      <c r="R626" s="37">
        <f>'03_原始数据'!C626-0.625*'03_原始数据'!B626-OtherCost</f>
        <v/>
      </c>
      <c r="S626" s="37">
        <f>'03_原始数据'!C626-0.63*'03_原始数据'!B626-OtherCost</f>
        <v/>
      </c>
      <c r="T626" s="37">
        <f>'03_原始数据'!C626-0.635*'03_原始数据'!B626-OtherCost</f>
        <v/>
      </c>
      <c r="U626" s="37">
        <f>'03_原始数据'!C626-0.64*'03_原始数据'!B626-OtherCost</f>
        <v/>
      </c>
      <c r="V626" s="37">
        <f>'03_原始数据'!C626-0.645*'03_原始数据'!B626-OtherCost</f>
        <v/>
      </c>
      <c r="W626" s="37">
        <f>'03_原始数据'!C626-0.65*'03_原始数据'!B626-OtherCost</f>
        <v/>
      </c>
      <c r="X626" s="37">
        <f>'03_原始数据'!C626-0.655*'03_原始数据'!B626-OtherCost</f>
        <v/>
      </c>
      <c r="Y626" s="37">
        <f>'03_原始数据'!C626-0.66*'03_原始数据'!B626-OtherCost</f>
        <v/>
      </c>
      <c r="Z626" s="37">
        <f>'03_原始数据'!C626-0.665*'03_原始数据'!B626-OtherCost</f>
        <v/>
      </c>
      <c r="AA626" s="37">
        <f>'03_原始数据'!C626-0.67*'03_原始数据'!B626-OtherCost</f>
        <v/>
      </c>
      <c r="AB626" s="37">
        <f>'03_原始数据'!C626-0.675*'03_原始数据'!B626-OtherCost</f>
        <v/>
      </c>
      <c r="AC626" s="37">
        <f>'03_原始数据'!C626-0.68*'03_原始数据'!B626-OtherCost</f>
        <v/>
      </c>
      <c r="AD626" s="37">
        <f>'03_原始数据'!C626-0.685*'03_原始数据'!B626-OtherCost</f>
        <v/>
      </c>
      <c r="AE626" s="37">
        <f>'03_原始数据'!C626-0.69*'03_原始数据'!B626-OtherCost</f>
        <v/>
      </c>
      <c r="AF626" s="37">
        <f>'03_原始数据'!C626-0.695*'03_原始数据'!B626-OtherCost</f>
        <v/>
      </c>
      <c r="AG626" s="37">
        <f>'03_原始数据'!C626-0.7*'03_原始数据'!B626-OtherCost</f>
        <v/>
      </c>
    </row>
    <row r="627">
      <c r="M627" s="37">
        <f>'03_原始数据'!C627-0.6*'03_原始数据'!B627-OtherCost</f>
        <v/>
      </c>
      <c r="N627" s="37">
        <f>'03_原始数据'!C627-0.605*'03_原始数据'!B627-OtherCost</f>
        <v/>
      </c>
      <c r="O627" s="37">
        <f>'03_原始数据'!C627-0.61*'03_原始数据'!B627-OtherCost</f>
        <v/>
      </c>
      <c r="P627" s="37">
        <f>'03_原始数据'!C627-0.615*'03_原始数据'!B627-OtherCost</f>
        <v/>
      </c>
      <c r="Q627" s="37">
        <f>'03_原始数据'!C627-0.62*'03_原始数据'!B627-OtherCost</f>
        <v/>
      </c>
      <c r="R627" s="37">
        <f>'03_原始数据'!C627-0.625*'03_原始数据'!B627-OtherCost</f>
        <v/>
      </c>
      <c r="S627" s="37">
        <f>'03_原始数据'!C627-0.63*'03_原始数据'!B627-OtherCost</f>
        <v/>
      </c>
      <c r="T627" s="37">
        <f>'03_原始数据'!C627-0.635*'03_原始数据'!B627-OtherCost</f>
        <v/>
      </c>
      <c r="U627" s="37">
        <f>'03_原始数据'!C627-0.64*'03_原始数据'!B627-OtherCost</f>
        <v/>
      </c>
      <c r="V627" s="37">
        <f>'03_原始数据'!C627-0.645*'03_原始数据'!B627-OtherCost</f>
        <v/>
      </c>
      <c r="W627" s="37">
        <f>'03_原始数据'!C627-0.65*'03_原始数据'!B627-OtherCost</f>
        <v/>
      </c>
      <c r="X627" s="37">
        <f>'03_原始数据'!C627-0.655*'03_原始数据'!B627-OtherCost</f>
        <v/>
      </c>
      <c r="Y627" s="37">
        <f>'03_原始数据'!C627-0.66*'03_原始数据'!B627-OtherCost</f>
        <v/>
      </c>
      <c r="Z627" s="37">
        <f>'03_原始数据'!C627-0.665*'03_原始数据'!B627-OtherCost</f>
        <v/>
      </c>
      <c r="AA627" s="37">
        <f>'03_原始数据'!C627-0.67*'03_原始数据'!B627-OtherCost</f>
        <v/>
      </c>
      <c r="AB627" s="37">
        <f>'03_原始数据'!C627-0.675*'03_原始数据'!B627-OtherCost</f>
        <v/>
      </c>
      <c r="AC627" s="37">
        <f>'03_原始数据'!C627-0.68*'03_原始数据'!B627-OtherCost</f>
        <v/>
      </c>
      <c r="AD627" s="37">
        <f>'03_原始数据'!C627-0.685*'03_原始数据'!B627-OtherCost</f>
        <v/>
      </c>
      <c r="AE627" s="37">
        <f>'03_原始数据'!C627-0.69*'03_原始数据'!B627-OtherCost</f>
        <v/>
      </c>
      <c r="AF627" s="37">
        <f>'03_原始数据'!C627-0.695*'03_原始数据'!B627-OtherCost</f>
        <v/>
      </c>
      <c r="AG627" s="37">
        <f>'03_原始数据'!C627-0.7*'03_原始数据'!B627-OtherCost</f>
        <v/>
      </c>
    </row>
    <row r="628">
      <c r="M628" s="37">
        <f>'03_原始数据'!C628-0.6*'03_原始数据'!B628-OtherCost</f>
        <v/>
      </c>
      <c r="N628" s="37">
        <f>'03_原始数据'!C628-0.605*'03_原始数据'!B628-OtherCost</f>
        <v/>
      </c>
      <c r="O628" s="37">
        <f>'03_原始数据'!C628-0.61*'03_原始数据'!B628-OtherCost</f>
        <v/>
      </c>
      <c r="P628" s="37">
        <f>'03_原始数据'!C628-0.615*'03_原始数据'!B628-OtherCost</f>
        <v/>
      </c>
      <c r="Q628" s="37">
        <f>'03_原始数据'!C628-0.62*'03_原始数据'!B628-OtherCost</f>
        <v/>
      </c>
      <c r="R628" s="37">
        <f>'03_原始数据'!C628-0.625*'03_原始数据'!B628-OtherCost</f>
        <v/>
      </c>
      <c r="S628" s="37">
        <f>'03_原始数据'!C628-0.63*'03_原始数据'!B628-OtherCost</f>
        <v/>
      </c>
      <c r="T628" s="37">
        <f>'03_原始数据'!C628-0.635*'03_原始数据'!B628-OtherCost</f>
        <v/>
      </c>
      <c r="U628" s="37">
        <f>'03_原始数据'!C628-0.64*'03_原始数据'!B628-OtherCost</f>
        <v/>
      </c>
      <c r="V628" s="37">
        <f>'03_原始数据'!C628-0.645*'03_原始数据'!B628-OtherCost</f>
        <v/>
      </c>
      <c r="W628" s="37">
        <f>'03_原始数据'!C628-0.65*'03_原始数据'!B628-OtherCost</f>
        <v/>
      </c>
      <c r="X628" s="37">
        <f>'03_原始数据'!C628-0.655*'03_原始数据'!B628-OtherCost</f>
        <v/>
      </c>
      <c r="Y628" s="37">
        <f>'03_原始数据'!C628-0.66*'03_原始数据'!B628-OtherCost</f>
        <v/>
      </c>
      <c r="Z628" s="37">
        <f>'03_原始数据'!C628-0.665*'03_原始数据'!B628-OtherCost</f>
        <v/>
      </c>
      <c r="AA628" s="37">
        <f>'03_原始数据'!C628-0.67*'03_原始数据'!B628-OtherCost</f>
        <v/>
      </c>
      <c r="AB628" s="37">
        <f>'03_原始数据'!C628-0.675*'03_原始数据'!B628-OtherCost</f>
        <v/>
      </c>
      <c r="AC628" s="37">
        <f>'03_原始数据'!C628-0.68*'03_原始数据'!B628-OtherCost</f>
        <v/>
      </c>
      <c r="AD628" s="37">
        <f>'03_原始数据'!C628-0.685*'03_原始数据'!B628-OtherCost</f>
        <v/>
      </c>
      <c r="AE628" s="37">
        <f>'03_原始数据'!C628-0.69*'03_原始数据'!B628-OtherCost</f>
        <v/>
      </c>
      <c r="AF628" s="37">
        <f>'03_原始数据'!C628-0.695*'03_原始数据'!B628-OtherCost</f>
        <v/>
      </c>
      <c r="AG628" s="37">
        <f>'03_原始数据'!C628-0.7*'03_原始数据'!B628-OtherCost</f>
        <v/>
      </c>
    </row>
    <row r="629">
      <c r="M629" s="37">
        <f>'03_原始数据'!C629-0.6*'03_原始数据'!B629-OtherCost</f>
        <v/>
      </c>
      <c r="N629" s="37">
        <f>'03_原始数据'!C629-0.605*'03_原始数据'!B629-OtherCost</f>
        <v/>
      </c>
      <c r="O629" s="37">
        <f>'03_原始数据'!C629-0.61*'03_原始数据'!B629-OtherCost</f>
        <v/>
      </c>
      <c r="P629" s="37">
        <f>'03_原始数据'!C629-0.615*'03_原始数据'!B629-OtherCost</f>
        <v/>
      </c>
      <c r="Q629" s="37">
        <f>'03_原始数据'!C629-0.62*'03_原始数据'!B629-OtherCost</f>
        <v/>
      </c>
      <c r="R629" s="37">
        <f>'03_原始数据'!C629-0.625*'03_原始数据'!B629-OtherCost</f>
        <v/>
      </c>
      <c r="S629" s="37">
        <f>'03_原始数据'!C629-0.63*'03_原始数据'!B629-OtherCost</f>
        <v/>
      </c>
      <c r="T629" s="37">
        <f>'03_原始数据'!C629-0.635*'03_原始数据'!B629-OtherCost</f>
        <v/>
      </c>
      <c r="U629" s="37">
        <f>'03_原始数据'!C629-0.64*'03_原始数据'!B629-OtherCost</f>
        <v/>
      </c>
      <c r="V629" s="37">
        <f>'03_原始数据'!C629-0.645*'03_原始数据'!B629-OtherCost</f>
        <v/>
      </c>
      <c r="W629" s="37">
        <f>'03_原始数据'!C629-0.65*'03_原始数据'!B629-OtherCost</f>
        <v/>
      </c>
      <c r="X629" s="37">
        <f>'03_原始数据'!C629-0.655*'03_原始数据'!B629-OtherCost</f>
        <v/>
      </c>
      <c r="Y629" s="37">
        <f>'03_原始数据'!C629-0.66*'03_原始数据'!B629-OtherCost</f>
        <v/>
      </c>
      <c r="Z629" s="37">
        <f>'03_原始数据'!C629-0.665*'03_原始数据'!B629-OtherCost</f>
        <v/>
      </c>
      <c r="AA629" s="37">
        <f>'03_原始数据'!C629-0.67*'03_原始数据'!B629-OtherCost</f>
        <v/>
      </c>
      <c r="AB629" s="37">
        <f>'03_原始数据'!C629-0.675*'03_原始数据'!B629-OtherCost</f>
        <v/>
      </c>
      <c r="AC629" s="37">
        <f>'03_原始数据'!C629-0.68*'03_原始数据'!B629-OtherCost</f>
        <v/>
      </c>
      <c r="AD629" s="37">
        <f>'03_原始数据'!C629-0.685*'03_原始数据'!B629-OtherCost</f>
        <v/>
      </c>
      <c r="AE629" s="37">
        <f>'03_原始数据'!C629-0.69*'03_原始数据'!B629-OtherCost</f>
        <v/>
      </c>
      <c r="AF629" s="37">
        <f>'03_原始数据'!C629-0.695*'03_原始数据'!B629-OtherCost</f>
        <v/>
      </c>
      <c r="AG629" s="37">
        <f>'03_原始数据'!C629-0.7*'03_原始数据'!B629-OtherCost</f>
        <v/>
      </c>
    </row>
    <row r="630">
      <c r="M630" s="37">
        <f>'03_原始数据'!C630-0.6*'03_原始数据'!B630-OtherCost</f>
        <v/>
      </c>
      <c r="N630" s="37">
        <f>'03_原始数据'!C630-0.605*'03_原始数据'!B630-OtherCost</f>
        <v/>
      </c>
      <c r="O630" s="37">
        <f>'03_原始数据'!C630-0.61*'03_原始数据'!B630-OtherCost</f>
        <v/>
      </c>
      <c r="P630" s="37">
        <f>'03_原始数据'!C630-0.615*'03_原始数据'!B630-OtherCost</f>
        <v/>
      </c>
      <c r="Q630" s="37">
        <f>'03_原始数据'!C630-0.62*'03_原始数据'!B630-OtherCost</f>
        <v/>
      </c>
      <c r="R630" s="37">
        <f>'03_原始数据'!C630-0.625*'03_原始数据'!B630-OtherCost</f>
        <v/>
      </c>
      <c r="S630" s="37">
        <f>'03_原始数据'!C630-0.63*'03_原始数据'!B630-OtherCost</f>
        <v/>
      </c>
      <c r="T630" s="37">
        <f>'03_原始数据'!C630-0.635*'03_原始数据'!B630-OtherCost</f>
        <v/>
      </c>
      <c r="U630" s="37">
        <f>'03_原始数据'!C630-0.64*'03_原始数据'!B630-OtherCost</f>
        <v/>
      </c>
      <c r="V630" s="37">
        <f>'03_原始数据'!C630-0.645*'03_原始数据'!B630-OtherCost</f>
        <v/>
      </c>
      <c r="W630" s="37">
        <f>'03_原始数据'!C630-0.65*'03_原始数据'!B630-OtherCost</f>
        <v/>
      </c>
      <c r="X630" s="37">
        <f>'03_原始数据'!C630-0.655*'03_原始数据'!B630-OtherCost</f>
        <v/>
      </c>
      <c r="Y630" s="37">
        <f>'03_原始数据'!C630-0.66*'03_原始数据'!B630-OtherCost</f>
        <v/>
      </c>
      <c r="Z630" s="37">
        <f>'03_原始数据'!C630-0.665*'03_原始数据'!B630-OtherCost</f>
        <v/>
      </c>
      <c r="AA630" s="37">
        <f>'03_原始数据'!C630-0.67*'03_原始数据'!B630-OtherCost</f>
        <v/>
      </c>
      <c r="AB630" s="37">
        <f>'03_原始数据'!C630-0.675*'03_原始数据'!B630-OtherCost</f>
        <v/>
      </c>
      <c r="AC630" s="37">
        <f>'03_原始数据'!C630-0.68*'03_原始数据'!B630-OtherCost</f>
        <v/>
      </c>
      <c r="AD630" s="37">
        <f>'03_原始数据'!C630-0.685*'03_原始数据'!B630-OtherCost</f>
        <v/>
      </c>
      <c r="AE630" s="37">
        <f>'03_原始数据'!C630-0.69*'03_原始数据'!B630-OtherCost</f>
        <v/>
      </c>
      <c r="AF630" s="37">
        <f>'03_原始数据'!C630-0.695*'03_原始数据'!B630-OtherCost</f>
        <v/>
      </c>
      <c r="AG630" s="37">
        <f>'03_原始数据'!C630-0.7*'03_原始数据'!B630-OtherCost</f>
        <v/>
      </c>
    </row>
    <row r="631">
      <c r="M631" s="37">
        <f>'03_原始数据'!C631-0.6*'03_原始数据'!B631-OtherCost</f>
        <v/>
      </c>
      <c r="N631" s="37">
        <f>'03_原始数据'!C631-0.605*'03_原始数据'!B631-OtherCost</f>
        <v/>
      </c>
      <c r="O631" s="37">
        <f>'03_原始数据'!C631-0.61*'03_原始数据'!B631-OtherCost</f>
        <v/>
      </c>
      <c r="P631" s="37">
        <f>'03_原始数据'!C631-0.615*'03_原始数据'!B631-OtherCost</f>
        <v/>
      </c>
      <c r="Q631" s="37">
        <f>'03_原始数据'!C631-0.62*'03_原始数据'!B631-OtherCost</f>
        <v/>
      </c>
      <c r="R631" s="37">
        <f>'03_原始数据'!C631-0.625*'03_原始数据'!B631-OtherCost</f>
        <v/>
      </c>
      <c r="S631" s="37">
        <f>'03_原始数据'!C631-0.63*'03_原始数据'!B631-OtherCost</f>
        <v/>
      </c>
      <c r="T631" s="37">
        <f>'03_原始数据'!C631-0.635*'03_原始数据'!B631-OtherCost</f>
        <v/>
      </c>
      <c r="U631" s="37">
        <f>'03_原始数据'!C631-0.64*'03_原始数据'!B631-OtherCost</f>
        <v/>
      </c>
      <c r="V631" s="37">
        <f>'03_原始数据'!C631-0.645*'03_原始数据'!B631-OtherCost</f>
        <v/>
      </c>
      <c r="W631" s="37">
        <f>'03_原始数据'!C631-0.65*'03_原始数据'!B631-OtherCost</f>
        <v/>
      </c>
      <c r="X631" s="37">
        <f>'03_原始数据'!C631-0.655*'03_原始数据'!B631-OtherCost</f>
        <v/>
      </c>
      <c r="Y631" s="37">
        <f>'03_原始数据'!C631-0.66*'03_原始数据'!B631-OtherCost</f>
        <v/>
      </c>
      <c r="Z631" s="37">
        <f>'03_原始数据'!C631-0.665*'03_原始数据'!B631-OtherCost</f>
        <v/>
      </c>
      <c r="AA631" s="37">
        <f>'03_原始数据'!C631-0.67*'03_原始数据'!B631-OtherCost</f>
        <v/>
      </c>
      <c r="AB631" s="37">
        <f>'03_原始数据'!C631-0.675*'03_原始数据'!B631-OtherCost</f>
        <v/>
      </c>
      <c r="AC631" s="37">
        <f>'03_原始数据'!C631-0.68*'03_原始数据'!B631-OtherCost</f>
        <v/>
      </c>
      <c r="AD631" s="37">
        <f>'03_原始数据'!C631-0.685*'03_原始数据'!B631-OtherCost</f>
        <v/>
      </c>
      <c r="AE631" s="37">
        <f>'03_原始数据'!C631-0.69*'03_原始数据'!B631-OtherCost</f>
        <v/>
      </c>
      <c r="AF631" s="37">
        <f>'03_原始数据'!C631-0.695*'03_原始数据'!B631-OtherCost</f>
        <v/>
      </c>
      <c r="AG631" s="37">
        <f>'03_原始数据'!C631-0.7*'03_原始数据'!B631-OtherCost</f>
        <v/>
      </c>
    </row>
    <row r="632">
      <c r="M632" s="37">
        <f>'03_原始数据'!C632-0.6*'03_原始数据'!B632-OtherCost</f>
        <v/>
      </c>
      <c r="N632" s="37">
        <f>'03_原始数据'!C632-0.605*'03_原始数据'!B632-OtherCost</f>
        <v/>
      </c>
      <c r="O632" s="37">
        <f>'03_原始数据'!C632-0.61*'03_原始数据'!B632-OtherCost</f>
        <v/>
      </c>
      <c r="P632" s="37">
        <f>'03_原始数据'!C632-0.615*'03_原始数据'!B632-OtherCost</f>
        <v/>
      </c>
      <c r="Q632" s="37">
        <f>'03_原始数据'!C632-0.62*'03_原始数据'!B632-OtherCost</f>
        <v/>
      </c>
      <c r="R632" s="37">
        <f>'03_原始数据'!C632-0.625*'03_原始数据'!B632-OtherCost</f>
        <v/>
      </c>
      <c r="S632" s="37">
        <f>'03_原始数据'!C632-0.63*'03_原始数据'!B632-OtherCost</f>
        <v/>
      </c>
      <c r="T632" s="37">
        <f>'03_原始数据'!C632-0.635*'03_原始数据'!B632-OtherCost</f>
        <v/>
      </c>
      <c r="U632" s="37">
        <f>'03_原始数据'!C632-0.64*'03_原始数据'!B632-OtherCost</f>
        <v/>
      </c>
      <c r="V632" s="37">
        <f>'03_原始数据'!C632-0.645*'03_原始数据'!B632-OtherCost</f>
        <v/>
      </c>
      <c r="W632" s="37">
        <f>'03_原始数据'!C632-0.65*'03_原始数据'!B632-OtherCost</f>
        <v/>
      </c>
      <c r="X632" s="37">
        <f>'03_原始数据'!C632-0.655*'03_原始数据'!B632-OtherCost</f>
        <v/>
      </c>
      <c r="Y632" s="37">
        <f>'03_原始数据'!C632-0.66*'03_原始数据'!B632-OtherCost</f>
        <v/>
      </c>
      <c r="Z632" s="37">
        <f>'03_原始数据'!C632-0.665*'03_原始数据'!B632-OtherCost</f>
        <v/>
      </c>
      <c r="AA632" s="37">
        <f>'03_原始数据'!C632-0.67*'03_原始数据'!B632-OtherCost</f>
        <v/>
      </c>
      <c r="AB632" s="37">
        <f>'03_原始数据'!C632-0.675*'03_原始数据'!B632-OtherCost</f>
        <v/>
      </c>
      <c r="AC632" s="37">
        <f>'03_原始数据'!C632-0.68*'03_原始数据'!B632-OtherCost</f>
        <v/>
      </c>
      <c r="AD632" s="37">
        <f>'03_原始数据'!C632-0.685*'03_原始数据'!B632-OtherCost</f>
        <v/>
      </c>
      <c r="AE632" s="37">
        <f>'03_原始数据'!C632-0.69*'03_原始数据'!B632-OtherCost</f>
        <v/>
      </c>
      <c r="AF632" s="37">
        <f>'03_原始数据'!C632-0.695*'03_原始数据'!B632-OtherCost</f>
        <v/>
      </c>
      <c r="AG632" s="37">
        <f>'03_原始数据'!C632-0.7*'03_原始数据'!B632-OtherCost</f>
        <v/>
      </c>
    </row>
    <row r="633">
      <c r="M633" s="37">
        <f>'03_原始数据'!C633-0.6*'03_原始数据'!B633-OtherCost</f>
        <v/>
      </c>
      <c r="N633" s="37">
        <f>'03_原始数据'!C633-0.605*'03_原始数据'!B633-OtherCost</f>
        <v/>
      </c>
      <c r="O633" s="37">
        <f>'03_原始数据'!C633-0.61*'03_原始数据'!B633-OtherCost</f>
        <v/>
      </c>
      <c r="P633" s="37">
        <f>'03_原始数据'!C633-0.615*'03_原始数据'!B633-OtherCost</f>
        <v/>
      </c>
      <c r="Q633" s="37">
        <f>'03_原始数据'!C633-0.62*'03_原始数据'!B633-OtherCost</f>
        <v/>
      </c>
      <c r="R633" s="37">
        <f>'03_原始数据'!C633-0.625*'03_原始数据'!B633-OtherCost</f>
        <v/>
      </c>
      <c r="S633" s="37">
        <f>'03_原始数据'!C633-0.63*'03_原始数据'!B633-OtherCost</f>
        <v/>
      </c>
      <c r="T633" s="37">
        <f>'03_原始数据'!C633-0.635*'03_原始数据'!B633-OtherCost</f>
        <v/>
      </c>
      <c r="U633" s="37">
        <f>'03_原始数据'!C633-0.64*'03_原始数据'!B633-OtherCost</f>
        <v/>
      </c>
      <c r="V633" s="37">
        <f>'03_原始数据'!C633-0.645*'03_原始数据'!B633-OtherCost</f>
        <v/>
      </c>
      <c r="W633" s="37">
        <f>'03_原始数据'!C633-0.65*'03_原始数据'!B633-OtherCost</f>
        <v/>
      </c>
      <c r="X633" s="37">
        <f>'03_原始数据'!C633-0.655*'03_原始数据'!B633-OtherCost</f>
        <v/>
      </c>
      <c r="Y633" s="37">
        <f>'03_原始数据'!C633-0.66*'03_原始数据'!B633-OtherCost</f>
        <v/>
      </c>
      <c r="Z633" s="37">
        <f>'03_原始数据'!C633-0.665*'03_原始数据'!B633-OtherCost</f>
        <v/>
      </c>
      <c r="AA633" s="37">
        <f>'03_原始数据'!C633-0.67*'03_原始数据'!B633-OtherCost</f>
        <v/>
      </c>
      <c r="AB633" s="37">
        <f>'03_原始数据'!C633-0.675*'03_原始数据'!B633-OtherCost</f>
        <v/>
      </c>
      <c r="AC633" s="37">
        <f>'03_原始数据'!C633-0.68*'03_原始数据'!B633-OtherCost</f>
        <v/>
      </c>
      <c r="AD633" s="37">
        <f>'03_原始数据'!C633-0.685*'03_原始数据'!B633-OtherCost</f>
        <v/>
      </c>
      <c r="AE633" s="37">
        <f>'03_原始数据'!C633-0.69*'03_原始数据'!B633-OtherCost</f>
        <v/>
      </c>
      <c r="AF633" s="37">
        <f>'03_原始数据'!C633-0.695*'03_原始数据'!B633-OtherCost</f>
        <v/>
      </c>
      <c r="AG633" s="37">
        <f>'03_原始数据'!C633-0.7*'03_原始数据'!B633-OtherCost</f>
        <v/>
      </c>
    </row>
    <row r="634">
      <c r="M634" s="37">
        <f>'03_原始数据'!C634-0.6*'03_原始数据'!B634-OtherCost</f>
        <v/>
      </c>
      <c r="N634" s="37">
        <f>'03_原始数据'!C634-0.605*'03_原始数据'!B634-OtherCost</f>
        <v/>
      </c>
      <c r="O634" s="37">
        <f>'03_原始数据'!C634-0.61*'03_原始数据'!B634-OtherCost</f>
        <v/>
      </c>
      <c r="P634" s="37">
        <f>'03_原始数据'!C634-0.615*'03_原始数据'!B634-OtherCost</f>
        <v/>
      </c>
      <c r="Q634" s="37">
        <f>'03_原始数据'!C634-0.62*'03_原始数据'!B634-OtherCost</f>
        <v/>
      </c>
      <c r="R634" s="37">
        <f>'03_原始数据'!C634-0.625*'03_原始数据'!B634-OtherCost</f>
        <v/>
      </c>
      <c r="S634" s="37">
        <f>'03_原始数据'!C634-0.63*'03_原始数据'!B634-OtherCost</f>
        <v/>
      </c>
      <c r="T634" s="37">
        <f>'03_原始数据'!C634-0.635*'03_原始数据'!B634-OtherCost</f>
        <v/>
      </c>
      <c r="U634" s="37">
        <f>'03_原始数据'!C634-0.64*'03_原始数据'!B634-OtherCost</f>
        <v/>
      </c>
      <c r="V634" s="37">
        <f>'03_原始数据'!C634-0.645*'03_原始数据'!B634-OtherCost</f>
        <v/>
      </c>
      <c r="W634" s="37">
        <f>'03_原始数据'!C634-0.65*'03_原始数据'!B634-OtherCost</f>
        <v/>
      </c>
      <c r="X634" s="37">
        <f>'03_原始数据'!C634-0.655*'03_原始数据'!B634-OtherCost</f>
        <v/>
      </c>
      <c r="Y634" s="37">
        <f>'03_原始数据'!C634-0.66*'03_原始数据'!B634-OtherCost</f>
        <v/>
      </c>
      <c r="Z634" s="37">
        <f>'03_原始数据'!C634-0.665*'03_原始数据'!B634-OtherCost</f>
        <v/>
      </c>
      <c r="AA634" s="37">
        <f>'03_原始数据'!C634-0.67*'03_原始数据'!B634-OtherCost</f>
        <v/>
      </c>
      <c r="AB634" s="37">
        <f>'03_原始数据'!C634-0.675*'03_原始数据'!B634-OtherCost</f>
        <v/>
      </c>
      <c r="AC634" s="37">
        <f>'03_原始数据'!C634-0.68*'03_原始数据'!B634-OtherCost</f>
        <v/>
      </c>
      <c r="AD634" s="37">
        <f>'03_原始数据'!C634-0.685*'03_原始数据'!B634-OtherCost</f>
        <v/>
      </c>
      <c r="AE634" s="37">
        <f>'03_原始数据'!C634-0.69*'03_原始数据'!B634-OtherCost</f>
        <v/>
      </c>
      <c r="AF634" s="37">
        <f>'03_原始数据'!C634-0.695*'03_原始数据'!B634-OtherCost</f>
        <v/>
      </c>
      <c r="AG634" s="37">
        <f>'03_原始数据'!C634-0.7*'03_原始数据'!B634-OtherCost</f>
        <v/>
      </c>
    </row>
    <row r="635">
      <c r="M635" s="37">
        <f>'03_原始数据'!C635-0.6*'03_原始数据'!B635-OtherCost</f>
        <v/>
      </c>
      <c r="N635" s="37">
        <f>'03_原始数据'!C635-0.605*'03_原始数据'!B635-OtherCost</f>
        <v/>
      </c>
      <c r="O635" s="37">
        <f>'03_原始数据'!C635-0.61*'03_原始数据'!B635-OtherCost</f>
        <v/>
      </c>
      <c r="P635" s="37">
        <f>'03_原始数据'!C635-0.615*'03_原始数据'!B635-OtherCost</f>
        <v/>
      </c>
      <c r="Q635" s="37">
        <f>'03_原始数据'!C635-0.62*'03_原始数据'!B635-OtherCost</f>
        <v/>
      </c>
      <c r="R635" s="37">
        <f>'03_原始数据'!C635-0.625*'03_原始数据'!B635-OtherCost</f>
        <v/>
      </c>
      <c r="S635" s="37">
        <f>'03_原始数据'!C635-0.63*'03_原始数据'!B635-OtherCost</f>
        <v/>
      </c>
      <c r="T635" s="37">
        <f>'03_原始数据'!C635-0.635*'03_原始数据'!B635-OtherCost</f>
        <v/>
      </c>
      <c r="U635" s="37">
        <f>'03_原始数据'!C635-0.64*'03_原始数据'!B635-OtherCost</f>
        <v/>
      </c>
      <c r="V635" s="37">
        <f>'03_原始数据'!C635-0.645*'03_原始数据'!B635-OtherCost</f>
        <v/>
      </c>
      <c r="W635" s="37">
        <f>'03_原始数据'!C635-0.65*'03_原始数据'!B635-OtherCost</f>
        <v/>
      </c>
      <c r="X635" s="37">
        <f>'03_原始数据'!C635-0.655*'03_原始数据'!B635-OtherCost</f>
        <v/>
      </c>
      <c r="Y635" s="37">
        <f>'03_原始数据'!C635-0.66*'03_原始数据'!B635-OtherCost</f>
        <v/>
      </c>
      <c r="Z635" s="37">
        <f>'03_原始数据'!C635-0.665*'03_原始数据'!B635-OtherCost</f>
        <v/>
      </c>
      <c r="AA635" s="37">
        <f>'03_原始数据'!C635-0.67*'03_原始数据'!B635-OtherCost</f>
        <v/>
      </c>
      <c r="AB635" s="37">
        <f>'03_原始数据'!C635-0.675*'03_原始数据'!B635-OtherCost</f>
        <v/>
      </c>
      <c r="AC635" s="37">
        <f>'03_原始数据'!C635-0.68*'03_原始数据'!B635-OtherCost</f>
        <v/>
      </c>
      <c r="AD635" s="37">
        <f>'03_原始数据'!C635-0.685*'03_原始数据'!B635-OtherCost</f>
        <v/>
      </c>
      <c r="AE635" s="37">
        <f>'03_原始数据'!C635-0.69*'03_原始数据'!B635-OtherCost</f>
        <v/>
      </c>
      <c r="AF635" s="37">
        <f>'03_原始数据'!C635-0.695*'03_原始数据'!B635-OtherCost</f>
        <v/>
      </c>
      <c r="AG635" s="37">
        <f>'03_原始数据'!C635-0.7*'03_原始数据'!B635-OtherCost</f>
        <v/>
      </c>
    </row>
    <row r="636">
      <c r="M636" s="37">
        <f>'03_原始数据'!C636-0.6*'03_原始数据'!B636-OtherCost</f>
        <v/>
      </c>
      <c r="N636" s="37">
        <f>'03_原始数据'!C636-0.605*'03_原始数据'!B636-OtherCost</f>
        <v/>
      </c>
      <c r="O636" s="37">
        <f>'03_原始数据'!C636-0.61*'03_原始数据'!B636-OtherCost</f>
        <v/>
      </c>
      <c r="P636" s="37">
        <f>'03_原始数据'!C636-0.615*'03_原始数据'!B636-OtherCost</f>
        <v/>
      </c>
      <c r="Q636" s="37">
        <f>'03_原始数据'!C636-0.62*'03_原始数据'!B636-OtherCost</f>
        <v/>
      </c>
      <c r="R636" s="37">
        <f>'03_原始数据'!C636-0.625*'03_原始数据'!B636-OtherCost</f>
        <v/>
      </c>
      <c r="S636" s="37">
        <f>'03_原始数据'!C636-0.63*'03_原始数据'!B636-OtherCost</f>
        <v/>
      </c>
      <c r="T636" s="37">
        <f>'03_原始数据'!C636-0.635*'03_原始数据'!B636-OtherCost</f>
        <v/>
      </c>
      <c r="U636" s="37">
        <f>'03_原始数据'!C636-0.64*'03_原始数据'!B636-OtherCost</f>
        <v/>
      </c>
      <c r="V636" s="37">
        <f>'03_原始数据'!C636-0.645*'03_原始数据'!B636-OtherCost</f>
        <v/>
      </c>
      <c r="W636" s="37">
        <f>'03_原始数据'!C636-0.65*'03_原始数据'!B636-OtherCost</f>
        <v/>
      </c>
      <c r="X636" s="37">
        <f>'03_原始数据'!C636-0.655*'03_原始数据'!B636-OtherCost</f>
        <v/>
      </c>
      <c r="Y636" s="37">
        <f>'03_原始数据'!C636-0.66*'03_原始数据'!B636-OtherCost</f>
        <v/>
      </c>
      <c r="Z636" s="37">
        <f>'03_原始数据'!C636-0.665*'03_原始数据'!B636-OtherCost</f>
        <v/>
      </c>
      <c r="AA636" s="37">
        <f>'03_原始数据'!C636-0.67*'03_原始数据'!B636-OtherCost</f>
        <v/>
      </c>
      <c r="AB636" s="37">
        <f>'03_原始数据'!C636-0.675*'03_原始数据'!B636-OtherCost</f>
        <v/>
      </c>
      <c r="AC636" s="37">
        <f>'03_原始数据'!C636-0.68*'03_原始数据'!B636-OtherCost</f>
        <v/>
      </c>
      <c r="AD636" s="37">
        <f>'03_原始数据'!C636-0.685*'03_原始数据'!B636-OtherCost</f>
        <v/>
      </c>
      <c r="AE636" s="37">
        <f>'03_原始数据'!C636-0.69*'03_原始数据'!B636-OtherCost</f>
        <v/>
      </c>
      <c r="AF636" s="37">
        <f>'03_原始数据'!C636-0.695*'03_原始数据'!B636-OtherCost</f>
        <v/>
      </c>
      <c r="AG636" s="37">
        <f>'03_原始数据'!C636-0.7*'03_原始数据'!B636-OtherCost</f>
        <v/>
      </c>
    </row>
    <row r="637">
      <c r="M637" s="37">
        <f>'03_原始数据'!C637-0.6*'03_原始数据'!B637-OtherCost</f>
        <v/>
      </c>
      <c r="N637" s="37">
        <f>'03_原始数据'!C637-0.605*'03_原始数据'!B637-OtherCost</f>
        <v/>
      </c>
      <c r="O637" s="37">
        <f>'03_原始数据'!C637-0.61*'03_原始数据'!B637-OtherCost</f>
        <v/>
      </c>
      <c r="P637" s="37">
        <f>'03_原始数据'!C637-0.615*'03_原始数据'!B637-OtherCost</f>
        <v/>
      </c>
      <c r="Q637" s="37">
        <f>'03_原始数据'!C637-0.62*'03_原始数据'!B637-OtherCost</f>
        <v/>
      </c>
      <c r="R637" s="37">
        <f>'03_原始数据'!C637-0.625*'03_原始数据'!B637-OtherCost</f>
        <v/>
      </c>
      <c r="S637" s="37">
        <f>'03_原始数据'!C637-0.63*'03_原始数据'!B637-OtherCost</f>
        <v/>
      </c>
      <c r="T637" s="37">
        <f>'03_原始数据'!C637-0.635*'03_原始数据'!B637-OtherCost</f>
        <v/>
      </c>
      <c r="U637" s="37">
        <f>'03_原始数据'!C637-0.64*'03_原始数据'!B637-OtherCost</f>
        <v/>
      </c>
      <c r="V637" s="37">
        <f>'03_原始数据'!C637-0.645*'03_原始数据'!B637-OtherCost</f>
        <v/>
      </c>
      <c r="W637" s="37">
        <f>'03_原始数据'!C637-0.65*'03_原始数据'!B637-OtherCost</f>
        <v/>
      </c>
      <c r="X637" s="37">
        <f>'03_原始数据'!C637-0.655*'03_原始数据'!B637-OtherCost</f>
        <v/>
      </c>
      <c r="Y637" s="37">
        <f>'03_原始数据'!C637-0.66*'03_原始数据'!B637-OtherCost</f>
        <v/>
      </c>
      <c r="Z637" s="37">
        <f>'03_原始数据'!C637-0.665*'03_原始数据'!B637-OtherCost</f>
        <v/>
      </c>
      <c r="AA637" s="37">
        <f>'03_原始数据'!C637-0.67*'03_原始数据'!B637-OtherCost</f>
        <v/>
      </c>
      <c r="AB637" s="37">
        <f>'03_原始数据'!C637-0.675*'03_原始数据'!B637-OtherCost</f>
        <v/>
      </c>
      <c r="AC637" s="37">
        <f>'03_原始数据'!C637-0.68*'03_原始数据'!B637-OtherCost</f>
        <v/>
      </c>
      <c r="AD637" s="37">
        <f>'03_原始数据'!C637-0.685*'03_原始数据'!B637-OtherCost</f>
        <v/>
      </c>
      <c r="AE637" s="37">
        <f>'03_原始数据'!C637-0.69*'03_原始数据'!B637-OtherCost</f>
        <v/>
      </c>
      <c r="AF637" s="37">
        <f>'03_原始数据'!C637-0.695*'03_原始数据'!B637-OtherCost</f>
        <v/>
      </c>
      <c r="AG637" s="37">
        <f>'03_原始数据'!C637-0.7*'03_原始数据'!B637-OtherCost</f>
        <v/>
      </c>
    </row>
    <row r="638">
      <c r="M638" s="37">
        <f>'03_原始数据'!C638-0.6*'03_原始数据'!B638-OtherCost</f>
        <v/>
      </c>
      <c r="N638" s="37">
        <f>'03_原始数据'!C638-0.605*'03_原始数据'!B638-OtherCost</f>
        <v/>
      </c>
      <c r="O638" s="37">
        <f>'03_原始数据'!C638-0.61*'03_原始数据'!B638-OtherCost</f>
        <v/>
      </c>
      <c r="P638" s="37">
        <f>'03_原始数据'!C638-0.615*'03_原始数据'!B638-OtherCost</f>
        <v/>
      </c>
      <c r="Q638" s="37">
        <f>'03_原始数据'!C638-0.62*'03_原始数据'!B638-OtherCost</f>
        <v/>
      </c>
      <c r="R638" s="37">
        <f>'03_原始数据'!C638-0.625*'03_原始数据'!B638-OtherCost</f>
        <v/>
      </c>
      <c r="S638" s="37">
        <f>'03_原始数据'!C638-0.63*'03_原始数据'!B638-OtherCost</f>
        <v/>
      </c>
      <c r="T638" s="37">
        <f>'03_原始数据'!C638-0.635*'03_原始数据'!B638-OtherCost</f>
        <v/>
      </c>
      <c r="U638" s="37">
        <f>'03_原始数据'!C638-0.64*'03_原始数据'!B638-OtherCost</f>
        <v/>
      </c>
      <c r="V638" s="37">
        <f>'03_原始数据'!C638-0.645*'03_原始数据'!B638-OtherCost</f>
        <v/>
      </c>
      <c r="W638" s="37">
        <f>'03_原始数据'!C638-0.65*'03_原始数据'!B638-OtherCost</f>
        <v/>
      </c>
      <c r="X638" s="37">
        <f>'03_原始数据'!C638-0.655*'03_原始数据'!B638-OtherCost</f>
        <v/>
      </c>
      <c r="Y638" s="37">
        <f>'03_原始数据'!C638-0.66*'03_原始数据'!B638-OtherCost</f>
        <v/>
      </c>
      <c r="Z638" s="37">
        <f>'03_原始数据'!C638-0.665*'03_原始数据'!B638-OtherCost</f>
        <v/>
      </c>
      <c r="AA638" s="37">
        <f>'03_原始数据'!C638-0.67*'03_原始数据'!B638-OtherCost</f>
        <v/>
      </c>
      <c r="AB638" s="37">
        <f>'03_原始数据'!C638-0.675*'03_原始数据'!B638-OtherCost</f>
        <v/>
      </c>
      <c r="AC638" s="37">
        <f>'03_原始数据'!C638-0.68*'03_原始数据'!B638-OtherCost</f>
        <v/>
      </c>
      <c r="AD638" s="37">
        <f>'03_原始数据'!C638-0.685*'03_原始数据'!B638-OtherCost</f>
        <v/>
      </c>
      <c r="AE638" s="37">
        <f>'03_原始数据'!C638-0.69*'03_原始数据'!B638-OtherCost</f>
        <v/>
      </c>
      <c r="AF638" s="37">
        <f>'03_原始数据'!C638-0.695*'03_原始数据'!B638-OtherCost</f>
        <v/>
      </c>
      <c r="AG638" s="37">
        <f>'03_原始数据'!C638-0.7*'03_原始数据'!B638-OtherCost</f>
        <v/>
      </c>
    </row>
    <row r="639">
      <c r="M639" s="37">
        <f>'03_原始数据'!C639-0.6*'03_原始数据'!B639-OtherCost</f>
        <v/>
      </c>
      <c r="N639" s="37">
        <f>'03_原始数据'!C639-0.605*'03_原始数据'!B639-OtherCost</f>
        <v/>
      </c>
      <c r="O639" s="37">
        <f>'03_原始数据'!C639-0.61*'03_原始数据'!B639-OtherCost</f>
        <v/>
      </c>
      <c r="P639" s="37">
        <f>'03_原始数据'!C639-0.615*'03_原始数据'!B639-OtherCost</f>
        <v/>
      </c>
      <c r="Q639" s="37">
        <f>'03_原始数据'!C639-0.62*'03_原始数据'!B639-OtherCost</f>
        <v/>
      </c>
      <c r="R639" s="37">
        <f>'03_原始数据'!C639-0.625*'03_原始数据'!B639-OtherCost</f>
        <v/>
      </c>
      <c r="S639" s="37">
        <f>'03_原始数据'!C639-0.63*'03_原始数据'!B639-OtherCost</f>
        <v/>
      </c>
      <c r="T639" s="37">
        <f>'03_原始数据'!C639-0.635*'03_原始数据'!B639-OtherCost</f>
        <v/>
      </c>
      <c r="U639" s="37">
        <f>'03_原始数据'!C639-0.64*'03_原始数据'!B639-OtherCost</f>
        <v/>
      </c>
      <c r="V639" s="37">
        <f>'03_原始数据'!C639-0.645*'03_原始数据'!B639-OtherCost</f>
        <v/>
      </c>
      <c r="W639" s="37">
        <f>'03_原始数据'!C639-0.65*'03_原始数据'!B639-OtherCost</f>
        <v/>
      </c>
      <c r="X639" s="37">
        <f>'03_原始数据'!C639-0.655*'03_原始数据'!B639-OtherCost</f>
        <v/>
      </c>
      <c r="Y639" s="37">
        <f>'03_原始数据'!C639-0.66*'03_原始数据'!B639-OtherCost</f>
        <v/>
      </c>
      <c r="Z639" s="37">
        <f>'03_原始数据'!C639-0.665*'03_原始数据'!B639-OtherCost</f>
        <v/>
      </c>
      <c r="AA639" s="37">
        <f>'03_原始数据'!C639-0.67*'03_原始数据'!B639-OtherCost</f>
        <v/>
      </c>
      <c r="AB639" s="37">
        <f>'03_原始数据'!C639-0.675*'03_原始数据'!B639-OtherCost</f>
        <v/>
      </c>
      <c r="AC639" s="37">
        <f>'03_原始数据'!C639-0.68*'03_原始数据'!B639-OtherCost</f>
        <v/>
      </c>
      <c r="AD639" s="37">
        <f>'03_原始数据'!C639-0.685*'03_原始数据'!B639-OtherCost</f>
        <v/>
      </c>
      <c r="AE639" s="37">
        <f>'03_原始数据'!C639-0.69*'03_原始数据'!B639-OtherCost</f>
        <v/>
      </c>
      <c r="AF639" s="37">
        <f>'03_原始数据'!C639-0.695*'03_原始数据'!B639-OtherCost</f>
        <v/>
      </c>
      <c r="AG639" s="37">
        <f>'03_原始数据'!C639-0.7*'03_原始数据'!B639-OtherCost</f>
        <v/>
      </c>
    </row>
    <row r="640">
      <c r="M640" s="37">
        <f>'03_原始数据'!C640-0.6*'03_原始数据'!B640-OtherCost</f>
        <v/>
      </c>
      <c r="N640" s="37">
        <f>'03_原始数据'!C640-0.605*'03_原始数据'!B640-OtherCost</f>
        <v/>
      </c>
      <c r="O640" s="37">
        <f>'03_原始数据'!C640-0.61*'03_原始数据'!B640-OtherCost</f>
        <v/>
      </c>
      <c r="P640" s="37">
        <f>'03_原始数据'!C640-0.615*'03_原始数据'!B640-OtherCost</f>
        <v/>
      </c>
      <c r="Q640" s="37">
        <f>'03_原始数据'!C640-0.62*'03_原始数据'!B640-OtherCost</f>
        <v/>
      </c>
      <c r="R640" s="37">
        <f>'03_原始数据'!C640-0.625*'03_原始数据'!B640-OtherCost</f>
        <v/>
      </c>
      <c r="S640" s="37">
        <f>'03_原始数据'!C640-0.63*'03_原始数据'!B640-OtherCost</f>
        <v/>
      </c>
      <c r="T640" s="37">
        <f>'03_原始数据'!C640-0.635*'03_原始数据'!B640-OtherCost</f>
        <v/>
      </c>
      <c r="U640" s="37">
        <f>'03_原始数据'!C640-0.64*'03_原始数据'!B640-OtherCost</f>
        <v/>
      </c>
      <c r="V640" s="37">
        <f>'03_原始数据'!C640-0.645*'03_原始数据'!B640-OtherCost</f>
        <v/>
      </c>
      <c r="W640" s="37">
        <f>'03_原始数据'!C640-0.65*'03_原始数据'!B640-OtherCost</f>
        <v/>
      </c>
      <c r="X640" s="37">
        <f>'03_原始数据'!C640-0.655*'03_原始数据'!B640-OtherCost</f>
        <v/>
      </c>
      <c r="Y640" s="37">
        <f>'03_原始数据'!C640-0.66*'03_原始数据'!B640-OtherCost</f>
        <v/>
      </c>
      <c r="Z640" s="37">
        <f>'03_原始数据'!C640-0.665*'03_原始数据'!B640-OtherCost</f>
        <v/>
      </c>
      <c r="AA640" s="37">
        <f>'03_原始数据'!C640-0.67*'03_原始数据'!B640-OtherCost</f>
        <v/>
      </c>
      <c r="AB640" s="37">
        <f>'03_原始数据'!C640-0.675*'03_原始数据'!B640-OtherCost</f>
        <v/>
      </c>
      <c r="AC640" s="37">
        <f>'03_原始数据'!C640-0.68*'03_原始数据'!B640-OtherCost</f>
        <v/>
      </c>
      <c r="AD640" s="37">
        <f>'03_原始数据'!C640-0.685*'03_原始数据'!B640-OtherCost</f>
        <v/>
      </c>
      <c r="AE640" s="37">
        <f>'03_原始数据'!C640-0.69*'03_原始数据'!B640-OtherCost</f>
        <v/>
      </c>
      <c r="AF640" s="37">
        <f>'03_原始数据'!C640-0.695*'03_原始数据'!B640-OtherCost</f>
        <v/>
      </c>
      <c r="AG640" s="37">
        <f>'03_原始数据'!C640-0.7*'03_原始数据'!B640-OtherCost</f>
        <v/>
      </c>
    </row>
    <row r="641">
      <c r="M641" s="37">
        <f>'03_原始数据'!C641-0.6*'03_原始数据'!B641-OtherCost</f>
        <v/>
      </c>
      <c r="N641" s="37">
        <f>'03_原始数据'!C641-0.605*'03_原始数据'!B641-OtherCost</f>
        <v/>
      </c>
      <c r="O641" s="37">
        <f>'03_原始数据'!C641-0.61*'03_原始数据'!B641-OtherCost</f>
        <v/>
      </c>
      <c r="P641" s="37">
        <f>'03_原始数据'!C641-0.615*'03_原始数据'!B641-OtherCost</f>
        <v/>
      </c>
      <c r="Q641" s="37">
        <f>'03_原始数据'!C641-0.62*'03_原始数据'!B641-OtherCost</f>
        <v/>
      </c>
      <c r="R641" s="37">
        <f>'03_原始数据'!C641-0.625*'03_原始数据'!B641-OtherCost</f>
        <v/>
      </c>
      <c r="S641" s="37">
        <f>'03_原始数据'!C641-0.63*'03_原始数据'!B641-OtherCost</f>
        <v/>
      </c>
      <c r="T641" s="37">
        <f>'03_原始数据'!C641-0.635*'03_原始数据'!B641-OtherCost</f>
        <v/>
      </c>
      <c r="U641" s="37">
        <f>'03_原始数据'!C641-0.64*'03_原始数据'!B641-OtherCost</f>
        <v/>
      </c>
      <c r="V641" s="37">
        <f>'03_原始数据'!C641-0.645*'03_原始数据'!B641-OtherCost</f>
        <v/>
      </c>
      <c r="W641" s="37">
        <f>'03_原始数据'!C641-0.65*'03_原始数据'!B641-OtherCost</f>
        <v/>
      </c>
      <c r="X641" s="37">
        <f>'03_原始数据'!C641-0.655*'03_原始数据'!B641-OtherCost</f>
        <v/>
      </c>
      <c r="Y641" s="37">
        <f>'03_原始数据'!C641-0.66*'03_原始数据'!B641-OtherCost</f>
        <v/>
      </c>
      <c r="Z641" s="37">
        <f>'03_原始数据'!C641-0.665*'03_原始数据'!B641-OtherCost</f>
        <v/>
      </c>
      <c r="AA641" s="37">
        <f>'03_原始数据'!C641-0.67*'03_原始数据'!B641-OtherCost</f>
        <v/>
      </c>
      <c r="AB641" s="37">
        <f>'03_原始数据'!C641-0.675*'03_原始数据'!B641-OtherCost</f>
        <v/>
      </c>
      <c r="AC641" s="37">
        <f>'03_原始数据'!C641-0.68*'03_原始数据'!B641-OtherCost</f>
        <v/>
      </c>
      <c r="AD641" s="37">
        <f>'03_原始数据'!C641-0.685*'03_原始数据'!B641-OtherCost</f>
        <v/>
      </c>
      <c r="AE641" s="37">
        <f>'03_原始数据'!C641-0.69*'03_原始数据'!B641-OtherCost</f>
        <v/>
      </c>
      <c r="AF641" s="37">
        <f>'03_原始数据'!C641-0.695*'03_原始数据'!B641-OtherCost</f>
        <v/>
      </c>
      <c r="AG641" s="37">
        <f>'03_原始数据'!C641-0.7*'03_原始数据'!B641-OtherCost</f>
        <v/>
      </c>
    </row>
    <row r="642">
      <c r="M642" s="37">
        <f>'03_原始数据'!C642-0.6*'03_原始数据'!B642-OtherCost</f>
        <v/>
      </c>
      <c r="N642" s="37">
        <f>'03_原始数据'!C642-0.605*'03_原始数据'!B642-OtherCost</f>
        <v/>
      </c>
      <c r="O642" s="37">
        <f>'03_原始数据'!C642-0.61*'03_原始数据'!B642-OtherCost</f>
        <v/>
      </c>
      <c r="P642" s="37">
        <f>'03_原始数据'!C642-0.615*'03_原始数据'!B642-OtherCost</f>
        <v/>
      </c>
      <c r="Q642" s="37">
        <f>'03_原始数据'!C642-0.62*'03_原始数据'!B642-OtherCost</f>
        <v/>
      </c>
      <c r="R642" s="37">
        <f>'03_原始数据'!C642-0.625*'03_原始数据'!B642-OtherCost</f>
        <v/>
      </c>
      <c r="S642" s="37">
        <f>'03_原始数据'!C642-0.63*'03_原始数据'!B642-OtherCost</f>
        <v/>
      </c>
      <c r="T642" s="37">
        <f>'03_原始数据'!C642-0.635*'03_原始数据'!B642-OtherCost</f>
        <v/>
      </c>
      <c r="U642" s="37">
        <f>'03_原始数据'!C642-0.64*'03_原始数据'!B642-OtherCost</f>
        <v/>
      </c>
      <c r="V642" s="37">
        <f>'03_原始数据'!C642-0.645*'03_原始数据'!B642-OtherCost</f>
        <v/>
      </c>
      <c r="W642" s="37">
        <f>'03_原始数据'!C642-0.65*'03_原始数据'!B642-OtherCost</f>
        <v/>
      </c>
      <c r="X642" s="37">
        <f>'03_原始数据'!C642-0.655*'03_原始数据'!B642-OtherCost</f>
        <v/>
      </c>
      <c r="Y642" s="37">
        <f>'03_原始数据'!C642-0.66*'03_原始数据'!B642-OtherCost</f>
        <v/>
      </c>
      <c r="Z642" s="37">
        <f>'03_原始数据'!C642-0.665*'03_原始数据'!B642-OtherCost</f>
        <v/>
      </c>
      <c r="AA642" s="37">
        <f>'03_原始数据'!C642-0.67*'03_原始数据'!B642-OtherCost</f>
        <v/>
      </c>
      <c r="AB642" s="37">
        <f>'03_原始数据'!C642-0.675*'03_原始数据'!B642-OtherCost</f>
        <v/>
      </c>
      <c r="AC642" s="37">
        <f>'03_原始数据'!C642-0.68*'03_原始数据'!B642-OtherCost</f>
        <v/>
      </c>
      <c r="AD642" s="37">
        <f>'03_原始数据'!C642-0.685*'03_原始数据'!B642-OtherCost</f>
        <v/>
      </c>
      <c r="AE642" s="37">
        <f>'03_原始数据'!C642-0.69*'03_原始数据'!B642-OtherCost</f>
        <v/>
      </c>
      <c r="AF642" s="37">
        <f>'03_原始数据'!C642-0.695*'03_原始数据'!B642-OtherCost</f>
        <v/>
      </c>
      <c r="AG642" s="37">
        <f>'03_原始数据'!C642-0.7*'03_原始数据'!B642-OtherCost</f>
        <v/>
      </c>
    </row>
    <row r="643">
      <c r="M643" s="37">
        <f>'03_原始数据'!C643-0.6*'03_原始数据'!B643-OtherCost</f>
        <v/>
      </c>
      <c r="N643" s="37">
        <f>'03_原始数据'!C643-0.605*'03_原始数据'!B643-OtherCost</f>
        <v/>
      </c>
      <c r="O643" s="37">
        <f>'03_原始数据'!C643-0.61*'03_原始数据'!B643-OtherCost</f>
        <v/>
      </c>
      <c r="P643" s="37">
        <f>'03_原始数据'!C643-0.615*'03_原始数据'!B643-OtherCost</f>
        <v/>
      </c>
      <c r="Q643" s="37">
        <f>'03_原始数据'!C643-0.62*'03_原始数据'!B643-OtherCost</f>
        <v/>
      </c>
      <c r="R643" s="37">
        <f>'03_原始数据'!C643-0.625*'03_原始数据'!B643-OtherCost</f>
        <v/>
      </c>
      <c r="S643" s="37">
        <f>'03_原始数据'!C643-0.63*'03_原始数据'!B643-OtherCost</f>
        <v/>
      </c>
      <c r="T643" s="37">
        <f>'03_原始数据'!C643-0.635*'03_原始数据'!B643-OtherCost</f>
        <v/>
      </c>
      <c r="U643" s="37">
        <f>'03_原始数据'!C643-0.64*'03_原始数据'!B643-OtherCost</f>
        <v/>
      </c>
      <c r="V643" s="37">
        <f>'03_原始数据'!C643-0.645*'03_原始数据'!B643-OtherCost</f>
        <v/>
      </c>
      <c r="W643" s="37">
        <f>'03_原始数据'!C643-0.65*'03_原始数据'!B643-OtherCost</f>
        <v/>
      </c>
      <c r="X643" s="37">
        <f>'03_原始数据'!C643-0.655*'03_原始数据'!B643-OtherCost</f>
        <v/>
      </c>
      <c r="Y643" s="37">
        <f>'03_原始数据'!C643-0.66*'03_原始数据'!B643-OtherCost</f>
        <v/>
      </c>
      <c r="Z643" s="37">
        <f>'03_原始数据'!C643-0.665*'03_原始数据'!B643-OtherCost</f>
        <v/>
      </c>
      <c r="AA643" s="37">
        <f>'03_原始数据'!C643-0.67*'03_原始数据'!B643-OtherCost</f>
        <v/>
      </c>
      <c r="AB643" s="37">
        <f>'03_原始数据'!C643-0.675*'03_原始数据'!B643-OtherCost</f>
        <v/>
      </c>
      <c r="AC643" s="37">
        <f>'03_原始数据'!C643-0.68*'03_原始数据'!B643-OtherCost</f>
        <v/>
      </c>
      <c r="AD643" s="37">
        <f>'03_原始数据'!C643-0.685*'03_原始数据'!B643-OtherCost</f>
        <v/>
      </c>
      <c r="AE643" s="37">
        <f>'03_原始数据'!C643-0.69*'03_原始数据'!B643-OtherCost</f>
        <v/>
      </c>
      <c r="AF643" s="37">
        <f>'03_原始数据'!C643-0.695*'03_原始数据'!B643-OtherCost</f>
        <v/>
      </c>
      <c r="AG643" s="37">
        <f>'03_原始数据'!C643-0.7*'03_原始数据'!B643-OtherCost</f>
        <v/>
      </c>
    </row>
    <row r="644">
      <c r="M644" s="37">
        <f>'03_原始数据'!C644-0.6*'03_原始数据'!B644-OtherCost</f>
        <v/>
      </c>
      <c r="N644" s="37">
        <f>'03_原始数据'!C644-0.605*'03_原始数据'!B644-OtherCost</f>
        <v/>
      </c>
      <c r="O644" s="37">
        <f>'03_原始数据'!C644-0.61*'03_原始数据'!B644-OtherCost</f>
        <v/>
      </c>
      <c r="P644" s="37">
        <f>'03_原始数据'!C644-0.615*'03_原始数据'!B644-OtherCost</f>
        <v/>
      </c>
      <c r="Q644" s="37">
        <f>'03_原始数据'!C644-0.62*'03_原始数据'!B644-OtherCost</f>
        <v/>
      </c>
      <c r="R644" s="37">
        <f>'03_原始数据'!C644-0.625*'03_原始数据'!B644-OtherCost</f>
        <v/>
      </c>
      <c r="S644" s="37">
        <f>'03_原始数据'!C644-0.63*'03_原始数据'!B644-OtherCost</f>
        <v/>
      </c>
      <c r="T644" s="37">
        <f>'03_原始数据'!C644-0.635*'03_原始数据'!B644-OtherCost</f>
        <v/>
      </c>
      <c r="U644" s="37">
        <f>'03_原始数据'!C644-0.64*'03_原始数据'!B644-OtherCost</f>
        <v/>
      </c>
      <c r="V644" s="37">
        <f>'03_原始数据'!C644-0.645*'03_原始数据'!B644-OtherCost</f>
        <v/>
      </c>
      <c r="W644" s="37">
        <f>'03_原始数据'!C644-0.65*'03_原始数据'!B644-OtherCost</f>
        <v/>
      </c>
      <c r="X644" s="37">
        <f>'03_原始数据'!C644-0.655*'03_原始数据'!B644-OtherCost</f>
        <v/>
      </c>
      <c r="Y644" s="37">
        <f>'03_原始数据'!C644-0.66*'03_原始数据'!B644-OtherCost</f>
        <v/>
      </c>
      <c r="Z644" s="37">
        <f>'03_原始数据'!C644-0.665*'03_原始数据'!B644-OtherCost</f>
        <v/>
      </c>
      <c r="AA644" s="37">
        <f>'03_原始数据'!C644-0.67*'03_原始数据'!B644-OtherCost</f>
        <v/>
      </c>
      <c r="AB644" s="37">
        <f>'03_原始数据'!C644-0.675*'03_原始数据'!B644-OtherCost</f>
        <v/>
      </c>
      <c r="AC644" s="37">
        <f>'03_原始数据'!C644-0.68*'03_原始数据'!B644-OtherCost</f>
        <v/>
      </c>
      <c r="AD644" s="37">
        <f>'03_原始数据'!C644-0.685*'03_原始数据'!B644-OtherCost</f>
        <v/>
      </c>
      <c r="AE644" s="37">
        <f>'03_原始数据'!C644-0.69*'03_原始数据'!B644-OtherCost</f>
        <v/>
      </c>
      <c r="AF644" s="37">
        <f>'03_原始数据'!C644-0.695*'03_原始数据'!B644-OtherCost</f>
        <v/>
      </c>
      <c r="AG644" s="37">
        <f>'03_原始数据'!C644-0.7*'03_原始数据'!B644-OtherCost</f>
        <v/>
      </c>
    </row>
    <row r="645">
      <c r="M645" s="37">
        <f>'03_原始数据'!C645-0.6*'03_原始数据'!B645-OtherCost</f>
        <v/>
      </c>
      <c r="N645" s="37">
        <f>'03_原始数据'!C645-0.605*'03_原始数据'!B645-OtherCost</f>
        <v/>
      </c>
      <c r="O645" s="37">
        <f>'03_原始数据'!C645-0.61*'03_原始数据'!B645-OtherCost</f>
        <v/>
      </c>
      <c r="P645" s="37">
        <f>'03_原始数据'!C645-0.615*'03_原始数据'!B645-OtherCost</f>
        <v/>
      </c>
      <c r="Q645" s="37">
        <f>'03_原始数据'!C645-0.62*'03_原始数据'!B645-OtherCost</f>
        <v/>
      </c>
      <c r="R645" s="37">
        <f>'03_原始数据'!C645-0.625*'03_原始数据'!B645-OtherCost</f>
        <v/>
      </c>
      <c r="S645" s="37">
        <f>'03_原始数据'!C645-0.63*'03_原始数据'!B645-OtherCost</f>
        <v/>
      </c>
      <c r="T645" s="37">
        <f>'03_原始数据'!C645-0.635*'03_原始数据'!B645-OtherCost</f>
        <v/>
      </c>
      <c r="U645" s="37">
        <f>'03_原始数据'!C645-0.64*'03_原始数据'!B645-OtherCost</f>
        <v/>
      </c>
      <c r="V645" s="37">
        <f>'03_原始数据'!C645-0.645*'03_原始数据'!B645-OtherCost</f>
        <v/>
      </c>
      <c r="W645" s="37">
        <f>'03_原始数据'!C645-0.65*'03_原始数据'!B645-OtherCost</f>
        <v/>
      </c>
      <c r="X645" s="37">
        <f>'03_原始数据'!C645-0.655*'03_原始数据'!B645-OtherCost</f>
        <v/>
      </c>
      <c r="Y645" s="37">
        <f>'03_原始数据'!C645-0.66*'03_原始数据'!B645-OtherCost</f>
        <v/>
      </c>
      <c r="Z645" s="37">
        <f>'03_原始数据'!C645-0.665*'03_原始数据'!B645-OtherCost</f>
        <v/>
      </c>
      <c r="AA645" s="37">
        <f>'03_原始数据'!C645-0.67*'03_原始数据'!B645-OtherCost</f>
        <v/>
      </c>
      <c r="AB645" s="37">
        <f>'03_原始数据'!C645-0.675*'03_原始数据'!B645-OtherCost</f>
        <v/>
      </c>
      <c r="AC645" s="37">
        <f>'03_原始数据'!C645-0.68*'03_原始数据'!B645-OtherCost</f>
        <v/>
      </c>
      <c r="AD645" s="37">
        <f>'03_原始数据'!C645-0.685*'03_原始数据'!B645-OtherCost</f>
        <v/>
      </c>
      <c r="AE645" s="37">
        <f>'03_原始数据'!C645-0.69*'03_原始数据'!B645-OtherCost</f>
        <v/>
      </c>
      <c r="AF645" s="37">
        <f>'03_原始数据'!C645-0.695*'03_原始数据'!B645-OtherCost</f>
        <v/>
      </c>
      <c r="AG645" s="37">
        <f>'03_原始数据'!C645-0.7*'03_原始数据'!B645-OtherCost</f>
        <v/>
      </c>
    </row>
    <row r="646">
      <c r="M646" s="37">
        <f>'03_原始数据'!C646-0.6*'03_原始数据'!B646-OtherCost</f>
        <v/>
      </c>
      <c r="N646" s="37">
        <f>'03_原始数据'!C646-0.605*'03_原始数据'!B646-OtherCost</f>
        <v/>
      </c>
      <c r="O646" s="37">
        <f>'03_原始数据'!C646-0.61*'03_原始数据'!B646-OtherCost</f>
        <v/>
      </c>
      <c r="P646" s="37">
        <f>'03_原始数据'!C646-0.615*'03_原始数据'!B646-OtherCost</f>
        <v/>
      </c>
      <c r="Q646" s="37">
        <f>'03_原始数据'!C646-0.62*'03_原始数据'!B646-OtherCost</f>
        <v/>
      </c>
      <c r="R646" s="37">
        <f>'03_原始数据'!C646-0.625*'03_原始数据'!B646-OtherCost</f>
        <v/>
      </c>
      <c r="S646" s="37">
        <f>'03_原始数据'!C646-0.63*'03_原始数据'!B646-OtherCost</f>
        <v/>
      </c>
      <c r="T646" s="37">
        <f>'03_原始数据'!C646-0.635*'03_原始数据'!B646-OtherCost</f>
        <v/>
      </c>
      <c r="U646" s="37">
        <f>'03_原始数据'!C646-0.64*'03_原始数据'!B646-OtherCost</f>
        <v/>
      </c>
      <c r="V646" s="37">
        <f>'03_原始数据'!C646-0.645*'03_原始数据'!B646-OtherCost</f>
        <v/>
      </c>
      <c r="W646" s="37">
        <f>'03_原始数据'!C646-0.65*'03_原始数据'!B646-OtherCost</f>
        <v/>
      </c>
      <c r="X646" s="37">
        <f>'03_原始数据'!C646-0.655*'03_原始数据'!B646-OtherCost</f>
        <v/>
      </c>
      <c r="Y646" s="37">
        <f>'03_原始数据'!C646-0.66*'03_原始数据'!B646-OtherCost</f>
        <v/>
      </c>
      <c r="Z646" s="37">
        <f>'03_原始数据'!C646-0.665*'03_原始数据'!B646-OtherCost</f>
        <v/>
      </c>
      <c r="AA646" s="37">
        <f>'03_原始数据'!C646-0.67*'03_原始数据'!B646-OtherCost</f>
        <v/>
      </c>
      <c r="AB646" s="37">
        <f>'03_原始数据'!C646-0.675*'03_原始数据'!B646-OtherCost</f>
        <v/>
      </c>
      <c r="AC646" s="37">
        <f>'03_原始数据'!C646-0.68*'03_原始数据'!B646-OtherCost</f>
        <v/>
      </c>
      <c r="AD646" s="37">
        <f>'03_原始数据'!C646-0.685*'03_原始数据'!B646-OtherCost</f>
        <v/>
      </c>
      <c r="AE646" s="37">
        <f>'03_原始数据'!C646-0.69*'03_原始数据'!B646-OtherCost</f>
        <v/>
      </c>
      <c r="AF646" s="37">
        <f>'03_原始数据'!C646-0.695*'03_原始数据'!B646-OtherCost</f>
        <v/>
      </c>
      <c r="AG646" s="37">
        <f>'03_原始数据'!C646-0.7*'03_原始数据'!B646-OtherCost</f>
        <v/>
      </c>
    </row>
    <row r="647">
      <c r="M647" s="37">
        <f>'03_原始数据'!C647-0.6*'03_原始数据'!B647-OtherCost</f>
        <v/>
      </c>
      <c r="N647" s="37">
        <f>'03_原始数据'!C647-0.605*'03_原始数据'!B647-OtherCost</f>
        <v/>
      </c>
      <c r="O647" s="37">
        <f>'03_原始数据'!C647-0.61*'03_原始数据'!B647-OtherCost</f>
        <v/>
      </c>
      <c r="P647" s="37">
        <f>'03_原始数据'!C647-0.615*'03_原始数据'!B647-OtherCost</f>
        <v/>
      </c>
      <c r="Q647" s="37">
        <f>'03_原始数据'!C647-0.62*'03_原始数据'!B647-OtherCost</f>
        <v/>
      </c>
      <c r="R647" s="37">
        <f>'03_原始数据'!C647-0.625*'03_原始数据'!B647-OtherCost</f>
        <v/>
      </c>
      <c r="S647" s="37">
        <f>'03_原始数据'!C647-0.63*'03_原始数据'!B647-OtherCost</f>
        <v/>
      </c>
      <c r="T647" s="37">
        <f>'03_原始数据'!C647-0.635*'03_原始数据'!B647-OtherCost</f>
        <v/>
      </c>
      <c r="U647" s="37">
        <f>'03_原始数据'!C647-0.64*'03_原始数据'!B647-OtherCost</f>
        <v/>
      </c>
      <c r="V647" s="37">
        <f>'03_原始数据'!C647-0.645*'03_原始数据'!B647-OtherCost</f>
        <v/>
      </c>
      <c r="W647" s="37">
        <f>'03_原始数据'!C647-0.65*'03_原始数据'!B647-OtherCost</f>
        <v/>
      </c>
      <c r="X647" s="37">
        <f>'03_原始数据'!C647-0.655*'03_原始数据'!B647-OtherCost</f>
        <v/>
      </c>
      <c r="Y647" s="37">
        <f>'03_原始数据'!C647-0.66*'03_原始数据'!B647-OtherCost</f>
        <v/>
      </c>
      <c r="Z647" s="37">
        <f>'03_原始数据'!C647-0.665*'03_原始数据'!B647-OtherCost</f>
        <v/>
      </c>
      <c r="AA647" s="37">
        <f>'03_原始数据'!C647-0.67*'03_原始数据'!B647-OtherCost</f>
        <v/>
      </c>
      <c r="AB647" s="37">
        <f>'03_原始数据'!C647-0.675*'03_原始数据'!B647-OtherCost</f>
        <v/>
      </c>
      <c r="AC647" s="37">
        <f>'03_原始数据'!C647-0.68*'03_原始数据'!B647-OtherCost</f>
        <v/>
      </c>
      <c r="AD647" s="37">
        <f>'03_原始数据'!C647-0.685*'03_原始数据'!B647-OtherCost</f>
        <v/>
      </c>
      <c r="AE647" s="37">
        <f>'03_原始数据'!C647-0.69*'03_原始数据'!B647-OtherCost</f>
        <v/>
      </c>
      <c r="AF647" s="37">
        <f>'03_原始数据'!C647-0.695*'03_原始数据'!B647-OtherCost</f>
        <v/>
      </c>
      <c r="AG647" s="37">
        <f>'03_原始数据'!C647-0.7*'03_原始数据'!B647-OtherCost</f>
        <v/>
      </c>
    </row>
    <row r="648">
      <c r="M648" s="37">
        <f>'03_原始数据'!C648-0.6*'03_原始数据'!B648-OtherCost</f>
        <v/>
      </c>
      <c r="N648" s="37">
        <f>'03_原始数据'!C648-0.605*'03_原始数据'!B648-OtherCost</f>
        <v/>
      </c>
      <c r="O648" s="37">
        <f>'03_原始数据'!C648-0.61*'03_原始数据'!B648-OtherCost</f>
        <v/>
      </c>
      <c r="P648" s="37">
        <f>'03_原始数据'!C648-0.615*'03_原始数据'!B648-OtherCost</f>
        <v/>
      </c>
      <c r="Q648" s="37">
        <f>'03_原始数据'!C648-0.62*'03_原始数据'!B648-OtherCost</f>
        <v/>
      </c>
      <c r="R648" s="37">
        <f>'03_原始数据'!C648-0.625*'03_原始数据'!B648-OtherCost</f>
        <v/>
      </c>
      <c r="S648" s="37">
        <f>'03_原始数据'!C648-0.63*'03_原始数据'!B648-OtherCost</f>
        <v/>
      </c>
      <c r="T648" s="37">
        <f>'03_原始数据'!C648-0.635*'03_原始数据'!B648-OtherCost</f>
        <v/>
      </c>
      <c r="U648" s="37">
        <f>'03_原始数据'!C648-0.64*'03_原始数据'!B648-OtherCost</f>
        <v/>
      </c>
      <c r="V648" s="37">
        <f>'03_原始数据'!C648-0.645*'03_原始数据'!B648-OtherCost</f>
        <v/>
      </c>
      <c r="W648" s="37">
        <f>'03_原始数据'!C648-0.65*'03_原始数据'!B648-OtherCost</f>
        <v/>
      </c>
      <c r="X648" s="37">
        <f>'03_原始数据'!C648-0.655*'03_原始数据'!B648-OtherCost</f>
        <v/>
      </c>
      <c r="Y648" s="37">
        <f>'03_原始数据'!C648-0.66*'03_原始数据'!B648-OtherCost</f>
        <v/>
      </c>
      <c r="Z648" s="37">
        <f>'03_原始数据'!C648-0.665*'03_原始数据'!B648-OtherCost</f>
        <v/>
      </c>
      <c r="AA648" s="37">
        <f>'03_原始数据'!C648-0.67*'03_原始数据'!B648-OtherCost</f>
        <v/>
      </c>
      <c r="AB648" s="37">
        <f>'03_原始数据'!C648-0.675*'03_原始数据'!B648-OtherCost</f>
        <v/>
      </c>
      <c r="AC648" s="37">
        <f>'03_原始数据'!C648-0.68*'03_原始数据'!B648-OtherCost</f>
        <v/>
      </c>
      <c r="AD648" s="37">
        <f>'03_原始数据'!C648-0.685*'03_原始数据'!B648-OtherCost</f>
        <v/>
      </c>
      <c r="AE648" s="37">
        <f>'03_原始数据'!C648-0.69*'03_原始数据'!B648-OtherCost</f>
        <v/>
      </c>
      <c r="AF648" s="37">
        <f>'03_原始数据'!C648-0.695*'03_原始数据'!B648-OtherCost</f>
        <v/>
      </c>
      <c r="AG648" s="37">
        <f>'03_原始数据'!C648-0.7*'03_原始数据'!B648-OtherCost</f>
        <v/>
      </c>
    </row>
    <row r="649">
      <c r="M649" s="37">
        <f>'03_原始数据'!C649-0.6*'03_原始数据'!B649-OtherCost</f>
        <v/>
      </c>
      <c r="N649" s="37">
        <f>'03_原始数据'!C649-0.605*'03_原始数据'!B649-OtherCost</f>
        <v/>
      </c>
      <c r="O649" s="37">
        <f>'03_原始数据'!C649-0.61*'03_原始数据'!B649-OtherCost</f>
        <v/>
      </c>
      <c r="P649" s="37">
        <f>'03_原始数据'!C649-0.615*'03_原始数据'!B649-OtherCost</f>
        <v/>
      </c>
      <c r="Q649" s="37">
        <f>'03_原始数据'!C649-0.62*'03_原始数据'!B649-OtherCost</f>
        <v/>
      </c>
      <c r="R649" s="37">
        <f>'03_原始数据'!C649-0.625*'03_原始数据'!B649-OtherCost</f>
        <v/>
      </c>
      <c r="S649" s="37">
        <f>'03_原始数据'!C649-0.63*'03_原始数据'!B649-OtherCost</f>
        <v/>
      </c>
      <c r="T649" s="37">
        <f>'03_原始数据'!C649-0.635*'03_原始数据'!B649-OtherCost</f>
        <v/>
      </c>
      <c r="U649" s="37">
        <f>'03_原始数据'!C649-0.64*'03_原始数据'!B649-OtherCost</f>
        <v/>
      </c>
      <c r="V649" s="37">
        <f>'03_原始数据'!C649-0.645*'03_原始数据'!B649-OtherCost</f>
        <v/>
      </c>
      <c r="W649" s="37">
        <f>'03_原始数据'!C649-0.65*'03_原始数据'!B649-OtherCost</f>
        <v/>
      </c>
      <c r="X649" s="37">
        <f>'03_原始数据'!C649-0.655*'03_原始数据'!B649-OtherCost</f>
        <v/>
      </c>
      <c r="Y649" s="37">
        <f>'03_原始数据'!C649-0.66*'03_原始数据'!B649-OtherCost</f>
        <v/>
      </c>
      <c r="Z649" s="37">
        <f>'03_原始数据'!C649-0.665*'03_原始数据'!B649-OtherCost</f>
        <v/>
      </c>
      <c r="AA649" s="37">
        <f>'03_原始数据'!C649-0.67*'03_原始数据'!B649-OtherCost</f>
        <v/>
      </c>
      <c r="AB649" s="37">
        <f>'03_原始数据'!C649-0.675*'03_原始数据'!B649-OtherCost</f>
        <v/>
      </c>
      <c r="AC649" s="37">
        <f>'03_原始数据'!C649-0.68*'03_原始数据'!B649-OtherCost</f>
        <v/>
      </c>
      <c r="AD649" s="37">
        <f>'03_原始数据'!C649-0.685*'03_原始数据'!B649-OtherCost</f>
        <v/>
      </c>
      <c r="AE649" s="37">
        <f>'03_原始数据'!C649-0.69*'03_原始数据'!B649-OtherCost</f>
        <v/>
      </c>
      <c r="AF649" s="37">
        <f>'03_原始数据'!C649-0.695*'03_原始数据'!B649-OtherCost</f>
        <v/>
      </c>
      <c r="AG649" s="37">
        <f>'03_原始数据'!C649-0.7*'03_原始数据'!B649-OtherCost</f>
        <v/>
      </c>
    </row>
    <row r="650">
      <c r="M650" s="37">
        <f>'03_原始数据'!C650-0.6*'03_原始数据'!B650-OtherCost</f>
        <v/>
      </c>
      <c r="N650" s="37">
        <f>'03_原始数据'!C650-0.605*'03_原始数据'!B650-OtherCost</f>
        <v/>
      </c>
      <c r="O650" s="37">
        <f>'03_原始数据'!C650-0.61*'03_原始数据'!B650-OtherCost</f>
        <v/>
      </c>
      <c r="P650" s="37">
        <f>'03_原始数据'!C650-0.615*'03_原始数据'!B650-OtherCost</f>
        <v/>
      </c>
      <c r="Q650" s="37">
        <f>'03_原始数据'!C650-0.62*'03_原始数据'!B650-OtherCost</f>
        <v/>
      </c>
      <c r="R650" s="37">
        <f>'03_原始数据'!C650-0.625*'03_原始数据'!B650-OtherCost</f>
        <v/>
      </c>
      <c r="S650" s="37">
        <f>'03_原始数据'!C650-0.63*'03_原始数据'!B650-OtherCost</f>
        <v/>
      </c>
      <c r="T650" s="37">
        <f>'03_原始数据'!C650-0.635*'03_原始数据'!B650-OtherCost</f>
        <v/>
      </c>
      <c r="U650" s="37">
        <f>'03_原始数据'!C650-0.64*'03_原始数据'!B650-OtherCost</f>
        <v/>
      </c>
      <c r="V650" s="37">
        <f>'03_原始数据'!C650-0.645*'03_原始数据'!B650-OtherCost</f>
        <v/>
      </c>
      <c r="W650" s="37">
        <f>'03_原始数据'!C650-0.65*'03_原始数据'!B650-OtherCost</f>
        <v/>
      </c>
      <c r="X650" s="37">
        <f>'03_原始数据'!C650-0.655*'03_原始数据'!B650-OtherCost</f>
        <v/>
      </c>
      <c r="Y650" s="37">
        <f>'03_原始数据'!C650-0.66*'03_原始数据'!B650-OtherCost</f>
        <v/>
      </c>
      <c r="Z650" s="37">
        <f>'03_原始数据'!C650-0.665*'03_原始数据'!B650-OtherCost</f>
        <v/>
      </c>
      <c r="AA650" s="37">
        <f>'03_原始数据'!C650-0.67*'03_原始数据'!B650-OtherCost</f>
        <v/>
      </c>
      <c r="AB650" s="37">
        <f>'03_原始数据'!C650-0.675*'03_原始数据'!B650-OtherCost</f>
        <v/>
      </c>
      <c r="AC650" s="37">
        <f>'03_原始数据'!C650-0.68*'03_原始数据'!B650-OtherCost</f>
        <v/>
      </c>
      <c r="AD650" s="37">
        <f>'03_原始数据'!C650-0.685*'03_原始数据'!B650-OtherCost</f>
        <v/>
      </c>
      <c r="AE650" s="37">
        <f>'03_原始数据'!C650-0.69*'03_原始数据'!B650-OtherCost</f>
        <v/>
      </c>
      <c r="AF650" s="37">
        <f>'03_原始数据'!C650-0.695*'03_原始数据'!B650-OtherCost</f>
        <v/>
      </c>
      <c r="AG650" s="37">
        <f>'03_原始数据'!C650-0.7*'03_原始数据'!B650-OtherCost</f>
        <v/>
      </c>
    </row>
    <row r="651">
      <c r="M651" s="37">
        <f>'03_原始数据'!C651-0.6*'03_原始数据'!B651-OtherCost</f>
        <v/>
      </c>
      <c r="N651" s="37">
        <f>'03_原始数据'!C651-0.605*'03_原始数据'!B651-OtherCost</f>
        <v/>
      </c>
      <c r="O651" s="37">
        <f>'03_原始数据'!C651-0.61*'03_原始数据'!B651-OtherCost</f>
        <v/>
      </c>
      <c r="P651" s="37">
        <f>'03_原始数据'!C651-0.615*'03_原始数据'!B651-OtherCost</f>
        <v/>
      </c>
      <c r="Q651" s="37">
        <f>'03_原始数据'!C651-0.62*'03_原始数据'!B651-OtherCost</f>
        <v/>
      </c>
      <c r="R651" s="37">
        <f>'03_原始数据'!C651-0.625*'03_原始数据'!B651-OtherCost</f>
        <v/>
      </c>
      <c r="S651" s="37">
        <f>'03_原始数据'!C651-0.63*'03_原始数据'!B651-OtherCost</f>
        <v/>
      </c>
      <c r="T651" s="37">
        <f>'03_原始数据'!C651-0.635*'03_原始数据'!B651-OtherCost</f>
        <v/>
      </c>
      <c r="U651" s="37">
        <f>'03_原始数据'!C651-0.64*'03_原始数据'!B651-OtherCost</f>
        <v/>
      </c>
      <c r="V651" s="37">
        <f>'03_原始数据'!C651-0.645*'03_原始数据'!B651-OtherCost</f>
        <v/>
      </c>
      <c r="W651" s="37">
        <f>'03_原始数据'!C651-0.65*'03_原始数据'!B651-OtherCost</f>
        <v/>
      </c>
      <c r="X651" s="37">
        <f>'03_原始数据'!C651-0.655*'03_原始数据'!B651-OtherCost</f>
        <v/>
      </c>
      <c r="Y651" s="37">
        <f>'03_原始数据'!C651-0.66*'03_原始数据'!B651-OtherCost</f>
        <v/>
      </c>
      <c r="Z651" s="37">
        <f>'03_原始数据'!C651-0.665*'03_原始数据'!B651-OtherCost</f>
        <v/>
      </c>
      <c r="AA651" s="37">
        <f>'03_原始数据'!C651-0.67*'03_原始数据'!B651-OtherCost</f>
        <v/>
      </c>
      <c r="AB651" s="37">
        <f>'03_原始数据'!C651-0.675*'03_原始数据'!B651-OtherCost</f>
        <v/>
      </c>
      <c r="AC651" s="37">
        <f>'03_原始数据'!C651-0.68*'03_原始数据'!B651-OtherCost</f>
        <v/>
      </c>
      <c r="AD651" s="37">
        <f>'03_原始数据'!C651-0.685*'03_原始数据'!B651-OtherCost</f>
        <v/>
      </c>
      <c r="AE651" s="37">
        <f>'03_原始数据'!C651-0.69*'03_原始数据'!B651-OtherCost</f>
        <v/>
      </c>
      <c r="AF651" s="37">
        <f>'03_原始数据'!C651-0.695*'03_原始数据'!B651-OtherCost</f>
        <v/>
      </c>
      <c r="AG651" s="37">
        <f>'03_原始数据'!C651-0.7*'03_原始数据'!B651-OtherCost</f>
        <v/>
      </c>
    </row>
    <row r="652">
      <c r="M652" s="37">
        <f>'03_原始数据'!C652-0.6*'03_原始数据'!B652-OtherCost</f>
        <v/>
      </c>
      <c r="N652" s="37">
        <f>'03_原始数据'!C652-0.605*'03_原始数据'!B652-OtherCost</f>
        <v/>
      </c>
      <c r="O652" s="37">
        <f>'03_原始数据'!C652-0.61*'03_原始数据'!B652-OtherCost</f>
        <v/>
      </c>
      <c r="P652" s="37">
        <f>'03_原始数据'!C652-0.615*'03_原始数据'!B652-OtherCost</f>
        <v/>
      </c>
      <c r="Q652" s="37">
        <f>'03_原始数据'!C652-0.62*'03_原始数据'!B652-OtherCost</f>
        <v/>
      </c>
      <c r="R652" s="37">
        <f>'03_原始数据'!C652-0.625*'03_原始数据'!B652-OtherCost</f>
        <v/>
      </c>
      <c r="S652" s="37">
        <f>'03_原始数据'!C652-0.63*'03_原始数据'!B652-OtherCost</f>
        <v/>
      </c>
      <c r="T652" s="37">
        <f>'03_原始数据'!C652-0.635*'03_原始数据'!B652-OtherCost</f>
        <v/>
      </c>
      <c r="U652" s="37">
        <f>'03_原始数据'!C652-0.64*'03_原始数据'!B652-OtherCost</f>
        <v/>
      </c>
      <c r="V652" s="37">
        <f>'03_原始数据'!C652-0.645*'03_原始数据'!B652-OtherCost</f>
        <v/>
      </c>
      <c r="W652" s="37">
        <f>'03_原始数据'!C652-0.65*'03_原始数据'!B652-OtherCost</f>
        <v/>
      </c>
      <c r="X652" s="37">
        <f>'03_原始数据'!C652-0.655*'03_原始数据'!B652-OtherCost</f>
        <v/>
      </c>
      <c r="Y652" s="37">
        <f>'03_原始数据'!C652-0.66*'03_原始数据'!B652-OtherCost</f>
        <v/>
      </c>
      <c r="Z652" s="37">
        <f>'03_原始数据'!C652-0.665*'03_原始数据'!B652-OtherCost</f>
        <v/>
      </c>
      <c r="AA652" s="37">
        <f>'03_原始数据'!C652-0.67*'03_原始数据'!B652-OtherCost</f>
        <v/>
      </c>
      <c r="AB652" s="37">
        <f>'03_原始数据'!C652-0.675*'03_原始数据'!B652-OtherCost</f>
        <v/>
      </c>
      <c r="AC652" s="37">
        <f>'03_原始数据'!C652-0.68*'03_原始数据'!B652-OtherCost</f>
        <v/>
      </c>
      <c r="AD652" s="37">
        <f>'03_原始数据'!C652-0.685*'03_原始数据'!B652-OtherCost</f>
        <v/>
      </c>
      <c r="AE652" s="37">
        <f>'03_原始数据'!C652-0.69*'03_原始数据'!B652-OtherCost</f>
        <v/>
      </c>
      <c r="AF652" s="37">
        <f>'03_原始数据'!C652-0.695*'03_原始数据'!B652-OtherCost</f>
        <v/>
      </c>
      <c r="AG652" s="37">
        <f>'03_原始数据'!C652-0.7*'03_原始数据'!B652-OtherCost</f>
        <v/>
      </c>
    </row>
    <row r="653">
      <c r="M653" s="37">
        <f>'03_原始数据'!C653-0.6*'03_原始数据'!B653-OtherCost</f>
        <v/>
      </c>
      <c r="N653" s="37">
        <f>'03_原始数据'!C653-0.605*'03_原始数据'!B653-OtherCost</f>
        <v/>
      </c>
      <c r="O653" s="37">
        <f>'03_原始数据'!C653-0.61*'03_原始数据'!B653-OtherCost</f>
        <v/>
      </c>
      <c r="P653" s="37">
        <f>'03_原始数据'!C653-0.615*'03_原始数据'!B653-OtherCost</f>
        <v/>
      </c>
      <c r="Q653" s="37">
        <f>'03_原始数据'!C653-0.62*'03_原始数据'!B653-OtherCost</f>
        <v/>
      </c>
      <c r="R653" s="37">
        <f>'03_原始数据'!C653-0.625*'03_原始数据'!B653-OtherCost</f>
        <v/>
      </c>
      <c r="S653" s="37">
        <f>'03_原始数据'!C653-0.63*'03_原始数据'!B653-OtherCost</f>
        <v/>
      </c>
      <c r="T653" s="37">
        <f>'03_原始数据'!C653-0.635*'03_原始数据'!B653-OtherCost</f>
        <v/>
      </c>
      <c r="U653" s="37">
        <f>'03_原始数据'!C653-0.64*'03_原始数据'!B653-OtherCost</f>
        <v/>
      </c>
      <c r="V653" s="37">
        <f>'03_原始数据'!C653-0.645*'03_原始数据'!B653-OtherCost</f>
        <v/>
      </c>
      <c r="W653" s="37">
        <f>'03_原始数据'!C653-0.65*'03_原始数据'!B653-OtherCost</f>
        <v/>
      </c>
      <c r="X653" s="37">
        <f>'03_原始数据'!C653-0.655*'03_原始数据'!B653-OtherCost</f>
        <v/>
      </c>
      <c r="Y653" s="37">
        <f>'03_原始数据'!C653-0.66*'03_原始数据'!B653-OtherCost</f>
        <v/>
      </c>
      <c r="Z653" s="37">
        <f>'03_原始数据'!C653-0.665*'03_原始数据'!B653-OtherCost</f>
        <v/>
      </c>
      <c r="AA653" s="37">
        <f>'03_原始数据'!C653-0.67*'03_原始数据'!B653-OtherCost</f>
        <v/>
      </c>
      <c r="AB653" s="37">
        <f>'03_原始数据'!C653-0.675*'03_原始数据'!B653-OtherCost</f>
        <v/>
      </c>
      <c r="AC653" s="37">
        <f>'03_原始数据'!C653-0.68*'03_原始数据'!B653-OtherCost</f>
        <v/>
      </c>
      <c r="AD653" s="37">
        <f>'03_原始数据'!C653-0.685*'03_原始数据'!B653-OtherCost</f>
        <v/>
      </c>
      <c r="AE653" s="37">
        <f>'03_原始数据'!C653-0.69*'03_原始数据'!B653-OtherCost</f>
        <v/>
      </c>
      <c r="AF653" s="37">
        <f>'03_原始数据'!C653-0.695*'03_原始数据'!B653-OtherCost</f>
        <v/>
      </c>
      <c r="AG653" s="37">
        <f>'03_原始数据'!C653-0.7*'03_原始数据'!B653-OtherCost</f>
        <v/>
      </c>
    </row>
    <row r="654">
      <c r="M654" s="37">
        <f>'03_原始数据'!C654-0.6*'03_原始数据'!B654-OtherCost</f>
        <v/>
      </c>
      <c r="N654" s="37">
        <f>'03_原始数据'!C654-0.605*'03_原始数据'!B654-OtherCost</f>
        <v/>
      </c>
      <c r="O654" s="37">
        <f>'03_原始数据'!C654-0.61*'03_原始数据'!B654-OtherCost</f>
        <v/>
      </c>
      <c r="P654" s="37">
        <f>'03_原始数据'!C654-0.615*'03_原始数据'!B654-OtherCost</f>
        <v/>
      </c>
      <c r="Q654" s="37">
        <f>'03_原始数据'!C654-0.62*'03_原始数据'!B654-OtherCost</f>
        <v/>
      </c>
      <c r="R654" s="37">
        <f>'03_原始数据'!C654-0.625*'03_原始数据'!B654-OtherCost</f>
        <v/>
      </c>
      <c r="S654" s="37">
        <f>'03_原始数据'!C654-0.63*'03_原始数据'!B654-OtherCost</f>
        <v/>
      </c>
      <c r="T654" s="37">
        <f>'03_原始数据'!C654-0.635*'03_原始数据'!B654-OtherCost</f>
        <v/>
      </c>
      <c r="U654" s="37">
        <f>'03_原始数据'!C654-0.64*'03_原始数据'!B654-OtherCost</f>
        <v/>
      </c>
      <c r="V654" s="37">
        <f>'03_原始数据'!C654-0.645*'03_原始数据'!B654-OtherCost</f>
        <v/>
      </c>
      <c r="W654" s="37">
        <f>'03_原始数据'!C654-0.65*'03_原始数据'!B654-OtherCost</f>
        <v/>
      </c>
      <c r="X654" s="37">
        <f>'03_原始数据'!C654-0.655*'03_原始数据'!B654-OtherCost</f>
        <v/>
      </c>
      <c r="Y654" s="37">
        <f>'03_原始数据'!C654-0.66*'03_原始数据'!B654-OtherCost</f>
        <v/>
      </c>
      <c r="Z654" s="37">
        <f>'03_原始数据'!C654-0.665*'03_原始数据'!B654-OtherCost</f>
        <v/>
      </c>
      <c r="AA654" s="37">
        <f>'03_原始数据'!C654-0.67*'03_原始数据'!B654-OtherCost</f>
        <v/>
      </c>
      <c r="AB654" s="37">
        <f>'03_原始数据'!C654-0.675*'03_原始数据'!B654-OtherCost</f>
        <v/>
      </c>
      <c r="AC654" s="37">
        <f>'03_原始数据'!C654-0.68*'03_原始数据'!B654-OtherCost</f>
        <v/>
      </c>
      <c r="AD654" s="37">
        <f>'03_原始数据'!C654-0.685*'03_原始数据'!B654-OtherCost</f>
        <v/>
      </c>
      <c r="AE654" s="37">
        <f>'03_原始数据'!C654-0.69*'03_原始数据'!B654-OtherCost</f>
        <v/>
      </c>
      <c r="AF654" s="37">
        <f>'03_原始数据'!C654-0.695*'03_原始数据'!B654-OtherCost</f>
        <v/>
      </c>
      <c r="AG654" s="37">
        <f>'03_原始数据'!C654-0.7*'03_原始数据'!B654-OtherCost</f>
        <v/>
      </c>
    </row>
    <row r="655">
      <c r="M655" s="37">
        <f>'03_原始数据'!C655-0.6*'03_原始数据'!B655-OtherCost</f>
        <v/>
      </c>
      <c r="N655" s="37">
        <f>'03_原始数据'!C655-0.605*'03_原始数据'!B655-OtherCost</f>
        <v/>
      </c>
      <c r="O655" s="37">
        <f>'03_原始数据'!C655-0.61*'03_原始数据'!B655-OtherCost</f>
        <v/>
      </c>
      <c r="P655" s="37">
        <f>'03_原始数据'!C655-0.615*'03_原始数据'!B655-OtherCost</f>
        <v/>
      </c>
      <c r="Q655" s="37">
        <f>'03_原始数据'!C655-0.62*'03_原始数据'!B655-OtherCost</f>
        <v/>
      </c>
      <c r="R655" s="37">
        <f>'03_原始数据'!C655-0.625*'03_原始数据'!B655-OtherCost</f>
        <v/>
      </c>
      <c r="S655" s="37">
        <f>'03_原始数据'!C655-0.63*'03_原始数据'!B655-OtherCost</f>
        <v/>
      </c>
      <c r="T655" s="37">
        <f>'03_原始数据'!C655-0.635*'03_原始数据'!B655-OtherCost</f>
        <v/>
      </c>
      <c r="U655" s="37">
        <f>'03_原始数据'!C655-0.64*'03_原始数据'!B655-OtherCost</f>
        <v/>
      </c>
      <c r="V655" s="37">
        <f>'03_原始数据'!C655-0.645*'03_原始数据'!B655-OtherCost</f>
        <v/>
      </c>
      <c r="W655" s="37">
        <f>'03_原始数据'!C655-0.65*'03_原始数据'!B655-OtherCost</f>
        <v/>
      </c>
      <c r="X655" s="37">
        <f>'03_原始数据'!C655-0.655*'03_原始数据'!B655-OtherCost</f>
        <v/>
      </c>
      <c r="Y655" s="37">
        <f>'03_原始数据'!C655-0.66*'03_原始数据'!B655-OtherCost</f>
        <v/>
      </c>
      <c r="Z655" s="37">
        <f>'03_原始数据'!C655-0.665*'03_原始数据'!B655-OtherCost</f>
        <v/>
      </c>
      <c r="AA655" s="37">
        <f>'03_原始数据'!C655-0.67*'03_原始数据'!B655-OtherCost</f>
        <v/>
      </c>
      <c r="AB655" s="37">
        <f>'03_原始数据'!C655-0.675*'03_原始数据'!B655-OtherCost</f>
        <v/>
      </c>
      <c r="AC655" s="37">
        <f>'03_原始数据'!C655-0.68*'03_原始数据'!B655-OtherCost</f>
        <v/>
      </c>
      <c r="AD655" s="37">
        <f>'03_原始数据'!C655-0.685*'03_原始数据'!B655-OtherCost</f>
        <v/>
      </c>
      <c r="AE655" s="37">
        <f>'03_原始数据'!C655-0.69*'03_原始数据'!B655-OtherCost</f>
        <v/>
      </c>
      <c r="AF655" s="37">
        <f>'03_原始数据'!C655-0.695*'03_原始数据'!B655-OtherCost</f>
        <v/>
      </c>
      <c r="AG655" s="37">
        <f>'03_原始数据'!C655-0.7*'03_原始数据'!B655-OtherCost</f>
        <v/>
      </c>
    </row>
    <row r="656">
      <c r="M656" s="37">
        <f>'03_原始数据'!C656-0.6*'03_原始数据'!B656-OtherCost</f>
        <v/>
      </c>
      <c r="N656" s="37">
        <f>'03_原始数据'!C656-0.605*'03_原始数据'!B656-OtherCost</f>
        <v/>
      </c>
      <c r="O656" s="37">
        <f>'03_原始数据'!C656-0.61*'03_原始数据'!B656-OtherCost</f>
        <v/>
      </c>
      <c r="P656" s="37">
        <f>'03_原始数据'!C656-0.615*'03_原始数据'!B656-OtherCost</f>
        <v/>
      </c>
      <c r="Q656" s="37">
        <f>'03_原始数据'!C656-0.62*'03_原始数据'!B656-OtherCost</f>
        <v/>
      </c>
      <c r="R656" s="37">
        <f>'03_原始数据'!C656-0.625*'03_原始数据'!B656-OtherCost</f>
        <v/>
      </c>
      <c r="S656" s="37">
        <f>'03_原始数据'!C656-0.63*'03_原始数据'!B656-OtherCost</f>
        <v/>
      </c>
      <c r="T656" s="37">
        <f>'03_原始数据'!C656-0.635*'03_原始数据'!B656-OtherCost</f>
        <v/>
      </c>
      <c r="U656" s="37">
        <f>'03_原始数据'!C656-0.64*'03_原始数据'!B656-OtherCost</f>
        <v/>
      </c>
      <c r="V656" s="37">
        <f>'03_原始数据'!C656-0.645*'03_原始数据'!B656-OtherCost</f>
        <v/>
      </c>
      <c r="W656" s="37">
        <f>'03_原始数据'!C656-0.65*'03_原始数据'!B656-OtherCost</f>
        <v/>
      </c>
      <c r="X656" s="37">
        <f>'03_原始数据'!C656-0.655*'03_原始数据'!B656-OtherCost</f>
        <v/>
      </c>
      <c r="Y656" s="37">
        <f>'03_原始数据'!C656-0.66*'03_原始数据'!B656-OtherCost</f>
        <v/>
      </c>
      <c r="Z656" s="37">
        <f>'03_原始数据'!C656-0.665*'03_原始数据'!B656-OtherCost</f>
        <v/>
      </c>
      <c r="AA656" s="37">
        <f>'03_原始数据'!C656-0.67*'03_原始数据'!B656-OtherCost</f>
        <v/>
      </c>
      <c r="AB656" s="37">
        <f>'03_原始数据'!C656-0.675*'03_原始数据'!B656-OtherCost</f>
        <v/>
      </c>
      <c r="AC656" s="37">
        <f>'03_原始数据'!C656-0.68*'03_原始数据'!B656-OtherCost</f>
        <v/>
      </c>
      <c r="AD656" s="37">
        <f>'03_原始数据'!C656-0.685*'03_原始数据'!B656-OtherCost</f>
        <v/>
      </c>
      <c r="AE656" s="37">
        <f>'03_原始数据'!C656-0.69*'03_原始数据'!B656-OtherCost</f>
        <v/>
      </c>
      <c r="AF656" s="37">
        <f>'03_原始数据'!C656-0.695*'03_原始数据'!B656-OtherCost</f>
        <v/>
      </c>
      <c r="AG656" s="37">
        <f>'03_原始数据'!C656-0.7*'03_原始数据'!B656-OtherCost</f>
        <v/>
      </c>
    </row>
    <row r="657">
      <c r="M657" s="37">
        <f>'03_原始数据'!C657-0.6*'03_原始数据'!B657-OtherCost</f>
        <v/>
      </c>
      <c r="N657" s="37">
        <f>'03_原始数据'!C657-0.605*'03_原始数据'!B657-OtherCost</f>
        <v/>
      </c>
      <c r="O657" s="37">
        <f>'03_原始数据'!C657-0.61*'03_原始数据'!B657-OtherCost</f>
        <v/>
      </c>
      <c r="P657" s="37">
        <f>'03_原始数据'!C657-0.615*'03_原始数据'!B657-OtherCost</f>
        <v/>
      </c>
      <c r="Q657" s="37">
        <f>'03_原始数据'!C657-0.62*'03_原始数据'!B657-OtherCost</f>
        <v/>
      </c>
      <c r="R657" s="37">
        <f>'03_原始数据'!C657-0.625*'03_原始数据'!B657-OtherCost</f>
        <v/>
      </c>
      <c r="S657" s="37">
        <f>'03_原始数据'!C657-0.63*'03_原始数据'!B657-OtherCost</f>
        <v/>
      </c>
      <c r="T657" s="37">
        <f>'03_原始数据'!C657-0.635*'03_原始数据'!B657-OtherCost</f>
        <v/>
      </c>
      <c r="U657" s="37">
        <f>'03_原始数据'!C657-0.64*'03_原始数据'!B657-OtherCost</f>
        <v/>
      </c>
      <c r="V657" s="37">
        <f>'03_原始数据'!C657-0.645*'03_原始数据'!B657-OtherCost</f>
        <v/>
      </c>
      <c r="W657" s="37">
        <f>'03_原始数据'!C657-0.65*'03_原始数据'!B657-OtherCost</f>
        <v/>
      </c>
      <c r="X657" s="37">
        <f>'03_原始数据'!C657-0.655*'03_原始数据'!B657-OtherCost</f>
        <v/>
      </c>
      <c r="Y657" s="37">
        <f>'03_原始数据'!C657-0.66*'03_原始数据'!B657-OtherCost</f>
        <v/>
      </c>
      <c r="Z657" s="37">
        <f>'03_原始数据'!C657-0.665*'03_原始数据'!B657-OtherCost</f>
        <v/>
      </c>
      <c r="AA657" s="37">
        <f>'03_原始数据'!C657-0.67*'03_原始数据'!B657-OtherCost</f>
        <v/>
      </c>
      <c r="AB657" s="37">
        <f>'03_原始数据'!C657-0.675*'03_原始数据'!B657-OtherCost</f>
        <v/>
      </c>
      <c r="AC657" s="37">
        <f>'03_原始数据'!C657-0.68*'03_原始数据'!B657-OtherCost</f>
        <v/>
      </c>
      <c r="AD657" s="37">
        <f>'03_原始数据'!C657-0.685*'03_原始数据'!B657-OtherCost</f>
        <v/>
      </c>
      <c r="AE657" s="37">
        <f>'03_原始数据'!C657-0.69*'03_原始数据'!B657-OtherCost</f>
        <v/>
      </c>
      <c r="AF657" s="37">
        <f>'03_原始数据'!C657-0.695*'03_原始数据'!B657-OtherCost</f>
        <v/>
      </c>
      <c r="AG657" s="37">
        <f>'03_原始数据'!C657-0.7*'03_原始数据'!B657-OtherCost</f>
        <v/>
      </c>
    </row>
    <row r="658">
      <c r="M658" s="37">
        <f>'03_原始数据'!C658-0.6*'03_原始数据'!B658-OtherCost</f>
        <v/>
      </c>
      <c r="N658" s="37">
        <f>'03_原始数据'!C658-0.605*'03_原始数据'!B658-OtherCost</f>
        <v/>
      </c>
      <c r="O658" s="37">
        <f>'03_原始数据'!C658-0.61*'03_原始数据'!B658-OtherCost</f>
        <v/>
      </c>
      <c r="P658" s="37">
        <f>'03_原始数据'!C658-0.615*'03_原始数据'!B658-OtherCost</f>
        <v/>
      </c>
      <c r="Q658" s="37">
        <f>'03_原始数据'!C658-0.62*'03_原始数据'!B658-OtherCost</f>
        <v/>
      </c>
      <c r="R658" s="37">
        <f>'03_原始数据'!C658-0.625*'03_原始数据'!B658-OtherCost</f>
        <v/>
      </c>
      <c r="S658" s="37">
        <f>'03_原始数据'!C658-0.63*'03_原始数据'!B658-OtherCost</f>
        <v/>
      </c>
      <c r="T658" s="37">
        <f>'03_原始数据'!C658-0.635*'03_原始数据'!B658-OtherCost</f>
        <v/>
      </c>
      <c r="U658" s="37">
        <f>'03_原始数据'!C658-0.64*'03_原始数据'!B658-OtherCost</f>
        <v/>
      </c>
      <c r="V658" s="37">
        <f>'03_原始数据'!C658-0.645*'03_原始数据'!B658-OtherCost</f>
        <v/>
      </c>
      <c r="W658" s="37">
        <f>'03_原始数据'!C658-0.65*'03_原始数据'!B658-OtherCost</f>
        <v/>
      </c>
      <c r="X658" s="37">
        <f>'03_原始数据'!C658-0.655*'03_原始数据'!B658-OtherCost</f>
        <v/>
      </c>
      <c r="Y658" s="37">
        <f>'03_原始数据'!C658-0.66*'03_原始数据'!B658-OtherCost</f>
        <v/>
      </c>
      <c r="Z658" s="37">
        <f>'03_原始数据'!C658-0.665*'03_原始数据'!B658-OtherCost</f>
        <v/>
      </c>
      <c r="AA658" s="37">
        <f>'03_原始数据'!C658-0.67*'03_原始数据'!B658-OtherCost</f>
        <v/>
      </c>
      <c r="AB658" s="37">
        <f>'03_原始数据'!C658-0.675*'03_原始数据'!B658-OtherCost</f>
        <v/>
      </c>
      <c r="AC658" s="37">
        <f>'03_原始数据'!C658-0.68*'03_原始数据'!B658-OtherCost</f>
        <v/>
      </c>
      <c r="AD658" s="37">
        <f>'03_原始数据'!C658-0.685*'03_原始数据'!B658-OtherCost</f>
        <v/>
      </c>
      <c r="AE658" s="37">
        <f>'03_原始数据'!C658-0.69*'03_原始数据'!B658-OtherCost</f>
        <v/>
      </c>
      <c r="AF658" s="37">
        <f>'03_原始数据'!C658-0.695*'03_原始数据'!B658-OtherCost</f>
        <v/>
      </c>
      <c r="AG658" s="37">
        <f>'03_原始数据'!C658-0.7*'03_原始数据'!B658-OtherCost</f>
        <v/>
      </c>
    </row>
    <row r="659">
      <c r="M659" s="37">
        <f>'03_原始数据'!C659-0.6*'03_原始数据'!B659-OtherCost</f>
        <v/>
      </c>
      <c r="N659" s="37">
        <f>'03_原始数据'!C659-0.605*'03_原始数据'!B659-OtherCost</f>
        <v/>
      </c>
      <c r="O659" s="37">
        <f>'03_原始数据'!C659-0.61*'03_原始数据'!B659-OtherCost</f>
        <v/>
      </c>
      <c r="P659" s="37">
        <f>'03_原始数据'!C659-0.615*'03_原始数据'!B659-OtherCost</f>
        <v/>
      </c>
      <c r="Q659" s="37">
        <f>'03_原始数据'!C659-0.62*'03_原始数据'!B659-OtherCost</f>
        <v/>
      </c>
      <c r="R659" s="37">
        <f>'03_原始数据'!C659-0.625*'03_原始数据'!B659-OtherCost</f>
        <v/>
      </c>
      <c r="S659" s="37">
        <f>'03_原始数据'!C659-0.63*'03_原始数据'!B659-OtherCost</f>
        <v/>
      </c>
      <c r="T659" s="37">
        <f>'03_原始数据'!C659-0.635*'03_原始数据'!B659-OtherCost</f>
        <v/>
      </c>
      <c r="U659" s="37">
        <f>'03_原始数据'!C659-0.64*'03_原始数据'!B659-OtherCost</f>
        <v/>
      </c>
      <c r="V659" s="37">
        <f>'03_原始数据'!C659-0.645*'03_原始数据'!B659-OtherCost</f>
        <v/>
      </c>
      <c r="W659" s="37">
        <f>'03_原始数据'!C659-0.65*'03_原始数据'!B659-OtherCost</f>
        <v/>
      </c>
      <c r="X659" s="37">
        <f>'03_原始数据'!C659-0.655*'03_原始数据'!B659-OtherCost</f>
        <v/>
      </c>
      <c r="Y659" s="37">
        <f>'03_原始数据'!C659-0.66*'03_原始数据'!B659-OtherCost</f>
        <v/>
      </c>
      <c r="Z659" s="37">
        <f>'03_原始数据'!C659-0.665*'03_原始数据'!B659-OtherCost</f>
        <v/>
      </c>
      <c r="AA659" s="37">
        <f>'03_原始数据'!C659-0.67*'03_原始数据'!B659-OtherCost</f>
        <v/>
      </c>
      <c r="AB659" s="37">
        <f>'03_原始数据'!C659-0.675*'03_原始数据'!B659-OtherCost</f>
        <v/>
      </c>
      <c r="AC659" s="37">
        <f>'03_原始数据'!C659-0.68*'03_原始数据'!B659-OtherCost</f>
        <v/>
      </c>
      <c r="AD659" s="37">
        <f>'03_原始数据'!C659-0.685*'03_原始数据'!B659-OtherCost</f>
        <v/>
      </c>
      <c r="AE659" s="37">
        <f>'03_原始数据'!C659-0.69*'03_原始数据'!B659-OtherCost</f>
        <v/>
      </c>
      <c r="AF659" s="37">
        <f>'03_原始数据'!C659-0.695*'03_原始数据'!B659-OtherCost</f>
        <v/>
      </c>
      <c r="AG659" s="37">
        <f>'03_原始数据'!C659-0.7*'03_原始数据'!B659-OtherCost</f>
        <v/>
      </c>
    </row>
    <row r="660">
      <c r="M660" s="37">
        <f>'03_原始数据'!C660-0.6*'03_原始数据'!B660-OtherCost</f>
        <v/>
      </c>
      <c r="N660" s="37">
        <f>'03_原始数据'!C660-0.605*'03_原始数据'!B660-OtherCost</f>
        <v/>
      </c>
      <c r="O660" s="37">
        <f>'03_原始数据'!C660-0.61*'03_原始数据'!B660-OtherCost</f>
        <v/>
      </c>
      <c r="P660" s="37">
        <f>'03_原始数据'!C660-0.615*'03_原始数据'!B660-OtherCost</f>
        <v/>
      </c>
      <c r="Q660" s="37">
        <f>'03_原始数据'!C660-0.62*'03_原始数据'!B660-OtherCost</f>
        <v/>
      </c>
      <c r="R660" s="37">
        <f>'03_原始数据'!C660-0.625*'03_原始数据'!B660-OtherCost</f>
        <v/>
      </c>
      <c r="S660" s="37">
        <f>'03_原始数据'!C660-0.63*'03_原始数据'!B660-OtherCost</f>
        <v/>
      </c>
      <c r="T660" s="37">
        <f>'03_原始数据'!C660-0.635*'03_原始数据'!B660-OtherCost</f>
        <v/>
      </c>
      <c r="U660" s="37">
        <f>'03_原始数据'!C660-0.64*'03_原始数据'!B660-OtherCost</f>
        <v/>
      </c>
      <c r="V660" s="37">
        <f>'03_原始数据'!C660-0.645*'03_原始数据'!B660-OtherCost</f>
        <v/>
      </c>
      <c r="W660" s="37">
        <f>'03_原始数据'!C660-0.65*'03_原始数据'!B660-OtherCost</f>
        <v/>
      </c>
      <c r="X660" s="37">
        <f>'03_原始数据'!C660-0.655*'03_原始数据'!B660-OtherCost</f>
        <v/>
      </c>
      <c r="Y660" s="37">
        <f>'03_原始数据'!C660-0.66*'03_原始数据'!B660-OtherCost</f>
        <v/>
      </c>
      <c r="Z660" s="37">
        <f>'03_原始数据'!C660-0.665*'03_原始数据'!B660-OtherCost</f>
        <v/>
      </c>
      <c r="AA660" s="37">
        <f>'03_原始数据'!C660-0.67*'03_原始数据'!B660-OtherCost</f>
        <v/>
      </c>
      <c r="AB660" s="37">
        <f>'03_原始数据'!C660-0.675*'03_原始数据'!B660-OtherCost</f>
        <v/>
      </c>
      <c r="AC660" s="37">
        <f>'03_原始数据'!C660-0.68*'03_原始数据'!B660-OtherCost</f>
        <v/>
      </c>
      <c r="AD660" s="37">
        <f>'03_原始数据'!C660-0.685*'03_原始数据'!B660-OtherCost</f>
        <v/>
      </c>
      <c r="AE660" s="37">
        <f>'03_原始数据'!C660-0.69*'03_原始数据'!B660-OtherCost</f>
        <v/>
      </c>
      <c r="AF660" s="37">
        <f>'03_原始数据'!C660-0.695*'03_原始数据'!B660-OtherCost</f>
        <v/>
      </c>
      <c r="AG660" s="37">
        <f>'03_原始数据'!C660-0.7*'03_原始数据'!B660-OtherCost</f>
        <v/>
      </c>
    </row>
    <row r="661">
      <c r="M661" s="37">
        <f>'03_原始数据'!C661-0.6*'03_原始数据'!B661-OtherCost</f>
        <v/>
      </c>
      <c r="N661" s="37">
        <f>'03_原始数据'!C661-0.605*'03_原始数据'!B661-OtherCost</f>
        <v/>
      </c>
      <c r="O661" s="37">
        <f>'03_原始数据'!C661-0.61*'03_原始数据'!B661-OtherCost</f>
        <v/>
      </c>
      <c r="P661" s="37">
        <f>'03_原始数据'!C661-0.615*'03_原始数据'!B661-OtherCost</f>
        <v/>
      </c>
      <c r="Q661" s="37">
        <f>'03_原始数据'!C661-0.62*'03_原始数据'!B661-OtherCost</f>
        <v/>
      </c>
      <c r="R661" s="37">
        <f>'03_原始数据'!C661-0.625*'03_原始数据'!B661-OtherCost</f>
        <v/>
      </c>
      <c r="S661" s="37">
        <f>'03_原始数据'!C661-0.63*'03_原始数据'!B661-OtherCost</f>
        <v/>
      </c>
      <c r="T661" s="37">
        <f>'03_原始数据'!C661-0.635*'03_原始数据'!B661-OtherCost</f>
        <v/>
      </c>
      <c r="U661" s="37">
        <f>'03_原始数据'!C661-0.64*'03_原始数据'!B661-OtherCost</f>
        <v/>
      </c>
      <c r="V661" s="37">
        <f>'03_原始数据'!C661-0.645*'03_原始数据'!B661-OtherCost</f>
        <v/>
      </c>
      <c r="W661" s="37">
        <f>'03_原始数据'!C661-0.65*'03_原始数据'!B661-OtherCost</f>
        <v/>
      </c>
      <c r="X661" s="37">
        <f>'03_原始数据'!C661-0.655*'03_原始数据'!B661-OtherCost</f>
        <v/>
      </c>
      <c r="Y661" s="37">
        <f>'03_原始数据'!C661-0.66*'03_原始数据'!B661-OtherCost</f>
        <v/>
      </c>
      <c r="Z661" s="37">
        <f>'03_原始数据'!C661-0.665*'03_原始数据'!B661-OtherCost</f>
        <v/>
      </c>
      <c r="AA661" s="37">
        <f>'03_原始数据'!C661-0.67*'03_原始数据'!B661-OtherCost</f>
        <v/>
      </c>
      <c r="AB661" s="37">
        <f>'03_原始数据'!C661-0.675*'03_原始数据'!B661-OtherCost</f>
        <v/>
      </c>
      <c r="AC661" s="37">
        <f>'03_原始数据'!C661-0.68*'03_原始数据'!B661-OtherCost</f>
        <v/>
      </c>
      <c r="AD661" s="37">
        <f>'03_原始数据'!C661-0.685*'03_原始数据'!B661-OtherCost</f>
        <v/>
      </c>
      <c r="AE661" s="37">
        <f>'03_原始数据'!C661-0.69*'03_原始数据'!B661-OtherCost</f>
        <v/>
      </c>
      <c r="AF661" s="37">
        <f>'03_原始数据'!C661-0.695*'03_原始数据'!B661-OtherCost</f>
        <v/>
      </c>
      <c r="AG661" s="37">
        <f>'03_原始数据'!C661-0.7*'03_原始数据'!B661-OtherCost</f>
        <v/>
      </c>
    </row>
    <row r="662">
      <c r="M662" s="37">
        <f>'03_原始数据'!C662-0.6*'03_原始数据'!B662-OtherCost</f>
        <v/>
      </c>
      <c r="N662" s="37">
        <f>'03_原始数据'!C662-0.605*'03_原始数据'!B662-OtherCost</f>
        <v/>
      </c>
      <c r="O662" s="37">
        <f>'03_原始数据'!C662-0.61*'03_原始数据'!B662-OtherCost</f>
        <v/>
      </c>
      <c r="P662" s="37">
        <f>'03_原始数据'!C662-0.615*'03_原始数据'!B662-OtherCost</f>
        <v/>
      </c>
      <c r="Q662" s="37">
        <f>'03_原始数据'!C662-0.62*'03_原始数据'!B662-OtherCost</f>
        <v/>
      </c>
      <c r="R662" s="37">
        <f>'03_原始数据'!C662-0.625*'03_原始数据'!B662-OtherCost</f>
        <v/>
      </c>
      <c r="S662" s="37">
        <f>'03_原始数据'!C662-0.63*'03_原始数据'!B662-OtherCost</f>
        <v/>
      </c>
      <c r="T662" s="37">
        <f>'03_原始数据'!C662-0.635*'03_原始数据'!B662-OtherCost</f>
        <v/>
      </c>
      <c r="U662" s="37">
        <f>'03_原始数据'!C662-0.64*'03_原始数据'!B662-OtherCost</f>
        <v/>
      </c>
      <c r="V662" s="37">
        <f>'03_原始数据'!C662-0.645*'03_原始数据'!B662-OtherCost</f>
        <v/>
      </c>
      <c r="W662" s="37">
        <f>'03_原始数据'!C662-0.65*'03_原始数据'!B662-OtherCost</f>
        <v/>
      </c>
      <c r="X662" s="37">
        <f>'03_原始数据'!C662-0.655*'03_原始数据'!B662-OtherCost</f>
        <v/>
      </c>
      <c r="Y662" s="37">
        <f>'03_原始数据'!C662-0.66*'03_原始数据'!B662-OtherCost</f>
        <v/>
      </c>
      <c r="Z662" s="37">
        <f>'03_原始数据'!C662-0.665*'03_原始数据'!B662-OtherCost</f>
        <v/>
      </c>
      <c r="AA662" s="37">
        <f>'03_原始数据'!C662-0.67*'03_原始数据'!B662-OtherCost</f>
        <v/>
      </c>
      <c r="AB662" s="37">
        <f>'03_原始数据'!C662-0.675*'03_原始数据'!B662-OtherCost</f>
        <v/>
      </c>
      <c r="AC662" s="37">
        <f>'03_原始数据'!C662-0.68*'03_原始数据'!B662-OtherCost</f>
        <v/>
      </c>
      <c r="AD662" s="37">
        <f>'03_原始数据'!C662-0.685*'03_原始数据'!B662-OtherCost</f>
        <v/>
      </c>
      <c r="AE662" s="37">
        <f>'03_原始数据'!C662-0.69*'03_原始数据'!B662-OtherCost</f>
        <v/>
      </c>
      <c r="AF662" s="37">
        <f>'03_原始数据'!C662-0.695*'03_原始数据'!B662-OtherCost</f>
        <v/>
      </c>
      <c r="AG662" s="37">
        <f>'03_原始数据'!C662-0.7*'03_原始数据'!B662-OtherCost</f>
        <v/>
      </c>
    </row>
    <row r="663">
      <c r="M663" s="37">
        <f>'03_原始数据'!C663-0.6*'03_原始数据'!B663-OtherCost</f>
        <v/>
      </c>
      <c r="N663" s="37">
        <f>'03_原始数据'!C663-0.605*'03_原始数据'!B663-OtherCost</f>
        <v/>
      </c>
      <c r="O663" s="37">
        <f>'03_原始数据'!C663-0.61*'03_原始数据'!B663-OtherCost</f>
        <v/>
      </c>
      <c r="P663" s="37">
        <f>'03_原始数据'!C663-0.615*'03_原始数据'!B663-OtherCost</f>
        <v/>
      </c>
      <c r="Q663" s="37">
        <f>'03_原始数据'!C663-0.62*'03_原始数据'!B663-OtherCost</f>
        <v/>
      </c>
      <c r="R663" s="37">
        <f>'03_原始数据'!C663-0.625*'03_原始数据'!B663-OtherCost</f>
        <v/>
      </c>
      <c r="S663" s="37">
        <f>'03_原始数据'!C663-0.63*'03_原始数据'!B663-OtherCost</f>
        <v/>
      </c>
      <c r="T663" s="37">
        <f>'03_原始数据'!C663-0.635*'03_原始数据'!B663-OtherCost</f>
        <v/>
      </c>
      <c r="U663" s="37">
        <f>'03_原始数据'!C663-0.64*'03_原始数据'!B663-OtherCost</f>
        <v/>
      </c>
      <c r="V663" s="37">
        <f>'03_原始数据'!C663-0.645*'03_原始数据'!B663-OtherCost</f>
        <v/>
      </c>
      <c r="W663" s="37">
        <f>'03_原始数据'!C663-0.65*'03_原始数据'!B663-OtherCost</f>
        <v/>
      </c>
      <c r="X663" s="37">
        <f>'03_原始数据'!C663-0.655*'03_原始数据'!B663-OtherCost</f>
        <v/>
      </c>
      <c r="Y663" s="37">
        <f>'03_原始数据'!C663-0.66*'03_原始数据'!B663-OtherCost</f>
        <v/>
      </c>
      <c r="Z663" s="37">
        <f>'03_原始数据'!C663-0.665*'03_原始数据'!B663-OtherCost</f>
        <v/>
      </c>
      <c r="AA663" s="37">
        <f>'03_原始数据'!C663-0.67*'03_原始数据'!B663-OtherCost</f>
        <v/>
      </c>
      <c r="AB663" s="37">
        <f>'03_原始数据'!C663-0.675*'03_原始数据'!B663-OtherCost</f>
        <v/>
      </c>
      <c r="AC663" s="37">
        <f>'03_原始数据'!C663-0.68*'03_原始数据'!B663-OtherCost</f>
        <v/>
      </c>
      <c r="AD663" s="37">
        <f>'03_原始数据'!C663-0.685*'03_原始数据'!B663-OtherCost</f>
        <v/>
      </c>
      <c r="AE663" s="37">
        <f>'03_原始数据'!C663-0.69*'03_原始数据'!B663-OtherCost</f>
        <v/>
      </c>
      <c r="AF663" s="37">
        <f>'03_原始数据'!C663-0.695*'03_原始数据'!B663-OtherCost</f>
        <v/>
      </c>
      <c r="AG663" s="37">
        <f>'03_原始数据'!C663-0.7*'03_原始数据'!B663-OtherCost</f>
        <v/>
      </c>
    </row>
    <row r="664">
      <c r="M664" s="37">
        <f>'03_原始数据'!C664-0.6*'03_原始数据'!B664-OtherCost</f>
        <v/>
      </c>
      <c r="N664" s="37">
        <f>'03_原始数据'!C664-0.605*'03_原始数据'!B664-OtherCost</f>
        <v/>
      </c>
      <c r="O664" s="37">
        <f>'03_原始数据'!C664-0.61*'03_原始数据'!B664-OtherCost</f>
        <v/>
      </c>
      <c r="P664" s="37">
        <f>'03_原始数据'!C664-0.615*'03_原始数据'!B664-OtherCost</f>
        <v/>
      </c>
      <c r="Q664" s="37">
        <f>'03_原始数据'!C664-0.62*'03_原始数据'!B664-OtherCost</f>
        <v/>
      </c>
      <c r="R664" s="37">
        <f>'03_原始数据'!C664-0.625*'03_原始数据'!B664-OtherCost</f>
        <v/>
      </c>
      <c r="S664" s="37">
        <f>'03_原始数据'!C664-0.63*'03_原始数据'!B664-OtherCost</f>
        <v/>
      </c>
      <c r="T664" s="37">
        <f>'03_原始数据'!C664-0.635*'03_原始数据'!B664-OtherCost</f>
        <v/>
      </c>
      <c r="U664" s="37">
        <f>'03_原始数据'!C664-0.64*'03_原始数据'!B664-OtherCost</f>
        <v/>
      </c>
      <c r="V664" s="37">
        <f>'03_原始数据'!C664-0.645*'03_原始数据'!B664-OtherCost</f>
        <v/>
      </c>
      <c r="W664" s="37">
        <f>'03_原始数据'!C664-0.65*'03_原始数据'!B664-OtherCost</f>
        <v/>
      </c>
      <c r="X664" s="37">
        <f>'03_原始数据'!C664-0.655*'03_原始数据'!B664-OtherCost</f>
        <v/>
      </c>
      <c r="Y664" s="37">
        <f>'03_原始数据'!C664-0.66*'03_原始数据'!B664-OtherCost</f>
        <v/>
      </c>
      <c r="Z664" s="37">
        <f>'03_原始数据'!C664-0.665*'03_原始数据'!B664-OtherCost</f>
        <v/>
      </c>
      <c r="AA664" s="37">
        <f>'03_原始数据'!C664-0.67*'03_原始数据'!B664-OtherCost</f>
        <v/>
      </c>
      <c r="AB664" s="37">
        <f>'03_原始数据'!C664-0.675*'03_原始数据'!B664-OtherCost</f>
        <v/>
      </c>
      <c r="AC664" s="37">
        <f>'03_原始数据'!C664-0.68*'03_原始数据'!B664-OtherCost</f>
        <v/>
      </c>
      <c r="AD664" s="37">
        <f>'03_原始数据'!C664-0.685*'03_原始数据'!B664-OtherCost</f>
        <v/>
      </c>
      <c r="AE664" s="37">
        <f>'03_原始数据'!C664-0.69*'03_原始数据'!B664-OtherCost</f>
        <v/>
      </c>
      <c r="AF664" s="37">
        <f>'03_原始数据'!C664-0.695*'03_原始数据'!B664-OtherCost</f>
        <v/>
      </c>
      <c r="AG664" s="37">
        <f>'03_原始数据'!C664-0.7*'03_原始数据'!B664-OtherCost</f>
        <v/>
      </c>
    </row>
    <row r="665">
      <c r="M665" s="37">
        <f>'03_原始数据'!C665-0.6*'03_原始数据'!B665-OtherCost</f>
        <v/>
      </c>
      <c r="N665" s="37">
        <f>'03_原始数据'!C665-0.605*'03_原始数据'!B665-OtherCost</f>
        <v/>
      </c>
      <c r="O665" s="37">
        <f>'03_原始数据'!C665-0.61*'03_原始数据'!B665-OtherCost</f>
        <v/>
      </c>
      <c r="P665" s="37">
        <f>'03_原始数据'!C665-0.615*'03_原始数据'!B665-OtherCost</f>
        <v/>
      </c>
      <c r="Q665" s="37">
        <f>'03_原始数据'!C665-0.62*'03_原始数据'!B665-OtherCost</f>
        <v/>
      </c>
      <c r="R665" s="37">
        <f>'03_原始数据'!C665-0.625*'03_原始数据'!B665-OtherCost</f>
        <v/>
      </c>
      <c r="S665" s="37">
        <f>'03_原始数据'!C665-0.63*'03_原始数据'!B665-OtherCost</f>
        <v/>
      </c>
      <c r="T665" s="37">
        <f>'03_原始数据'!C665-0.635*'03_原始数据'!B665-OtherCost</f>
        <v/>
      </c>
      <c r="U665" s="37">
        <f>'03_原始数据'!C665-0.64*'03_原始数据'!B665-OtherCost</f>
        <v/>
      </c>
      <c r="V665" s="37">
        <f>'03_原始数据'!C665-0.645*'03_原始数据'!B665-OtherCost</f>
        <v/>
      </c>
      <c r="W665" s="37">
        <f>'03_原始数据'!C665-0.65*'03_原始数据'!B665-OtherCost</f>
        <v/>
      </c>
      <c r="X665" s="37">
        <f>'03_原始数据'!C665-0.655*'03_原始数据'!B665-OtherCost</f>
        <v/>
      </c>
      <c r="Y665" s="37">
        <f>'03_原始数据'!C665-0.66*'03_原始数据'!B665-OtherCost</f>
        <v/>
      </c>
      <c r="Z665" s="37">
        <f>'03_原始数据'!C665-0.665*'03_原始数据'!B665-OtherCost</f>
        <v/>
      </c>
      <c r="AA665" s="37">
        <f>'03_原始数据'!C665-0.67*'03_原始数据'!B665-OtherCost</f>
        <v/>
      </c>
      <c r="AB665" s="37">
        <f>'03_原始数据'!C665-0.675*'03_原始数据'!B665-OtherCost</f>
        <v/>
      </c>
      <c r="AC665" s="37">
        <f>'03_原始数据'!C665-0.68*'03_原始数据'!B665-OtherCost</f>
        <v/>
      </c>
      <c r="AD665" s="37">
        <f>'03_原始数据'!C665-0.685*'03_原始数据'!B665-OtherCost</f>
        <v/>
      </c>
      <c r="AE665" s="37">
        <f>'03_原始数据'!C665-0.69*'03_原始数据'!B665-OtherCost</f>
        <v/>
      </c>
      <c r="AF665" s="37">
        <f>'03_原始数据'!C665-0.695*'03_原始数据'!B665-OtherCost</f>
        <v/>
      </c>
      <c r="AG665" s="37">
        <f>'03_原始数据'!C665-0.7*'03_原始数据'!B665-OtherCost</f>
        <v/>
      </c>
    </row>
    <row r="666">
      <c r="M666" s="37">
        <f>'03_原始数据'!C666-0.6*'03_原始数据'!B666-OtherCost</f>
        <v/>
      </c>
      <c r="N666" s="37">
        <f>'03_原始数据'!C666-0.605*'03_原始数据'!B666-OtherCost</f>
        <v/>
      </c>
      <c r="O666" s="37">
        <f>'03_原始数据'!C666-0.61*'03_原始数据'!B666-OtherCost</f>
        <v/>
      </c>
      <c r="P666" s="37">
        <f>'03_原始数据'!C666-0.615*'03_原始数据'!B666-OtherCost</f>
        <v/>
      </c>
      <c r="Q666" s="37">
        <f>'03_原始数据'!C666-0.62*'03_原始数据'!B666-OtherCost</f>
        <v/>
      </c>
      <c r="R666" s="37">
        <f>'03_原始数据'!C666-0.625*'03_原始数据'!B666-OtherCost</f>
        <v/>
      </c>
      <c r="S666" s="37">
        <f>'03_原始数据'!C666-0.63*'03_原始数据'!B666-OtherCost</f>
        <v/>
      </c>
      <c r="T666" s="37">
        <f>'03_原始数据'!C666-0.635*'03_原始数据'!B666-OtherCost</f>
        <v/>
      </c>
      <c r="U666" s="37">
        <f>'03_原始数据'!C666-0.64*'03_原始数据'!B666-OtherCost</f>
        <v/>
      </c>
      <c r="V666" s="37">
        <f>'03_原始数据'!C666-0.645*'03_原始数据'!B666-OtherCost</f>
        <v/>
      </c>
      <c r="W666" s="37">
        <f>'03_原始数据'!C666-0.65*'03_原始数据'!B666-OtherCost</f>
        <v/>
      </c>
      <c r="X666" s="37">
        <f>'03_原始数据'!C666-0.655*'03_原始数据'!B666-OtherCost</f>
        <v/>
      </c>
      <c r="Y666" s="37">
        <f>'03_原始数据'!C666-0.66*'03_原始数据'!B666-OtherCost</f>
        <v/>
      </c>
      <c r="Z666" s="37">
        <f>'03_原始数据'!C666-0.665*'03_原始数据'!B666-OtherCost</f>
        <v/>
      </c>
      <c r="AA666" s="37">
        <f>'03_原始数据'!C666-0.67*'03_原始数据'!B666-OtherCost</f>
        <v/>
      </c>
      <c r="AB666" s="37">
        <f>'03_原始数据'!C666-0.675*'03_原始数据'!B666-OtherCost</f>
        <v/>
      </c>
      <c r="AC666" s="37">
        <f>'03_原始数据'!C666-0.68*'03_原始数据'!B666-OtherCost</f>
        <v/>
      </c>
      <c r="AD666" s="37">
        <f>'03_原始数据'!C666-0.685*'03_原始数据'!B666-OtherCost</f>
        <v/>
      </c>
      <c r="AE666" s="37">
        <f>'03_原始数据'!C666-0.69*'03_原始数据'!B666-OtherCost</f>
        <v/>
      </c>
      <c r="AF666" s="37">
        <f>'03_原始数据'!C666-0.695*'03_原始数据'!B666-OtherCost</f>
        <v/>
      </c>
      <c r="AG666" s="37">
        <f>'03_原始数据'!C666-0.7*'03_原始数据'!B666-OtherCost</f>
        <v/>
      </c>
    </row>
    <row r="667">
      <c r="M667" s="37">
        <f>'03_原始数据'!C667-0.6*'03_原始数据'!B667-OtherCost</f>
        <v/>
      </c>
      <c r="N667" s="37">
        <f>'03_原始数据'!C667-0.605*'03_原始数据'!B667-OtherCost</f>
        <v/>
      </c>
      <c r="O667" s="37">
        <f>'03_原始数据'!C667-0.61*'03_原始数据'!B667-OtherCost</f>
        <v/>
      </c>
      <c r="P667" s="37">
        <f>'03_原始数据'!C667-0.615*'03_原始数据'!B667-OtherCost</f>
        <v/>
      </c>
      <c r="Q667" s="37">
        <f>'03_原始数据'!C667-0.62*'03_原始数据'!B667-OtherCost</f>
        <v/>
      </c>
      <c r="R667" s="37">
        <f>'03_原始数据'!C667-0.625*'03_原始数据'!B667-OtherCost</f>
        <v/>
      </c>
      <c r="S667" s="37">
        <f>'03_原始数据'!C667-0.63*'03_原始数据'!B667-OtherCost</f>
        <v/>
      </c>
      <c r="T667" s="37">
        <f>'03_原始数据'!C667-0.635*'03_原始数据'!B667-OtherCost</f>
        <v/>
      </c>
      <c r="U667" s="37">
        <f>'03_原始数据'!C667-0.64*'03_原始数据'!B667-OtherCost</f>
        <v/>
      </c>
      <c r="V667" s="37">
        <f>'03_原始数据'!C667-0.645*'03_原始数据'!B667-OtherCost</f>
        <v/>
      </c>
      <c r="W667" s="37">
        <f>'03_原始数据'!C667-0.65*'03_原始数据'!B667-OtherCost</f>
        <v/>
      </c>
      <c r="X667" s="37">
        <f>'03_原始数据'!C667-0.655*'03_原始数据'!B667-OtherCost</f>
        <v/>
      </c>
      <c r="Y667" s="37">
        <f>'03_原始数据'!C667-0.66*'03_原始数据'!B667-OtherCost</f>
        <v/>
      </c>
      <c r="Z667" s="37">
        <f>'03_原始数据'!C667-0.665*'03_原始数据'!B667-OtherCost</f>
        <v/>
      </c>
      <c r="AA667" s="37">
        <f>'03_原始数据'!C667-0.67*'03_原始数据'!B667-OtherCost</f>
        <v/>
      </c>
      <c r="AB667" s="37">
        <f>'03_原始数据'!C667-0.675*'03_原始数据'!B667-OtherCost</f>
        <v/>
      </c>
      <c r="AC667" s="37">
        <f>'03_原始数据'!C667-0.68*'03_原始数据'!B667-OtherCost</f>
        <v/>
      </c>
      <c r="AD667" s="37">
        <f>'03_原始数据'!C667-0.685*'03_原始数据'!B667-OtherCost</f>
        <v/>
      </c>
      <c r="AE667" s="37">
        <f>'03_原始数据'!C667-0.69*'03_原始数据'!B667-OtherCost</f>
        <v/>
      </c>
      <c r="AF667" s="37">
        <f>'03_原始数据'!C667-0.695*'03_原始数据'!B667-OtherCost</f>
        <v/>
      </c>
      <c r="AG667" s="37">
        <f>'03_原始数据'!C667-0.7*'03_原始数据'!B667-OtherCost</f>
        <v/>
      </c>
    </row>
    <row r="668">
      <c r="M668" s="37">
        <f>'03_原始数据'!C668-0.6*'03_原始数据'!B668-OtherCost</f>
        <v/>
      </c>
      <c r="N668" s="37">
        <f>'03_原始数据'!C668-0.605*'03_原始数据'!B668-OtherCost</f>
        <v/>
      </c>
      <c r="O668" s="37">
        <f>'03_原始数据'!C668-0.61*'03_原始数据'!B668-OtherCost</f>
        <v/>
      </c>
      <c r="P668" s="37">
        <f>'03_原始数据'!C668-0.615*'03_原始数据'!B668-OtherCost</f>
        <v/>
      </c>
      <c r="Q668" s="37">
        <f>'03_原始数据'!C668-0.62*'03_原始数据'!B668-OtherCost</f>
        <v/>
      </c>
      <c r="R668" s="37">
        <f>'03_原始数据'!C668-0.625*'03_原始数据'!B668-OtherCost</f>
        <v/>
      </c>
      <c r="S668" s="37">
        <f>'03_原始数据'!C668-0.63*'03_原始数据'!B668-OtherCost</f>
        <v/>
      </c>
      <c r="T668" s="37">
        <f>'03_原始数据'!C668-0.635*'03_原始数据'!B668-OtherCost</f>
        <v/>
      </c>
      <c r="U668" s="37">
        <f>'03_原始数据'!C668-0.64*'03_原始数据'!B668-OtherCost</f>
        <v/>
      </c>
      <c r="V668" s="37">
        <f>'03_原始数据'!C668-0.645*'03_原始数据'!B668-OtherCost</f>
        <v/>
      </c>
      <c r="W668" s="37">
        <f>'03_原始数据'!C668-0.65*'03_原始数据'!B668-OtherCost</f>
        <v/>
      </c>
      <c r="X668" s="37">
        <f>'03_原始数据'!C668-0.655*'03_原始数据'!B668-OtherCost</f>
        <v/>
      </c>
      <c r="Y668" s="37">
        <f>'03_原始数据'!C668-0.66*'03_原始数据'!B668-OtherCost</f>
        <v/>
      </c>
      <c r="Z668" s="37">
        <f>'03_原始数据'!C668-0.665*'03_原始数据'!B668-OtherCost</f>
        <v/>
      </c>
      <c r="AA668" s="37">
        <f>'03_原始数据'!C668-0.67*'03_原始数据'!B668-OtherCost</f>
        <v/>
      </c>
      <c r="AB668" s="37">
        <f>'03_原始数据'!C668-0.675*'03_原始数据'!B668-OtherCost</f>
        <v/>
      </c>
      <c r="AC668" s="37">
        <f>'03_原始数据'!C668-0.68*'03_原始数据'!B668-OtherCost</f>
        <v/>
      </c>
      <c r="AD668" s="37">
        <f>'03_原始数据'!C668-0.685*'03_原始数据'!B668-OtherCost</f>
        <v/>
      </c>
      <c r="AE668" s="37">
        <f>'03_原始数据'!C668-0.69*'03_原始数据'!B668-OtherCost</f>
        <v/>
      </c>
      <c r="AF668" s="37">
        <f>'03_原始数据'!C668-0.695*'03_原始数据'!B668-OtherCost</f>
        <v/>
      </c>
      <c r="AG668" s="37">
        <f>'03_原始数据'!C668-0.7*'03_原始数据'!B668-OtherCost</f>
        <v/>
      </c>
    </row>
    <row r="669">
      <c r="M669" s="37">
        <f>'03_原始数据'!C669-0.6*'03_原始数据'!B669-OtherCost</f>
        <v/>
      </c>
      <c r="N669" s="37">
        <f>'03_原始数据'!C669-0.605*'03_原始数据'!B669-OtherCost</f>
        <v/>
      </c>
      <c r="O669" s="37">
        <f>'03_原始数据'!C669-0.61*'03_原始数据'!B669-OtherCost</f>
        <v/>
      </c>
      <c r="P669" s="37">
        <f>'03_原始数据'!C669-0.615*'03_原始数据'!B669-OtherCost</f>
        <v/>
      </c>
      <c r="Q669" s="37">
        <f>'03_原始数据'!C669-0.62*'03_原始数据'!B669-OtherCost</f>
        <v/>
      </c>
      <c r="R669" s="37">
        <f>'03_原始数据'!C669-0.625*'03_原始数据'!B669-OtherCost</f>
        <v/>
      </c>
      <c r="S669" s="37">
        <f>'03_原始数据'!C669-0.63*'03_原始数据'!B669-OtherCost</f>
        <v/>
      </c>
      <c r="T669" s="37">
        <f>'03_原始数据'!C669-0.635*'03_原始数据'!B669-OtherCost</f>
        <v/>
      </c>
      <c r="U669" s="37">
        <f>'03_原始数据'!C669-0.64*'03_原始数据'!B669-OtherCost</f>
        <v/>
      </c>
      <c r="V669" s="37">
        <f>'03_原始数据'!C669-0.645*'03_原始数据'!B669-OtherCost</f>
        <v/>
      </c>
      <c r="W669" s="37">
        <f>'03_原始数据'!C669-0.65*'03_原始数据'!B669-OtherCost</f>
        <v/>
      </c>
      <c r="X669" s="37">
        <f>'03_原始数据'!C669-0.655*'03_原始数据'!B669-OtherCost</f>
        <v/>
      </c>
      <c r="Y669" s="37">
        <f>'03_原始数据'!C669-0.66*'03_原始数据'!B669-OtherCost</f>
        <v/>
      </c>
      <c r="Z669" s="37">
        <f>'03_原始数据'!C669-0.665*'03_原始数据'!B669-OtherCost</f>
        <v/>
      </c>
      <c r="AA669" s="37">
        <f>'03_原始数据'!C669-0.67*'03_原始数据'!B669-OtherCost</f>
        <v/>
      </c>
      <c r="AB669" s="37">
        <f>'03_原始数据'!C669-0.675*'03_原始数据'!B669-OtherCost</f>
        <v/>
      </c>
      <c r="AC669" s="37">
        <f>'03_原始数据'!C669-0.68*'03_原始数据'!B669-OtherCost</f>
        <v/>
      </c>
      <c r="AD669" s="37">
        <f>'03_原始数据'!C669-0.685*'03_原始数据'!B669-OtherCost</f>
        <v/>
      </c>
      <c r="AE669" s="37">
        <f>'03_原始数据'!C669-0.69*'03_原始数据'!B669-OtherCost</f>
        <v/>
      </c>
      <c r="AF669" s="37">
        <f>'03_原始数据'!C669-0.695*'03_原始数据'!B669-OtherCost</f>
        <v/>
      </c>
      <c r="AG669" s="37">
        <f>'03_原始数据'!C669-0.7*'03_原始数据'!B669-OtherCost</f>
        <v/>
      </c>
    </row>
    <row r="670">
      <c r="M670" s="37">
        <f>'03_原始数据'!C670-0.6*'03_原始数据'!B670-OtherCost</f>
        <v/>
      </c>
      <c r="N670" s="37">
        <f>'03_原始数据'!C670-0.605*'03_原始数据'!B670-OtherCost</f>
        <v/>
      </c>
      <c r="O670" s="37">
        <f>'03_原始数据'!C670-0.61*'03_原始数据'!B670-OtherCost</f>
        <v/>
      </c>
      <c r="P670" s="37">
        <f>'03_原始数据'!C670-0.615*'03_原始数据'!B670-OtherCost</f>
        <v/>
      </c>
      <c r="Q670" s="37">
        <f>'03_原始数据'!C670-0.62*'03_原始数据'!B670-OtherCost</f>
        <v/>
      </c>
      <c r="R670" s="37">
        <f>'03_原始数据'!C670-0.625*'03_原始数据'!B670-OtherCost</f>
        <v/>
      </c>
      <c r="S670" s="37">
        <f>'03_原始数据'!C670-0.63*'03_原始数据'!B670-OtherCost</f>
        <v/>
      </c>
      <c r="T670" s="37">
        <f>'03_原始数据'!C670-0.635*'03_原始数据'!B670-OtherCost</f>
        <v/>
      </c>
      <c r="U670" s="37">
        <f>'03_原始数据'!C670-0.64*'03_原始数据'!B670-OtherCost</f>
        <v/>
      </c>
      <c r="V670" s="37">
        <f>'03_原始数据'!C670-0.645*'03_原始数据'!B670-OtherCost</f>
        <v/>
      </c>
      <c r="W670" s="37">
        <f>'03_原始数据'!C670-0.65*'03_原始数据'!B670-OtherCost</f>
        <v/>
      </c>
      <c r="X670" s="37">
        <f>'03_原始数据'!C670-0.655*'03_原始数据'!B670-OtherCost</f>
        <v/>
      </c>
      <c r="Y670" s="37">
        <f>'03_原始数据'!C670-0.66*'03_原始数据'!B670-OtherCost</f>
        <v/>
      </c>
      <c r="Z670" s="37">
        <f>'03_原始数据'!C670-0.665*'03_原始数据'!B670-OtherCost</f>
        <v/>
      </c>
      <c r="AA670" s="37">
        <f>'03_原始数据'!C670-0.67*'03_原始数据'!B670-OtherCost</f>
        <v/>
      </c>
      <c r="AB670" s="37">
        <f>'03_原始数据'!C670-0.675*'03_原始数据'!B670-OtherCost</f>
        <v/>
      </c>
      <c r="AC670" s="37">
        <f>'03_原始数据'!C670-0.68*'03_原始数据'!B670-OtherCost</f>
        <v/>
      </c>
      <c r="AD670" s="37">
        <f>'03_原始数据'!C670-0.685*'03_原始数据'!B670-OtherCost</f>
        <v/>
      </c>
      <c r="AE670" s="37">
        <f>'03_原始数据'!C670-0.69*'03_原始数据'!B670-OtherCost</f>
        <v/>
      </c>
      <c r="AF670" s="37">
        <f>'03_原始数据'!C670-0.695*'03_原始数据'!B670-OtherCost</f>
        <v/>
      </c>
      <c r="AG670" s="37">
        <f>'03_原始数据'!C670-0.7*'03_原始数据'!B670-OtherCost</f>
        <v/>
      </c>
    </row>
    <row r="671">
      <c r="M671" s="37">
        <f>'03_原始数据'!C671-0.6*'03_原始数据'!B671-OtherCost</f>
        <v/>
      </c>
      <c r="N671" s="37">
        <f>'03_原始数据'!C671-0.605*'03_原始数据'!B671-OtherCost</f>
        <v/>
      </c>
      <c r="O671" s="37">
        <f>'03_原始数据'!C671-0.61*'03_原始数据'!B671-OtherCost</f>
        <v/>
      </c>
      <c r="P671" s="37">
        <f>'03_原始数据'!C671-0.615*'03_原始数据'!B671-OtherCost</f>
        <v/>
      </c>
      <c r="Q671" s="37">
        <f>'03_原始数据'!C671-0.62*'03_原始数据'!B671-OtherCost</f>
        <v/>
      </c>
      <c r="R671" s="37">
        <f>'03_原始数据'!C671-0.625*'03_原始数据'!B671-OtherCost</f>
        <v/>
      </c>
      <c r="S671" s="37">
        <f>'03_原始数据'!C671-0.63*'03_原始数据'!B671-OtherCost</f>
        <v/>
      </c>
      <c r="T671" s="37">
        <f>'03_原始数据'!C671-0.635*'03_原始数据'!B671-OtherCost</f>
        <v/>
      </c>
      <c r="U671" s="37">
        <f>'03_原始数据'!C671-0.64*'03_原始数据'!B671-OtherCost</f>
        <v/>
      </c>
      <c r="V671" s="37">
        <f>'03_原始数据'!C671-0.645*'03_原始数据'!B671-OtherCost</f>
        <v/>
      </c>
      <c r="W671" s="37">
        <f>'03_原始数据'!C671-0.65*'03_原始数据'!B671-OtherCost</f>
        <v/>
      </c>
      <c r="X671" s="37">
        <f>'03_原始数据'!C671-0.655*'03_原始数据'!B671-OtherCost</f>
        <v/>
      </c>
      <c r="Y671" s="37">
        <f>'03_原始数据'!C671-0.66*'03_原始数据'!B671-OtherCost</f>
        <v/>
      </c>
      <c r="Z671" s="37">
        <f>'03_原始数据'!C671-0.665*'03_原始数据'!B671-OtherCost</f>
        <v/>
      </c>
      <c r="AA671" s="37">
        <f>'03_原始数据'!C671-0.67*'03_原始数据'!B671-OtherCost</f>
        <v/>
      </c>
      <c r="AB671" s="37">
        <f>'03_原始数据'!C671-0.675*'03_原始数据'!B671-OtherCost</f>
        <v/>
      </c>
      <c r="AC671" s="37">
        <f>'03_原始数据'!C671-0.68*'03_原始数据'!B671-OtherCost</f>
        <v/>
      </c>
      <c r="AD671" s="37">
        <f>'03_原始数据'!C671-0.685*'03_原始数据'!B671-OtherCost</f>
        <v/>
      </c>
      <c r="AE671" s="37">
        <f>'03_原始数据'!C671-0.69*'03_原始数据'!B671-OtherCost</f>
        <v/>
      </c>
      <c r="AF671" s="37">
        <f>'03_原始数据'!C671-0.695*'03_原始数据'!B671-OtherCost</f>
        <v/>
      </c>
      <c r="AG671" s="37">
        <f>'03_原始数据'!C671-0.7*'03_原始数据'!B671-OtherCost</f>
        <v/>
      </c>
    </row>
    <row r="672">
      <c r="M672" s="37">
        <f>'03_原始数据'!C672-0.6*'03_原始数据'!B672-OtherCost</f>
        <v/>
      </c>
      <c r="N672" s="37">
        <f>'03_原始数据'!C672-0.605*'03_原始数据'!B672-OtherCost</f>
        <v/>
      </c>
      <c r="O672" s="37">
        <f>'03_原始数据'!C672-0.61*'03_原始数据'!B672-OtherCost</f>
        <v/>
      </c>
      <c r="P672" s="37">
        <f>'03_原始数据'!C672-0.615*'03_原始数据'!B672-OtherCost</f>
        <v/>
      </c>
      <c r="Q672" s="37">
        <f>'03_原始数据'!C672-0.62*'03_原始数据'!B672-OtherCost</f>
        <v/>
      </c>
      <c r="R672" s="37">
        <f>'03_原始数据'!C672-0.625*'03_原始数据'!B672-OtherCost</f>
        <v/>
      </c>
      <c r="S672" s="37">
        <f>'03_原始数据'!C672-0.63*'03_原始数据'!B672-OtherCost</f>
        <v/>
      </c>
      <c r="T672" s="37">
        <f>'03_原始数据'!C672-0.635*'03_原始数据'!B672-OtherCost</f>
        <v/>
      </c>
      <c r="U672" s="37">
        <f>'03_原始数据'!C672-0.64*'03_原始数据'!B672-OtherCost</f>
        <v/>
      </c>
      <c r="V672" s="37">
        <f>'03_原始数据'!C672-0.645*'03_原始数据'!B672-OtherCost</f>
        <v/>
      </c>
      <c r="W672" s="37">
        <f>'03_原始数据'!C672-0.65*'03_原始数据'!B672-OtherCost</f>
        <v/>
      </c>
      <c r="X672" s="37">
        <f>'03_原始数据'!C672-0.655*'03_原始数据'!B672-OtherCost</f>
        <v/>
      </c>
      <c r="Y672" s="37">
        <f>'03_原始数据'!C672-0.66*'03_原始数据'!B672-OtherCost</f>
        <v/>
      </c>
      <c r="Z672" s="37">
        <f>'03_原始数据'!C672-0.665*'03_原始数据'!B672-OtherCost</f>
        <v/>
      </c>
      <c r="AA672" s="37">
        <f>'03_原始数据'!C672-0.67*'03_原始数据'!B672-OtherCost</f>
        <v/>
      </c>
      <c r="AB672" s="37">
        <f>'03_原始数据'!C672-0.675*'03_原始数据'!B672-OtherCost</f>
        <v/>
      </c>
      <c r="AC672" s="37">
        <f>'03_原始数据'!C672-0.68*'03_原始数据'!B672-OtherCost</f>
        <v/>
      </c>
      <c r="AD672" s="37">
        <f>'03_原始数据'!C672-0.685*'03_原始数据'!B672-OtherCost</f>
        <v/>
      </c>
      <c r="AE672" s="37">
        <f>'03_原始数据'!C672-0.69*'03_原始数据'!B672-OtherCost</f>
        <v/>
      </c>
      <c r="AF672" s="37">
        <f>'03_原始数据'!C672-0.695*'03_原始数据'!B672-OtherCost</f>
        <v/>
      </c>
      <c r="AG672" s="37">
        <f>'03_原始数据'!C672-0.7*'03_原始数据'!B672-OtherCost</f>
        <v/>
      </c>
    </row>
    <row r="673">
      <c r="M673" s="37">
        <f>'03_原始数据'!C673-0.6*'03_原始数据'!B673-OtherCost</f>
        <v/>
      </c>
      <c r="N673" s="37">
        <f>'03_原始数据'!C673-0.605*'03_原始数据'!B673-OtherCost</f>
        <v/>
      </c>
      <c r="O673" s="37">
        <f>'03_原始数据'!C673-0.61*'03_原始数据'!B673-OtherCost</f>
        <v/>
      </c>
      <c r="P673" s="37">
        <f>'03_原始数据'!C673-0.615*'03_原始数据'!B673-OtherCost</f>
        <v/>
      </c>
      <c r="Q673" s="37">
        <f>'03_原始数据'!C673-0.62*'03_原始数据'!B673-OtherCost</f>
        <v/>
      </c>
      <c r="R673" s="37">
        <f>'03_原始数据'!C673-0.625*'03_原始数据'!B673-OtherCost</f>
        <v/>
      </c>
      <c r="S673" s="37">
        <f>'03_原始数据'!C673-0.63*'03_原始数据'!B673-OtherCost</f>
        <v/>
      </c>
      <c r="T673" s="37">
        <f>'03_原始数据'!C673-0.635*'03_原始数据'!B673-OtherCost</f>
        <v/>
      </c>
      <c r="U673" s="37">
        <f>'03_原始数据'!C673-0.64*'03_原始数据'!B673-OtherCost</f>
        <v/>
      </c>
      <c r="V673" s="37">
        <f>'03_原始数据'!C673-0.645*'03_原始数据'!B673-OtherCost</f>
        <v/>
      </c>
      <c r="W673" s="37">
        <f>'03_原始数据'!C673-0.65*'03_原始数据'!B673-OtherCost</f>
        <v/>
      </c>
      <c r="X673" s="37">
        <f>'03_原始数据'!C673-0.655*'03_原始数据'!B673-OtherCost</f>
        <v/>
      </c>
      <c r="Y673" s="37">
        <f>'03_原始数据'!C673-0.66*'03_原始数据'!B673-OtherCost</f>
        <v/>
      </c>
      <c r="Z673" s="37">
        <f>'03_原始数据'!C673-0.665*'03_原始数据'!B673-OtherCost</f>
        <v/>
      </c>
      <c r="AA673" s="37">
        <f>'03_原始数据'!C673-0.67*'03_原始数据'!B673-OtherCost</f>
        <v/>
      </c>
      <c r="AB673" s="37">
        <f>'03_原始数据'!C673-0.675*'03_原始数据'!B673-OtherCost</f>
        <v/>
      </c>
      <c r="AC673" s="37">
        <f>'03_原始数据'!C673-0.68*'03_原始数据'!B673-OtherCost</f>
        <v/>
      </c>
      <c r="AD673" s="37">
        <f>'03_原始数据'!C673-0.685*'03_原始数据'!B673-OtherCost</f>
        <v/>
      </c>
      <c r="AE673" s="37">
        <f>'03_原始数据'!C673-0.69*'03_原始数据'!B673-OtherCost</f>
        <v/>
      </c>
      <c r="AF673" s="37">
        <f>'03_原始数据'!C673-0.695*'03_原始数据'!B673-OtherCost</f>
        <v/>
      </c>
      <c r="AG673" s="37">
        <f>'03_原始数据'!C673-0.7*'03_原始数据'!B673-OtherCost</f>
        <v/>
      </c>
    </row>
    <row r="674">
      <c r="M674" s="37">
        <f>'03_原始数据'!C674-0.6*'03_原始数据'!B674-OtherCost</f>
        <v/>
      </c>
      <c r="N674" s="37">
        <f>'03_原始数据'!C674-0.605*'03_原始数据'!B674-OtherCost</f>
        <v/>
      </c>
      <c r="O674" s="37">
        <f>'03_原始数据'!C674-0.61*'03_原始数据'!B674-OtherCost</f>
        <v/>
      </c>
      <c r="P674" s="37">
        <f>'03_原始数据'!C674-0.615*'03_原始数据'!B674-OtherCost</f>
        <v/>
      </c>
      <c r="Q674" s="37">
        <f>'03_原始数据'!C674-0.62*'03_原始数据'!B674-OtherCost</f>
        <v/>
      </c>
      <c r="R674" s="37">
        <f>'03_原始数据'!C674-0.625*'03_原始数据'!B674-OtherCost</f>
        <v/>
      </c>
      <c r="S674" s="37">
        <f>'03_原始数据'!C674-0.63*'03_原始数据'!B674-OtherCost</f>
        <v/>
      </c>
      <c r="T674" s="37">
        <f>'03_原始数据'!C674-0.635*'03_原始数据'!B674-OtherCost</f>
        <v/>
      </c>
      <c r="U674" s="37">
        <f>'03_原始数据'!C674-0.64*'03_原始数据'!B674-OtherCost</f>
        <v/>
      </c>
      <c r="V674" s="37">
        <f>'03_原始数据'!C674-0.645*'03_原始数据'!B674-OtherCost</f>
        <v/>
      </c>
      <c r="W674" s="37">
        <f>'03_原始数据'!C674-0.65*'03_原始数据'!B674-OtherCost</f>
        <v/>
      </c>
      <c r="X674" s="37">
        <f>'03_原始数据'!C674-0.655*'03_原始数据'!B674-OtherCost</f>
        <v/>
      </c>
      <c r="Y674" s="37">
        <f>'03_原始数据'!C674-0.66*'03_原始数据'!B674-OtherCost</f>
        <v/>
      </c>
      <c r="Z674" s="37">
        <f>'03_原始数据'!C674-0.665*'03_原始数据'!B674-OtherCost</f>
        <v/>
      </c>
      <c r="AA674" s="37">
        <f>'03_原始数据'!C674-0.67*'03_原始数据'!B674-OtherCost</f>
        <v/>
      </c>
      <c r="AB674" s="37">
        <f>'03_原始数据'!C674-0.675*'03_原始数据'!B674-OtherCost</f>
        <v/>
      </c>
      <c r="AC674" s="37">
        <f>'03_原始数据'!C674-0.68*'03_原始数据'!B674-OtherCost</f>
        <v/>
      </c>
      <c r="AD674" s="37">
        <f>'03_原始数据'!C674-0.685*'03_原始数据'!B674-OtherCost</f>
        <v/>
      </c>
      <c r="AE674" s="37">
        <f>'03_原始数据'!C674-0.69*'03_原始数据'!B674-OtherCost</f>
        <v/>
      </c>
      <c r="AF674" s="37">
        <f>'03_原始数据'!C674-0.695*'03_原始数据'!B674-OtherCost</f>
        <v/>
      </c>
      <c r="AG674" s="37">
        <f>'03_原始数据'!C674-0.7*'03_原始数据'!B674-OtherCost</f>
        <v/>
      </c>
    </row>
    <row r="675">
      <c r="M675" s="37">
        <f>'03_原始数据'!C675-0.6*'03_原始数据'!B675-OtherCost</f>
        <v/>
      </c>
      <c r="N675" s="37">
        <f>'03_原始数据'!C675-0.605*'03_原始数据'!B675-OtherCost</f>
        <v/>
      </c>
      <c r="O675" s="37">
        <f>'03_原始数据'!C675-0.61*'03_原始数据'!B675-OtherCost</f>
        <v/>
      </c>
      <c r="P675" s="37">
        <f>'03_原始数据'!C675-0.615*'03_原始数据'!B675-OtherCost</f>
        <v/>
      </c>
      <c r="Q675" s="37">
        <f>'03_原始数据'!C675-0.62*'03_原始数据'!B675-OtherCost</f>
        <v/>
      </c>
      <c r="R675" s="37">
        <f>'03_原始数据'!C675-0.625*'03_原始数据'!B675-OtherCost</f>
        <v/>
      </c>
      <c r="S675" s="37">
        <f>'03_原始数据'!C675-0.63*'03_原始数据'!B675-OtherCost</f>
        <v/>
      </c>
      <c r="T675" s="37">
        <f>'03_原始数据'!C675-0.635*'03_原始数据'!B675-OtherCost</f>
        <v/>
      </c>
      <c r="U675" s="37">
        <f>'03_原始数据'!C675-0.64*'03_原始数据'!B675-OtherCost</f>
        <v/>
      </c>
      <c r="V675" s="37">
        <f>'03_原始数据'!C675-0.645*'03_原始数据'!B675-OtherCost</f>
        <v/>
      </c>
      <c r="W675" s="37">
        <f>'03_原始数据'!C675-0.65*'03_原始数据'!B675-OtherCost</f>
        <v/>
      </c>
      <c r="X675" s="37">
        <f>'03_原始数据'!C675-0.655*'03_原始数据'!B675-OtherCost</f>
        <v/>
      </c>
      <c r="Y675" s="37">
        <f>'03_原始数据'!C675-0.66*'03_原始数据'!B675-OtherCost</f>
        <v/>
      </c>
      <c r="Z675" s="37">
        <f>'03_原始数据'!C675-0.665*'03_原始数据'!B675-OtherCost</f>
        <v/>
      </c>
      <c r="AA675" s="37">
        <f>'03_原始数据'!C675-0.67*'03_原始数据'!B675-OtherCost</f>
        <v/>
      </c>
      <c r="AB675" s="37">
        <f>'03_原始数据'!C675-0.675*'03_原始数据'!B675-OtherCost</f>
        <v/>
      </c>
      <c r="AC675" s="37">
        <f>'03_原始数据'!C675-0.68*'03_原始数据'!B675-OtherCost</f>
        <v/>
      </c>
      <c r="AD675" s="37">
        <f>'03_原始数据'!C675-0.685*'03_原始数据'!B675-OtherCost</f>
        <v/>
      </c>
      <c r="AE675" s="37">
        <f>'03_原始数据'!C675-0.69*'03_原始数据'!B675-OtherCost</f>
        <v/>
      </c>
      <c r="AF675" s="37">
        <f>'03_原始数据'!C675-0.695*'03_原始数据'!B675-OtherCost</f>
        <v/>
      </c>
      <c r="AG675" s="37">
        <f>'03_原始数据'!C675-0.7*'03_原始数据'!B675-OtherCost</f>
        <v/>
      </c>
    </row>
    <row r="676">
      <c r="M676" s="37">
        <f>'03_原始数据'!C676-0.6*'03_原始数据'!B676-OtherCost</f>
        <v/>
      </c>
      <c r="N676" s="37">
        <f>'03_原始数据'!C676-0.605*'03_原始数据'!B676-OtherCost</f>
        <v/>
      </c>
      <c r="O676" s="37">
        <f>'03_原始数据'!C676-0.61*'03_原始数据'!B676-OtherCost</f>
        <v/>
      </c>
      <c r="P676" s="37">
        <f>'03_原始数据'!C676-0.615*'03_原始数据'!B676-OtherCost</f>
        <v/>
      </c>
      <c r="Q676" s="37">
        <f>'03_原始数据'!C676-0.62*'03_原始数据'!B676-OtherCost</f>
        <v/>
      </c>
      <c r="R676" s="37">
        <f>'03_原始数据'!C676-0.625*'03_原始数据'!B676-OtherCost</f>
        <v/>
      </c>
      <c r="S676" s="37">
        <f>'03_原始数据'!C676-0.63*'03_原始数据'!B676-OtherCost</f>
        <v/>
      </c>
      <c r="T676" s="37">
        <f>'03_原始数据'!C676-0.635*'03_原始数据'!B676-OtherCost</f>
        <v/>
      </c>
      <c r="U676" s="37">
        <f>'03_原始数据'!C676-0.64*'03_原始数据'!B676-OtherCost</f>
        <v/>
      </c>
      <c r="V676" s="37">
        <f>'03_原始数据'!C676-0.645*'03_原始数据'!B676-OtherCost</f>
        <v/>
      </c>
      <c r="W676" s="37">
        <f>'03_原始数据'!C676-0.65*'03_原始数据'!B676-OtherCost</f>
        <v/>
      </c>
      <c r="X676" s="37">
        <f>'03_原始数据'!C676-0.655*'03_原始数据'!B676-OtherCost</f>
        <v/>
      </c>
      <c r="Y676" s="37">
        <f>'03_原始数据'!C676-0.66*'03_原始数据'!B676-OtherCost</f>
        <v/>
      </c>
      <c r="Z676" s="37">
        <f>'03_原始数据'!C676-0.665*'03_原始数据'!B676-OtherCost</f>
        <v/>
      </c>
      <c r="AA676" s="37">
        <f>'03_原始数据'!C676-0.67*'03_原始数据'!B676-OtherCost</f>
        <v/>
      </c>
      <c r="AB676" s="37">
        <f>'03_原始数据'!C676-0.675*'03_原始数据'!B676-OtherCost</f>
        <v/>
      </c>
      <c r="AC676" s="37">
        <f>'03_原始数据'!C676-0.68*'03_原始数据'!B676-OtherCost</f>
        <v/>
      </c>
      <c r="AD676" s="37">
        <f>'03_原始数据'!C676-0.685*'03_原始数据'!B676-OtherCost</f>
        <v/>
      </c>
      <c r="AE676" s="37">
        <f>'03_原始数据'!C676-0.69*'03_原始数据'!B676-OtherCost</f>
        <v/>
      </c>
      <c r="AF676" s="37">
        <f>'03_原始数据'!C676-0.695*'03_原始数据'!B676-OtherCost</f>
        <v/>
      </c>
      <c r="AG676" s="37">
        <f>'03_原始数据'!C676-0.7*'03_原始数据'!B676-OtherCost</f>
        <v/>
      </c>
    </row>
    <row r="677">
      <c r="M677" s="37">
        <f>'03_原始数据'!C677-0.6*'03_原始数据'!B677-OtherCost</f>
        <v/>
      </c>
      <c r="N677" s="37">
        <f>'03_原始数据'!C677-0.605*'03_原始数据'!B677-OtherCost</f>
        <v/>
      </c>
      <c r="O677" s="37">
        <f>'03_原始数据'!C677-0.61*'03_原始数据'!B677-OtherCost</f>
        <v/>
      </c>
      <c r="P677" s="37">
        <f>'03_原始数据'!C677-0.615*'03_原始数据'!B677-OtherCost</f>
        <v/>
      </c>
      <c r="Q677" s="37">
        <f>'03_原始数据'!C677-0.62*'03_原始数据'!B677-OtherCost</f>
        <v/>
      </c>
      <c r="R677" s="37">
        <f>'03_原始数据'!C677-0.625*'03_原始数据'!B677-OtherCost</f>
        <v/>
      </c>
      <c r="S677" s="37">
        <f>'03_原始数据'!C677-0.63*'03_原始数据'!B677-OtherCost</f>
        <v/>
      </c>
      <c r="T677" s="37">
        <f>'03_原始数据'!C677-0.635*'03_原始数据'!B677-OtherCost</f>
        <v/>
      </c>
      <c r="U677" s="37">
        <f>'03_原始数据'!C677-0.64*'03_原始数据'!B677-OtherCost</f>
        <v/>
      </c>
      <c r="V677" s="37">
        <f>'03_原始数据'!C677-0.645*'03_原始数据'!B677-OtherCost</f>
        <v/>
      </c>
      <c r="W677" s="37">
        <f>'03_原始数据'!C677-0.65*'03_原始数据'!B677-OtherCost</f>
        <v/>
      </c>
      <c r="X677" s="37">
        <f>'03_原始数据'!C677-0.655*'03_原始数据'!B677-OtherCost</f>
        <v/>
      </c>
      <c r="Y677" s="37">
        <f>'03_原始数据'!C677-0.66*'03_原始数据'!B677-OtherCost</f>
        <v/>
      </c>
      <c r="Z677" s="37">
        <f>'03_原始数据'!C677-0.665*'03_原始数据'!B677-OtherCost</f>
        <v/>
      </c>
      <c r="AA677" s="37">
        <f>'03_原始数据'!C677-0.67*'03_原始数据'!B677-OtherCost</f>
        <v/>
      </c>
      <c r="AB677" s="37">
        <f>'03_原始数据'!C677-0.675*'03_原始数据'!B677-OtherCost</f>
        <v/>
      </c>
      <c r="AC677" s="37">
        <f>'03_原始数据'!C677-0.68*'03_原始数据'!B677-OtherCost</f>
        <v/>
      </c>
      <c r="AD677" s="37">
        <f>'03_原始数据'!C677-0.685*'03_原始数据'!B677-OtherCost</f>
        <v/>
      </c>
      <c r="AE677" s="37">
        <f>'03_原始数据'!C677-0.69*'03_原始数据'!B677-OtherCost</f>
        <v/>
      </c>
      <c r="AF677" s="37">
        <f>'03_原始数据'!C677-0.695*'03_原始数据'!B677-OtherCost</f>
        <v/>
      </c>
      <c r="AG677" s="37">
        <f>'03_原始数据'!C677-0.7*'03_原始数据'!B677-OtherCost</f>
        <v/>
      </c>
    </row>
    <row r="678">
      <c r="M678" s="37">
        <f>'03_原始数据'!C678-0.6*'03_原始数据'!B678-OtherCost</f>
        <v/>
      </c>
      <c r="N678" s="37">
        <f>'03_原始数据'!C678-0.605*'03_原始数据'!B678-OtherCost</f>
        <v/>
      </c>
      <c r="O678" s="37">
        <f>'03_原始数据'!C678-0.61*'03_原始数据'!B678-OtherCost</f>
        <v/>
      </c>
      <c r="P678" s="37">
        <f>'03_原始数据'!C678-0.615*'03_原始数据'!B678-OtherCost</f>
        <v/>
      </c>
      <c r="Q678" s="37">
        <f>'03_原始数据'!C678-0.62*'03_原始数据'!B678-OtherCost</f>
        <v/>
      </c>
      <c r="R678" s="37">
        <f>'03_原始数据'!C678-0.625*'03_原始数据'!B678-OtherCost</f>
        <v/>
      </c>
      <c r="S678" s="37">
        <f>'03_原始数据'!C678-0.63*'03_原始数据'!B678-OtherCost</f>
        <v/>
      </c>
      <c r="T678" s="37">
        <f>'03_原始数据'!C678-0.635*'03_原始数据'!B678-OtherCost</f>
        <v/>
      </c>
      <c r="U678" s="37">
        <f>'03_原始数据'!C678-0.64*'03_原始数据'!B678-OtherCost</f>
        <v/>
      </c>
      <c r="V678" s="37">
        <f>'03_原始数据'!C678-0.645*'03_原始数据'!B678-OtherCost</f>
        <v/>
      </c>
      <c r="W678" s="37">
        <f>'03_原始数据'!C678-0.65*'03_原始数据'!B678-OtherCost</f>
        <v/>
      </c>
      <c r="X678" s="37">
        <f>'03_原始数据'!C678-0.655*'03_原始数据'!B678-OtherCost</f>
        <v/>
      </c>
      <c r="Y678" s="37">
        <f>'03_原始数据'!C678-0.66*'03_原始数据'!B678-OtherCost</f>
        <v/>
      </c>
      <c r="Z678" s="37">
        <f>'03_原始数据'!C678-0.665*'03_原始数据'!B678-OtherCost</f>
        <v/>
      </c>
      <c r="AA678" s="37">
        <f>'03_原始数据'!C678-0.67*'03_原始数据'!B678-OtherCost</f>
        <v/>
      </c>
      <c r="AB678" s="37">
        <f>'03_原始数据'!C678-0.675*'03_原始数据'!B678-OtherCost</f>
        <v/>
      </c>
      <c r="AC678" s="37">
        <f>'03_原始数据'!C678-0.68*'03_原始数据'!B678-OtherCost</f>
        <v/>
      </c>
      <c r="AD678" s="37">
        <f>'03_原始数据'!C678-0.685*'03_原始数据'!B678-OtherCost</f>
        <v/>
      </c>
      <c r="AE678" s="37">
        <f>'03_原始数据'!C678-0.69*'03_原始数据'!B678-OtherCost</f>
        <v/>
      </c>
      <c r="AF678" s="37">
        <f>'03_原始数据'!C678-0.695*'03_原始数据'!B678-OtherCost</f>
        <v/>
      </c>
      <c r="AG678" s="37">
        <f>'03_原始数据'!C678-0.7*'03_原始数据'!B678-OtherCost</f>
        <v/>
      </c>
    </row>
    <row r="679">
      <c r="M679" s="37">
        <f>'03_原始数据'!C679-0.6*'03_原始数据'!B679-OtherCost</f>
        <v/>
      </c>
      <c r="N679" s="37">
        <f>'03_原始数据'!C679-0.605*'03_原始数据'!B679-OtherCost</f>
        <v/>
      </c>
      <c r="O679" s="37">
        <f>'03_原始数据'!C679-0.61*'03_原始数据'!B679-OtherCost</f>
        <v/>
      </c>
      <c r="P679" s="37">
        <f>'03_原始数据'!C679-0.615*'03_原始数据'!B679-OtherCost</f>
        <v/>
      </c>
      <c r="Q679" s="37">
        <f>'03_原始数据'!C679-0.62*'03_原始数据'!B679-OtherCost</f>
        <v/>
      </c>
      <c r="R679" s="37">
        <f>'03_原始数据'!C679-0.625*'03_原始数据'!B679-OtherCost</f>
        <v/>
      </c>
      <c r="S679" s="37">
        <f>'03_原始数据'!C679-0.63*'03_原始数据'!B679-OtherCost</f>
        <v/>
      </c>
      <c r="T679" s="37">
        <f>'03_原始数据'!C679-0.635*'03_原始数据'!B679-OtherCost</f>
        <v/>
      </c>
      <c r="U679" s="37">
        <f>'03_原始数据'!C679-0.64*'03_原始数据'!B679-OtherCost</f>
        <v/>
      </c>
      <c r="V679" s="37">
        <f>'03_原始数据'!C679-0.645*'03_原始数据'!B679-OtherCost</f>
        <v/>
      </c>
      <c r="W679" s="37">
        <f>'03_原始数据'!C679-0.65*'03_原始数据'!B679-OtherCost</f>
        <v/>
      </c>
      <c r="X679" s="37">
        <f>'03_原始数据'!C679-0.655*'03_原始数据'!B679-OtherCost</f>
        <v/>
      </c>
      <c r="Y679" s="37">
        <f>'03_原始数据'!C679-0.66*'03_原始数据'!B679-OtherCost</f>
        <v/>
      </c>
      <c r="Z679" s="37">
        <f>'03_原始数据'!C679-0.665*'03_原始数据'!B679-OtherCost</f>
        <v/>
      </c>
      <c r="AA679" s="37">
        <f>'03_原始数据'!C679-0.67*'03_原始数据'!B679-OtherCost</f>
        <v/>
      </c>
      <c r="AB679" s="37">
        <f>'03_原始数据'!C679-0.675*'03_原始数据'!B679-OtherCost</f>
        <v/>
      </c>
      <c r="AC679" s="37">
        <f>'03_原始数据'!C679-0.68*'03_原始数据'!B679-OtherCost</f>
        <v/>
      </c>
      <c r="AD679" s="37">
        <f>'03_原始数据'!C679-0.685*'03_原始数据'!B679-OtherCost</f>
        <v/>
      </c>
      <c r="AE679" s="37">
        <f>'03_原始数据'!C679-0.69*'03_原始数据'!B679-OtherCost</f>
        <v/>
      </c>
      <c r="AF679" s="37">
        <f>'03_原始数据'!C679-0.695*'03_原始数据'!B679-OtherCost</f>
        <v/>
      </c>
      <c r="AG679" s="37">
        <f>'03_原始数据'!C679-0.7*'03_原始数据'!B679-OtherCost</f>
        <v/>
      </c>
    </row>
    <row r="680">
      <c r="M680" s="37">
        <f>'03_原始数据'!C680-0.6*'03_原始数据'!B680-OtherCost</f>
        <v/>
      </c>
      <c r="N680" s="37">
        <f>'03_原始数据'!C680-0.605*'03_原始数据'!B680-OtherCost</f>
        <v/>
      </c>
      <c r="O680" s="37">
        <f>'03_原始数据'!C680-0.61*'03_原始数据'!B680-OtherCost</f>
        <v/>
      </c>
      <c r="P680" s="37">
        <f>'03_原始数据'!C680-0.615*'03_原始数据'!B680-OtherCost</f>
        <v/>
      </c>
      <c r="Q680" s="37">
        <f>'03_原始数据'!C680-0.62*'03_原始数据'!B680-OtherCost</f>
        <v/>
      </c>
      <c r="R680" s="37">
        <f>'03_原始数据'!C680-0.625*'03_原始数据'!B680-OtherCost</f>
        <v/>
      </c>
      <c r="S680" s="37">
        <f>'03_原始数据'!C680-0.63*'03_原始数据'!B680-OtherCost</f>
        <v/>
      </c>
      <c r="T680" s="37">
        <f>'03_原始数据'!C680-0.635*'03_原始数据'!B680-OtherCost</f>
        <v/>
      </c>
      <c r="U680" s="37">
        <f>'03_原始数据'!C680-0.64*'03_原始数据'!B680-OtherCost</f>
        <v/>
      </c>
      <c r="V680" s="37">
        <f>'03_原始数据'!C680-0.645*'03_原始数据'!B680-OtherCost</f>
        <v/>
      </c>
      <c r="W680" s="37">
        <f>'03_原始数据'!C680-0.65*'03_原始数据'!B680-OtherCost</f>
        <v/>
      </c>
      <c r="X680" s="37">
        <f>'03_原始数据'!C680-0.655*'03_原始数据'!B680-OtherCost</f>
        <v/>
      </c>
      <c r="Y680" s="37">
        <f>'03_原始数据'!C680-0.66*'03_原始数据'!B680-OtherCost</f>
        <v/>
      </c>
      <c r="Z680" s="37">
        <f>'03_原始数据'!C680-0.665*'03_原始数据'!B680-OtherCost</f>
        <v/>
      </c>
      <c r="AA680" s="37">
        <f>'03_原始数据'!C680-0.67*'03_原始数据'!B680-OtherCost</f>
        <v/>
      </c>
      <c r="AB680" s="37">
        <f>'03_原始数据'!C680-0.675*'03_原始数据'!B680-OtherCost</f>
        <v/>
      </c>
      <c r="AC680" s="37">
        <f>'03_原始数据'!C680-0.68*'03_原始数据'!B680-OtherCost</f>
        <v/>
      </c>
      <c r="AD680" s="37">
        <f>'03_原始数据'!C680-0.685*'03_原始数据'!B680-OtherCost</f>
        <v/>
      </c>
      <c r="AE680" s="37">
        <f>'03_原始数据'!C680-0.69*'03_原始数据'!B680-OtherCost</f>
        <v/>
      </c>
      <c r="AF680" s="37">
        <f>'03_原始数据'!C680-0.695*'03_原始数据'!B680-OtherCost</f>
        <v/>
      </c>
      <c r="AG680" s="37">
        <f>'03_原始数据'!C680-0.7*'03_原始数据'!B680-OtherCost</f>
        <v/>
      </c>
    </row>
    <row r="681">
      <c r="M681" s="37">
        <f>'03_原始数据'!C681-0.6*'03_原始数据'!B681-OtherCost</f>
        <v/>
      </c>
      <c r="N681" s="37">
        <f>'03_原始数据'!C681-0.605*'03_原始数据'!B681-OtherCost</f>
        <v/>
      </c>
      <c r="O681" s="37">
        <f>'03_原始数据'!C681-0.61*'03_原始数据'!B681-OtherCost</f>
        <v/>
      </c>
      <c r="P681" s="37">
        <f>'03_原始数据'!C681-0.615*'03_原始数据'!B681-OtherCost</f>
        <v/>
      </c>
      <c r="Q681" s="37">
        <f>'03_原始数据'!C681-0.62*'03_原始数据'!B681-OtherCost</f>
        <v/>
      </c>
      <c r="R681" s="37">
        <f>'03_原始数据'!C681-0.625*'03_原始数据'!B681-OtherCost</f>
        <v/>
      </c>
      <c r="S681" s="37">
        <f>'03_原始数据'!C681-0.63*'03_原始数据'!B681-OtherCost</f>
        <v/>
      </c>
      <c r="T681" s="37">
        <f>'03_原始数据'!C681-0.635*'03_原始数据'!B681-OtherCost</f>
        <v/>
      </c>
      <c r="U681" s="37">
        <f>'03_原始数据'!C681-0.64*'03_原始数据'!B681-OtherCost</f>
        <v/>
      </c>
      <c r="V681" s="37">
        <f>'03_原始数据'!C681-0.645*'03_原始数据'!B681-OtherCost</f>
        <v/>
      </c>
      <c r="W681" s="37">
        <f>'03_原始数据'!C681-0.65*'03_原始数据'!B681-OtherCost</f>
        <v/>
      </c>
      <c r="X681" s="37">
        <f>'03_原始数据'!C681-0.655*'03_原始数据'!B681-OtherCost</f>
        <v/>
      </c>
      <c r="Y681" s="37">
        <f>'03_原始数据'!C681-0.66*'03_原始数据'!B681-OtherCost</f>
        <v/>
      </c>
      <c r="Z681" s="37">
        <f>'03_原始数据'!C681-0.665*'03_原始数据'!B681-OtherCost</f>
        <v/>
      </c>
      <c r="AA681" s="37">
        <f>'03_原始数据'!C681-0.67*'03_原始数据'!B681-OtherCost</f>
        <v/>
      </c>
      <c r="AB681" s="37">
        <f>'03_原始数据'!C681-0.675*'03_原始数据'!B681-OtherCost</f>
        <v/>
      </c>
      <c r="AC681" s="37">
        <f>'03_原始数据'!C681-0.68*'03_原始数据'!B681-OtherCost</f>
        <v/>
      </c>
      <c r="AD681" s="37">
        <f>'03_原始数据'!C681-0.685*'03_原始数据'!B681-OtherCost</f>
        <v/>
      </c>
      <c r="AE681" s="37">
        <f>'03_原始数据'!C681-0.69*'03_原始数据'!B681-OtherCost</f>
        <v/>
      </c>
      <c r="AF681" s="37">
        <f>'03_原始数据'!C681-0.695*'03_原始数据'!B681-OtherCost</f>
        <v/>
      </c>
      <c r="AG681" s="37">
        <f>'03_原始数据'!C681-0.7*'03_原始数据'!B681-OtherCost</f>
        <v/>
      </c>
    </row>
    <row r="682">
      <c r="M682" s="37">
        <f>'03_原始数据'!C682-0.6*'03_原始数据'!B682-OtherCost</f>
        <v/>
      </c>
      <c r="N682" s="37">
        <f>'03_原始数据'!C682-0.605*'03_原始数据'!B682-OtherCost</f>
        <v/>
      </c>
      <c r="O682" s="37">
        <f>'03_原始数据'!C682-0.61*'03_原始数据'!B682-OtherCost</f>
        <v/>
      </c>
      <c r="P682" s="37">
        <f>'03_原始数据'!C682-0.615*'03_原始数据'!B682-OtherCost</f>
        <v/>
      </c>
      <c r="Q682" s="37">
        <f>'03_原始数据'!C682-0.62*'03_原始数据'!B682-OtherCost</f>
        <v/>
      </c>
      <c r="R682" s="37">
        <f>'03_原始数据'!C682-0.625*'03_原始数据'!B682-OtherCost</f>
        <v/>
      </c>
      <c r="S682" s="37">
        <f>'03_原始数据'!C682-0.63*'03_原始数据'!B682-OtherCost</f>
        <v/>
      </c>
      <c r="T682" s="37">
        <f>'03_原始数据'!C682-0.635*'03_原始数据'!B682-OtherCost</f>
        <v/>
      </c>
      <c r="U682" s="37">
        <f>'03_原始数据'!C682-0.64*'03_原始数据'!B682-OtherCost</f>
        <v/>
      </c>
      <c r="V682" s="37">
        <f>'03_原始数据'!C682-0.645*'03_原始数据'!B682-OtherCost</f>
        <v/>
      </c>
      <c r="W682" s="37">
        <f>'03_原始数据'!C682-0.65*'03_原始数据'!B682-OtherCost</f>
        <v/>
      </c>
      <c r="X682" s="37">
        <f>'03_原始数据'!C682-0.655*'03_原始数据'!B682-OtherCost</f>
        <v/>
      </c>
      <c r="Y682" s="37">
        <f>'03_原始数据'!C682-0.66*'03_原始数据'!B682-OtherCost</f>
        <v/>
      </c>
      <c r="Z682" s="37">
        <f>'03_原始数据'!C682-0.665*'03_原始数据'!B682-OtherCost</f>
        <v/>
      </c>
      <c r="AA682" s="37">
        <f>'03_原始数据'!C682-0.67*'03_原始数据'!B682-OtherCost</f>
        <v/>
      </c>
      <c r="AB682" s="37">
        <f>'03_原始数据'!C682-0.675*'03_原始数据'!B682-OtherCost</f>
        <v/>
      </c>
      <c r="AC682" s="37">
        <f>'03_原始数据'!C682-0.68*'03_原始数据'!B682-OtherCost</f>
        <v/>
      </c>
      <c r="AD682" s="37">
        <f>'03_原始数据'!C682-0.685*'03_原始数据'!B682-OtherCost</f>
        <v/>
      </c>
      <c r="AE682" s="37">
        <f>'03_原始数据'!C682-0.69*'03_原始数据'!B682-OtherCost</f>
        <v/>
      </c>
      <c r="AF682" s="37">
        <f>'03_原始数据'!C682-0.695*'03_原始数据'!B682-OtherCost</f>
        <v/>
      </c>
      <c r="AG682" s="37">
        <f>'03_原始数据'!C682-0.7*'03_原始数据'!B682-OtherCost</f>
        <v/>
      </c>
    </row>
    <row r="683">
      <c r="M683" s="37">
        <f>'03_原始数据'!C683-0.6*'03_原始数据'!B683-OtherCost</f>
        <v/>
      </c>
      <c r="N683" s="37">
        <f>'03_原始数据'!C683-0.605*'03_原始数据'!B683-OtherCost</f>
        <v/>
      </c>
      <c r="O683" s="37">
        <f>'03_原始数据'!C683-0.61*'03_原始数据'!B683-OtherCost</f>
        <v/>
      </c>
      <c r="P683" s="37">
        <f>'03_原始数据'!C683-0.615*'03_原始数据'!B683-OtherCost</f>
        <v/>
      </c>
      <c r="Q683" s="37">
        <f>'03_原始数据'!C683-0.62*'03_原始数据'!B683-OtherCost</f>
        <v/>
      </c>
      <c r="R683" s="37">
        <f>'03_原始数据'!C683-0.625*'03_原始数据'!B683-OtherCost</f>
        <v/>
      </c>
      <c r="S683" s="37">
        <f>'03_原始数据'!C683-0.63*'03_原始数据'!B683-OtherCost</f>
        <v/>
      </c>
      <c r="T683" s="37">
        <f>'03_原始数据'!C683-0.635*'03_原始数据'!B683-OtherCost</f>
        <v/>
      </c>
      <c r="U683" s="37">
        <f>'03_原始数据'!C683-0.64*'03_原始数据'!B683-OtherCost</f>
        <v/>
      </c>
      <c r="V683" s="37">
        <f>'03_原始数据'!C683-0.645*'03_原始数据'!B683-OtherCost</f>
        <v/>
      </c>
      <c r="W683" s="37">
        <f>'03_原始数据'!C683-0.65*'03_原始数据'!B683-OtherCost</f>
        <v/>
      </c>
      <c r="X683" s="37">
        <f>'03_原始数据'!C683-0.655*'03_原始数据'!B683-OtherCost</f>
        <v/>
      </c>
      <c r="Y683" s="37">
        <f>'03_原始数据'!C683-0.66*'03_原始数据'!B683-OtherCost</f>
        <v/>
      </c>
      <c r="Z683" s="37">
        <f>'03_原始数据'!C683-0.665*'03_原始数据'!B683-OtherCost</f>
        <v/>
      </c>
      <c r="AA683" s="37">
        <f>'03_原始数据'!C683-0.67*'03_原始数据'!B683-OtherCost</f>
        <v/>
      </c>
      <c r="AB683" s="37">
        <f>'03_原始数据'!C683-0.675*'03_原始数据'!B683-OtherCost</f>
        <v/>
      </c>
      <c r="AC683" s="37">
        <f>'03_原始数据'!C683-0.68*'03_原始数据'!B683-OtherCost</f>
        <v/>
      </c>
      <c r="AD683" s="37">
        <f>'03_原始数据'!C683-0.685*'03_原始数据'!B683-OtherCost</f>
        <v/>
      </c>
      <c r="AE683" s="37">
        <f>'03_原始数据'!C683-0.69*'03_原始数据'!B683-OtherCost</f>
        <v/>
      </c>
      <c r="AF683" s="37">
        <f>'03_原始数据'!C683-0.695*'03_原始数据'!B683-OtherCost</f>
        <v/>
      </c>
      <c r="AG683" s="37">
        <f>'03_原始数据'!C683-0.7*'03_原始数据'!B683-OtherCost</f>
        <v/>
      </c>
    </row>
    <row r="684">
      <c r="M684" s="37">
        <f>'03_原始数据'!C684-0.6*'03_原始数据'!B684-OtherCost</f>
        <v/>
      </c>
      <c r="N684" s="37">
        <f>'03_原始数据'!C684-0.605*'03_原始数据'!B684-OtherCost</f>
        <v/>
      </c>
      <c r="O684" s="37">
        <f>'03_原始数据'!C684-0.61*'03_原始数据'!B684-OtherCost</f>
        <v/>
      </c>
      <c r="P684" s="37">
        <f>'03_原始数据'!C684-0.615*'03_原始数据'!B684-OtherCost</f>
        <v/>
      </c>
      <c r="Q684" s="37">
        <f>'03_原始数据'!C684-0.62*'03_原始数据'!B684-OtherCost</f>
        <v/>
      </c>
      <c r="R684" s="37">
        <f>'03_原始数据'!C684-0.625*'03_原始数据'!B684-OtherCost</f>
        <v/>
      </c>
      <c r="S684" s="37">
        <f>'03_原始数据'!C684-0.63*'03_原始数据'!B684-OtherCost</f>
        <v/>
      </c>
      <c r="T684" s="37">
        <f>'03_原始数据'!C684-0.635*'03_原始数据'!B684-OtherCost</f>
        <v/>
      </c>
      <c r="U684" s="37">
        <f>'03_原始数据'!C684-0.64*'03_原始数据'!B684-OtherCost</f>
        <v/>
      </c>
      <c r="V684" s="37">
        <f>'03_原始数据'!C684-0.645*'03_原始数据'!B684-OtherCost</f>
        <v/>
      </c>
      <c r="W684" s="37">
        <f>'03_原始数据'!C684-0.65*'03_原始数据'!B684-OtherCost</f>
        <v/>
      </c>
      <c r="X684" s="37">
        <f>'03_原始数据'!C684-0.655*'03_原始数据'!B684-OtherCost</f>
        <v/>
      </c>
      <c r="Y684" s="37">
        <f>'03_原始数据'!C684-0.66*'03_原始数据'!B684-OtherCost</f>
        <v/>
      </c>
      <c r="Z684" s="37">
        <f>'03_原始数据'!C684-0.665*'03_原始数据'!B684-OtherCost</f>
        <v/>
      </c>
      <c r="AA684" s="37">
        <f>'03_原始数据'!C684-0.67*'03_原始数据'!B684-OtherCost</f>
        <v/>
      </c>
      <c r="AB684" s="37">
        <f>'03_原始数据'!C684-0.675*'03_原始数据'!B684-OtherCost</f>
        <v/>
      </c>
      <c r="AC684" s="37">
        <f>'03_原始数据'!C684-0.68*'03_原始数据'!B684-OtherCost</f>
        <v/>
      </c>
      <c r="AD684" s="37">
        <f>'03_原始数据'!C684-0.685*'03_原始数据'!B684-OtherCost</f>
        <v/>
      </c>
      <c r="AE684" s="37">
        <f>'03_原始数据'!C684-0.69*'03_原始数据'!B684-OtherCost</f>
        <v/>
      </c>
      <c r="AF684" s="37">
        <f>'03_原始数据'!C684-0.695*'03_原始数据'!B684-OtherCost</f>
        <v/>
      </c>
      <c r="AG684" s="37">
        <f>'03_原始数据'!C684-0.7*'03_原始数据'!B684-OtherCost</f>
        <v/>
      </c>
    </row>
    <row r="685">
      <c r="M685" s="37">
        <f>'03_原始数据'!C685-0.6*'03_原始数据'!B685-OtherCost</f>
        <v/>
      </c>
      <c r="N685" s="37">
        <f>'03_原始数据'!C685-0.605*'03_原始数据'!B685-OtherCost</f>
        <v/>
      </c>
      <c r="O685" s="37">
        <f>'03_原始数据'!C685-0.61*'03_原始数据'!B685-OtherCost</f>
        <v/>
      </c>
      <c r="P685" s="37">
        <f>'03_原始数据'!C685-0.615*'03_原始数据'!B685-OtherCost</f>
        <v/>
      </c>
      <c r="Q685" s="37">
        <f>'03_原始数据'!C685-0.62*'03_原始数据'!B685-OtherCost</f>
        <v/>
      </c>
      <c r="R685" s="37">
        <f>'03_原始数据'!C685-0.625*'03_原始数据'!B685-OtherCost</f>
        <v/>
      </c>
      <c r="S685" s="37">
        <f>'03_原始数据'!C685-0.63*'03_原始数据'!B685-OtherCost</f>
        <v/>
      </c>
      <c r="T685" s="37">
        <f>'03_原始数据'!C685-0.635*'03_原始数据'!B685-OtherCost</f>
        <v/>
      </c>
      <c r="U685" s="37">
        <f>'03_原始数据'!C685-0.64*'03_原始数据'!B685-OtherCost</f>
        <v/>
      </c>
      <c r="V685" s="37">
        <f>'03_原始数据'!C685-0.645*'03_原始数据'!B685-OtherCost</f>
        <v/>
      </c>
      <c r="W685" s="37">
        <f>'03_原始数据'!C685-0.65*'03_原始数据'!B685-OtherCost</f>
        <v/>
      </c>
      <c r="X685" s="37">
        <f>'03_原始数据'!C685-0.655*'03_原始数据'!B685-OtherCost</f>
        <v/>
      </c>
      <c r="Y685" s="37">
        <f>'03_原始数据'!C685-0.66*'03_原始数据'!B685-OtherCost</f>
        <v/>
      </c>
      <c r="Z685" s="37">
        <f>'03_原始数据'!C685-0.665*'03_原始数据'!B685-OtherCost</f>
        <v/>
      </c>
      <c r="AA685" s="37">
        <f>'03_原始数据'!C685-0.67*'03_原始数据'!B685-OtherCost</f>
        <v/>
      </c>
      <c r="AB685" s="37">
        <f>'03_原始数据'!C685-0.675*'03_原始数据'!B685-OtherCost</f>
        <v/>
      </c>
      <c r="AC685" s="37">
        <f>'03_原始数据'!C685-0.68*'03_原始数据'!B685-OtherCost</f>
        <v/>
      </c>
      <c r="AD685" s="37">
        <f>'03_原始数据'!C685-0.685*'03_原始数据'!B685-OtherCost</f>
        <v/>
      </c>
      <c r="AE685" s="37">
        <f>'03_原始数据'!C685-0.69*'03_原始数据'!B685-OtherCost</f>
        <v/>
      </c>
      <c r="AF685" s="37">
        <f>'03_原始数据'!C685-0.695*'03_原始数据'!B685-OtherCost</f>
        <v/>
      </c>
      <c r="AG685" s="37">
        <f>'03_原始数据'!C685-0.7*'03_原始数据'!B685-OtherCost</f>
        <v/>
      </c>
    </row>
    <row r="686">
      <c r="M686" s="37">
        <f>'03_原始数据'!C686-0.6*'03_原始数据'!B686-OtherCost</f>
        <v/>
      </c>
      <c r="N686" s="37">
        <f>'03_原始数据'!C686-0.605*'03_原始数据'!B686-OtherCost</f>
        <v/>
      </c>
      <c r="O686" s="37">
        <f>'03_原始数据'!C686-0.61*'03_原始数据'!B686-OtherCost</f>
        <v/>
      </c>
      <c r="P686" s="37">
        <f>'03_原始数据'!C686-0.615*'03_原始数据'!B686-OtherCost</f>
        <v/>
      </c>
      <c r="Q686" s="37">
        <f>'03_原始数据'!C686-0.62*'03_原始数据'!B686-OtherCost</f>
        <v/>
      </c>
      <c r="R686" s="37">
        <f>'03_原始数据'!C686-0.625*'03_原始数据'!B686-OtherCost</f>
        <v/>
      </c>
      <c r="S686" s="37">
        <f>'03_原始数据'!C686-0.63*'03_原始数据'!B686-OtherCost</f>
        <v/>
      </c>
      <c r="T686" s="37">
        <f>'03_原始数据'!C686-0.635*'03_原始数据'!B686-OtherCost</f>
        <v/>
      </c>
      <c r="U686" s="37">
        <f>'03_原始数据'!C686-0.64*'03_原始数据'!B686-OtherCost</f>
        <v/>
      </c>
      <c r="V686" s="37">
        <f>'03_原始数据'!C686-0.645*'03_原始数据'!B686-OtherCost</f>
        <v/>
      </c>
      <c r="W686" s="37">
        <f>'03_原始数据'!C686-0.65*'03_原始数据'!B686-OtherCost</f>
        <v/>
      </c>
      <c r="X686" s="37">
        <f>'03_原始数据'!C686-0.655*'03_原始数据'!B686-OtherCost</f>
        <v/>
      </c>
      <c r="Y686" s="37">
        <f>'03_原始数据'!C686-0.66*'03_原始数据'!B686-OtherCost</f>
        <v/>
      </c>
      <c r="Z686" s="37">
        <f>'03_原始数据'!C686-0.665*'03_原始数据'!B686-OtherCost</f>
        <v/>
      </c>
      <c r="AA686" s="37">
        <f>'03_原始数据'!C686-0.67*'03_原始数据'!B686-OtherCost</f>
        <v/>
      </c>
      <c r="AB686" s="37">
        <f>'03_原始数据'!C686-0.675*'03_原始数据'!B686-OtherCost</f>
        <v/>
      </c>
      <c r="AC686" s="37">
        <f>'03_原始数据'!C686-0.68*'03_原始数据'!B686-OtherCost</f>
        <v/>
      </c>
      <c r="AD686" s="37">
        <f>'03_原始数据'!C686-0.685*'03_原始数据'!B686-OtherCost</f>
        <v/>
      </c>
      <c r="AE686" s="37">
        <f>'03_原始数据'!C686-0.69*'03_原始数据'!B686-OtherCost</f>
        <v/>
      </c>
      <c r="AF686" s="37">
        <f>'03_原始数据'!C686-0.695*'03_原始数据'!B686-OtherCost</f>
        <v/>
      </c>
      <c r="AG686" s="37">
        <f>'03_原始数据'!C686-0.7*'03_原始数据'!B686-OtherCost</f>
        <v/>
      </c>
    </row>
    <row r="687">
      <c r="M687" s="37">
        <f>'03_原始数据'!C687-0.6*'03_原始数据'!B687-OtherCost</f>
        <v/>
      </c>
      <c r="N687" s="37">
        <f>'03_原始数据'!C687-0.605*'03_原始数据'!B687-OtherCost</f>
        <v/>
      </c>
      <c r="O687" s="37">
        <f>'03_原始数据'!C687-0.61*'03_原始数据'!B687-OtherCost</f>
        <v/>
      </c>
      <c r="P687" s="37">
        <f>'03_原始数据'!C687-0.615*'03_原始数据'!B687-OtherCost</f>
        <v/>
      </c>
      <c r="Q687" s="37">
        <f>'03_原始数据'!C687-0.62*'03_原始数据'!B687-OtherCost</f>
        <v/>
      </c>
      <c r="R687" s="37">
        <f>'03_原始数据'!C687-0.625*'03_原始数据'!B687-OtherCost</f>
        <v/>
      </c>
      <c r="S687" s="37">
        <f>'03_原始数据'!C687-0.63*'03_原始数据'!B687-OtherCost</f>
        <v/>
      </c>
      <c r="T687" s="37">
        <f>'03_原始数据'!C687-0.635*'03_原始数据'!B687-OtherCost</f>
        <v/>
      </c>
      <c r="U687" s="37">
        <f>'03_原始数据'!C687-0.64*'03_原始数据'!B687-OtherCost</f>
        <v/>
      </c>
      <c r="V687" s="37">
        <f>'03_原始数据'!C687-0.645*'03_原始数据'!B687-OtherCost</f>
        <v/>
      </c>
      <c r="W687" s="37">
        <f>'03_原始数据'!C687-0.65*'03_原始数据'!B687-OtherCost</f>
        <v/>
      </c>
      <c r="X687" s="37">
        <f>'03_原始数据'!C687-0.655*'03_原始数据'!B687-OtherCost</f>
        <v/>
      </c>
      <c r="Y687" s="37">
        <f>'03_原始数据'!C687-0.66*'03_原始数据'!B687-OtherCost</f>
        <v/>
      </c>
      <c r="Z687" s="37">
        <f>'03_原始数据'!C687-0.665*'03_原始数据'!B687-OtherCost</f>
        <v/>
      </c>
      <c r="AA687" s="37">
        <f>'03_原始数据'!C687-0.67*'03_原始数据'!B687-OtherCost</f>
        <v/>
      </c>
      <c r="AB687" s="37">
        <f>'03_原始数据'!C687-0.675*'03_原始数据'!B687-OtherCost</f>
        <v/>
      </c>
      <c r="AC687" s="37">
        <f>'03_原始数据'!C687-0.68*'03_原始数据'!B687-OtherCost</f>
        <v/>
      </c>
      <c r="AD687" s="37">
        <f>'03_原始数据'!C687-0.685*'03_原始数据'!B687-OtherCost</f>
        <v/>
      </c>
      <c r="AE687" s="37">
        <f>'03_原始数据'!C687-0.69*'03_原始数据'!B687-OtherCost</f>
        <v/>
      </c>
      <c r="AF687" s="37">
        <f>'03_原始数据'!C687-0.695*'03_原始数据'!B687-OtherCost</f>
        <v/>
      </c>
      <c r="AG687" s="37">
        <f>'03_原始数据'!C687-0.7*'03_原始数据'!B687-OtherCost</f>
        <v/>
      </c>
    </row>
    <row r="688">
      <c r="M688" s="37">
        <f>'03_原始数据'!C688-0.6*'03_原始数据'!B688-OtherCost</f>
        <v/>
      </c>
      <c r="N688" s="37">
        <f>'03_原始数据'!C688-0.605*'03_原始数据'!B688-OtherCost</f>
        <v/>
      </c>
      <c r="O688" s="37">
        <f>'03_原始数据'!C688-0.61*'03_原始数据'!B688-OtherCost</f>
        <v/>
      </c>
      <c r="P688" s="37">
        <f>'03_原始数据'!C688-0.615*'03_原始数据'!B688-OtherCost</f>
        <v/>
      </c>
      <c r="Q688" s="37">
        <f>'03_原始数据'!C688-0.62*'03_原始数据'!B688-OtherCost</f>
        <v/>
      </c>
      <c r="R688" s="37">
        <f>'03_原始数据'!C688-0.625*'03_原始数据'!B688-OtherCost</f>
        <v/>
      </c>
      <c r="S688" s="37">
        <f>'03_原始数据'!C688-0.63*'03_原始数据'!B688-OtherCost</f>
        <v/>
      </c>
      <c r="T688" s="37">
        <f>'03_原始数据'!C688-0.635*'03_原始数据'!B688-OtherCost</f>
        <v/>
      </c>
      <c r="U688" s="37">
        <f>'03_原始数据'!C688-0.64*'03_原始数据'!B688-OtherCost</f>
        <v/>
      </c>
      <c r="V688" s="37">
        <f>'03_原始数据'!C688-0.645*'03_原始数据'!B688-OtherCost</f>
        <v/>
      </c>
      <c r="W688" s="37">
        <f>'03_原始数据'!C688-0.65*'03_原始数据'!B688-OtherCost</f>
        <v/>
      </c>
      <c r="X688" s="37">
        <f>'03_原始数据'!C688-0.655*'03_原始数据'!B688-OtherCost</f>
        <v/>
      </c>
      <c r="Y688" s="37">
        <f>'03_原始数据'!C688-0.66*'03_原始数据'!B688-OtherCost</f>
        <v/>
      </c>
      <c r="Z688" s="37">
        <f>'03_原始数据'!C688-0.665*'03_原始数据'!B688-OtherCost</f>
        <v/>
      </c>
      <c r="AA688" s="37">
        <f>'03_原始数据'!C688-0.67*'03_原始数据'!B688-OtherCost</f>
        <v/>
      </c>
      <c r="AB688" s="37">
        <f>'03_原始数据'!C688-0.675*'03_原始数据'!B688-OtherCost</f>
        <v/>
      </c>
      <c r="AC688" s="37">
        <f>'03_原始数据'!C688-0.68*'03_原始数据'!B688-OtherCost</f>
        <v/>
      </c>
      <c r="AD688" s="37">
        <f>'03_原始数据'!C688-0.685*'03_原始数据'!B688-OtherCost</f>
        <v/>
      </c>
      <c r="AE688" s="37">
        <f>'03_原始数据'!C688-0.69*'03_原始数据'!B688-OtherCost</f>
        <v/>
      </c>
      <c r="AF688" s="37">
        <f>'03_原始数据'!C688-0.695*'03_原始数据'!B688-OtherCost</f>
        <v/>
      </c>
      <c r="AG688" s="37">
        <f>'03_原始数据'!C688-0.7*'03_原始数据'!B688-OtherCost</f>
        <v/>
      </c>
    </row>
    <row r="689">
      <c r="M689" s="37">
        <f>'03_原始数据'!C689-0.6*'03_原始数据'!B689-OtherCost</f>
        <v/>
      </c>
      <c r="N689" s="37">
        <f>'03_原始数据'!C689-0.605*'03_原始数据'!B689-OtherCost</f>
        <v/>
      </c>
      <c r="O689" s="37">
        <f>'03_原始数据'!C689-0.61*'03_原始数据'!B689-OtherCost</f>
        <v/>
      </c>
      <c r="P689" s="37">
        <f>'03_原始数据'!C689-0.615*'03_原始数据'!B689-OtherCost</f>
        <v/>
      </c>
      <c r="Q689" s="37">
        <f>'03_原始数据'!C689-0.62*'03_原始数据'!B689-OtherCost</f>
        <v/>
      </c>
      <c r="R689" s="37">
        <f>'03_原始数据'!C689-0.625*'03_原始数据'!B689-OtherCost</f>
        <v/>
      </c>
      <c r="S689" s="37">
        <f>'03_原始数据'!C689-0.63*'03_原始数据'!B689-OtherCost</f>
        <v/>
      </c>
      <c r="T689" s="37">
        <f>'03_原始数据'!C689-0.635*'03_原始数据'!B689-OtherCost</f>
        <v/>
      </c>
      <c r="U689" s="37">
        <f>'03_原始数据'!C689-0.64*'03_原始数据'!B689-OtherCost</f>
        <v/>
      </c>
      <c r="V689" s="37">
        <f>'03_原始数据'!C689-0.645*'03_原始数据'!B689-OtherCost</f>
        <v/>
      </c>
      <c r="W689" s="37">
        <f>'03_原始数据'!C689-0.65*'03_原始数据'!B689-OtherCost</f>
        <v/>
      </c>
      <c r="X689" s="37">
        <f>'03_原始数据'!C689-0.655*'03_原始数据'!B689-OtherCost</f>
        <v/>
      </c>
      <c r="Y689" s="37">
        <f>'03_原始数据'!C689-0.66*'03_原始数据'!B689-OtherCost</f>
        <v/>
      </c>
      <c r="Z689" s="37">
        <f>'03_原始数据'!C689-0.665*'03_原始数据'!B689-OtherCost</f>
        <v/>
      </c>
      <c r="AA689" s="37">
        <f>'03_原始数据'!C689-0.67*'03_原始数据'!B689-OtherCost</f>
        <v/>
      </c>
      <c r="AB689" s="37">
        <f>'03_原始数据'!C689-0.675*'03_原始数据'!B689-OtherCost</f>
        <v/>
      </c>
      <c r="AC689" s="37">
        <f>'03_原始数据'!C689-0.68*'03_原始数据'!B689-OtherCost</f>
        <v/>
      </c>
      <c r="AD689" s="37">
        <f>'03_原始数据'!C689-0.685*'03_原始数据'!B689-OtherCost</f>
        <v/>
      </c>
      <c r="AE689" s="37">
        <f>'03_原始数据'!C689-0.69*'03_原始数据'!B689-OtherCost</f>
        <v/>
      </c>
      <c r="AF689" s="37">
        <f>'03_原始数据'!C689-0.695*'03_原始数据'!B689-OtherCost</f>
        <v/>
      </c>
      <c r="AG689" s="37">
        <f>'03_原始数据'!C689-0.7*'03_原始数据'!B689-OtherCost</f>
        <v/>
      </c>
    </row>
    <row r="690">
      <c r="M690" s="37">
        <f>'03_原始数据'!C690-0.6*'03_原始数据'!B690-OtherCost</f>
        <v/>
      </c>
      <c r="N690" s="37">
        <f>'03_原始数据'!C690-0.605*'03_原始数据'!B690-OtherCost</f>
        <v/>
      </c>
      <c r="O690" s="37">
        <f>'03_原始数据'!C690-0.61*'03_原始数据'!B690-OtherCost</f>
        <v/>
      </c>
      <c r="P690" s="37">
        <f>'03_原始数据'!C690-0.615*'03_原始数据'!B690-OtherCost</f>
        <v/>
      </c>
      <c r="Q690" s="37">
        <f>'03_原始数据'!C690-0.62*'03_原始数据'!B690-OtherCost</f>
        <v/>
      </c>
      <c r="R690" s="37">
        <f>'03_原始数据'!C690-0.625*'03_原始数据'!B690-OtherCost</f>
        <v/>
      </c>
      <c r="S690" s="37">
        <f>'03_原始数据'!C690-0.63*'03_原始数据'!B690-OtherCost</f>
        <v/>
      </c>
      <c r="T690" s="37">
        <f>'03_原始数据'!C690-0.635*'03_原始数据'!B690-OtherCost</f>
        <v/>
      </c>
      <c r="U690" s="37">
        <f>'03_原始数据'!C690-0.64*'03_原始数据'!B690-OtherCost</f>
        <v/>
      </c>
      <c r="V690" s="37">
        <f>'03_原始数据'!C690-0.645*'03_原始数据'!B690-OtherCost</f>
        <v/>
      </c>
      <c r="W690" s="37">
        <f>'03_原始数据'!C690-0.65*'03_原始数据'!B690-OtherCost</f>
        <v/>
      </c>
      <c r="X690" s="37">
        <f>'03_原始数据'!C690-0.655*'03_原始数据'!B690-OtherCost</f>
        <v/>
      </c>
      <c r="Y690" s="37">
        <f>'03_原始数据'!C690-0.66*'03_原始数据'!B690-OtherCost</f>
        <v/>
      </c>
      <c r="Z690" s="37">
        <f>'03_原始数据'!C690-0.665*'03_原始数据'!B690-OtherCost</f>
        <v/>
      </c>
      <c r="AA690" s="37">
        <f>'03_原始数据'!C690-0.67*'03_原始数据'!B690-OtherCost</f>
        <v/>
      </c>
      <c r="AB690" s="37">
        <f>'03_原始数据'!C690-0.675*'03_原始数据'!B690-OtherCost</f>
        <v/>
      </c>
      <c r="AC690" s="37">
        <f>'03_原始数据'!C690-0.68*'03_原始数据'!B690-OtherCost</f>
        <v/>
      </c>
      <c r="AD690" s="37">
        <f>'03_原始数据'!C690-0.685*'03_原始数据'!B690-OtherCost</f>
        <v/>
      </c>
      <c r="AE690" s="37">
        <f>'03_原始数据'!C690-0.69*'03_原始数据'!B690-OtherCost</f>
        <v/>
      </c>
      <c r="AF690" s="37">
        <f>'03_原始数据'!C690-0.695*'03_原始数据'!B690-OtherCost</f>
        <v/>
      </c>
      <c r="AG690" s="37">
        <f>'03_原始数据'!C690-0.7*'03_原始数据'!B690-OtherCost</f>
        <v/>
      </c>
    </row>
    <row r="691">
      <c r="M691" s="37">
        <f>'03_原始数据'!C691-0.6*'03_原始数据'!B691-OtherCost</f>
        <v/>
      </c>
      <c r="N691" s="37">
        <f>'03_原始数据'!C691-0.605*'03_原始数据'!B691-OtherCost</f>
        <v/>
      </c>
      <c r="O691" s="37">
        <f>'03_原始数据'!C691-0.61*'03_原始数据'!B691-OtherCost</f>
        <v/>
      </c>
      <c r="P691" s="37">
        <f>'03_原始数据'!C691-0.615*'03_原始数据'!B691-OtherCost</f>
        <v/>
      </c>
      <c r="Q691" s="37">
        <f>'03_原始数据'!C691-0.62*'03_原始数据'!B691-OtherCost</f>
        <v/>
      </c>
      <c r="R691" s="37">
        <f>'03_原始数据'!C691-0.625*'03_原始数据'!B691-OtherCost</f>
        <v/>
      </c>
      <c r="S691" s="37">
        <f>'03_原始数据'!C691-0.63*'03_原始数据'!B691-OtherCost</f>
        <v/>
      </c>
      <c r="T691" s="37">
        <f>'03_原始数据'!C691-0.635*'03_原始数据'!B691-OtherCost</f>
        <v/>
      </c>
      <c r="U691" s="37">
        <f>'03_原始数据'!C691-0.64*'03_原始数据'!B691-OtherCost</f>
        <v/>
      </c>
      <c r="V691" s="37">
        <f>'03_原始数据'!C691-0.645*'03_原始数据'!B691-OtherCost</f>
        <v/>
      </c>
      <c r="W691" s="37">
        <f>'03_原始数据'!C691-0.65*'03_原始数据'!B691-OtherCost</f>
        <v/>
      </c>
      <c r="X691" s="37">
        <f>'03_原始数据'!C691-0.655*'03_原始数据'!B691-OtherCost</f>
        <v/>
      </c>
      <c r="Y691" s="37">
        <f>'03_原始数据'!C691-0.66*'03_原始数据'!B691-OtherCost</f>
        <v/>
      </c>
      <c r="Z691" s="37">
        <f>'03_原始数据'!C691-0.665*'03_原始数据'!B691-OtherCost</f>
        <v/>
      </c>
      <c r="AA691" s="37">
        <f>'03_原始数据'!C691-0.67*'03_原始数据'!B691-OtherCost</f>
        <v/>
      </c>
      <c r="AB691" s="37">
        <f>'03_原始数据'!C691-0.675*'03_原始数据'!B691-OtherCost</f>
        <v/>
      </c>
      <c r="AC691" s="37">
        <f>'03_原始数据'!C691-0.68*'03_原始数据'!B691-OtherCost</f>
        <v/>
      </c>
      <c r="AD691" s="37">
        <f>'03_原始数据'!C691-0.685*'03_原始数据'!B691-OtherCost</f>
        <v/>
      </c>
      <c r="AE691" s="37">
        <f>'03_原始数据'!C691-0.69*'03_原始数据'!B691-OtherCost</f>
        <v/>
      </c>
      <c r="AF691" s="37">
        <f>'03_原始数据'!C691-0.695*'03_原始数据'!B691-OtherCost</f>
        <v/>
      </c>
      <c r="AG691" s="37">
        <f>'03_原始数据'!C691-0.7*'03_原始数据'!B691-OtherCost</f>
        <v/>
      </c>
    </row>
    <row r="692">
      <c r="M692" s="37">
        <f>'03_原始数据'!C692-0.6*'03_原始数据'!B692-OtherCost</f>
        <v/>
      </c>
      <c r="N692" s="37">
        <f>'03_原始数据'!C692-0.605*'03_原始数据'!B692-OtherCost</f>
        <v/>
      </c>
      <c r="O692" s="37">
        <f>'03_原始数据'!C692-0.61*'03_原始数据'!B692-OtherCost</f>
        <v/>
      </c>
      <c r="P692" s="37">
        <f>'03_原始数据'!C692-0.615*'03_原始数据'!B692-OtherCost</f>
        <v/>
      </c>
      <c r="Q692" s="37">
        <f>'03_原始数据'!C692-0.62*'03_原始数据'!B692-OtherCost</f>
        <v/>
      </c>
      <c r="R692" s="37">
        <f>'03_原始数据'!C692-0.625*'03_原始数据'!B692-OtherCost</f>
        <v/>
      </c>
      <c r="S692" s="37">
        <f>'03_原始数据'!C692-0.63*'03_原始数据'!B692-OtherCost</f>
        <v/>
      </c>
      <c r="T692" s="37">
        <f>'03_原始数据'!C692-0.635*'03_原始数据'!B692-OtherCost</f>
        <v/>
      </c>
      <c r="U692" s="37">
        <f>'03_原始数据'!C692-0.64*'03_原始数据'!B692-OtherCost</f>
        <v/>
      </c>
      <c r="V692" s="37">
        <f>'03_原始数据'!C692-0.645*'03_原始数据'!B692-OtherCost</f>
        <v/>
      </c>
      <c r="W692" s="37">
        <f>'03_原始数据'!C692-0.65*'03_原始数据'!B692-OtherCost</f>
        <v/>
      </c>
      <c r="X692" s="37">
        <f>'03_原始数据'!C692-0.655*'03_原始数据'!B692-OtherCost</f>
        <v/>
      </c>
      <c r="Y692" s="37">
        <f>'03_原始数据'!C692-0.66*'03_原始数据'!B692-OtherCost</f>
        <v/>
      </c>
      <c r="Z692" s="37">
        <f>'03_原始数据'!C692-0.665*'03_原始数据'!B692-OtherCost</f>
        <v/>
      </c>
      <c r="AA692" s="37">
        <f>'03_原始数据'!C692-0.67*'03_原始数据'!B692-OtherCost</f>
        <v/>
      </c>
      <c r="AB692" s="37">
        <f>'03_原始数据'!C692-0.675*'03_原始数据'!B692-OtherCost</f>
        <v/>
      </c>
      <c r="AC692" s="37">
        <f>'03_原始数据'!C692-0.68*'03_原始数据'!B692-OtherCost</f>
        <v/>
      </c>
      <c r="AD692" s="37">
        <f>'03_原始数据'!C692-0.685*'03_原始数据'!B692-OtherCost</f>
        <v/>
      </c>
      <c r="AE692" s="37">
        <f>'03_原始数据'!C692-0.69*'03_原始数据'!B692-OtherCost</f>
        <v/>
      </c>
      <c r="AF692" s="37">
        <f>'03_原始数据'!C692-0.695*'03_原始数据'!B692-OtherCost</f>
        <v/>
      </c>
      <c r="AG692" s="37">
        <f>'03_原始数据'!C692-0.7*'03_原始数据'!B692-OtherCost</f>
        <v/>
      </c>
    </row>
    <row r="693">
      <c r="M693" s="37">
        <f>'03_原始数据'!C693-0.6*'03_原始数据'!B693-OtherCost</f>
        <v/>
      </c>
      <c r="N693" s="37">
        <f>'03_原始数据'!C693-0.605*'03_原始数据'!B693-OtherCost</f>
        <v/>
      </c>
      <c r="O693" s="37">
        <f>'03_原始数据'!C693-0.61*'03_原始数据'!B693-OtherCost</f>
        <v/>
      </c>
      <c r="P693" s="37">
        <f>'03_原始数据'!C693-0.615*'03_原始数据'!B693-OtherCost</f>
        <v/>
      </c>
      <c r="Q693" s="37">
        <f>'03_原始数据'!C693-0.62*'03_原始数据'!B693-OtherCost</f>
        <v/>
      </c>
      <c r="R693" s="37">
        <f>'03_原始数据'!C693-0.625*'03_原始数据'!B693-OtherCost</f>
        <v/>
      </c>
      <c r="S693" s="37">
        <f>'03_原始数据'!C693-0.63*'03_原始数据'!B693-OtherCost</f>
        <v/>
      </c>
      <c r="T693" s="37">
        <f>'03_原始数据'!C693-0.635*'03_原始数据'!B693-OtherCost</f>
        <v/>
      </c>
      <c r="U693" s="37">
        <f>'03_原始数据'!C693-0.64*'03_原始数据'!B693-OtherCost</f>
        <v/>
      </c>
      <c r="V693" s="37">
        <f>'03_原始数据'!C693-0.645*'03_原始数据'!B693-OtherCost</f>
        <v/>
      </c>
      <c r="W693" s="37">
        <f>'03_原始数据'!C693-0.65*'03_原始数据'!B693-OtherCost</f>
        <v/>
      </c>
      <c r="X693" s="37">
        <f>'03_原始数据'!C693-0.655*'03_原始数据'!B693-OtherCost</f>
        <v/>
      </c>
      <c r="Y693" s="37">
        <f>'03_原始数据'!C693-0.66*'03_原始数据'!B693-OtherCost</f>
        <v/>
      </c>
      <c r="Z693" s="37">
        <f>'03_原始数据'!C693-0.665*'03_原始数据'!B693-OtherCost</f>
        <v/>
      </c>
      <c r="AA693" s="37">
        <f>'03_原始数据'!C693-0.67*'03_原始数据'!B693-OtherCost</f>
        <v/>
      </c>
      <c r="AB693" s="37">
        <f>'03_原始数据'!C693-0.675*'03_原始数据'!B693-OtherCost</f>
        <v/>
      </c>
      <c r="AC693" s="37">
        <f>'03_原始数据'!C693-0.68*'03_原始数据'!B693-OtherCost</f>
        <v/>
      </c>
      <c r="AD693" s="37">
        <f>'03_原始数据'!C693-0.685*'03_原始数据'!B693-OtherCost</f>
        <v/>
      </c>
      <c r="AE693" s="37">
        <f>'03_原始数据'!C693-0.69*'03_原始数据'!B693-OtherCost</f>
        <v/>
      </c>
      <c r="AF693" s="37">
        <f>'03_原始数据'!C693-0.695*'03_原始数据'!B693-OtherCost</f>
        <v/>
      </c>
      <c r="AG693" s="37">
        <f>'03_原始数据'!C693-0.7*'03_原始数据'!B693-OtherCost</f>
        <v/>
      </c>
    </row>
    <row r="694">
      <c r="M694" s="37">
        <f>'03_原始数据'!C694-0.6*'03_原始数据'!B694-OtherCost</f>
        <v/>
      </c>
      <c r="N694" s="37">
        <f>'03_原始数据'!C694-0.605*'03_原始数据'!B694-OtherCost</f>
        <v/>
      </c>
      <c r="O694" s="37">
        <f>'03_原始数据'!C694-0.61*'03_原始数据'!B694-OtherCost</f>
        <v/>
      </c>
      <c r="P694" s="37">
        <f>'03_原始数据'!C694-0.615*'03_原始数据'!B694-OtherCost</f>
        <v/>
      </c>
      <c r="Q694" s="37">
        <f>'03_原始数据'!C694-0.62*'03_原始数据'!B694-OtherCost</f>
        <v/>
      </c>
      <c r="R694" s="37">
        <f>'03_原始数据'!C694-0.625*'03_原始数据'!B694-OtherCost</f>
        <v/>
      </c>
      <c r="S694" s="37">
        <f>'03_原始数据'!C694-0.63*'03_原始数据'!B694-OtherCost</f>
        <v/>
      </c>
      <c r="T694" s="37">
        <f>'03_原始数据'!C694-0.635*'03_原始数据'!B694-OtherCost</f>
        <v/>
      </c>
      <c r="U694" s="37">
        <f>'03_原始数据'!C694-0.64*'03_原始数据'!B694-OtherCost</f>
        <v/>
      </c>
      <c r="V694" s="37">
        <f>'03_原始数据'!C694-0.645*'03_原始数据'!B694-OtherCost</f>
        <v/>
      </c>
      <c r="W694" s="37">
        <f>'03_原始数据'!C694-0.65*'03_原始数据'!B694-OtherCost</f>
        <v/>
      </c>
      <c r="X694" s="37">
        <f>'03_原始数据'!C694-0.655*'03_原始数据'!B694-OtherCost</f>
        <v/>
      </c>
      <c r="Y694" s="37">
        <f>'03_原始数据'!C694-0.66*'03_原始数据'!B694-OtherCost</f>
        <v/>
      </c>
      <c r="Z694" s="37">
        <f>'03_原始数据'!C694-0.665*'03_原始数据'!B694-OtherCost</f>
        <v/>
      </c>
      <c r="AA694" s="37">
        <f>'03_原始数据'!C694-0.67*'03_原始数据'!B694-OtherCost</f>
        <v/>
      </c>
      <c r="AB694" s="37">
        <f>'03_原始数据'!C694-0.675*'03_原始数据'!B694-OtherCost</f>
        <v/>
      </c>
      <c r="AC694" s="37">
        <f>'03_原始数据'!C694-0.68*'03_原始数据'!B694-OtherCost</f>
        <v/>
      </c>
      <c r="AD694" s="37">
        <f>'03_原始数据'!C694-0.685*'03_原始数据'!B694-OtherCost</f>
        <v/>
      </c>
      <c r="AE694" s="37">
        <f>'03_原始数据'!C694-0.69*'03_原始数据'!B694-OtherCost</f>
        <v/>
      </c>
      <c r="AF694" s="37">
        <f>'03_原始数据'!C694-0.695*'03_原始数据'!B694-OtherCost</f>
        <v/>
      </c>
      <c r="AG694" s="37">
        <f>'03_原始数据'!C694-0.7*'03_原始数据'!B694-OtherCost</f>
        <v/>
      </c>
    </row>
    <row r="695">
      <c r="M695" s="37">
        <f>'03_原始数据'!C695-0.6*'03_原始数据'!B695-OtherCost</f>
        <v/>
      </c>
      <c r="N695" s="37">
        <f>'03_原始数据'!C695-0.605*'03_原始数据'!B695-OtherCost</f>
        <v/>
      </c>
      <c r="O695" s="37">
        <f>'03_原始数据'!C695-0.61*'03_原始数据'!B695-OtherCost</f>
        <v/>
      </c>
      <c r="P695" s="37">
        <f>'03_原始数据'!C695-0.615*'03_原始数据'!B695-OtherCost</f>
        <v/>
      </c>
      <c r="Q695" s="37">
        <f>'03_原始数据'!C695-0.62*'03_原始数据'!B695-OtherCost</f>
        <v/>
      </c>
      <c r="R695" s="37">
        <f>'03_原始数据'!C695-0.625*'03_原始数据'!B695-OtherCost</f>
        <v/>
      </c>
      <c r="S695" s="37">
        <f>'03_原始数据'!C695-0.63*'03_原始数据'!B695-OtherCost</f>
        <v/>
      </c>
      <c r="T695" s="37">
        <f>'03_原始数据'!C695-0.635*'03_原始数据'!B695-OtherCost</f>
        <v/>
      </c>
      <c r="U695" s="37">
        <f>'03_原始数据'!C695-0.64*'03_原始数据'!B695-OtherCost</f>
        <v/>
      </c>
      <c r="V695" s="37">
        <f>'03_原始数据'!C695-0.645*'03_原始数据'!B695-OtherCost</f>
        <v/>
      </c>
      <c r="W695" s="37">
        <f>'03_原始数据'!C695-0.65*'03_原始数据'!B695-OtherCost</f>
        <v/>
      </c>
      <c r="X695" s="37">
        <f>'03_原始数据'!C695-0.655*'03_原始数据'!B695-OtherCost</f>
        <v/>
      </c>
      <c r="Y695" s="37">
        <f>'03_原始数据'!C695-0.66*'03_原始数据'!B695-OtherCost</f>
        <v/>
      </c>
      <c r="Z695" s="37">
        <f>'03_原始数据'!C695-0.665*'03_原始数据'!B695-OtherCost</f>
        <v/>
      </c>
      <c r="AA695" s="37">
        <f>'03_原始数据'!C695-0.67*'03_原始数据'!B695-OtherCost</f>
        <v/>
      </c>
      <c r="AB695" s="37">
        <f>'03_原始数据'!C695-0.675*'03_原始数据'!B695-OtherCost</f>
        <v/>
      </c>
      <c r="AC695" s="37">
        <f>'03_原始数据'!C695-0.68*'03_原始数据'!B695-OtherCost</f>
        <v/>
      </c>
      <c r="AD695" s="37">
        <f>'03_原始数据'!C695-0.685*'03_原始数据'!B695-OtherCost</f>
        <v/>
      </c>
      <c r="AE695" s="37">
        <f>'03_原始数据'!C695-0.69*'03_原始数据'!B695-OtherCost</f>
        <v/>
      </c>
      <c r="AF695" s="37">
        <f>'03_原始数据'!C695-0.695*'03_原始数据'!B695-OtherCost</f>
        <v/>
      </c>
      <c r="AG695" s="37">
        <f>'03_原始数据'!C695-0.7*'03_原始数据'!B695-OtherCost</f>
        <v/>
      </c>
    </row>
    <row r="696">
      <c r="M696" s="37">
        <f>'03_原始数据'!C696-0.6*'03_原始数据'!B696-OtherCost</f>
        <v/>
      </c>
      <c r="N696" s="37">
        <f>'03_原始数据'!C696-0.605*'03_原始数据'!B696-OtherCost</f>
        <v/>
      </c>
      <c r="O696" s="37">
        <f>'03_原始数据'!C696-0.61*'03_原始数据'!B696-OtherCost</f>
        <v/>
      </c>
      <c r="P696" s="37">
        <f>'03_原始数据'!C696-0.615*'03_原始数据'!B696-OtherCost</f>
        <v/>
      </c>
      <c r="Q696" s="37">
        <f>'03_原始数据'!C696-0.62*'03_原始数据'!B696-OtherCost</f>
        <v/>
      </c>
      <c r="R696" s="37">
        <f>'03_原始数据'!C696-0.625*'03_原始数据'!B696-OtherCost</f>
        <v/>
      </c>
      <c r="S696" s="37">
        <f>'03_原始数据'!C696-0.63*'03_原始数据'!B696-OtherCost</f>
        <v/>
      </c>
      <c r="T696" s="37">
        <f>'03_原始数据'!C696-0.635*'03_原始数据'!B696-OtherCost</f>
        <v/>
      </c>
      <c r="U696" s="37">
        <f>'03_原始数据'!C696-0.64*'03_原始数据'!B696-OtherCost</f>
        <v/>
      </c>
      <c r="V696" s="37">
        <f>'03_原始数据'!C696-0.645*'03_原始数据'!B696-OtherCost</f>
        <v/>
      </c>
      <c r="W696" s="37">
        <f>'03_原始数据'!C696-0.65*'03_原始数据'!B696-OtherCost</f>
        <v/>
      </c>
      <c r="X696" s="37">
        <f>'03_原始数据'!C696-0.655*'03_原始数据'!B696-OtherCost</f>
        <v/>
      </c>
      <c r="Y696" s="37">
        <f>'03_原始数据'!C696-0.66*'03_原始数据'!B696-OtherCost</f>
        <v/>
      </c>
      <c r="Z696" s="37">
        <f>'03_原始数据'!C696-0.665*'03_原始数据'!B696-OtherCost</f>
        <v/>
      </c>
      <c r="AA696" s="37">
        <f>'03_原始数据'!C696-0.67*'03_原始数据'!B696-OtherCost</f>
        <v/>
      </c>
      <c r="AB696" s="37">
        <f>'03_原始数据'!C696-0.675*'03_原始数据'!B696-OtherCost</f>
        <v/>
      </c>
      <c r="AC696" s="37">
        <f>'03_原始数据'!C696-0.68*'03_原始数据'!B696-OtherCost</f>
        <v/>
      </c>
      <c r="AD696" s="37">
        <f>'03_原始数据'!C696-0.685*'03_原始数据'!B696-OtherCost</f>
        <v/>
      </c>
      <c r="AE696" s="37">
        <f>'03_原始数据'!C696-0.69*'03_原始数据'!B696-OtherCost</f>
        <v/>
      </c>
      <c r="AF696" s="37">
        <f>'03_原始数据'!C696-0.695*'03_原始数据'!B696-OtherCost</f>
        <v/>
      </c>
      <c r="AG696" s="37">
        <f>'03_原始数据'!C696-0.7*'03_原始数据'!B696-OtherCost</f>
        <v/>
      </c>
    </row>
    <row r="697">
      <c r="M697" s="37">
        <f>'03_原始数据'!C697-0.6*'03_原始数据'!B697-OtherCost</f>
        <v/>
      </c>
      <c r="N697" s="37">
        <f>'03_原始数据'!C697-0.605*'03_原始数据'!B697-OtherCost</f>
        <v/>
      </c>
      <c r="O697" s="37">
        <f>'03_原始数据'!C697-0.61*'03_原始数据'!B697-OtherCost</f>
        <v/>
      </c>
      <c r="P697" s="37">
        <f>'03_原始数据'!C697-0.615*'03_原始数据'!B697-OtherCost</f>
        <v/>
      </c>
      <c r="Q697" s="37">
        <f>'03_原始数据'!C697-0.62*'03_原始数据'!B697-OtherCost</f>
        <v/>
      </c>
      <c r="R697" s="37">
        <f>'03_原始数据'!C697-0.625*'03_原始数据'!B697-OtherCost</f>
        <v/>
      </c>
      <c r="S697" s="37">
        <f>'03_原始数据'!C697-0.63*'03_原始数据'!B697-OtherCost</f>
        <v/>
      </c>
      <c r="T697" s="37">
        <f>'03_原始数据'!C697-0.635*'03_原始数据'!B697-OtherCost</f>
        <v/>
      </c>
      <c r="U697" s="37">
        <f>'03_原始数据'!C697-0.64*'03_原始数据'!B697-OtherCost</f>
        <v/>
      </c>
      <c r="V697" s="37">
        <f>'03_原始数据'!C697-0.645*'03_原始数据'!B697-OtherCost</f>
        <v/>
      </c>
      <c r="W697" s="37">
        <f>'03_原始数据'!C697-0.65*'03_原始数据'!B697-OtherCost</f>
        <v/>
      </c>
      <c r="X697" s="37">
        <f>'03_原始数据'!C697-0.655*'03_原始数据'!B697-OtherCost</f>
        <v/>
      </c>
      <c r="Y697" s="37">
        <f>'03_原始数据'!C697-0.66*'03_原始数据'!B697-OtherCost</f>
        <v/>
      </c>
      <c r="Z697" s="37">
        <f>'03_原始数据'!C697-0.665*'03_原始数据'!B697-OtherCost</f>
        <v/>
      </c>
      <c r="AA697" s="37">
        <f>'03_原始数据'!C697-0.67*'03_原始数据'!B697-OtherCost</f>
        <v/>
      </c>
      <c r="AB697" s="37">
        <f>'03_原始数据'!C697-0.675*'03_原始数据'!B697-OtherCost</f>
        <v/>
      </c>
      <c r="AC697" s="37">
        <f>'03_原始数据'!C697-0.68*'03_原始数据'!B697-OtherCost</f>
        <v/>
      </c>
      <c r="AD697" s="37">
        <f>'03_原始数据'!C697-0.685*'03_原始数据'!B697-OtherCost</f>
        <v/>
      </c>
      <c r="AE697" s="37">
        <f>'03_原始数据'!C697-0.69*'03_原始数据'!B697-OtherCost</f>
        <v/>
      </c>
      <c r="AF697" s="37">
        <f>'03_原始数据'!C697-0.695*'03_原始数据'!B697-OtherCost</f>
        <v/>
      </c>
      <c r="AG697" s="37">
        <f>'03_原始数据'!C697-0.7*'03_原始数据'!B697-OtherCost</f>
        <v/>
      </c>
    </row>
    <row r="698">
      <c r="M698" s="37">
        <f>'03_原始数据'!C698-0.6*'03_原始数据'!B698-OtherCost</f>
        <v/>
      </c>
      <c r="N698" s="37">
        <f>'03_原始数据'!C698-0.605*'03_原始数据'!B698-OtherCost</f>
        <v/>
      </c>
      <c r="O698" s="37">
        <f>'03_原始数据'!C698-0.61*'03_原始数据'!B698-OtherCost</f>
        <v/>
      </c>
      <c r="P698" s="37">
        <f>'03_原始数据'!C698-0.615*'03_原始数据'!B698-OtherCost</f>
        <v/>
      </c>
      <c r="Q698" s="37">
        <f>'03_原始数据'!C698-0.62*'03_原始数据'!B698-OtherCost</f>
        <v/>
      </c>
      <c r="R698" s="37">
        <f>'03_原始数据'!C698-0.625*'03_原始数据'!B698-OtherCost</f>
        <v/>
      </c>
      <c r="S698" s="37">
        <f>'03_原始数据'!C698-0.63*'03_原始数据'!B698-OtherCost</f>
        <v/>
      </c>
      <c r="T698" s="37">
        <f>'03_原始数据'!C698-0.635*'03_原始数据'!B698-OtherCost</f>
        <v/>
      </c>
      <c r="U698" s="37">
        <f>'03_原始数据'!C698-0.64*'03_原始数据'!B698-OtherCost</f>
        <v/>
      </c>
      <c r="V698" s="37">
        <f>'03_原始数据'!C698-0.645*'03_原始数据'!B698-OtherCost</f>
        <v/>
      </c>
      <c r="W698" s="37">
        <f>'03_原始数据'!C698-0.65*'03_原始数据'!B698-OtherCost</f>
        <v/>
      </c>
      <c r="X698" s="37">
        <f>'03_原始数据'!C698-0.655*'03_原始数据'!B698-OtherCost</f>
        <v/>
      </c>
      <c r="Y698" s="37">
        <f>'03_原始数据'!C698-0.66*'03_原始数据'!B698-OtherCost</f>
        <v/>
      </c>
      <c r="Z698" s="37">
        <f>'03_原始数据'!C698-0.665*'03_原始数据'!B698-OtherCost</f>
        <v/>
      </c>
      <c r="AA698" s="37">
        <f>'03_原始数据'!C698-0.67*'03_原始数据'!B698-OtherCost</f>
        <v/>
      </c>
      <c r="AB698" s="37">
        <f>'03_原始数据'!C698-0.675*'03_原始数据'!B698-OtherCost</f>
        <v/>
      </c>
      <c r="AC698" s="37">
        <f>'03_原始数据'!C698-0.68*'03_原始数据'!B698-OtherCost</f>
        <v/>
      </c>
      <c r="AD698" s="37">
        <f>'03_原始数据'!C698-0.685*'03_原始数据'!B698-OtherCost</f>
        <v/>
      </c>
      <c r="AE698" s="37">
        <f>'03_原始数据'!C698-0.69*'03_原始数据'!B698-OtherCost</f>
        <v/>
      </c>
      <c r="AF698" s="37">
        <f>'03_原始数据'!C698-0.695*'03_原始数据'!B698-OtherCost</f>
        <v/>
      </c>
      <c r="AG698" s="37">
        <f>'03_原始数据'!C698-0.7*'03_原始数据'!B698-OtherCost</f>
        <v/>
      </c>
    </row>
    <row r="699">
      <c r="M699" s="37">
        <f>'03_原始数据'!C699-0.6*'03_原始数据'!B699-OtherCost</f>
        <v/>
      </c>
      <c r="N699" s="37">
        <f>'03_原始数据'!C699-0.605*'03_原始数据'!B699-OtherCost</f>
        <v/>
      </c>
      <c r="O699" s="37">
        <f>'03_原始数据'!C699-0.61*'03_原始数据'!B699-OtherCost</f>
        <v/>
      </c>
      <c r="P699" s="37">
        <f>'03_原始数据'!C699-0.615*'03_原始数据'!B699-OtherCost</f>
        <v/>
      </c>
      <c r="Q699" s="37">
        <f>'03_原始数据'!C699-0.62*'03_原始数据'!B699-OtherCost</f>
        <v/>
      </c>
      <c r="R699" s="37">
        <f>'03_原始数据'!C699-0.625*'03_原始数据'!B699-OtherCost</f>
        <v/>
      </c>
      <c r="S699" s="37">
        <f>'03_原始数据'!C699-0.63*'03_原始数据'!B699-OtherCost</f>
        <v/>
      </c>
      <c r="T699" s="37">
        <f>'03_原始数据'!C699-0.635*'03_原始数据'!B699-OtherCost</f>
        <v/>
      </c>
      <c r="U699" s="37">
        <f>'03_原始数据'!C699-0.64*'03_原始数据'!B699-OtherCost</f>
        <v/>
      </c>
      <c r="V699" s="37">
        <f>'03_原始数据'!C699-0.645*'03_原始数据'!B699-OtherCost</f>
        <v/>
      </c>
      <c r="W699" s="37">
        <f>'03_原始数据'!C699-0.65*'03_原始数据'!B699-OtherCost</f>
        <v/>
      </c>
      <c r="X699" s="37">
        <f>'03_原始数据'!C699-0.655*'03_原始数据'!B699-OtherCost</f>
        <v/>
      </c>
      <c r="Y699" s="37">
        <f>'03_原始数据'!C699-0.66*'03_原始数据'!B699-OtherCost</f>
        <v/>
      </c>
      <c r="Z699" s="37">
        <f>'03_原始数据'!C699-0.665*'03_原始数据'!B699-OtherCost</f>
        <v/>
      </c>
      <c r="AA699" s="37">
        <f>'03_原始数据'!C699-0.67*'03_原始数据'!B699-OtherCost</f>
        <v/>
      </c>
      <c r="AB699" s="37">
        <f>'03_原始数据'!C699-0.675*'03_原始数据'!B699-OtherCost</f>
        <v/>
      </c>
      <c r="AC699" s="37">
        <f>'03_原始数据'!C699-0.68*'03_原始数据'!B699-OtherCost</f>
        <v/>
      </c>
      <c r="AD699" s="37">
        <f>'03_原始数据'!C699-0.685*'03_原始数据'!B699-OtherCost</f>
        <v/>
      </c>
      <c r="AE699" s="37">
        <f>'03_原始数据'!C699-0.69*'03_原始数据'!B699-OtherCost</f>
        <v/>
      </c>
      <c r="AF699" s="37">
        <f>'03_原始数据'!C699-0.695*'03_原始数据'!B699-OtherCost</f>
        <v/>
      </c>
      <c r="AG699" s="37">
        <f>'03_原始数据'!C699-0.7*'03_原始数据'!B699-OtherCost</f>
        <v/>
      </c>
    </row>
    <row r="700">
      <c r="M700" s="37">
        <f>'03_原始数据'!C700-0.6*'03_原始数据'!B700-OtherCost</f>
        <v/>
      </c>
      <c r="N700" s="37">
        <f>'03_原始数据'!C700-0.605*'03_原始数据'!B700-OtherCost</f>
        <v/>
      </c>
      <c r="O700" s="37">
        <f>'03_原始数据'!C700-0.61*'03_原始数据'!B700-OtherCost</f>
        <v/>
      </c>
      <c r="P700" s="37">
        <f>'03_原始数据'!C700-0.615*'03_原始数据'!B700-OtherCost</f>
        <v/>
      </c>
      <c r="Q700" s="37">
        <f>'03_原始数据'!C700-0.62*'03_原始数据'!B700-OtherCost</f>
        <v/>
      </c>
      <c r="R700" s="37">
        <f>'03_原始数据'!C700-0.625*'03_原始数据'!B700-OtherCost</f>
        <v/>
      </c>
      <c r="S700" s="37">
        <f>'03_原始数据'!C700-0.63*'03_原始数据'!B700-OtherCost</f>
        <v/>
      </c>
      <c r="T700" s="37">
        <f>'03_原始数据'!C700-0.635*'03_原始数据'!B700-OtherCost</f>
        <v/>
      </c>
      <c r="U700" s="37">
        <f>'03_原始数据'!C700-0.64*'03_原始数据'!B700-OtherCost</f>
        <v/>
      </c>
      <c r="V700" s="37">
        <f>'03_原始数据'!C700-0.645*'03_原始数据'!B700-OtherCost</f>
        <v/>
      </c>
      <c r="W700" s="37">
        <f>'03_原始数据'!C700-0.65*'03_原始数据'!B700-OtherCost</f>
        <v/>
      </c>
      <c r="X700" s="37">
        <f>'03_原始数据'!C700-0.655*'03_原始数据'!B700-OtherCost</f>
        <v/>
      </c>
      <c r="Y700" s="37">
        <f>'03_原始数据'!C700-0.66*'03_原始数据'!B700-OtherCost</f>
        <v/>
      </c>
      <c r="Z700" s="37">
        <f>'03_原始数据'!C700-0.665*'03_原始数据'!B700-OtherCost</f>
        <v/>
      </c>
      <c r="AA700" s="37">
        <f>'03_原始数据'!C700-0.67*'03_原始数据'!B700-OtherCost</f>
        <v/>
      </c>
      <c r="AB700" s="37">
        <f>'03_原始数据'!C700-0.675*'03_原始数据'!B700-OtherCost</f>
        <v/>
      </c>
      <c r="AC700" s="37">
        <f>'03_原始数据'!C700-0.68*'03_原始数据'!B700-OtherCost</f>
        <v/>
      </c>
      <c r="AD700" s="37">
        <f>'03_原始数据'!C700-0.685*'03_原始数据'!B700-OtherCost</f>
        <v/>
      </c>
      <c r="AE700" s="37">
        <f>'03_原始数据'!C700-0.69*'03_原始数据'!B700-OtherCost</f>
        <v/>
      </c>
      <c r="AF700" s="37">
        <f>'03_原始数据'!C700-0.695*'03_原始数据'!B700-OtherCost</f>
        <v/>
      </c>
      <c r="AG700" s="37">
        <f>'03_原始数据'!C700-0.7*'03_原始数据'!B700-OtherCost</f>
        <v/>
      </c>
    </row>
    <row r="701">
      <c r="M701" s="37">
        <f>'03_原始数据'!C701-0.6*'03_原始数据'!B701-OtherCost</f>
        <v/>
      </c>
      <c r="N701" s="37">
        <f>'03_原始数据'!C701-0.605*'03_原始数据'!B701-OtherCost</f>
        <v/>
      </c>
      <c r="O701" s="37">
        <f>'03_原始数据'!C701-0.61*'03_原始数据'!B701-OtherCost</f>
        <v/>
      </c>
      <c r="P701" s="37">
        <f>'03_原始数据'!C701-0.615*'03_原始数据'!B701-OtherCost</f>
        <v/>
      </c>
      <c r="Q701" s="37">
        <f>'03_原始数据'!C701-0.62*'03_原始数据'!B701-OtherCost</f>
        <v/>
      </c>
      <c r="R701" s="37">
        <f>'03_原始数据'!C701-0.625*'03_原始数据'!B701-OtherCost</f>
        <v/>
      </c>
      <c r="S701" s="37">
        <f>'03_原始数据'!C701-0.63*'03_原始数据'!B701-OtherCost</f>
        <v/>
      </c>
      <c r="T701" s="37">
        <f>'03_原始数据'!C701-0.635*'03_原始数据'!B701-OtherCost</f>
        <v/>
      </c>
      <c r="U701" s="37">
        <f>'03_原始数据'!C701-0.64*'03_原始数据'!B701-OtherCost</f>
        <v/>
      </c>
      <c r="V701" s="37">
        <f>'03_原始数据'!C701-0.645*'03_原始数据'!B701-OtherCost</f>
        <v/>
      </c>
      <c r="W701" s="37">
        <f>'03_原始数据'!C701-0.65*'03_原始数据'!B701-OtherCost</f>
        <v/>
      </c>
      <c r="X701" s="37">
        <f>'03_原始数据'!C701-0.655*'03_原始数据'!B701-OtherCost</f>
        <v/>
      </c>
      <c r="Y701" s="37">
        <f>'03_原始数据'!C701-0.66*'03_原始数据'!B701-OtherCost</f>
        <v/>
      </c>
      <c r="Z701" s="37">
        <f>'03_原始数据'!C701-0.665*'03_原始数据'!B701-OtherCost</f>
        <v/>
      </c>
      <c r="AA701" s="37">
        <f>'03_原始数据'!C701-0.67*'03_原始数据'!B701-OtherCost</f>
        <v/>
      </c>
      <c r="AB701" s="37">
        <f>'03_原始数据'!C701-0.675*'03_原始数据'!B701-OtherCost</f>
        <v/>
      </c>
      <c r="AC701" s="37">
        <f>'03_原始数据'!C701-0.68*'03_原始数据'!B701-OtherCost</f>
        <v/>
      </c>
      <c r="AD701" s="37">
        <f>'03_原始数据'!C701-0.685*'03_原始数据'!B701-OtherCost</f>
        <v/>
      </c>
      <c r="AE701" s="37">
        <f>'03_原始数据'!C701-0.69*'03_原始数据'!B701-OtherCost</f>
        <v/>
      </c>
      <c r="AF701" s="37">
        <f>'03_原始数据'!C701-0.695*'03_原始数据'!B701-OtherCost</f>
        <v/>
      </c>
      <c r="AG701" s="37">
        <f>'03_原始数据'!C701-0.7*'03_原始数据'!B701-OtherCost</f>
        <v/>
      </c>
    </row>
    <row r="702">
      <c r="M702" s="37">
        <f>'03_原始数据'!C702-0.6*'03_原始数据'!B702-OtherCost</f>
        <v/>
      </c>
      <c r="N702" s="37">
        <f>'03_原始数据'!C702-0.605*'03_原始数据'!B702-OtherCost</f>
        <v/>
      </c>
      <c r="O702" s="37">
        <f>'03_原始数据'!C702-0.61*'03_原始数据'!B702-OtherCost</f>
        <v/>
      </c>
      <c r="P702" s="37">
        <f>'03_原始数据'!C702-0.615*'03_原始数据'!B702-OtherCost</f>
        <v/>
      </c>
      <c r="Q702" s="37">
        <f>'03_原始数据'!C702-0.62*'03_原始数据'!B702-OtherCost</f>
        <v/>
      </c>
      <c r="R702" s="37">
        <f>'03_原始数据'!C702-0.625*'03_原始数据'!B702-OtherCost</f>
        <v/>
      </c>
      <c r="S702" s="37">
        <f>'03_原始数据'!C702-0.63*'03_原始数据'!B702-OtherCost</f>
        <v/>
      </c>
      <c r="T702" s="37">
        <f>'03_原始数据'!C702-0.635*'03_原始数据'!B702-OtherCost</f>
        <v/>
      </c>
      <c r="U702" s="37">
        <f>'03_原始数据'!C702-0.64*'03_原始数据'!B702-OtherCost</f>
        <v/>
      </c>
      <c r="V702" s="37">
        <f>'03_原始数据'!C702-0.645*'03_原始数据'!B702-OtherCost</f>
        <v/>
      </c>
      <c r="W702" s="37">
        <f>'03_原始数据'!C702-0.65*'03_原始数据'!B702-OtherCost</f>
        <v/>
      </c>
      <c r="X702" s="37">
        <f>'03_原始数据'!C702-0.655*'03_原始数据'!B702-OtherCost</f>
        <v/>
      </c>
      <c r="Y702" s="37">
        <f>'03_原始数据'!C702-0.66*'03_原始数据'!B702-OtherCost</f>
        <v/>
      </c>
      <c r="Z702" s="37">
        <f>'03_原始数据'!C702-0.665*'03_原始数据'!B702-OtherCost</f>
        <v/>
      </c>
      <c r="AA702" s="37">
        <f>'03_原始数据'!C702-0.67*'03_原始数据'!B702-OtherCost</f>
        <v/>
      </c>
      <c r="AB702" s="37">
        <f>'03_原始数据'!C702-0.675*'03_原始数据'!B702-OtherCost</f>
        <v/>
      </c>
      <c r="AC702" s="37">
        <f>'03_原始数据'!C702-0.68*'03_原始数据'!B702-OtherCost</f>
        <v/>
      </c>
      <c r="AD702" s="37">
        <f>'03_原始数据'!C702-0.685*'03_原始数据'!B702-OtherCost</f>
        <v/>
      </c>
      <c r="AE702" s="37">
        <f>'03_原始数据'!C702-0.69*'03_原始数据'!B702-OtherCost</f>
        <v/>
      </c>
      <c r="AF702" s="37">
        <f>'03_原始数据'!C702-0.695*'03_原始数据'!B702-OtherCost</f>
        <v/>
      </c>
      <c r="AG702" s="37">
        <f>'03_原始数据'!C702-0.7*'03_原始数据'!B702-OtherCost</f>
        <v/>
      </c>
    </row>
    <row r="703">
      <c r="M703" s="37">
        <f>'03_原始数据'!C703-0.6*'03_原始数据'!B703-OtherCost</f>
        <v/>
      </c>
      <c r="N703" s="37">
        <f>'03_原始数据'!C703-0.605*'03_原始数据'!B703-OtherCost</f>
        <v/>
      </c>
      <c r="O703" s="37">
        <f>'03_原始数据'!C703-0.61*'03_原始数据'!B703-OtherCost</f>
        <v/>
      </c>
      <c r="P703" s="37">
        <f>'03_原始数据'!C703-0.615*'03_原始数据'!B703-OtherCost</f>
        <v/>
      </c>
      <c r="Q703" s="37">
        <f>'03_原始数据'!C703-0.62*'03_原始数据'!B703-OtherCost</f>
        <v/>
      </c>
      <c r="R703" s="37">
        <f>'03_原始数据'!C703-0.625*'03_原始数据'!B703-OtherCost</f>
        <v/>
      </c>
      <c r="S703" s="37">
        <f>'03_原始数据'!C703-0.63*'03_原始数据'!B703-OtherCost</f>
        <v/>
      </c>
      <c r="T703" s="37">
        <f>'03_原始数据'!C703-0.635*'03_原始数据'!B703-OtherCost</f>
        <v/>
      </c>
      <c r="U703" s="37">
        <f>'03_原始数据'!C703-0.64*'03_原始数据'!B703-OtherCost</f>
        <v/>
      </c>
      <c r="V703" s="37">
        <f>'03_原始数据'!C703-0.645*'03_原始数据'!B703-OtherCost</f>
        <v/>
      </c>
      <c r="W703" s="37">
        <f>'03_原始数据'!C703-0.65*'03_原始数据'!B703-OtherCost</f>
        <v/>
      </c>
      <c r="X703" s="37">
        <f>'03_原始数据'!C703-0.655*'03_原始数据'!B703-OtherCost</f>
        <v/>
      </c>
      <c r="Y703" s="37">
        <f>'03_原始数据'!C703-0.66*'03_原始数据'!B703-OtherCost</f>
        <v/>
      </c>
      <c r="Z703" s="37">
        <f>'03_原始数据'!C703-0.665*'03_原始数据'!B703-OtherCost</f>
        <v/>
      </c>
      <c r="AA703" s="37">
        <f>'03_原始数据'!C703-0.67*'03_原始数据'!B703-OtherCost</f>
        <v/>
      </c>
      <c r="AB703" s="37">
        <f>'03_原始数据'!C703-0.675*'03_原始数据'!B703-OtherCost</f>
        <v/>
      </c>
      <c r="AC703" s="37">
        <f>'03_原始数据'!C703-0.68*'03_原始数据'!B703-OtherCost</f>
        <v/>
      </c>
      <c r="AD703" s="37">
        <f>'03_原始数据'!C703-0.685*'03_原始数据'!B703-OtherCost</f>
        <v/>
      </c>
      <c r="AE703" s="37">
        <f>'03_原始数据'!C703-0.69*'03_原始数据'!B703-OtherCost</f>
        <v/>
      </c>
      <c r="AF703" s="37">
        <f>'03_原始数据'!C703-0.695*'03_原始数据'!B703-OtherCost</f>
        <v/>
      </c>
      <c r="AG703" s="37">
        <f>'03_原始数据'!C703-0.7*'03_原始数据'!B703-OtherCost</f>
        <v/>
      </c>
    </row>
    <row r="704">
      <c r="M704" s="37">
        <f>'03_原始数据'!C704-0.6*'03_原始数据'!B704-OtherCost</f>
        <v/>
      </c>
      <c r="N704" s="37">
        <f>'03_原始数据'!C704-0.605*'03_原始数据'!B704-OtherCost</f>
        <v/>
      </c>
      <c r="O704" s="37">
        <f>'03_原始数据'!C704-0.61*'03_原始数据'!B704-OtherCost</f>
        <v/>
      </c>
      <c r="P704" s="37">
        <f>'03_原始数据'!C704-0.615*'03_原始数据'!B704-OtherCost</f>
        <v/>
      </c>
      <c r="Q704" s="37">
        <f>'03_原始数据'!C704-0.62*'03_原始数据'!B704-OtherCost</f>
        <v/>
      </c>
      <c r="R704" s="37">
        <f>'03_原始数据'!C704-0.625*'03_原始数据'!B704-OtherCost</f>
        <v/>
      </c>
      <c r="S704" s="37">
        <f>'03_原始数据'!C704-0.63*'03_原始数据'!B704-OtherCost</f>
        <v/>
      </c>
      <c r="T704" s="37">
        <f>'03_原始数据'!C704-0.635*'03_原始数据'!B704-OtherCost</f>
        <v/>
      </c>
      <c r="U704" s="37">
        <f>'03_原始数据'!C704-0.64*'03_原始数据'!B704-OtherCost</f>
        <v/>
      </c>
      <c r="V704" s="37">
        <f>'03_原始数据'!C704-0.645*'03_原始数据'!B704-OtherCost</f>
        <v/>
      </c>
      <c r="W704" s="37">
        <f>'03_原始数据'!C704-0.65*'03_原始数据'!B704-OtherCost</f>
        <v/>
      </c>
      <c r="X704" s="37">
        <f>'03_原始数据'!C704-0.655*'03_原始数据'!B704-OtherCost</f>
        <v/>
      </c>
      <c r="Y704" s="37">
        <f>'03_原始数据'!C704-0.66*'03_原始数据'!B704-OtherCost</f>
        <v/>
      </c>
      <c r="Z704" s="37">
        <f>'03_原始数据'!C704-0.665*'03_原始数据'!B704-OtherCost</f>
        <v/>
      </c>
      <c r="AA704" s="37">
        <f>'03_原始数据'!C704-0.67*'03_原始数据'!B704-OtherCost</f>
        <v/>
      </c>
      <c r="AB704" s="37">
        <f>'03_原始数据'!C704-0.675*'03_原始数据'!B704-OtherCost</f>
        <v/>
      </c>
      <c r="AC704" s="37">
        <f>'03_原始数据'!C704-0.68*'03_原始数据'!B704-OtherCost</f>
        <v/>
      </c>
      <c r="AD704" s="37">
        <f>'03_原始数据'!C704-0.685*'03_原始数据'!B704-OtherCost</f>
        <v/>
      </c>
      <c r="AE704" s="37">
        <f>'03_原始数据'!C704-0.69*'03_原始数据'!B704-OtherCost</f>
        <v/>
      </c>
      <c r="AF704" s="37">
        <f>'03_原始数据'!C704-0.695*'03_原始数据'!B704-OtherCost</f>
        <v/>
      </c>
      <c r="AG704" s="37">
        <f>'03_原始数据'!C704-0.7*'03_原始数据'!B704-OtherCost</f>
        <v/>
      </c>
    </row>
    <row r="705">
      <c r="M705" s="37">
        <f>'03_原始数据'!C705-0.6*'03_原始数据'!B705-OtherCost</f>
        <v/>
      </c>
      <c r="N705" s="37">
        <f>'03_原始数据'!C705-0.605*'03_原始数据'!B705-OtherCost</f>
        <v/>
      </c>
      <c r="O705" s="37">
        <f>'03_原始数据'!C705-0.61*'03_原始数据'!B705-OtherCost</f>
        <v/>
      </c>
      <c r="P705" s="37">
        <f>'03_原始数据'!C705-0.615*'03_原始数据'!B705-OtherCost</f>
        <v/>
      </c>
      <c r="Q705" s="37">
        <f>'03_原始数据'!C705-0.62*'03_原始数据'!B705-OtherCost</f>
        <v/>
      </c>
      <c r="R705" s="37">
        <f>'03_原始数据'!C705-0.625*'03_原始数据'!B705-OtherCost</f>
        <v/>
      </c>
      <c r="S705" s="37">
        <f>'03_原始数据'!C705-0.63*'03_原始数据'!B705-OtherCost</f>
        <v/>
      </c>
      <c r="T705" s="37">
        <f>'03_原始数据'!C705-0.635*'03_原始数据'!B705-OtherCost</f>
        <v/>
      </c>
      <c r="U705" s="37">
        <f>'03_原始数据'!C705-0.64*'03_原始数据'!B705-OtherCost</f>
        <v/>
      </c>
      <c r="V705" s="37">
        <f>'03_原始数据'!C705-0.645*'03_原始数据'!B705-OtherCost</f>
        <v/>
      </c>
      <c r="W705" s="37">
        <f>'03_原始数据'!C705-0.65*'03_原始数据'!B705-OtherCost</f>
        <v/>
      </c>
      <c r="X705" s="37">
        <f>'03_原始数据'!C705-0.655*'03_原始数据'!B705-OtherCost</f>
        <v/>
      </c>
      <c r="Y705" s="37">
        <f>'03_原始数据'!C705-0.66*'03_原始数据'!B705-OtherCost</f>
        <v/>
      </c>
      <c r="Z705" s="37">
        <f>'03_原始数据'!C705-0.665*'03_原始数据'!B705-OtherCost</f>
        <v/>
      </c>
      <c r="AA705" s="37">
        <f>'03_原始数据'!C705-0.67*'03_原始数据'!B705-OtherCost</f>
        <v/>
      </c>
      <c r="AB705" s="37">
        <f>'03_原始数据'!C705-0.675*'03_原始数据'!B705-OtherCost</f>
        <v/>
      </c>
      <c r="AC705" s="37">
        <f>'03_原始数据'!C705-0.68*'03_原始数据'!B705-OtherCost</f>
        <v/>
      </c>
      <c r="AD705" s="37">
        <f>'03_原始数据'!C705-0.685*'03_原始数据'!B705-OtherCost</f>
        <v/>
      </c>
      <c r="AE705" s="37">
        <f>'03_原始数据'!C705-0.69*'03_原始数据'!B705-OtherCost</f>
        <v/>
      </c>
      <c r="AF705" s="37">
        <f>'03_原始数据'!C705-0.695*'03_原始数据'!B705-OtherCost</f>
        <v/>
      </c>
      <c r="AG705" s="37">
        <f>'03_原始数据'!C705-0.7*'03_原始数据'!B705-OtherCost</f>
        <v/>
      </c>
    </row>
    <row r="706">
      <c r="M706" s="37">
        <f>'03_原始数据'!C706-0.6*'03_原始数据'!B706-OtherCost</f>
        <v/>
      </c>
      <c r="N706" s="37">
        <f>'03_原始数据'!C706-0.605*'03_原始数据'!B706-OtherCost</f>
        <v/>
      </c>
      <c r="O706" s="37">
        <f>'03_原始数据'!C706-0.61*'03_原始数据'!B706-OtherCost</f>
        <v/>
      </c>
      <c r="P706" s="37">
        <f>'03_原始数据'!C706-0.615*'03_原始数据'!B706-OtherCost</f>
        <v/>
      </c>
      <c r="Q706" s="37">
        <f>'03_原始数据'!C706-0.62*'03_原始数据'!B706-OtherCost</f>
        <v/>
      </c>
      <c r="R706" s="37">
        <f>'03_原始数据'!C706-0.625*'03_原始数据'!B706-OtherCost</f>
        <v/>
      </c>
      <c r="S706" s="37">
        <f>'03_原始数据'!C706-0.63*'03_原始数据'!B706-OtherCost</f>
        <v/>
      </c>
      <c r="T706" s="37">
        <f>'03_原始数据'!C706-0.635*'03_原始数据'!B706-OtherCost</f>
        <v/>
      </c>
      <c r="U706" s="37">
        <f>'03_原始数据'!C706-0.64*'03_原始数据'!B706-OtherCost</f>
        <v/>
      </c>
      <c r="V706" s="37">
        <f>'03_原始数据'!C706-0.645*'03_原始数据'!B706-OtherCost</f>
        <v/>
      </c>
      <c r="W706" s="37">
        <f>'03_原始数据'!C706-0.65*'03_原始数据'!B706-OtherCost</f>
        <v/>
      </c>
      <c r="X706" s="37">
        <f>'03_原始数据'!C706-0.655*'03_原始数据'!B706-OtherCost</f>
        <v/>
      </c>
      <c r="Y706" s="37">
        <f>'03_原始数据'!C706-0.66*'03_原始数据'!B706-OtherCost</f>
        <v/>
      </c>
      <c r="Z706" s="37">
        <f>'03_原始数据'!C706-0.665*'03_原始数据'!B706-OtherCost</f>
        <v/>
      </c>
      <c r="AA706" s="37">
        <f>'03_原始数据'!C706-0.67*'03_原始数据'!B706-OtherCost</f>
        <v/>
      </c>
      <c r="AB706" s="37">
        <f>'03_原始数据'!C706-0.675*'03_原始数据'!B706-OtherCost</f>
        <v/>
      </c>
      <c r="AC706" s="37">
        <f>'03_原始数据'!C706-0.68*'03_原始数据'!B706-OtherCost</f>
        <v/>
      </c>
      <c r="AD706" s="37">
        <f>'03_原始数据'!C706-0.685*'03_原始数据'!B706-OtherCost</f>
        <v/>
      </c>
      <c r="AE706" s="37">
        <f>'03_原始数据'!C706-0.69*'03_原始数据'!B706-OtherCost</f>
        <v/>
      </c>
      <c r="AF706" s="37">
        <f>'03_原始数据'!C706-0.695*'03_原始数据'!B706-OtherCost</f>
        <v/>
      </c>
      <c r="AG706" s="37">
        <f>'03_原始数据'!C706-0.7*'03_原始数据'!B706-OtherCost</f>
        <v/>
      </c>
    </row>
    <row r="707">
      <c r="M707" s="37">
        <f>'03_原始数据'!C707-0.6*'03_原始数据'!B707-OtherCost</f>
        <v/>
      </c>
      <c r="N707" s="37">
        <f>'03_原始数据'!C707-0.605*'03_原始数据'!B707-OtherCost</f>
        <v/>
      </c>
      <c r="O707" s="37">
        <f>'03_原始数据'!C707-0.61*'03_原始数据'!B707-OtherCost</f>
        <v/>
      </c>
      <c r="P707" s="37">
        <f>'03_原始数据'!C707-0.615*'03_原始数据'!B707-OtherCost</f>
        <v/>
      </c>
      <c r="Q707" s="37">
        <f>'03_原始数据'!C707-0.62*'03_原始数据'!B707-OtherCost</f>
        <v/>
      </c>
      <c r="R707" s="37">
        <f>'03_原始数据'!C707-0.625*'03_原始数据'!B707-OtherCost</f>
        <v/>
      </c>
      <c r="S707" s="37">
        <f>'03_原始数据'!C707-0.63*'03_原始数据'!B707-OtherCost</f>
        <v/>
      </c>
      <c r="T707" s="37">
        <f>'03_原始数据'!C707-0.635*'03_原始数据'!B707-OtherCost</f>
        <v/>
      </c>
      <c r="U707" s="37">
        <f>'03_原始数据'!C707-0.64*'03_原始数据'!B707-OtherCost</f>
        <v/>
      </c>
      <c r="V707" s="37">
        <f>'03_原始数据'!C707-0.645*'03_原始数据'!B707-OtherCost</f>
        <v/>
      </c>
      <c r="W707" s="37">
        <f>'03_原始数据'!C707-0.65*'03_原始数据'!B707-OtherCost</f>
        <v/>
      </c>
      <c r="X707" s="37">
        <f>'03_原始数据'!C707-0.655*'03_原始数据'!B707-OtherCost</f>
        <v/>
      </c>
      <c r="Y707" s="37">
        <f>'03_原始数据'!C707-0.66*'03_原始数据'!B707-OtherCost</f>
        <v/>
      </c>
      <c r="Z707" s="37">
        <f>'03_原始数据'!C707-0.665*'03_原始数据'!B707-OtherCost</f>
        <v/>
      </c>
      <c r="AA707" s="37">
        <f>'03_原始数据'!C707-0.67*'03_原始数据'!B707-OtherCost</f>
        <v/>
      </c>
      <c r="AB707" s="37">
        <f>'03_原始数据'!C707-0.675*'03_原始数据'!B707-OtherCost</f>
        <v/>
      </c>
      <c r="AC707" s="37">
        <f>'03_原始数据'!C707-0.68*'03_原始数据'!B707-OtherCost</f>
        <v/>
      </c>
      <c r="AD707" s="37">
        <f>'03_原始数据'!C707-0.685*'03_原始数据'!B707-OtherCost</f>
        <v/>
      </c>
      <c r="AE707" s="37">
        <f>'03_原始数据'!C707-0.69*'03_原始数据'!B707-OtherCost</f>
        <v/>
      </c>
      <c r="AF707" s="37">
        <f>'03_原始数据'!C707-0.695*'03_原始数据'!B707-OtherCost</f>
        <v/>
      </c>
      <c r="AG707" s="37">
        <f>'03_原始数据'!C707-0.7*'03_原始数据'!B707-OtherCost</f>
        <v/>
      </c>
    </row>
    <row r="708">
      <c r="M708" s="37">
        <f>'03_原始数据'!C708-0.6*'03_原始数据'!B708-OtherCost</f>
        <v/>
      </c>
      <c r="N708" s="37">
        <f>'03_原始数据'!C708-0.605*'03_原始数据'!B708-OtherCost</f>
        <v/>
      </c>
      <c r="O708" s="37">
        <f>'03_原始数据'!C708-0.61*'03_原始数据'!B708-OtherCost</f>
        <v/>
      </c>
      <c r="P708" s="37">
        <f>'03_原始数据'!C708-0.615*'03_原始数据'!B708-OtherCost</f>
        <v/>
      </c>
      <c r="Q708" s="37">
        <f>'03_原始数据'!C708-0.62*'03_原始数据'!B708-OtherCost</f>
        <v/>
      </c>
      <c r="R708" s="37">
        <f>'03_原始数据'!C708-0.625*'03_原始数据'!B708-OtherCost</f>
        <v/>
      </c>
      <c r="S708" s="37">
        <f>'03_原始数据'!C708-0.63*'03_原始数据'!B708-OtherCost</f>
        <v/>
      </c>
      <c r="T708" s="37">
        <f>'03_原始数据'!C708-0.635*'03_原始数据'!B708-OtherCost</f>
        <v/>
      </c>
      <c r="U708" s="37">
        <f>'03_原始数据'!C708-0.64*'03_原始数据'!B708-OtherCost</f>
        <v/>
      </c>
      <c r="V708" s="37">
        <f>'03_原始数据'!C708-0.645*'03_原始数据'!B708-OtherCost</f>
        <v/>
      </c>
      <c r="W708" s="37">
        <f>'03_原始数据'!C708-0.65*'03_原始数据'!B708-OtherCost</f>
        <v/>
      </c>
      <c r="X708" s="37">
        <f>'03_原始数据'!C708-0.655*'03_原始数据'!B708-OtherCost</f>
        <v/>
      </c>
      <c r="Y708" s="37">
        <f>'03_原始数据'!C708-0.66*'03_原始数据'!B708-OtherCost</f>
        <v/>
      </c>
      <c r="Z708" s="37">
        <f>'03_原始数据'!C708-0.665*'03_原始数据'!B708-OtherCost</f>
        <v/>
      </c>
      <c r="AA708" s="37">
        <f>'03_原始数据'!C708-0.67*'03_原始数据'!B708-OtherCost</f>
        <v/>
      </c>
      <c r="AB708" s="37">
        <f>'03_原始数据'!C708-0.675*'03_原始数据'!B708-OtherCost</f>
        <v/>
      </c>
      <c r="AC708" s="37">
        <f>'03_原始数据'!C708-0.68*'03_原始数据'!B708-OtherCost</f>
        <v/>
      </c>
      <c r="AD708" s="37">
        <f>'03_原始数据'!C708-0.685*'03_原始数据'!B708-OtherCost</f>
        <v/>
      </c>
      <c r="AE708" s="37">
        <f>'03_原始数据'!C708-0.69*'03_原始数据'!B708-OtherCost</f>
        <v/>
      </c>
      <c r="AF708" s="37">
        <f>'03_原始数据'!C708-0.695*'03_原始数据'!B708-OtherCost</f>
        <v/>
      </c>
      <c r="AG708" s="37">
        <f>'03_原始数据'!C708-0.7*'03_原始数据'!B708-OtherCost</f>
        <v/>
      </c>
    </row>
    <row r="709">
      <c r="M709" s="37">
        <f>'03_原始数据'!C709-0.6*'03_原始数据'!B709-OtherCost</f>
        <v/>
      </c>
      <c r="N709" s="37">
        <f>'03_原始数据'!C709-0.605*'03_原始数据'!B709-OtherCost</f>
        <v/>
      </c>
      <c r="O709" s="37">
        <f>'03_原始数据'!C709-0.61*'03_原始数据'!B709-OtherCost</f>
        <v/>
      </c>
      <c r="P709" s="37">
        <f>'03_原始数据'!C709-0.615*'03_原始数据'!B709-OtherCost</f>
        <v/>
      </c>
      <c r="Q709" s="37">
        <f>'03_原始数据'!C709-0.62*'03_原始数据'!B709-OtherCost</f>
        <v/>
      </c>
      <c r="R709" s="37">
        <f>'03_原始数据'!C709-0.625*'03_原始数据'!B709-OtherCost</f>
        <v/>
      </c>
      <c r="S709" s="37">
        <f>'03_原始数据'!C709-0.63*'03_原始数据'!B709-OtherCost</f>
        <v/>
      </c>
      <c r="T709" s="37">
        <f>'03_原始数据'!C709-0.635*'03_原始数据'!B709-OtherCost</f>
        <v/>
      </c>
      <c r="U709" s="37">
        <f>'03_原始数据'!C709-0.64*'03_原始数据'!B709-OtherCost</f>
        <v/>
      </c>
      <c r="V709" s="37">
        <f>'03_原始数据'!C709-0.645*'03_原始数据'!B709-OtherCost</f>
        <v/>
      </c>
      <c r="W709" s="37">
        <f>'03_原始数据'!C709-0.65*'03_原始数据'!B709-OtherCost</f>
        <v/>
      </c>
      <c r="X709" s="37">
        <f>'03_原始数据'!C709-0.655*'03_原始数据'!B709-OtherCost</f>
        <v/>
      </c>
      <c r="Y709" s="37">
        <f>'03_原始数据'!C709-0.66*'03_原始数据'!B709-OtherCost</f>
        <v/>
      </c>
      <c r="Z709" s="37">
        <f>'03_原始数据'!C709-0.665*'03_原始数据'!B709-OtherCost</f>
        <v/>
      </c>
      <c r="AA709" s="37">
        <f>'03_原始数据'!C709-0.67*'03_原始数据'!B709-OtherCost</f>
        <v/>
      </c>
      <c r="AB709" s="37">
        <f>'03_原始数据'!C709-0.675*'03_原始数据'!B709-OtherCost</f>
        <v/>
      </c>
      <c r="AC709" s="37">
        <f>'03_原始数据'!C709-0.68*'03_原始数据'!B709-OtherCost</f>
        <v/>
      </c>
      <c r="AD709" s="37">
        <f>'03_原始数据'!C709-0.685*'03_原始数据'!B709-OtherCost</f>
        <v/>
      </c>
      <c r="AE709" s="37">
        <f>'03_原始数据'!C709-0.69*'03_原始数据'!B709-OtherCost</f>
        <v/>
      </c>
      <c r="AF709" s="37">
        <f>'03_原始数据'!C709-0.695*'03_原始数据'!B709-OtherCost</f>
        <v/>
      </c>
      <c r="AG709" s="37">
        <f>'03_原始数据'!C709-0.7*'03_原始数据'!B709-OtherCost</f>
        <v/>
      </c>
    </row>
    <row r="710">
      <c r="M710" s="37">
        <f>'03_原始数据'!C710-0.6*'03_原始数据'!B710-OtherCost</f>
        <v/>
      </c>
      <c r="N710" s="37">
        <f>'03_原始数据'!C710-0.605*'03_原始数据'!B710-OtherCost</f>
        <v/>
      </c>
      <c r="O710" s="37">
        <f>'03_原始数据'!C710-0.61*'03_原始数据'!B710-OtherCost</f>
        <v/>
      </c>
      <c r="P710" s="37">
        <f>'03_原始数据'!C710-0.615*'03_原始数据'!B710-OtherCost</f>
        <v/>
      </c>
      <c r="Q710" s="37">
        <f>'03_原始数据'!C710-0.62*'03_原始数据'!B710-OtherCost</f>
        <v/>
      </c>
      <c r="R710" s="37">
        <f>'03_原始数据'!C710-0.625*'03_原始数据'!B710-OtherCost</f>
        <v/>
      </c>
      <c r="S710" s="37">
        <f>'03_原始数据'!C710-0.63*'03_原始数据'!B710-OtherCost</f>
        <v/>
      </c>
      <c r="T710" s="37">
        <f>'03_原始数据'!C710-0.635*'03_原始数据'!B710-OtherCost</f>
        <v/>
      </c>
      <c r="U710" s="37">
        <f>'03_原始数据'!C710-0.64*'03_原始数据'!B710-OtherCost</f>
        <v/>
      </c>
      <c r="V710" s="37">
        <f>'03_原始数据'!C710-0.645*'03_原始数据'!B710-OtherCost</f>
        <v/>
      </c>
      <c r="W710" s="37">
        <f>'03_原始数据'!C710-0.65*'03_原始数据'!B710-OtherCost</f>
        <v/>
      </c>
      <c r="X710" s="37">
        <f>'03_原始数据'!C710-0.655*'03_原始数据'!B710-OtherCost</f>
        <v/>
      </c>
      <c r="Y710" s="37">
        <f>'03_原始数据'!C710-0.66*'03_原始数据'!B710-OtherCost</f>
        <v/>
      </c>
      <c r="Z710" s="37">
        <f>'03_原始数据'!C710-0.665*'03_原始数据'!B710-OtherCost</f>
        <v/>
      </c>
      <c r="AA710" s="37">
        <f>'03_原始数据'!C710-0.67*'03_原始数据'!B710-OtherCost</f>
        <v/>
      </c>
      <c r="AB710" s="37">
        <f>'03_原始数据'!C710-0.675*'03_原始数据'!B710-OtherCost</f>
        <v/>
      </c>
      <c r="AC710" s="37">
        <f>'03_原始数据'!C710-0.68*'03_原始数据'!B710-OtherCost</f>
        <v/>
      </c>
      <c r="AD710" s="37">
        <f>'03_原始数据'!C710-0.685*'03_原始数据'!B710-OtherCost</f>
        <v/>
      </c>
      <c r="AE710" s="37">
        <f>'03_原始数据'!C710-0.69*'03_原始数据'!B710-OtherCost</f>
        <v/>
      </c>
      <c r="AF710" s="37">
        <f>'03_原始数据'!C710-0.695*'03_原始数据'!B710-OtherCost</f>
        <v/>
      </c>
      <c r="AG710" s="37">
        <f>'03_原始数据'!C710-0.7*'03_原始数据'!B710-OtherCost</f>
        <v/>
      </c>
    </row>
    <row r="711">
      <c r="M711" s="37">
        <f>'03_原始数据'!C711-0.6*'03_原始数据'!B711-OtherCost</f>
        <v/>
      </c>
      <c r="N711" s="37">
        <f>'03_原始数据'!C711-0.605*'03_原始数据'!B711-OtherCost</f>
        <v/>
      </c>
      <c r="O711" s="37">
        <f>'03_原始数据'!C711-0.61*'03_原始数据'!B711-OtherCost</f>
        <v/>
      </c>
      <c r="P711" s="37">
        <f>'03_原始数据'!C711-0.615*'03_原始数据'!B711-OtherCost</f>
        <v/>
      </c>
      <c r="Q711" s="37">
        <f>'03_原始数据'!C711-0.62*'03_原始数据'!B711-OtherCost</f>
        <v/>
      </c>
      <c r="R711" s="37">
        <f>'03_原始数据'!C711-0.625*'03_原始数据'!B711-OtherCost</f>
        <v/>
      </c>
      <c r="S711" s="37">
        <f>'03_原始数据'!C711-0.63*'03_原始数据'!B711-OtherCost</f>
        <v/>
      </c>
      <c r="T711" s="37">
        <f>'03_原始数据'!C711-0.635*'03_原始数据'!B711-OtherCost</f>
        <v/>
      </c>
      <c r="U711" s="37">
        <f>'03_原始数据'!C711-0.64*'03_原始数据'!B711-OtherCost</f>
        <v/>
      </c>
      <c r="V711" s="37">
        <f>'03_原始数据'!C711-0.645*'03_原始数据'!B711-OtherCost</f>
        <v/>
      </c>
      <c r="W711" s="37">
        <f>'03_原始数据'!C711-0.65*'03_原始数据'!B711-OtherCost</f>
        <v/>
      </c>
      <c r="X711" s="37">
        <f>'03_原始数据'!C711-0.655*'03_原始数据'!B711-OtherCost</f>
        <v/>
      </c>
      <c r="Y711" s="37">
        <f>'03_原始数据'!C711-0.66*'03_原始数据'!B711-OtherCost</f>
        <v/>
      </c>
      <c r="Z711" s="37">
        <f>'03_原始数据'!C711-0.665*'03_原始数据'!B711-OtherCost</f>
        <v/>
      </c>
      <c r="AA711" s="37">
        <f>'03_原始数据'!C711-0.67*'03_原始数据'!B711-OtherCost</f>
        <v/>
      </c>
      <c r="AB711" s="37">
        <f>'03_原始数据'!C711-0.675*'03_原始数据'!B711-OtherCost</f>
        <v/>
      </c>
      <c r="AC711" s="37">
        <f>'03_原始数据'!C711-0.68*'03_原始数据'!B711-OtherCost</f>
        <v/>
      </c>
      <c r="AD711" s="37">
        <f>'03_原始数据'!C711-0.685*'03_原始数据'!B711-OtherCost</f>
        <v/>
      </c>
      <c r="AE711" s="37">
        <f>'03_原始数据'!C711-0.69*'03_原始数据'!B711-OtherCost</f>
        <v/>
      </c>
      <c r="AF711" s="37">
        <f>'03_原始数据'!C711-0.695*'03_原始数据'!B711-OtherCost</f>
        <v/>
      </c>
      <c r="AG711" s="37">
        <f>'03_原始数据'!C711-0.7*'03_原始数据'!B711-OtherCost</f>
        <v/>
      </c>
    </row>
    <row r="712">
      <c r="M712" s="37">
        <f>'03_原始数据'!C712-0.6*'03_原始数据'!B712-OtherCost</f>
        <v/>
      </c>
      <c r="N712" s="37">
        <f>'03_原始数据'!C712-0.605*'03_原始数据'!B712-OtherCost</f>
        <v/>
      </c>
      <c r="O712" s="37">
        <f>'03_原始数据'!C712-0.61*'03_原始数据'!B712-OtherCost</f>
        <v/>
      </c>
      <c r="P712" s="37">
        <f>'03_原始数据'!C712-0.615*'03_原始数据'!B712-OtherCost</f>
        <v/>
      </c>
      <c r="Q712" s="37">
        <f>'03_原始数据'!C712-0.62*'03_原始数据'!B712-OtherCost</f>
        <v/>
      </c>
      <c r="R712" s="37">
        <f>'03_原始数据'!C712-0.625*'03_原始数据'!B712-OtherCost</f>
        <v/>
      </c>
      <c r="S712" s="37">
        <f>'03_原始数据'!C712-0.63*'03_原始数据'!B712-OtherCost</f>
        <v/>
      </c>
      <c r="T712" s="37">
        <f>'03_原始数据'!C712-0.635*'03_原始数据'!B712-OtherCost</f>
        <v/>
      </c>
      <c r="U712" s="37">
        <f>'03_原始数据'!C712-0.64*'03_原始数据'!B712-OtherCost</f>
        <v/>
      </c>
      <c r="V712" s="37">
        <f>'03_原始数据'!C712-0.645*'03_原始数据'!B712-OtherCost</f>
        <v/>
      </c>
      <c r="W712" s="37">
        <f>'03_原始数据'!C712-0.65*'03_原始数据'!B712-OtherCost</f>
        <v/>
      </c>
      <c r="X712" s="37">
        <f>'03_原始数据'!C712-0.655*'03_原始数据'!B712-OtherCost</f>
        <v/>
      </c>
      <c r="Y712" s="37">
        <f>'03_原始数据'!C712-0.66*'03_原始数据'!B712-OtherCost</f>
        <v/>
      </c>
      <c r="Z712" s="37">
        <f>'03_原始数据'!C712-0.665*'03_原始数据'!B712-OtherCost</f>
        <v/>
      </c>
      <c r="AA712" s="37">
        <f>'03_原始数据'!C712-0.67*'03_原始数据'!B712-OtherCost</f>
        <v/>
      </c>
      <c r="AB712" s="37">
        <f>'03_原始数据'!C712-0.675*'03_原始数据'!B712-OtherCost</f>
        <v/>
      </c>
      <c r="AC712" s="37">
        <f>'03_原始数据'!C712-0.68*'03_原始数据'!B712-OtherCost</f>
        <v/>
      </c>
      <c r="AD712" s="37">
        <f>'03_原始数据'!C712-0.685*'03_原始数据'!B712-OtherCost</f>
        <v/>
      </c>
      <c r="AE712" s="37">
        <f>'03_原始数据'!C712-0.69*'03_原始数据'!B712-OtherCost</f>
        <v/>
      </c>
      <c r="AF712" s="37">
        <f>'03_原始数据'!C712-0.695*'03_原始数据'!B712-OtherCost</f>
        <v/>
      </c>
      <c r="AG712" s="37">
        <f>'03_原始数据'!C712-0.7*'03_原始数据'!B712-OtherCost</f>
        <v/>
      </c>
    </row>
    <row r="713">
      <c r="M713" s="37">
        <f>'03_原始数据'!C713-0.6*'03_原始数据'!B713-OtherCost</f>
        <v/>
      </c>
      <c r="N713" s="37">
        <f>'03_原始数据'!C713-0.605*'03_原始数据'!B713-OtherCost</f>
        <v/>
      </c>
      <c r="O713" s="37">
        <f>'03_原始数据'!C713-0.61*'03_原始数据'!B713-OtherCost</f>
        <v/>
      </c>
      <c r="P713" s="37">
        <f>'03_原始数据'!C713-0.615*'03_原始数据'!B713-OtherCost</f>
        <v/>
      </c>
      <c r="Q713" s="37">
        <f>'03_原始数据'!C713-0.62*'03_原始数据'!B713-OtherCost</f>
        <v/>
      </c>
      <c r="R713" s="37">
        <f>'03_原始数据'!C713-0.625*'03_原始数据'!B713-OtherCost</f>
        <v/>
      </c>
      <c r="S713" s="37">
        <f>'03_原始数据'!C713-0.63*'03_原始数据'!B713-OtherCost</f>
        <v/>
      </c>
      <c r="T713" s="37">
        <f>'03_原始数据'!C713-0.635*'03_原始数据'!B713-OtherCost</f>
        <v/>
      </c>
      <c r="U713" s="37">
        <f>'03_原始数据'!C713-0.64*'03_原始数据'!B713-OtherCost</f>
        <v/>
      </c>
      <c r="V713" s="37">
        <f>'03_原始数据'!C713-0.645*'03_原始数据'!B713-OtherCost</f>
        <v/>
      </c>
      <c r="W713" s="37">
        <f>'03_原始数据'!C713-0.65*'03_原始数据'!B713-OtherCost</f>
        <v/>
      </c>
      <c r="X713" s="37">
        <f>'03_原始数据'!C713-0.655*'03_原始数据'!B713-OtherCost</f>
        <v/>
      </c>
      <c r="Y713" s="37">
        <f>'03_原始数据'!C713-0.66*'03_原始数据'!B713-OtherCost</f>
        <v/>
      </c>
      <c r="Z713" s="37">
        <f>'03_原始数据'!C713-0.665*'03_原始数据'!B713-OtherCost</f>
        <v/>
      </c>
      <c r="AA713" s="37">
        <f>'03_原始数据'!C713-0.67*'03_原始数据'!B713-OtherCost</f>
        <v/>
      </c>
      <c r="AB713" s="37">
        <f>'03_原始数据'!C713-0.675*'03_原始数据'!B713-OtherCost</f>
        <v/>
      </c>
      <c r="AC713" s="37">
        <f>'03_原始数据'!C713-0.68*'03_原始数据'!B713-OtherCost</f>
        <v/>
      </c>
      <c r="AD713" s="37">
        <f>'03_原始数据'!C713-0.685*'03_原始数据'!B713-OtherCost</f>
        <v/>
      </c>
      <c r="AE713" s="37">
        <f>'03_原始数据'!C713-0.69*'03_原始数据'!B713-OtherCost</f>
        <v/>
      </c>
      <c r="AF713" s="37">
        <f>'03_原始数据'!C713-0.695*'03_原始数据'!B713-OtherCost</f>
        <v/>
      </c>
      <c r="AG713" s="37">
        <f>'03_原始数据'!C713-0.7*'03_原始数据'!B713-OtherCost</f>
        <v/>
      </c>
    </row>
    <row r="714">
      <c r="M714" s="37">
        <f>'03_原始数据'!C714-0.6*'03_原始数据'!B714-OtherCost</f>
        <v/>
      </c>
      <c r="N714" s="37">
        <f>'03_原始数据'!C714-0.605*'03_原始数据'!B714-OtherCost</f>
        <v/>
      </c>
      <c r="O714" s="37">
        <f>'03_原始数据'!C714-0.61*'03_原始数据'!B714-OtherCost</f>
        <v/>
      </c>
      <c r="P714" s="37">
        <f>'03_原始数据'!C714-0.615*'03_原始数据'!B714-OtherCost</f>
        <v/>
      </c>
      <c r="Q714" s="37">
        <f>'03_原始数据'!C714-0.62*'03_原始数据'!B714-OtherCost</f>
        <v/>
      </c>
      <c r="R714" s="37">
        <f>'03_原始数据'!C714-0.625*'03_原始数据'!B714-OtherCost</f>
        <v/>
      </c>
      <c r="S714" s="37">
        <f>'03_原始数据'!C714-0.63*'03_原始数据'!B714-OtherCost</f>
        <v/>
      </c>
      <c r="T714" s="37">
        <f>'03_原始数据'!C714-0.635*'03_原始数据'!B714-OtherCost</f>
        <v/>
      </c>
      <c r="U714" s="37">
        <f>'03_原始数据'!C714-0.64*'03_原始数据'!B714-OtherCost</f>
        <v/>
      </c>
      <c r="V714" s="37">
        <f>'03_原始数据'!C714-0.645*'03_原始数据'!B714-OtherCost</f>
        <v/>
      </c>
      <c r="W714" s="37">
        <f>'03_原始数据'!C714-0.65*'03_原始数据'!B714-OtherCost</f>
        <v/>
      </c>
      <c r="X714" s="37">
        <f>'03_原始数据'!C714-0.655*'03_原始数据'!B714-OtherCost</f>
        <v/>
      </c>
      <c r="Y714" s="37">
        <f>'03_原始数据'!C714-0.66*'03_原始数据'!B714-OtherCost</f>
        <v/>
      </c>
      <c r="Z714" s="37">
        <f>'03_原始数据'!C714-0.665*'03_原始数据'!B714-OtherCost</f>
        <v/>
      </c>
      <c r="AA714" s="37">
        <f>'03_原始数据'!C714-0.67*'03_原始数据'!B714-OtherCost</f>
        <v/>
      </c>
      <c r="AB714" s="37">
        <f>'03_原始数据'!C714-0.675*'03_原始数据'!B714-OtherCost</f>
        <v/>
      </c>
      <c r="AC714" s="37">
        <f>'03_原始数据'!C714-0.68*'03_原始数据'!B714-OtherCost</f>
        <v/>
      </c>
      <c r="AD714" s="37">
        <f>'03_原始数据'!C714-0.685*'03_原始数据'!B714-OtherCost</f>
        <v/>
      </c>
      <c r="AE714" s="37">
        <f>'03_原始数据'!C714-0.69*'03_原始数据'!B714-OtherCost</f>
        <v/>
      </c>
      <c r="AF714" s="37">
        <f>'03_原始数据'!C714-0.695*'03_原始数据'!B714-OtherCost</f>
        <v/>
      </c>
      <c r="AG714" s="37">
        <f>'03_原始数据'!C714-0.7*'03_原始数据'!B714-OtherCost</f>
        <v/>
      </c>
    </row>
    <row r="715">
      <c r="M715" s="37">
        <f>'03_原始数据'!C715-0.6*'03_原始数据'!B715-OtherCost</f>
        <v/>
      </c>
      <c r="N715" s="37">
        <f>'03_原始数据'!C715-0.605*'03_原始数据'!B715-OtherCost</f>
        <v/>
      </c>
      <c r="O715" s="37">
        <f>'03_原始数据'!C715-0.61*'03_原始数据'!B715-OtherCost</f>
        <v/>
      </c>
      <c r="P715" s="37">
        <f>'03_原始数据'!C715-0.615*'03_原始数据'!B715-OtherCost</f>
        <v/>
      </c>
      <c r="Q715" s="37">
        <f>'03_原始数据'!C715-0.62*'03_原始数据'!B715-OtherCost</f>
        <v/>
      </c>
      <c r="R715" s="37">
        <f>'03_原始数据'!C715-0.625*'03_原始数据'!B715-OtherCost</f>
        <v/>
      </c>
      <c r="S715" s="37">
        <f>'03_原始数据'!C715-0.63*'03_原始数据'!B715-OtherCost</f>
        <v/>
      </c>
      <c r="T715" s="37">
        <f>'03_原始数据'!C715-0.635*'03_原始数据'!B715-OtherCost</f>
        <v/>
      </c>
      <c r="U715" s="37">
        <f>'03_原始数据'!C715-0.64*'03_原始数据'!B715-OtherCost</f>
        <v/>
      </c>
      <c r="V715" s="37">
        <f>'03_原始数据'!C715-0.645*'03_原始数据'!B715-OtherCost</f>
        <v/>
      </c>
      <c r="W715" s="37">
        <f>'03_原始数据'!C715-0.65*'03_原始数据'!B715-OtherCost</f>
        <v/>
      </c>
      <c r="X715" s="37">
        <f>'03_原始数据'!C715-0.655*'03_原始数据'!B715-OtherCost</f>
        <v/>
      </c>
      <c r="Y715" s="37">
        <f>'03_原始数据'!C715-0.66*'03_原始数据'!B715-OtherCost</f>
        <v/>
      </c>
      <c r="Z715" s="37">
        <f>'03_原始数据'!C715-0.665*'03_原始数据'!B715-OtherCost</f>
        <v/>
      </c>
      <c r="AA715" s="37">
        <f>'03_原始数据'!C715-0.67*'03_原始数据'!B715-OtherCost</f>
        <v/>
      </c>
      <c r="AB715" s="37">
        <f>'03_原始数据'!C715-0.675*'03_原始数据'!B715-OtherCost</f>
        <v/>
      </c>
      <c r="AC715" s="37">
        <f>'03_原始数据'!C715-0.68*'03_原始数据'!B715-OtherCost</f>
        <v/>
      </c>
      <c r="AD715" s="37">
        <f>'03_原始数据'!C715-0.685*'03_原始数据'!B715-OtherCost</f>
        <v/>
      </c>
      <c r="AE715" s="37">
        <f>'03_原始数据'!C715-0.69*'03_原始数据'!B715-OtherCost</f>
        <v/>
      </c>
      <c r="AF715" s="37">
        <f>'03_原始数据'!C715-0.695*'03_原始数据'!B715-OtherCost</f>
        <v/>
      </c>
      <c r="AG715" s="37">
        <f>'03_原始数据'!C715-0.7*'03_原始数据'!B715-OtherCost</f>
        <v/>
      </c>
    </row>
    <row r="716">
      <c r="M716" s="37">
        <f>'03_原始数据'!C716-0.6*'03_原始数据'!B716-OtherCost</f>
        <v/>
      </c>
      <c r="N716" s="37">
        <f>'03_原始数据'!C716-0.605*'03_原始数据'!B716-OtherCost</f>
        <v/>
      </c>
      <c r="O716" s="37">
        <f>'03_原始数据'!C716-0.61*'03_原始数据'!B716-OtherCost</f>
        <v/>
      </c>
      <c r="P716" s="37">
        <f>'03_原始数据'!C716-0.615*'03_原始数据'!B716-OtherCost</f>
        <v/>
      </c>
      <c r="Q716" s="37">
        <f>'03_原始数据'!C716-0.62*'03_原始数据'!B716-OtherCost</f>
        <v/>
      </c>
      <c r="R716" s="37">
        <f>'03_原始数据'!C716-0.625*'03_原始数据'!B716-OtherCost</f>
        <v/>
      </c>
      <c r="S716" s="37">
        <f>'03_原始数据'!C716-0.63*'03_原始数据'!B716-OtherCost</f>
        <v/>
      </c>
      <c r="T716" s="37">
        <f>'03_原始数据'!C716-0.635*'03_原始数据'!B716-OtherCost</f>
        <v/>
      </c>
      <c r="U716" s="37">
        <f>'03_原始数据'!C716-0.64*'03_原始数据'!B716-OtherCost</f>
        <v/>
      </c>
      <c r="V716" s="37">
        <f>'03_原始数据'!C716-0.645*'03_原始数据'!B716-OtherCost</f>
        <v/>
      </c>
      <c r="W716" s="37">
        <f>'03_原始数据'!C716-0.65*'03_原始数据'!B716-OtherCost</f>
        <v/>
      </c>
      <c r="X716" s="37">
        <f>'03_原始数据'!C716-0.655*'03_原始数据'!B716-OtherCost</f>
        <v/>
      </c>
      <c r="Y716" s="37">
        <f>'03_原始数据'!C716-0.66*'03_原始数据'!B716-OtherCost</f>
        <v/>
      </c>
      <c r="Z716" s="37">
        <f>'03_原始数据'!C716-0.665*'03_原始数据'!B716-OtherCost</f>
        <v/>
      </c>
      <c r="AA716" s="37">
        <f>'03_原始数据'!C716-0.67*'03_原始数据'!B716-OtherCost</f>
        <v/>
      </c>
      <c r="AB716" s="37">
        <f>'03_原始数据'!C716-0.675*'03_原始数据'!B716-OtherCost</f>
        <v/>
      </c>
      <c r="AC716" s="37">
        <f>'03_原始数据'!C716-0.68*'03_原始数据'!B716-OtherCost</f>
        <v/>
      </c>
      <c r="AD716" s="37">
        <f>'03_原始数据'!C716-0.685*'03_原始数据'!B716-OtherCost</f>
        <v/>
      </c>
      <c r="AE716" s="37">
        <f>'03_原始数据'!C716-0.69*'03_原始数据'!B716-OtherCost</f>
        <v/>
      </c>
      <c r="AF716" s="37">
        <f>'03_原始数据'!C716-0.695*'03_原始数据'!B716-OtherCost</f>
        <v/>
      </c>
      <c r="AG716" s="37">
        <f>'03_原始数据'!C716-0.7*'03_原始数据'!B716-OtherCost</f>
        <v/>
      </c>
    </row>
    <row r="717">
      <c r="M717" s="37">
        <f>'03_原始数据'!C717-0.6*'03_原始数据'!B717-OtherCost</f>
        <v/>
      </c>
      <c r="N717" s="37">
        <f>'03_原始数据'!C717-0.605*'03_原始数据'!B717-OtherCost</f>
        <v/>
      </c>
      <c r="O717" s="37">
        <f>'03_原始数据'!C717-0.61*'03_原始数据'!B717-OtherCost</f>
        <v/>
      </c>
      <c r="P717" s="37">
        <f>'03_原始数据'!C717-0.615*'03_原始数据'!B717-OtherCost</f>
        <v/>
      </c>
      <c r="Q717" s="37">
        <f>'03_原始数据'!C717-0.62*'03_原始数据'!B717-OtherCost</f>
        <v/>
      </c>
      <c r="R717" s="37">
        <f>'03_原始数据'!C717-0.625*'03_原始数据'!B717-OtherCost</f>
        <v/>
      </c>
      <c r="S717" s="37">
        <f>'03_原始数据'!C717-0.63*'03_原始数据'!B717-OtherCost</f>
        <v/>
      </c>
      <c r="T717" s="37">
        <f>'03_原始数据'!C717-0.635*'03_原始数据'!B717-OtherCost</f>
        <v/>
      </c>
      <c r="U717" s="37">
        <f>'03_原始数据'!C717-0.64*'03_原始数据'!B717-OtherCost</f>
        <v/>
      </c>
      <c r="V717" s="37">
        <f>'03_原始数据'!C717-0.645*'03_原始数据'!B717-OtherCost</f>
        <v/>
      </c>
      <c r="W717" s="37">
        <f>'03_原始数据'!C717-0.65*'03_原始数据'!B717-OtherCost</f>
        <v/>
      </c>
      <c r="X717" s="37">
        <f>'03_原始数据'!C717-0.655*'03_原始数据'!B717-OtherCost</f>
        <v/>
      </c>
      <c r="Y717" s="37">
        <f>'03_原始数据'!C717-0.66*'03_原始数据'!B717-OtherCost</f>
        <v/>
      </c>
      <c r="Z717" s="37">
        <f>'03_原始数据'!C717-0.665*'03_原始数据'!B717-OtherCost</f>
        <v/>
      </c>
      <c r="AA717" s="37">
        <f>'03_原始数据'!C717-0.67*'03_原始数据'!B717-OtherCost</f>
        <v/>
      </c>
      <c r="AB717" s="37">
        <f>'03_原始数据'!C717-0.675*'03_原始数据'!B717-OtherCost</f>
        <v/>
      </c>
      <c r="AC717" s="37">
        <f>'03_原始数据'!C717-0.68*'03_原始数据'!B717-OtherCost</f>
        <v/>
      </c>
      <c r="AD717" s="37">
        <f>'03_原始数据'!C717-0.685*'03_原始数据'!B717-OtherCost</f>
        <v/>
      </c>
      <c r="AE717" s="37">
        <f>'03_原始数据'!C717-0.69*'03_原始数据'!B717-OtherCost</f>
        <v/>
      </c>
      <c r="AF717" s="37">
        <f>'03_原始数据'!C717-0.695*'03_原始数据'!B717-OtherCost</f>
        <v/>
      </c>
      <c r="AG717" s="37">
        <f>'03_原始数据'!C717-0.7*'03_原始数据'!B717-OtherCost</f>
        <v/>
      </c>
    </row>
    <row r="718">
      <c r="M718" s="37">
        <f>'03_原始数据'!C718-0.6*'03_原始数据'!B718-OtherCost</f>
        <v/>
      </c>
      <c r="N718" s="37">
        <f>'03_原始数据'!C718-0.605*'03_原始数据'!B718-OtherCost</f>
        <v/>
      </c>
      <c r="O718" s="37">
        <f>'03_原始数据'!C718-0.61*'03_原始数据'!B718-OtherCost</f>
        <v/>
      </c>
      <c r="P718" s="37">
        <f>'03_原始数据'!C718-0.615*'03_原始数据'!B718-OtherCost</f>
        <v/>
      </c>
      <c r="Q718" s="37">
        <f>'03_原始数据'!C718-0.62*'03_原始数据'!B718-OtherCost</f>
        <v/>
      </c>
      <c r="R718" s="37">
        <f>'03_原始数据'!C718-0.625*'03_原始数据'!B718-OtherCost</f>
        <v/>
      </c>
      <c r="S718" s="37">
        <f>'03_原始数据'!C718-0.63*'03_原始数据'!B718-OtherCost</f>
        <v/>
      </c>
      <c r="T718" s="37">
        <f>'03_原始数据'!C718-0.635*'03_原始数据'!B718-OtherCost</f>
        <v/>
      </c>
      <c r="U718" s="37">
        <f>'03_原始数据'!C718-0.64*'03_原始数据'!B718-OtherCost</f>
        <v/>
      </c>
      <c r="V718" s="37">
        <f>'03_原始数据'!C718-0.645*'03_原始数据'!B718-OtherCost</f>
        <v/>
      </c>
      <c r="W718" s="37">
        <f>'03_原始数据'!C718-0.65*'03_原始数据'!B718-OtherCost</f>
        <v/>
      </c>
      <c r="X718" s="37">
        <f>'03_原始数据'!C718-0.655*'03_原始数据'!B718-OtherCost</f>
        <v/>
      </c>
      <c r="Y718" s="37">
        <f>'03_原始数据'!C718-0.66*'03_原始数据'!B718-OtherCost</f>
        <v/>
      </c>
      <c r="Z718" s="37">
        <f>'03_原始数据'!C718-0.665*'03_原始数据'!B718-OtherCost</f>
        <v/>
      </c>
      <c r="AA718" s="37">
        <f>'03_原始数据'!C718-0.67*'03_原始数据'!B718-OtherCost</f>
        <v/>
      </c>
      <c r="AB718" s="37">
        <f>'03_原始数据'!C718-0.675*'03_原始数据'!B718-OtherCost</f>
        <v/>
      </c>
      <c r="AC718" s="37">
        <f>'03_原始数据'!C718-0.68*'03_原始数据'!B718-OtherCost</f>
        <v/>
      </c>
      <c r="AD718" s="37">
        <f>'03_原始数据'!C718-0.685*'03_原始数据'!B718-OtherCost</f>
        <v/>
      </c>
      <c r="AE718" s="37">
        <f>'03_原始数据'!C718-0.69*'03_原始数据'!B718-OtherCost</f>
        <v/>
      </c>
      <c r="AF718" s="37">
        <f>'03_原始数据'!C718-0.695*'03_原始数据'!B718-OtherCost</f>
        <v/>
      </c>
      <c r="AG718" s="37">
        <f>'03_原始数据'!C718-0.7*'03_原始数据'!B718-OtherCost</f>
        <v/>
      </c>
    </row>
    <row r="719">
      <c r="M719" s="37">
        <f>'03_原始数据'!C719-0.6*'03_原始数据'!B719-OtherCost</f>
        <v/>
      </c>
      <c r="N719" s="37">
        <f>'03_原始数据'!C719-0.605*'03_原始数据'!B719-OtherCost</f>
        <v/>
      </c>
      <c r="O719" s="37">
        <f>'03_原始数据'!C719-0.61*'03_原始数据'!B719-OtherCost</f>
        <v/>
      </c>
      <c r="P719" s="37">
        <f>'03_原始数据'!C719-0.615*'03_原始数据'!B719-OtherCost</f>
        <v/>
      </c>
      <c r="Q719" s="37">
        <f>'03_原始数据'!C719-0.62*'03_原始数据'!B719-OtherCost</f>
        <v/>
      </c>
      <c r="R719" s="37">
        <f>'03_原始数据'!C719-0.625*'03_原始数据'!B719-OtherCost</f>
        <v/>
      </c>
      <c r="S719" s="37">
        <f>'03_原始数据'!C719-0.63*'03_原始数据'!B719-OtherCost</f>
        <v/>
      </c>
      <c r="T719" s="37">
        <f>'03_原始数据'!C719-0.635*'03_原始数据'!B719-OtherCost</f>
        <v/>
      </c>
      <c r="U719" s="37">
        <f>'03_原始数据'!C719-0.64*'03_原始数据'!B719-OtherCost</f>
        <v/>
      </c>
      <c r="V719" s="37">
        <f>'03_原始数据'!C719-0.645*'03_原始数据'!B719-OtherCost</f>
        <v/>
      </c>
      <c r="W719" s="37">
        <f>'03_原始数据'!C719-0.65*'03_原始数据'!B719-OtherCost</f>
        <v/>
      </c>
      <c r="X719" s="37">
        <f>'03_原始数据'!C719-0.655*'03_原始数据'!B719-OtherCost</f>
        <v/>
      </c>
      <c r="Y719" s="37">
        <f>'03_原始数据'!C719-0.66*'03_原始数据'!B719-OtherCost</f>
        <v/>
      </c>
      <c r="Z719" s="37">
        <f>'03_原始数据'!C719-0.665*'03_原始数据'!B719-OtherCost</f>
        <v/>
      </c>
      <c r="AA719" s="37">
        <f>'03_原始数据'!C719-0.67*'03_原始数据'!B719-OtherCost</f>
        <v/>
      </c>
      <c r="AB719" s="37">
        <f>'03_原始数据'!C719-0.675*'03_原始数据'!B719-OtherCost</f>
        <v/>
      </c>
      <c r="AC719" s="37">
        <f>'03_原始数据'!C719-0.68*'03_原始数据'!B719-OtherCost</f>
        <v/>
      </c>
      <c r="AD719" s="37">
        <f>'03_原始数据'!C719-0.685*'03_原始数据'!B719-OtherCost</f>
        <v/>
      </c>
      <c r="AE719" s="37">
        <f>'03_原始数据'!C719-0.69*'03_原始数据'!B719-OtherCost</f>
        <v/>
      </c>
      <c r="AF719" s="37">
        <f>'03_原始数据'!C719-0.695*'03_原始数据'!B719-OtherCost</f>
        <v/>
      </c>
      <c r="AG719" s="37">
        <f>'03_原始数据'!C719-0.7*'03_原始数据'!B719-OtherCost</f>
        <v/>
      </c>
    </row>
    <row r="720">
      <c r="M720" s="37">
        <f>'03_原始数据'!C720-0.6*'03_原始数据'!B720-OtherCost</f>
        <v/>
      </c>
      <c r="N720" s="37">
        <f>'03_原始数据'!C720-0.605*'03_原始数据'!B720-OtherCost</f>
        <v/>
      </c>
      <c r="O720" s="37">
        <f>'03_原始数据'!C720-0.61*'03_原始数据'!B720-OtherCost</f>
        <v/>
      </c>
      <c r="P720" s="37">
        <f>'03_原始数据'!C720-0.615*'03_原始数据'!B720-OtherCost</f>
        <v/>
      </c>
      <c r="Q720" s="37">
        <f>'03_原始数据'!C720-0.62*'03_原始数据'!B720-OtherCost</f>
        <v/>
      </c>
      <c r="R720" s="37">
        <f>'03_原始数据'!C720-0.625*'03_原始数据'!B720-OtherCost</f>
        <v/>
      </c>
      <c r="S720" s="37">
        <f>'03_原始数据'!C720-0.63*'03_原始数据'!B720-OtherCost</f>
        <v/>
      </c>
      <c r="T720" s="37">
        <f>'03_原始数据'!C720-0.635*'03_原始数据'!B720-OtherCost</f>
        <v/>
      </c>
      <c r="U720" s="37">
        <f>'03_原始数据'!C720-0.64*'03_原始数据'!B720-OtherCost</f>
        <v/>
      </c>
      <c r="V720" s="37">
        <f>'03_原始数据'!C720-0.645*'03_原始数据'!B720-OtherCost</f>
        <v/>
      </c>
      <c r="W720" s="37">
        <f>'03_原始数据'!C720-0.65*'03_原始数据'!B720-OtherCost</f>
        <v/>
      </c>
      <c r="X720" s="37">
        <f>'03_原始数据'!C720-0.655*'03_原始数据'!B720-OtherCost</f>
        <v/>
      </c>
      <c r="Y720" s="37">
        <f>'03_原始数据'!C720-0.66*'03_原始数据'!B720-OtherCost</f>
        <v/>
      </c>
      <c r="Z720" s="37">
        <f>'03_原始数据'!C720-0.665*'03_原始数据'!B720-OtherCost</f>
        <v/>
      </c>
      <c r="AA720" s="37">
        <f>'03_原始数据'!C720-0.67*'03_原始数据'!B720-OtherCost</f>
        <v/>
      </c>
      <c r="AB720" s="37">
        <f>'03_原始数据'!C720-0.675*'03_原始数据'!B720-OtherCost</f>
        <v/>
      </c>
      <c r="AC720" s="37">
        <f>'03_原始数据'!C720-0.68*'03_原始数据'!B720-OtherCost</f>
        <v/>
      </c>
      <c r="AD720" s="37">
        <f>'03_原始数据'!C720-0.685*'03_原始数据'!B720-OtherCost</f>
        <v/>
      </c>
      <c r="AE720" s="37">
        <f>'03_原始数据'!C720-0.69*'03_原始数据'!B720-OtherCost</f>
        <v/>
      </c>
      <c r="AF720" s="37">
        <f>'03_原始数据'!C720-0.695*'03_原始数据'!B720-OtherCost</f>
        <v/>
      </c>
      <c r="AG720" s="37">
        <f>'03_原始数据'!C720-0.7*'03_原始数据'!B720-OtherCost</f>
        <v/>
      </c>
    </row>
    <row r="721">
      <c r="M721" s="37">
        <f>'03_原始数据'!C721-0.6*'03_原始数据'!B721-OtherCost</f>
        <v/>
      </c>
      <c r="N721" s="37">
        <f>'03_原始数据'!C721-0.605*'03_原始数据'!B721-OtherCost</f>
        <v/>
      </c>
      <c r="O721" s="37">
        <f>'03_原始数据'!C721-0.61*'03_原始数据'!B721-OtherCost</f>
        <v/>
      </c>
      <c r="P721" s="37">
        <f>'03_原始数据'!C721-0.615*'03_原始数据'!B721-OtherCost</f>
        <v/>
      </c>
      <c r="Q721" s="37">
        <f>'03_原始数据'!C721-0.62*'03_原始数据'!B721-OtherCost</f>
        <v/>
      </c>
      <c r="R721" s="37">
        <f>'03_原始数据'!C721-0.625*'03_原始数据'!B721-OtherCost</f>
        <v/>
      </c>
      <c r="S721" s="37">
        <f>'03_原始数据'!C721-0.63*'03_原始数据'!B721-OtherCost</f>
        <v/>
      </c>
      <c r="T721" s="37">
        <f>'03_原始数据'!C721-0.635*'03_原始数据'!B721-OtherCost</f>
        <v/>
      </c>
      <c r="U721" s="37">
        <f>'03_原始数据'!C721-0.64*'03_原始数据'!B721-OtherCost</f>
        <v/>
      </c>
      <c r="V721" s="37">
        <f>'03_原始数据'!C721-0.645*'03_原始数据'!B721-OtherCost</f>
        <v/>
      </c>
      <c r="W721" s="37">
        <f>'03_原始数据'!C721-0.65*'03_原始数据'!B721-OtherCost</f>
        <v/>
      </c>
      <c r="X721" s="37">
        <f>'03_原始数据'!C721-0.655*'03_原始数据'!B721-OtherCost</f>
        <v/>
      </c>
      <c r="Y721" s="37">
        <f>'03_原始数据'!C721-0.66*'03_原始数据'!B721-OtherCost</f>
        <v/>
      </c>
      <c r="Z721" s="37">
        <f>'03_原始数据'!C721-0.665*'03_原始数据'!B721-OtherCost</f>
        <v/>
      </c>
      <c r="AA721" s="37">
        <f>'03_原始数据'!C721-0.67*'03_原始数据'!B721-OtherCost</f>
        <v/>
      </c>
      <c r="AB721" s="37">
        <f>'03_原始数据'!C721-0.675*'03_原始数据'!B721-OtherCost</f>
        <v/>
      </c>
      <c r="AC721" s="37">
        <f>'03_原始数据'!C721-0.68*'03_原始数据'!B721-OtherCost</f>
        <v/>
      </c>
      <c r="AD721" s="37">
        <f>'03_原始数据'!C721-0.685*'03_原始数据'!B721-OtherCost</f>
        <v/>
      </c>
      <c r="AE721" s="37">
        <f>'03_原始数据'!C721-0.69*'03_原始数据'!B721-OtherCost</f>
        <v/>
      </c>
      <c r="AF721" s="37">
        <f>'03_原始数据'!C721-0.695*'03_原始数据'!B721-OtherCost</f>
        <v/>
      </c>
      <c r="AG721" s="37">
        <f>'03_原始数据'!C721-0.7*'03_原始数据'!B721-OtherCost</f>
        <v/>
      </c>
    </row>
    <row r="722">
      <c r="M722" s="37">
        <f>'03_原始数据'!C722-0.6*'03_原始数据'!B722-OtherCost</f>
        <v/>
      </c>
      <c r="N722" s="37">
        <f>'03_原始数据'!C722-0.605*'03_原始数据'!B722-OtherCost</f>
        <v/>
      </c>
      <c r="O722" s="37">
        <f>'03_原始数据'!C722-0.61*'03_原始数据'!B722-OtherCost</f>
        <v/>
      </c>
      <c r="P722" s="37">
        <f>'03_原始数据'!C722-0.615*'03_原始数据'!B722-OtherCost</f>
        <v/>
      </c>
      <c r="Q722" s="37">
        <f>'03_原始数据'!C722-0.62*'03_原始数据'!B722-OtherCost</f>
        <v/>
      </c>
      <c r="R722" s="37">
        <f>'03_原始数据'!C722-0.625*'03_原始数据'!B722-OtherCost</f>
        <v/>
      </c>
      <c r="S722" s="37">
        <f>'03_原始数据'!C722-0.63*'03_原始数据'!B722-OtherCost</f>
        <v/>
      </c>
      <c r="T722" s="37">
        <f>'03_原始数据'!C722-0.635*'03_原始数据'!B722-OtherCost</f>
        <v/>
      </c>
      <c r="U722" s="37">
        <f>'03_原始数据'!C722-0.64*'03_原始数据'!B722-OtherCost</f>
        <v/>
      </c>
      <c r="V722" s="37">
        <f>'03_原始数据'!C722-0.645*'03_原始数据'!B722-OtherCost</f>
        <v/>
      </c>
      <c r="W722" s="37">
        <f>'03_原始数据'!C722-0.65*'03_原始数据'!B722-OtherCost</f>
        <v/>
      </c>
      <c r="X722" s="37">
        <f>'03_原始数据'!C722-0.655*'03_原始数据'!B722-OtherCost</f>
        <v/>
      </c>
      <c r="Y722" s="37">
        <f>'03_原始数据'!C722-0.66*'03_原始数据'!B722-OtherCost</f>
        <v/>
      </c>
      <c r="Z722" s="37">
        <f>'03_原始数据'!C722-0.665*'03_原始数据'!B722-OtherCost</f>
        <v/>
      </c>
      <c r="AA722" s="37">
        <f>'03_原始数据'!C722-0.67*'03_原始数据'!B722-OtherCost</f>
        <v/>
      </c>
      <c r="AB722" s="37">
        <f>'03_原始数据'!C722-0.675*'03_原始数据'!B722-OtherCost</f>
        <v/>
      </c>
      <c r="AC722" s="37">
        <f>'03_原始数据'!C722-0.68*'03_原始数据'!B722-OtherCost</f>
        <v/>
      </c>
      <c r="AD722" s="37">
        <f>'03_原始数据'!C722-0.685*'03_原始数据'!B722-OtherCost</f>
        <v/>
      </c>
      <c r="AE722" s="37">
        <f>'03_原始数据'!C722-0.69*'03_原始数据'!B722-OtherCost</f>
        <v/>
      </c>
      <c r="AF722" s="37">
        <f>'03_原始数据'!C722-0.695*'03_原始数据'!B722-OtherCost</f>
        <v/>
      </c>
      <c r="AG722" s="37">
        <f>'03_原始数据'!C722-0.7*'03_原始数据'!B722-OtherCost</f>
        <v/>
      </c>
    </row>
    <row r="723">
      <c r="M723" s="37">
        <f>'03_原始数据'!C723-0.6*'03_原始数据'!B723-OtherCost</f>
        <v/>
      </c>
      <c r="N723" s="37">
        <f>'03_原始数据'!C723-0.605*'03_原始数据'!B723-OtherCost</f>
        <v/>
      </c>
      <c r="O723" s="37">
        <f>'03_原始数据'!C723-0.61*'03_原始数据'!B723-OtherCost</f>
        <v/>
      </c>
      <c r="P723" s="37">
        <f>'03_原始数据'!C723-0.615*'03_原始数据'!B723-OtherCost</f>
        <v/>
      </c>
      <c r="Q723" s="37">
        <f>'03_原始数据'!C723-0.62*'03_原始数据'!B723-OtherCost</f>
        <v/>
      </c>
      <c r="R723" s="37">
        <f>'03_原始数据'!C723-0.625*'03_原始数据'!B723-OtherCost</f>
        <v/>
      </c>
      <c r="S723" s="37">
        <f>'03_原始数据'!C723-0.63*'03_原始数据'!B723-OtherCost</f>
        <v/>
      </c>
      <c r="T723" s="37">
        <f>'03_原始数据'!C723-0.635*'03_原始数据'!B723-OtherCost</f>
        <v/>
      </c>
      <c r="U723" s="37">
        <f>'03_原始数据'!C723-0.64*'03_原始数据'!B723-OtherCost</f>
        <v/>
      </c>
      <c r="V723" s="37">
        <f>'03_原始数据'!C723-0.645*'03_原始数据'!B723-OtherCost</f>
        <v/>
      </c>
      <c r="W723" s="37">
        <f>'03_原始数据'!C723-0.65*'03_原始数据'!B723-OtherCost</f>
        <v/>
      </c>
      <c r="X723" s="37">
        <f>'03_原始数据'!C723-0.655*'03_原始数据'!B723-OtherCost</f>
        <v/>
      </c>
      <c r="Y723" s="37">
        <f>'03_原始数据'!C723-0.66*'03_原始数据'!B723-OtherCost</f>
        <v/>
      </c>
      <c r="Z723" s="37">
        <f>'03_原始数据'!C723-0.665*'03_原始数据'!B723-OtherCost</f>
        <v/>
      </c>
      <c r="AA723" s="37">
        <f>'03_原始数据'!C723-0.67*'03_原始数据'!B723-OtherCost</f>
        <v/>
      </c>
      <c r="AB723" s="37">
        <f>'03_原始数据'!C723-0.675*'03_原始数据'!B723-OtherCost</f>
        <v/>
      </c>
      <c r="AC723" s="37">
        <f>'03_原始数据'!C723-0.68*'03_原始数据'!B723-OtherCost</f>
        <v/>
      </c>
      <c r="AD723" s="37">
        <f>'03_原始数据'!C723-0.685*'03_原始数据'!B723-OtherCost</f>
        <v/>
      </c>
      <c r="AE723" s="37">
        <f>'03_原始数据'!C723-0.69*'03_原始数据'!B723-OtherCost</f>
        <v/>
      </c>
      <c r="AF723" s="37">
        <f>'03_原始数据'!C723-0.695*'03_原始数据'!B723-OtherCost</f>
        <v/>
      </c>
      <c r="AG723" s="37">
        <f>'03_原始数据'!C723-0.7*'03_原始数据'!B723-OtherCost</f>
        <v/>
      </c>
    </row>
    <row r="724">
      <c r="M724" s="37">
        <f>'03_原始数据'!C724-0.6*'03_原始数据'!B724-OtherCost</f>
        <v/>
      </c>
      <c r="N724" s="37">
        <f>'03_原始数据'!C724-0.605*'03_原始数据'!B724-OtherCost</f>
        <v/>
      </c>
      <c r="O724" s="37">
        <f>'03_原始数据'!C724-0.61*'03_原始数据'!B724-OtherCost</f>
        <v/>
      </c>
      <c r="P724" s="37">
        <f>'03_原始数据'!C724-0.615*'03_原始数据'!B724-OtherCost</f>
        <v/>
      </c>
      <c r="Q724" s="37">
        <f>'03_原始数据'!C724-0.62*'03_原始数据'!B724-OtherCost</f>
        <v/>
      </c>
      <c r="R724" s="37">
        <f>'03_原始数据'!C724-0.625*'03_原始数据'!B724-OtherCost</f>
        <v/>
      </c>
      <c r="S724" s="37">
        <f>'03_原始数据'!C724-0.63*'03_原始数据'!B724-OtherCost</f>
        <v/>
      </c>
      <c r="T724" s="37">
        <f>'03_原始数据'!C724-0.635*'03_原始数据'!B724-OtherCost</f>
        <v/>
      </c>
      <c r="U724" s="37">
        <f>'03_原始数据'!C724-0.64*'03_原始数据'!B724-OtherCost</f>
        <v/>
      </c>
      <c r="V724" s="37">
        <f>'03_原始数据'!C724-0.645*'03_原始数据'!B724-OtherCost</f>
        <v/>
      </c>
      <c r="W724" s="37">
        <f>'03_原始数据'!C724-0.65*'03_原始数据'!B724-OtherCost</f>
        <v/>
      </c>
      <c r="X724" s="37">
        <f>'03_原始数据'!C724-0.655*'03_原始数据'!B724-OtherCost</f>
        <v/>
      </c>
      <c r="Y724" s="37">
        <f>'03_原始数据'!C724-0.66*'03_原始数据'!B724-OtherCost</f>
        <v/>
      </c>
      <c r="Z724" s="37">
        <f>'03_原始数据'!C724-0.665*'03_原始数据'!B724-OtherCost</f>
        <v/>
      </c>
      <c r="AA724" s="37">
        <f>'03_原始数据'!C724-0.67*'03_原始数据'!B724-OtherCost</f>
        <v/>
      </c>
      <c r="AB724" s="37">
        <f>'03_原始数据'!C724-0.675*'03_原始数据'!B724-OtherCost</f>
        <v/>
      </c>
      <c r="AC724" s="37">
        <f>'03_原始数据'!C724-0.68*'03_原始数据'!B724-OtherCost</f>
        <v/>
      </c>
      <c r="AD724" s="37">
        <f>'03_原始数据'!C724-0.685*'03_原始数据'!B724-OtherCost</f>
        <v/>
      </c>
      <c r="AE724" s="37">
        <f>'03_原始数据'!C724-0.69*'03_原始数据'!B724-OtherCost</f>
        <v/>
      </c>
      <c r="AF724" s="37">
        <f>'03_原始数据'!C724-0.695*'03_原始数据'!B724-OtherCost</f>
        <v/>
      </c>
      <c r="AG724" s="37">
        <f>'03_原始数据'!C724-0.7*'03_原始数据'!B724-OtherCost</f>
        <v/>
      </c>
    </row>
    <row r="725">
      <c r="M725" s="37">
        <f>'03_原始数据'!C725-0.6*'03_原始数据'!B725-OtherCost</f>
        <v/>
      </c>
      <c r="N725" s="37">
        <f>'03_原始数据'!C725-0.605*'03_原始数据'!B725-OtherCost</f>
        <v/>
      </c>
      <c r="O725" s="37">
        <f>'03_原始数据'!C725-0.61*'03_原始数据'!B725-OtherCost</f>
        <v/>
      </c>
      <c r="P725" s="37">
        <f>'03_原始数据'!C725-0.615*'03_原始数据'!B725-OtherCost</f>
        <v/>
      </c>
      <c r="Q725" s="37">
        <f>'03_原始数据'!C725-0.62*'03_原始数据'!B725-OtherCost</f>
        <v/>
      </c>
      <c r="R725" s="37">
        <f>'03_原始数据'!C725-0.625*'03_原始数据'!B725-OtherCost</f>
        <v/>
      </c>
      <c r="S725" s="37">
        <f>'03_原始数据'!C725-0.63*'03_原始数据'!B725-OtherCost</f>
        <v/>
      </c>
      <c r="T725" s="37">
        <f>'03_原始数据'!C725-0.635*'03_原始数据'!B725-OtherCost</f>
        <v/>
      </c>
      <c r="U725" s="37">
        <f>'03_原始数据'!C725-0.64*'03_原始数据'!B725-OtherCost</f>
        <v/>
      </c>
      <c r="V725" s="37">
        <f>'03_原始数据'!C725-0.645*'03_原始数据'!B725-OtherCost</f>
        <v/>
      </c>
      <c r="W725" s="37">
        <f>'03_原始数据'!C725-0.65*'03_原始数据'!B725-OtherCost</f>
        <v/>
      </c>
      <c r="X725" s="37">
        <f>'03_原始数据'!C725-0.655*'03_原始数据'!B725-OtherCost</f>
        <v/>
      </c>
      <c r="Y725" s="37">
        <f>'03_原始数据'!C725-0.66*'03_原始数据'!B725-OtherCost</f>
        <v/>
      </c>
      <c r="Z725" s="37">
        <f>'03_原始数据'!C725-0.665*'03_原始数据'!B725-OtherCost</f>
        <v/>
      </c>
      <c r="AA725" s="37">
        <f>'03_原始数据'!C725-0.67*'03_原始数据'!B725-OtherCost</f>
        <v/>
      </c>
      <c r="AB725" s="37">
        <f>'03_原始数据'!C725-0.675*'03_原始数据'!B725-OtherCost</f>
        <v/>
      </c>
      <c r="AC725" s="37">
        <f>'03_原始数据'!C725-0.68*'03_原始数据'!B725-OtherCost</f>
        <v/>
      </c>
      <c r="AD725" s="37">
        <f>'03_原始数据'!C725-0.685*'03_原始数据'!B725-OtherCost</f>
        <v/>
      </c>
      <c r="AE725" s="37">
        <f>'03_原始数据'!C725-0.69*'03_原始数据'!B725-OtherCost</f>
        <v/>
      </c>
      <c r="AF725" s="37">
        <f>'03_原始数据'!C725-0.695*'03_原始数据'!B725-OtherCost</f>
        <v/>
      </c>
      <c r="AG725" s="37">
        <f>'03_原始数据'!C725-0.7*'03_原始数据'!B725-OtherCost</f>
        <v/>
      </c>
    </row>
    <row r="726">
      <c r="M726" s="37">
        <f>'03_原始数据'!C726-0.6*'03_原始数据'!B726-OtherCost</f>
        <v/>
      </c>
      <c r="N726" s="37">
        <f>'03_原始数据'!C726-0.605*'03_原始数据'!B726-OtherCost</f>
        <v/>
      </c>
      <c r="O726" s="37">
        <f>'03_原始数据'!C726-0.61*'03_原始数据'!B726-OtherCost</f>
        <v/>
      </c>
      <c r="P726" s="37">
        <f>'03_原始数据'!C726-0.615*'03_原始数据'!B726-OtherCost</f>
        <v/>
      </c>
      <c r="Q726" s="37">
        <f>'03_原始数据'!C726-0.62*'03_原始数据'!B726-OtherCost</f>
        <v/>
      </c>
      <c r="R726" s="37">
        <f>'03_原始数据'!C726-0.625*'03_原始数据'!B726-OtherCost</f>
        <v/>
      </c>
      <c r="S726" s="37">
        <f>'03_原始数据'!C726-0.63*'03_原始数据'!B726-OtherCost</f>
        <v/>
      </c>
      <c r="T726" s="37">
        <f>'03_原始数据'!C726-0.635*'03_原始数据'!B726-OtherCost</f>
        <v/>
      </c>
      <c r="U726" s="37">
        <f>'03_原始数据'!C726-0.64*'03_原始数据'!B726-OtherCost</f>
        <v/>
      </c>
      <c r="V726" s="37">
        <f>'03_原始数据'!C726-0.645*'03_原始数据'!B726-OtherCost</f>
        <v/>
      </c>
      <c r="W726" s="37">
        <f>'03_原始数据'!C726-0.65*'03_原始数据'!B726-OtherCost</f>
        <v/>
      </c>
      <c r="X726" s="37">
        <f>'03_原始数据'!C726-0.655*'03_原始数据'!B726-OtherCost</f>
        <v/>
      </c>
      <c r="Y726" s="37">
        <f>'03_原始数据'!C726-0.66*'03_原始数据'!B726-OtherCost</f>
        <v/>
      </c>
      <c r="Z726" s="37">
        <f>'03_原始数据'!C726-0.665*'03_原始数据'!B726-OtherCost</f>
        <v/>
      </c>
      <c r="AA726" s="37">
        <f>'03_原始数据'!C726-0.67*'03_原始数据'!B726-OtherCost</f>
        <v/>
      </c>
      <c r="AB726" s="37">
        <f>'03_原始数据'!C726-0.675*'03_原始数据'!B726-OtherCost</f>
        <v/>
      </c>
      <c r="AC726" s="37">
        <f>'03_原始数据'!C726-0.68*'03_原始数据'!B726-OtherCost</f>
        <v/>
      </c>
      <c r="AD726" s="37">
        <f>'03_原始数据'!C726-0.685*'03_原始数据'!B726-OtherCost</f>
        <v/>
      </c>
      <c r="AE726" s="37">
        <f>'03_原始数据'!C726-0.69*'03_原始数据'!B726-OtherCost</f>
        <v/>
      </c>
      <c r="AF726" s="37">
        <f>'03_原始数据'!C726-0.695*'03_原始数据'!B726-OtherCost</f>
        <v/>
      </c>
      <c r="AG726" s="37">
        <f>'03_原始数据'!C726-0.7*'03_原始数据'!B726-OtherCost</f>
        <v/>
      </c>
    </row>
    <row r="727">
      <c r="M727" s="37">
        <f>'03_原始数据'!C727-0.6*'03_原始数据'!B727-OtherCost</f>
        <v/>
      </c>
      <c r="N727" s="37">
        <f>'03_原始数据'!C727-0.605*'03_原始数据'!B727-OtherCost</f>
        <v/>
      </c>
      <c r="O727" s="37">
        <f>'03_原始数据'!C727-0.61*'03_原始数据'!B727-OtherCost</f>
        <v/>
      </c>
      <c r="P727" s="37">
        <f>'03_原始数据'!C727-0.615*'03_原始数据'!B727-OtherCost</f>
        <v/>
      </c>
      <c r="Q727" s="37">
        <f>'03_原始数据'!C727-0.62*'03_原始数据'!B727-OtherCost</f>
        <v/>
      </c>
      <c r="R727" s="37">
        <f>'03_原始数据'!C727-0.625*'03_原始数据'!B727-OtherCost</f>
        <v/>
      </c>
      <c r="S727" s="37">
        <f>'03_原始数据'!C727-0.63*'03_原始数据'!B727-OtherCost</f>
        <v/>
      </c>
      <c r="T727" s="37">
        <f>'03_原始数据'!C727-0.635*'03_原始数据'!B727-OtherCost</f>
        <v/>
      </c>
      <c r="U727" s="37">
        <f>'03_原始数据'!C727-0.64*'03_原始数据'!B727-OtherCost</f>
        <v/>
      </c>
      <c r="V727" s="37">
        <f>'03_原始数据'!C727-0.645*'03_原始数据'!B727-OtherCost</f>
        <v/>
      </c>
      <c r="W727" s="37">
        <f>'03_原始数据'!C727-0.65*'03_原始数据'!B727-OtherCost</f>
        <v/>
      </c>
      <c r="X727" s="37">
        <f>'03_原始数据'!C727-0.655*'03_原始数据'!B727-OtherCost</f>
        <v/>
      </c>
      <c r="Y727" s="37">
        <f>'03_原始数据'!C727-0.66*'03_原始数据'!B727-OtherCost</f>
        <v/>
      </c>
      <c r="Z727" s="37">
        <f>'03_原始数据'!C727-0.665*'03_原始数据'!B727-OtherCost</f>
        <v/>
      </c>
      <c r="AA727" s="37">
        <f>'03_原始数据'!C727-0.67*'03_原始数据'!B727-OtherCost</f>
        <v/>
      </c>
      <c r="AB727" s="37">
        <f>'03_原始数据'!C727-0.675*'03_原始数据'!B727-OtherCost</f>
        <v/>
      </c>
      <c r="AC727" s="37">
        <f>'03_原始数据'!C727-0.68*'03_原始数据'!B727-OtherCost</f>
        <v/>
      </c>
      <c r="AD727" s="37">
        <f>'03_原始数据'!C727-0.685*'03_原始数据'!B727-OtherCost</f>
        <v/>
      </c>
      <c r="AE727" s="37">
        <f>'03_原始数据'!C727-0.69*'03_原始数据'!B727-OtherCost</f>
        <v/>
      </c>
      <c r="AF727" s="37">
        <f>'03_原始数据'!C727-0.695*'03_原始数据'!B727-OtherCost</f>
        <v/>
      </c>
      <c r="AG727" s="37">
        <f>'03_原始数据'!C727-0.7*'03_原始数据'!B727-OtherCost</f>
        <v/>
      </c>
    </row>
    <row r="728">
      <c r="M728" s="37">
        <f>'03_原始数据'!C728-0.6*'03_原始数据'!B728-OtherCost</f>
        <v/>
      </c>
      <c r="N728" s="37">
        <f>'03_原始数据'!C728-0.605*'03_原始数据'!B728-OtherCost</f>
        <v/>
      </c>
      <c r="O728" s="37">
        <f>'03_原始数据'!C728-0.61*'03_原始数据'!B728-OtherCost</f>
        <v/>
      </c>
      <c r="P728" s="37">
        <f>'03_原始数据'!C728-0.615*'03_原始数据'!B728-OtherCost</f>
        <v/>
      </c>
      <c r="Q728" s="37">
        <f>'03_原始数据'!C728-0.62*'03_原始数据'!B728-OtherCost</f>
        <v/>
      </c>
      <c r="R728" s="37">
        <f>'03_原始数据'!C728-0.625*'03_原始数据'!B728-OtherCost</f>
        <v/>
      </c>
      <c r="S728" s="37">
        <f>'03_原始数据'!C728-0.63*'03_原始数据'!B728-OtherCost</f>
        <v/>
      </c>
      <c r="T728" s="37">
        <f>'03_原始数据'!C728-0.635*'03_原始数据'!B728-OtherCost</f>
        <v/>
      </c>
      <c r="U728" s="37">
        <f>'03_原始数据'!C728-0.64*'03_原始数据'!B728-OtherCost</f>
        <v/>
      </c>
      <c r="V728" s="37">
        <f>'03_原始数据'!C728-0.645*'03_原始数据'!B728-OtherCost</f>
        <v/>
      </c>
      <c r="W728" s="37">
        <f>'03_原始数据'!C728-0.65*'03_原始数据'!B728-OtherCost</f>
        <v/>
      </c>
      <c r="X728" s="37">
        <f>'03_原始数据'!C728-0.655*'03_原始数据'!B728-OtherCost</f>
        <v/>
      </c>
      <c r="Y728" s="37">
        <f>'03_原始数据'!C728-0.66*'03_原始数据'!B728-OtherCost</f>
        <v/>
      </c>
      <c r="Z728" s="37">
        <f>'03_原始数据'!C728-0.665*'03_原始数据'!B728-OtherCost</f>
        <v/>
      </c>
      <c r="AA728" s="37">
        <f>'03_原始数据'!C728-0.67*'03_原始数据'!B728-OtherCost</f>
        <v/>
      </c>
      <c r="AB728" s="37">
        <f>'03_原始数据'!C728-0.675*'03_原始数据'!B728-OtherCost</f>
        <v/>
      </c>
      <c r="AC728" s="37">
        <f>'03_原始数据'!C728-0.68*'03_原始数据'!B728-OtherCost</f>
        <v/>
      </c>
      <c r="AD728" s="37">
        <f>'03_原始数据'!C728-0.685*'03_原始数据'!B728-OtherCost</f>
        <v/>
      </c>
      <c r="AE728" s="37">
        <f>'03_原始数据'!C728-0.69*'03_原始数据'!B728-OtherCost</f>
        <v/>
      </c>
      <c r="AF728" s="37">
        <f>'03_原始数据'!C728-0.695*'03_原始数据'!B728-OtherCost</f>
        <v/>
      </c>
      <c r="AG728" s="37">
        <f>'03_原始数据'!C728-0.7*'03_原始数据'!B728-OtherCost</f>
        <v/>
      </c>
    </row>
    <row r="729">
      <c r="M729" s="37">
        <f>'03_原始数据'!C729-0.6*'03_原始数据'!B729-OtherCost</f>
        <v/>
      </c>
      <c r="N729" s="37">
        <f>'03_原始数据'!C729-0.605*'03_原始数据'!B729-OtherCost</f>
        <v/>
      </c>
      <c r="O729" s="37">
        <f>'03_原始数据'!C729-0.61*'03_原始数据'!B729-OtherCost</f>
        <v/>
      </c>
      <c r="P729" s="37">
        <f>'03_原始数据'!C729-0.615*'03_原始数据'!B729-OtherCost</f>
        <v/>
      </c>
      <c r="Q729" s="37">
        <f>'03_原始数据'!C729-0.62*'03_原始数据'!B729-OtherCost</f>
        <v/>
      </c>
      <c r="R729" s="37">
        <f>'03_原始数据'!C729-0.625*'03_原始数据'!B729-OtherCost</f>
        <v/>
      </c>
      <c r="S729" s="37">
        <f>'03_原始数据'!C729-0.63*'03_原始数据'!B729-OtherCost</f>
        <v/>
      </c>
      <c r="T729" s="37">
        <f>'03_原始数据'!C729-0.635*'03_原始数据'!B729-OtherCost</f>
        <v/>
      </c>
      <c r="U729" s="37">
        <f>'03_原始数据'!C729-0.64*'03_原始数据'!B729-OtherCost</f>
        <v/>
      </c>
      <c r="V729" s="37">
        <f>'03_原始数据'!C729-0.645*'03_原始数据'!B729-OtherCost</f>
        <v/>
      </c>
      <c r="W729" s="37">
        <f>'03_原始数据'!C729-0.65*'03_原始数据'!B729-OtherCost</f>
        <v/>
      </c>
      <c r="X729" s="37">
        <f>'03_原始数据'!C729-0.655*'03_原始数据'!B729-OtherCost</f>
        <v/>
      </c>
      <c r="Y729" s="37">
        <f>'03_原始数据'!C729-0.66*'03_原始数据'!B729-OtherCost</f>
        <v/>
      </c>
      <c r="Z729" s="37">
        <f>'03_原始数据'!C729-0.665*'03_原始数据'!B729-OtherCost</f>
        <v/>
      </c>
      <c r="AA729" s="37">
        <f>'03_原始数据'!C729-0.67*'03_原始数据'!B729-OtherCost</f>
        <v/>
      </c>
      <c r="AB729" s="37">
        <f>'03_原始数据'!C729-0.675*'03_原始数据'!B729-OtherCost</f>
        <v/>
      </c>
      <c r="AC729" s="37">
        <f>'03_原始数据'!C729-0.68*'03_原始数据'!B729-OtherCost</f>
        <v/>
      </c>
      <c r="AD729" s="37">
        <f>'03_原始数据'!C729-0.685*'03_原始数据'!B729-OtherCost</f>
        <v/>
      </c>
      <c r="AE729" s="37">
        <f>'03_原始数据'!C729-0.69*'03_原始数据'!B729-OtherCost</f>
        <v/>
      </c>
      <c r="AF729" s="37">
        <f>'03_原始数据'!C729-0.695*'03_原始数据'!B729-OtherCost</f>
        <v/>
      </c>
      <c r="AG729" s="37">
        <f>'03_原始数据'!C729-0.7*'03_原始数据'!B729-OtherCost</f>
        <v/>
      </c>
    </row>
    <row r="730">
      <c r="M730" s="37">
        <f>'03_原始数据'!C730-0.6*'03_原始数据'!B730-OtherCost</f>
        <v/>
      </c>
      <c r="N730" s="37">
        <f>'03_原始数据'!C730-0.605*'03_原始数据'!B730-OtherCost</f>
        <v/>
      </c>
      <c r="O730" s="37">
        <f>'03_原始数据'!C730-0.61*'03_原始数据'!B730-OtherCost</f>
        <v/>
      </c>
      <c r="P730" s="37">
        <f>'03_原始数据'!C730-0.615*'03_原始数据'!B730-OtherCost</f>
        <v/>
      </c>
      <c r="Q730" s="37">
        <f>'03_原始数据'!C730-0.62*'03_原始数据'!B730-OtherCost</f>
        <v/>
      </c>
      <c r="R730" s="37">
        <f>'03_原始数据'!C730-0.625*'03_原始数据'!B730-OtherCost</f>
        <v/>
      </c>
      <c r="S730" s="37">
        <f>'03_原始数据'!C730-0.63*'03_原始数据'!B730-OtherCost</f>
        <v/>
      </c>
      <c r="T730" s="37">
        <f>'03_原始数据'!C730-0.635*'03_原始数据'!B730-OtherCost</f>
        <v/>
      </c>
      <c r="U730" s="37">
        <f>'03_原始数据'!C730-0.64*'03_原始数据'!B730-OtherCost</f>
        <v/>
      </c>
      <c r="V730" s="37">
        <f>'03_原始数据'!C730-0.645*'03_原始数据'!B730-OtherCost</f>
        <v/>
      </c>
      <c r="W730" s="37">
        <f>'03_原始数据'!C730-0.65*'03_原始数据'!B730-OtherCost</f>
        <v/>
      </c>
      <c r="X730" s="37">
        <f>'03_原始数据'!C730-0.655*'03_原始数据'!B730-OtherCost</f>
        <v/>
      </c>
      <c r="Y730" s="37">
        <f>'03_原始数据'!C730-0.66*'03_原始数据'!B730-OtherCost</f>
        <v/>
      </c>
      <c r="Z730" s="37">
        <f>'03_原始数据'!C730-0.665*'03_原始数据'!B730-OtherCost</f>
        <v/>
      </c>
      <c r="AA730" s="37">
        <f>'03_原始数据'!C730-0.67*'03_原始数据'!B730-OtherCost</f>
        <v/>
      </c>
      <c r="AB730" s="37">
        <f>'03_原始数据'!C730-0.675*'03_原始数据'!B730-OtherCost</f>
        <v/>
      </c>
      <c r="AC730" s="37">
        <f>'03_原始数据'!C730-0.68*'03_原始数据'!B730-OtherCost</f>
        <v/>
      </c>
      <c r="AD730" s="37">
        <f>'03_原始数据'!C730-0.685*'03_原始数据'!B730-OtherCost</f>
        <v/>
      </c>
      <c r="AE730" s="37">
        <f>'03_原始数据'!C730-0.69*'03_原始数据'!B730-OtherCost</f>
        <v/>
      </c>
      <c r="AF730" s="37">
        <f>'03_原始数据'!C730-0.695*'03_原始数据'!B730-OtherCost</f>
        <v/>
      </c>
      <c r="AG730" s="37">
        <f>'03_原始数据'!C730-0.7*'03_原始数据'!B730-OtherCost</f>
        <v/>
      </c>
    </row>
    <row r="731">
      <c r="M731" s="37">
        <f>'03_原始数据'!C731-0.6*'03_原始数据'!B731-OtherCost</f>
        <v/>
      </c>
      <c r="N731" s="37">
        <f>'03_原始数据'!C731-0.605*'03_原始数据'!B731-OtherCost</f>
        <v/>
      </c>
      <c r="O731" s="37">
        <f>'03_原始数据'!C731-0.61*'03_原始数据'!B731-OtherCost</f>
        <v/>
      </c>
      <c r="P731" s="37">
        <f>'03_原始数据'!C731-0.615*'03_原始数据'!B731-OtherCost</f>
        <v/>
      </c>
      <c r="Q731" s="37">
        <f>'03_原始数据'!C731-0.62*'03_原始数据'!B731-OtherCost</f>
        <v/>
      </c>
      <c r="R731" s="37">
        <f>'03_原始数据'!C731-0.625*'03_原始数据'!B731-OtherCost</f>
        <v/>
      </c>
      <c r="S731" s="37">
        <f>'03_原始数据'!C731-0.63*'03_原始数据'!B731-OtherCost</f>
        <v/>
      </c>
      <c r="T731" s="37">
        <f>'03_原始数据'!C731-0.635*'03_原始数据'!B731-OtherCost</f>
        <v/>
      </c>
      <c r="U731" s="37">
        <f>'03_原始数据'!C731-0.64*'03_原始数据'!B731-OtherCost</f>
        <v/>
      </c>
      <c r="V731" s="37">
        <f>'03_原始数据'!C731-0.645*'03_原始数据'!B731-OtherCost</f>
        <v/>
      </c>
      <c r="W731" s="37">
        <f>'03_原始数据'!C731-0.65*'03_原始数据'!B731-OtherCost</f>
        <v/>
      </c>
      <c r="X731" s="37">
        <f>'03_原始数据'!C731-0.655*'03_原始数据'!B731-OtherCost</f>
        <v/>
      </c>
      <c r="Y731" s="37">
        <f>'03_原始数据'!C731-0.66*'03_原始数据'!B731-OtherCost</f>
        <v/>
      </c>
      <c r="Z731" s="37">
        <f>'03_原始数据'!C731-0.665*'03_原始数据'!B731-OtherCost</f>
        <v/>
      </c>
      <c r="AA731" s="37">
        <f>'03_原始数据'!C731-0.67*'03_原始数据'!B731-OtherCost</f>
        <v/>
      </c>
      <c r="AB731" s="37">
        <f>'03_原始数据'!C731-0.675*'03_原始数据'!B731-OtherCost</f>
        <v/>
      </c>
      <c r="AC731" s="37">
        <f>'03_原始数据'!C731-0.68*'03_原始数据'!B731-OtherCost</f>
        <v/>
      </c>
      <c r="AD731" s="37">
        <f>'03_原始数据'!C731-0.685*'03_原始数据'!B731-OtherCost</f>
        <v/>
      </c>
      <c r="AE731" s="37">
        <f>'03_原始数据'!C731-0.69*'03_原始数据'!B731-OtherCost</f>
        <v/>
      </c>
      <c r="AF731" s="37">
        <f>'03_原始数据'!C731-0.695*'03_原始数据'!B731-OtherCost</f>
        <v/>
      </c>
      <c r="AG731" s="37">
        <f>'03_原始数据'!C731-0.7*'03_原始数据'!B731-OtherCost</f>
        <v/>
      </c>
    </row>
    <row r="732">
      <c r="M732" s="37">
        <f>'03_原始数据'!C732-0.6*'03_原始数据'!B732-OtherCost</f>
        <v/>
      </c>
      <c r="N732" s="37">
        <f>'03_原始数据'!C732-0.605*'03_原始数据'!B732-OtherCost</f>
        <v/>
      </c>
      <c r="O732" s="37">
        <f>'03_原始数据'!C732-0.61*'03_原始数据'!B732-OtherCost</f>
        <v/>
      </c>
      <c r="P732" s="37">
        <f>'03_原始数据'!C732-0.615*'03_原始数据'!B732-OtherCost</f>
        <v/>
      </c>
      <c r="Q732" s="37">
        <f>'03_原始数据'!C732-0.62*'03_原始数据'!B732-OtherCost</f>
        <v/>
      </c>
      <c r="R732" s="37">
        <f>'03_原始数据'!C732-0.625*'03_原始数据'!B732-OtherCost</f>
        <v/>
      </c>
      <c r="S732" s="37">
        <f>'03_原始数据'!C732-0.63*'03_原始数据'!B732-OtherCost</f>
        <v/>
      </c>
      <c r="T732" s="37">
        <f>'03_原始数据'!C732-0.635*'03_原始数据'!B732-OtherCost</f>
        <v/>
      </c>
      <c r="U732" s="37">
        <f>'03_原始数据'!C732-0.64*'03_原始数据'!B732-OtherCost</f>
        <v/>
      </c>
      <c r="V732" s="37">
        <f>'03_原始数据'!C732-0.645*'03_原始数据'!B732-OtherCost</f>
        <v/>
      </c>
      <c r="W732" s="37">
        <f>'03_原始数据'!C732-0.65*'03_原始数据'!B732-OtherCost</f>
        <v/>
      </c>
      <c r="X732" s="37">
        <f>'03_原始数据'!C732-0.655*'03_原始数据'!B732-OtherCost</f>
        <v/>
      </c>
      <c r="Y732" s="37">
        <f>'03_原始数据'!C732-0.66*'03_原始数据'!B732-OtherCost</f>
        <v/>
      </c>
      <c r="Z732" s="37">
        <f>'03_原始数据'!C732-0.665*'03_原始数据'!B732-OtherCost</f>
        <v/>
      </c>
      <c r="AA732" s="37">
        <f>'03_原始数据'!C732-0.67*'03_原始数据'!B732-OtherCost</f>
        <v/>
      </c>
      <c r="AB732" s="37">
        <f>'03_原始数据'!C732-0.675*'03_原始数据'!B732-OtherCost</f>
        <v/>
      </c>
      <c r="AC732" s="37">
        <f>'03_原始数据'!C732-0.68*'03_原始数据'!B732-OtherCost</f>
        <v/>
      </c>
      <c r="AD732" s="37">
        <f>'03_原始数据'!C732-0.685*'03_原始数据'!B732-OtherCost</f>
        <v/>
      </c>
      <c r="AE732" s="37">
        <f>'03_原始数据'!C732-0.69*'03_原始数据'!B732-OtherCost</f>
        <v/>
      </c>
      <c r="AF732" s="37">
        <f>'03_原始数据'!C732-0.695*'03_原始数据'!B732-OtherCost</f>
        <v/>
      </c>
      <c r="AG732" s="37">
        <f>'03_原始数据'!C732-0.7*'03_原始数据'!B732-OtherCost</f>
        <v/>
      </c>
    </row>
    <row r="733">
      <c r="M733" s="37">
        <f>'03_原始数据'!C733-0.6*'03_原始数据'!B733-OtherCost</f>
        <v/>
      </c>
      <c r="N733" s="37">
        <f>'03_原始数据'!C733-0.605*'03_原始数据'!B733-OtherCost</f>
        <v/>
      </c>
      <c r="O733" s="37">
        <f>'03_原始数据'!C733-0.61*'03_原始数据'!B733-OtherCost</f>
        <v/>
      </c>
      <c r="P733" s="37">
        <f>'03_原始数据'!C733-0.615*'03_原始数据'!B733-OtherCost</f>
        <v/>
      </c>
      <c r="Q733" s="37">
        <f>'03_原始数据'!C733-0.62*'03_原始数据'!B733-OtherCost</f>
        <v/>
      </c>
      <c r="R733" s="37">
        <f>'03_原始数据'!C733-0.625*'03_原始数据'!B733-OtherCost</f>
        <v/>
      </c>
      <c r="S733" s="37">
        <f>'03_原始数据'!C733-0.63*'03_原始数据'!B733-OtherCost</f>
        <v/>
      </c>
      <c r="T733" s="37">
        <f>'03_原始数据'!C733-0.635*'03_原始数据'!B733-OtherCost</f>
        <v/>
      </c>
      <c r="U733" s="37">
        <f>'03_原始数据'!C733-0.64*'03_原始数据'!B733-OtherCost</f>
        <v/>
      </c>
      <c r="V733" s="37">
        <f>'03_原始数据'!C733-0.645*'03_原始数据'!B733-OtherCost</f>
        <v/>
      </c>
      <c r="W733" s="37">
        <f>'03_原始数据'!C733-0.65*'03_原始数据'!B733-OtherCost</f>
        <v/>
      </c>
      <c r="X733" s="37">
        <f>'03_原始数据'!C733-0.655*'03_原始数据'!B733-OtherCost</f>
        <v/>
      </c>
      <c r="Y733" s="37">
        <f>'03_原始数据'!C733-0.66*'03_原始数据'!B733-OtherCost</f>
        <v/>
      </c>
      <c r="Z733" s="37">
        <f>'03_原始数据'!C733-0.665*'03_原始数据'!B733-OtherCost</f>
        <v/>
      </c>
      <c r="AA733" s="37">
        <f>'03_原始数据'!C733-0.67*'03_原始数据'!B733-OtherCost</f>
        <v/>
      </c>
      <c r="AB733" s="37">
        <f>'03_原始数据'!C733-0.675*'03_原始数据'!B733-OtherCost</f>
        <v/>
      </c>
      <c r="AC733" s="37">
        <f>'03_原始数据'!C733-0.68*'03_原始数据'!B733-OtherCost</f>
        <v/>
      </c>
      <c r="AD733" s="37">
        <f>'03_原始数据'!C733-0.685*'03_原始数据'!B733-OtherCost</f>
        <v/>
      </c>
      <c r="AE733" s="37">
        <f>'03_原始数据'!C733-0.69*'03_原始数据'!B733-OtherCost</f>
        <v/>
      </c>
      <c r="AF733" s="37">
        <f>'03_原始数据'!C733-0.695*'03_原始数据'!B733-OtherCost</f>
        <v/>
      </c>
      <c r="AG733" s="37">
        <f>'03_原始数据'!C733-0.7*'03_原始数据'!B733-OtherCost</f>
        <v/>
      </c>
    </row>
    <row r="734">
      <c r="M734" s="37">
        <f>'03_原始数据'!C734-0.6*'03_原始数据'!B734-OtherCost</f>
        <v/>
      </c>
      <c r="N734" s="37">
        <f>'03_原始数据'!C734-0.605*'03_原始数据'!B734-OtherCost</f>
        <v/>
      </c>
      <c r="O734" s="37">
        <f>'03_原始数据'!C734-0.61*'03_原始数据'!B734-OtherCost</f>
        <v/>
      </c>
      <c r="P734" s="37">
        <f>'03_原始数据'!C734-0.615*'03_原始数据'!B734-OtherCost</f>
        <v/>
      </c>
      <c r="Q734" s="37">
        <f>'03_原始数据'!C734-0.62*'03_原始数据'!B734-OtherCost</f>
        <v/>
      </c>
      <c r="R734" s="37">
        <f>'03_原始数据'!C734-0.625*'03_原始数据'!B734-OtherCost</f>
        <v/>
      </c>
      <c r="S734" s="37">
        <f>'03_原始数据'!C734-0.63*'03_原始数据'!B734-OtherCost</f>
        <v/>
      </c>
      <c r="T734" s="37">
        <f>'03_原始数据'!C734-0.635*'03_原始数据'!B734-OtherCost</f>
        <v/>
      </c>
      <c r="U734" s="37">
        <f>'03_原始数据'!C734-0.64*'03_原始数据'!B734-OtherCost</f>
        <v/>
      </c>
      <c r="V734" s="37">
        <f>'03_原始数据'!C734-0.645*'03_原始数据'!B734-OtherCost</f>
        <v/>
      </c>
      <c r="W734" s="37">
        <f>'03_原始数据'!C734-0.65*'03_原始数据'!B734-OtherCost</f>
        <v/>
      </c>
      <c r="X734" s="37">
        <f>'03_原始数据'!C734-0.655*'03_原始数据'!B734-OtherCost</f>
        <v/>
      </c>
      <c r="Y734" s="37">
        <f>'03_原始数据'!C734-0.66*'03_原始数据'!B734-OtherCost</f>
        <v/>
      </c>
      <c r="Z734" s="37">
        <f>'03_原始数据'!C734-0.665*'03_原始数据'!B734-OtherCost</f>
        <v/>
      </c>
      <c r="AA734" s="37">
        <f>'03_原始数据'!C734-0.67*'03_原始数据'!B734-OtherCost</f>
        <v/>
      </c>
      <c r="AB734" s="37">
        <f>'03_原始数据'!C734-0.675*'03_原始数据'!B734-OtherCost</f>
        <v/>
      </c>
      <c r="AC734" s="37">
        <f>'03_原始数据'!C734-0.68*'03_原始数据'!B734-OtherCost</f>
        <v/>
      </c>
      <c r="AD734" s="37">
        <f>'03_原始数据'!C734-0.685*'03_原始数据'!B734-OtherCost</f>
        <v/>
      </c>
      <c r="AE734" s="37">
        <f>'03_原始数据'!C734-0.69*'03_原始数据'!B734-OtherCost</f>
        <v/>
      </c>
      <c r="AF734" s="37">
        <f>'03_原始数据'!C734-0.695*'03_原始数据'!B734-OtherCost</f>
        <v/>
      </c>
      <c r="AG734" s="37">
        <f>'03_原始数据'!C734-0.7*'03_原始数据'!B734-OtherCost</f>
        <v/>
      </c>
    </row>
    <row r="735">
      <c r="M735" s="37">
        <f>'03_原始数据'!C735-0.6*'03_原始数据'!B735-OtherCost</f>
        <v/>
      </c>
      <c r="N735" s="37">
        <f>'03_原始数据'!C735-0.605*'03_原始数据'!B735-OtherCost</f>
        <v/>
      </c>
      <c r="O735" s="37">
        <f>'03_原始数据'!C735-0.61*'03_原始数据'!B735-OtherCost</f>
        <v/>
      </c>
      <c r="P735" s="37">
        <f>'03_原始数据'!C735-0.615*'03_原始数据'!B735-OtherCost</f>
        <v/>
      </c>
      <c r="Q735" s="37">
        <f>'03_原始数据'!C735-0.62*'03_原始数据'!B735-OtherCost</f>
        <v/>
      </c>
      <c r="R735" s="37">
        <f>'03_原始数据'!C735-0.625*'03_原始数据'!B735-OtherCost</f>
        <v/>
      </c>
      <c r="S735" s="37">
        <f>'03_原始数据'!C735-0.63*'03_原始数据'!B735-OtherCost</f>
        <v/>
      </c>
      <c r="T735" s="37">
        <f>'03_原始数据'!C735-0.635*'03_原始数据'!B735-OtherCost</f>
        <v/>
      </c>
      <c r="U735" s="37">
        <f>'03_原始数据'!C735-0.64*'03_原始数据'!B735-OtherCost</f>
        <v/>
      </c>
      <c r="V735" s="37">
        <f>'03_原始数据'!C735-0.645*'03_原始数据'!B735-OtherCost</f>
        <v/>
      </c>
      <c r="W735" s="37">
        <f>'03_原始数据'!C735-0.65*'03_原始数据'!B735-OtherCost</f>
        <v/>
      </c>
      <c r="X735" s="37">
        <f>'03_原始数据'!C735-0.655*'03_原始数据'!B735-OtherCost</f>
        <v/>
      </c>
      <c r="Y735" s="37">
        <f>'03_原始数据'!C735-0.66*'03_原始数据'!B735-OtherCost</f>
        <v/>
      </c>
      <c r="Z735" s="37">
        <f>'03_原始数据'!C735-0.665*'03_原始数据'!B735-OtherCost</f>
        <v/>
      </c>
      <c r="AA735" s="37">
        <f>'03_原始数据'!C735-0.67*'03_原始数据'!B735-OtherCost</f>
        <v/>
      </c>
      <c r="AB735" s="37">
        <f>'03_原始数据'!C735-0.675*'03_原始数据'!B735-OtherCost</f>
        <v/>
      </c>
      <c r="AC735" s="37">
        <f>'03_原始数据'!C735-0.68*'03_原始数据'!B735-OtherCost</f>
        <v/>
      </c>
      <c r="AD735" s="37">
        <f>'03_原始数据'!C735-0.685*'03_原始数据'!B735-OtherCost</f>
        <v/>
      </c>
      <c r="AE735" s="37">
        <f>'03_原始数据'!C735-0.69*'03_原始数据'!B735-OtherCost</f>
        <v/>
      </c>
      <c r="AF735" s="37">
        <f>'03_原始数据'!C735-0.695*'03_原始数据'!B735-OtherCost</f>
        <v/>
      </c>
      <c r="AG735" s="37">
        <f>'03_原始数据'!C735-0.7*'03_原始数据'!B735-OtherCost</f>
        <v/>
      </c>
    </row>
    <row r="736">
      <c r="M736" s="37">
        <f>'03_原始数据'!C736-0.6*'03_原始数据'!B736-OtherCost</f>
        <v/>
      </c>
      <c r="N736" s="37">
        <f>'03_原始数据'!C736-0.605*'03_原始数据'!B736-OtherCost</f>
        <v/>
      </c>
      <c r="O736" s="37">
        <f>'03_原始数据'!C736-0.61*'03_原始数据'!B736-OtherCost</f>
        <v/>
      </c>
      <c r="P736" s="37">
        <f>'03_原始数据'!C736-0.615*'03_原始数据'!B736-OtherCost</f>
        <v/>
      </c>
      <c r="Q736" s="37">
        <f>'03_原始数据'!C736-0.62*'03_原始数据'!B736-OtherCost</f>
        <v/>
      </c>
      <c r="R736" s="37">
        <f>'03_原始数据'!C736-0.625*'03_原始数据'!B736-OtherCost</f>
        <v/>
      </c>
      <c r="S736" s="37">
        <f>'03_原始数据'!C736-0.63*'03_原始数据'!B736-OtherCost</f>
        <v/>
      </c>
      <c r="T736" s="37">
        <f>'03_原始数据'!C736-0.635*'03_原始数据'!B736-OtherCost</f>
        <v/>
      </c>
      <c r="U736" s="37">
        <f>'03_原始数据'!C736-0.64*'03_原始数据'!B736-OtherCost</f>
        <v/>
      </c>
      <c r="V736" s="37">
        <f>'03_原始数据'!C736-0.645*'03_原始数据'!B736-OtherCost</f>
        <v/>
      </c>
      <c r="W736" s="37">
        <f>'03_原始数据'!C736-0.65*'03_原始数据'!B736-OtherCost</f>
        <v/>
      </c>
      <c r="X736" s="37">
        <f>'03_原始数据'!C736-0.655*'03_原始数据'!B736-OtherCost</f>
        <v/>
      </c>
      <c r="Y736" s="37">
        <f>'03_原始数据'!C736-0.66*'03_原始数据'!B736-OtherCost</f>
        <v/>
      </c>
      <c r="Z736" s="37">
        <f>'03_原始数据'!C736-0.665*'03_原始数据'!B736-OtherCost</f>
        <v/>
      </c>
      <c r="AA736" s="37">
        <f>'03_原始数据'!C736-0.67*'03_原始数据'!B736-OtherCost</f>
        <v/>
      </c>
      <c r="AB736" s="37">
        <f>'03_原始数据'!C736-0.675*'03_原始数据'!B736-OtherCost</f>
        <v/>
      </c>
      <c r="AC736" s="37">
        <f>'03_原始数据'!C736-0.68*'03_原始数据'!B736-OtherCost</f>
        <v/>
      </c>
      <c r="AD736" s="37">
        <f>'03_原始数据'!C736-0.685*'03_原始数据'!B736-OtherCost</f>
        <v/>
      </c>
      <c r="AE736" s="37">
        <f>'03_原始数据'!C736-0.69*'03_原始数据'!B736-OtherCost</f>
        <v/>
      </c>
      <c r="AF736" s="37">
        <f>'03_原始数据'!C736-0.695*'03_原始数据'!B736-OtherCost</f>
        <v/>
      </c>
      <c r="AG736" s="37">
        <f>'03_原始数据'!C736-0.7*'03_原始数据'!B736-OtherCost</f>
        <v/>
      </c>
    </row>
    <row r="737">
      <c r="M737" s="37">
        <f>'03_原始数据'!C737-0.6*'03_原始数据'!B737-OtherCost</f>
        <v/>
      </c>
      <c r="N737" s="37">
        <f>'03_原始数据'!C737-0.605*'03_原始数据'!B737-OtherCost</f>
        <v/>
      </c>
      <c r="O737" s="37">
        <f>'03_原始数据'!C737-0.61*'03_原始数据'!B737-OtherCost</f>
        <v/>
      </c>
      <c r="P737" s="37">
        <f>'03_原始数据'!C737-0.615*'03_原始数据'!B737-OtherCost</f>
        <v/>
      </c>
      <c r="Q737" s="37">
        <f>'03_原始数据'!C737-0.62*'03_原始数据'!B737-OtherCost</f>
        <v/>
      </c>
      <c r="R737" s="37">
        <f>'03_原始数据'!C737-0.625*'03_原始数据'!B737-OtherCost</f>
        <v/>
      </c>
      <c r="S737" s="37">
        <f>'03_原始数据'!C737-0.63*'03_原始数据'!B737-OtherCost</f>
        <v/>
      </c>
      <c r="T737" s="37">
        <f>'03_原始数据'!C737-0.635*'03_原始数据'!B737-OtherCost</f>
        <v/>
      </c>
      <c r="U737" s="37">
        <f>'03_原始数据'!C737-0.64*'03_原始数据'!B737-OtherCost</f>
        <v/>
      </c>
      <c r="V737" s="37">
        <f>'03_原始数据'!C737-0.645*'03_原始数据'!B737-OtherCost</f>
        <v/>
      </c>
      <c r="W737" s="37">
        <f>'03_原始数据'!C737-0.65*'03_原始数据'!B737-OtherCost</f>
        <v/>
      </c>
      <c r="X737" s="37">
        <f>'03_原始数据'!C737-0.655*'03_原始数据'!B737-OtherCost</f>
        <v/>
      </c>
      <c r="Y737" s="37">
        <f>'03_原始数据'!C737-0.66*'03_原始数据'!B737-OtherCost</f>
        <v/>
      </c>
      <c r="Z737" s="37">
        <f>'03_原始数据'!C737-0.665*'03_原始数据'!B737-OtherCost</f>
        <v/>
      </c>
      <c r="AA737" s="37">
        <f>'03_原始数据'!C737-0.67*'03_原始数据'!B737-OtherCost</f>
        <v/>
      </c>
      <c r="AB737" s="37">
        <f>'03_原始数据'!C737-0.675*'03_原始数据'!B737-OtherCost</f>
        <v/>
      </c>
      <c r="AC737" s="37">
        <f>'03_原始数据'!C737-0.68*'03_原始数据'!B737-OtherCost</f>
        <v/>
      </c>
      <c r="AD737" s="37">
        <f>'03_原始数据'!C737-0.685*'03_原始数据'!B737-OtherCost</f>
        <v/>
      </c>
      <c r="AE737" s="37">
        <f>'03_原始数据'!C737-0.69*'03_原始数据'!B737-OtherCost</f>
        <v/>
      </c>
      <c r="AF737" s="37">
        <f>'03_原始数据'!C737-0.695*'03_原始数据'!B737-OtherCost</f>
        <v/>
      </c>
      <c r="AG737" s="37">
        <f>'03_原始数据'!C737-0.7*'03_原始数据'!B737-OtherCost</f>
        <v/>
      </c>
    </row>
    <row r="738">
      <c r="M738" s="37">
        <f>'03_原始数据'!C738-0.6*'03_原始数据'!B738-OtherCost</f>
        <v/>
      </c>
      <c r="N738" s="37">
        <f>'03_原始数据'!C738-0.605*'03_原始数据'!B738-OtherCost</f>
        <v/>
      </c>
      <c r="O738" s="37">
        <f>'03_原始数据'!C738-0.61*'03_原始数据'!B738-OtherCost</f>
        <v/>
      </c>
      <c r="P738" s="37">
        <f>'03_原始数据'!C738-0.615*'03_原始数据'!B738-OtherCost</f>
        <v/>
      </c>
      <c r="Q738" s="37">
        <f>'03_原始数据'!C738-0.62*'03_原始数据'!B738-OtherCost</f>
        <v/>
      </c>
      <c r="R738" s="37">
        <f>'03_原始数据'!C738-0.625*'03_原始数据'!B738-OtherCost</f>
        <v/>
      </c>
      <c r="S738" s="37">
        <f>'03_原始数据'!C738-0.63*'03_原始数据'!B738-OtherCost</f>
        <v/>
      </c>
      <c r="T738" s="37">
        <f>'03_原始数据'!C738-0.635*'03_原始数据'!B738-OtherCost</f>
        <v/>
      </c>
      <c r="U738" s="37">
        <f>'03_原始数据'!C738-0.64*'03_原始数据'!B738-OtherCost</f>
        <v/>
      </c>
      <c r="V738" s="37">
        <f>'03_原始数据'!C738-0.645*'03_原始数据'!B738-OtherCost</f>
        <v/>
      </c>
      <c r="W738" s="37">
        <f>'03_原始数据'!C738-0.65*'03_原始数据'!B738-OtherCost</f>
        <v/>
      </c>
      <c r="X738" s="37">
        <f>'03_原始数据'!C738-0.655*'03_原始数据'!B738-OtherCost</f>
        <v/>
      </c>
      <c r="Y738" s="37">
        <f>'03_原始数据'!C738-0.66*'03_原始数据'!B738-OtherCost</f>
        <v/>
      </c>
      <c r="Z738" s="37">
        <f>'03_原始数据'!C738-0.665*'03_原始数据'!B738-OtherCost</f>
        <v/>
      </c>
      <c r="AA738" s="37">
        <f>'03_原始数据'!C738-0.67*'03_原始数据'!B738-OtherCost</f>
        <v/>
      </c>
      <c r="AB738" s="37">
        <f>'03_原始数据'!C738-0.675*'03_原始数据'!B738-OtherCost</f>
        <v/>
      </c>
      <c r="AC738" s="37">
        <f>'03_原始数据'!C738-0.68*'03_原始数据'!B738-OtherCost</f>
        <v/>
      </c>
      <c r="AD738" s="37">
        <f>'03_原始数据'!C738-0.685*'03_原始数据'!B738-OtherCost</f>
        <v/>
      </c>
      <c r="AE738" s="37">
        <f>'03_原始数据'!C738-0.69*'03_原始数据'!B738-OtherCost</f>
        <v/>
      </c>
      <c r="AF738" s="37">
        <f>'03_原始数据'!C738-0.695*'03_原始数据'!B738-OtherCost</f>
        <v/>
      </c>
      <c r="AG738" s="37">
        <f>'03_原始数据'!C738-0.7*'03_原始数据'!B738-OtherCost</f>
        <v/>
      </c>
    </row>
    <row r="739">
      <c r="M739" s="37">
        <f>'03_原始数据'!C739-0.6*'03_原始数据'!B739-OtherCost</f>
        <v/>
      </c>
      <c r="N739" s="37">
        <f>'03_原始数据'!C739-0.605*'03_原始数据'!B739-OtherCost</f>
        <v/>
      </c>
      <c r="O739" s="37">
        <f>'03_原始数据'!C739-0.61*'03_原始数据'!B739-OtherCost</f>
        <v/>
      </c>
      <c r="P739" s="37">
        <f>'03_原始数据'!C739-0.615*'03_原始数据'!B739-OtherCost</f>
        <v/>
      </c>
      <c r="Q739" s="37">
        <f>'03_原始数据'!C739-0.62*'03_原始数据'!B739-OtherCost</f>
        <v/>
      </c>
      <c r="R739" s="37">
        <f>'03_原始数据'!C739-0.625*'03_原始数据'!B739-OtherCost</f>
        <v/>
      </c>
      <c r="S739" s="37">
        <f>'03_原始数据'!C739-0.63*'03_原始数据'!B739-OtherCost</f>
        <v/>
      </c>
      <c r="T739" s="37">
        <f>'03_原始数据'!C739-0.635*'03_原始数据'!B739-OtherCost</f>
        <v/>
      </c>
      <c r="U739" s="37">
        <f>'03_原始数据'!C739-0.64*'03_原始数据'!B739-OtherCost</f>
        <v/>
      </c>
      <c r="V739" s="37">
        <f>'03_原始数据'!C739-0.645*'03_原始数据'!B739-OtherCost</f>
        <v/>
      </c>
      <c r="W739" s="37">
        <f>'03_原始数据'!C739-0.65*'03_原始数据'!B739-OtherCost</f>
        <v/>
      </c>
      <c r="X739" s="37">
        <f>'03_原始数据'!C739-0.655*'03_原始数据'!B739-OtherCost</f>
        <v/>
      </c>
      <c r="Y739" s="37">
        <f>'03_原始数据'!C739-0.66*'03_原始数据'!B739-OtherCost</f>
        <v/>
      </c>
      <c r="Z739" s="37">
        <f>'03_原始数据'!C739-0.665*'03_原始数据'!B739-OtherCost</f>
        <v/>
      </c>
      <c r="AA739" s="37">
        <f>'03_原始数据'!C739-0.67*'03_原始数据'!B739-OtherCost</f>
        <v/>
      </c>
      <c r="AB739" s="37">
        <f>'03_原始数据'!C739-0.675*'03_原始数据'!B739-OtherCost</f>
        <v/>
      </c>
      <c r="AC739" s="37">
        <f>'03_原始数据'!C739-0.68*'03_原始数据'!B739-OtherCost</f>
        <v/>
      </c>
      <c r="AD739" s="37">
        <f>'03_原始数据'!C739-0.685*'03_原始数据'!B739-OtherCost</f>
        <v/>
      </c>
      <c r="AE739" s="37">
        <f>'03_原始数据'!C739-0.69*'03_原始数据'!B739-OtherCost</f>
        <v/>
      </c>
      <c r="AF739" s="37">
        <f>'03_原始数据'!C739-0.695*'03_原始数据'!B739-OtherCost</f>
        <v/>
      </c>
      <c r="AG739" s="37">
        <f>'03_原始数据'!C739-0.7*'03_原始数据'!B739-OtherCost</f>
        <v/>
      </c>
    </row>
    <row r="740">
      <c r="M740" s="37">
        <f>'03_原始数据'!C740-0.6*'03_原始数据'!B740-OtherCost</f>
        <v/>
      </c>
      <c r="N740" s="37">
        <f>'03_原始数据'!C740-0.605*'03_原始数据'!B740-OtherCost</f>
        <v/>
      </c>
      <c r="O740" s="37">
        <f>'03_原始数据'!C740-0.61*'03_原始数据'!B740-OtherCost</f>
        <v/>
      </c>
      <c r="P740" s="37">
        <f>'03_原始数据'!C740-0.615*'03_原始数据'!B740-OtherCost</f>
        <v/>
      </c>
      <c r="Q740" s="37">
        <f>'03_原始数据'!C740-0.62*'03_原始数据'!B740-OtherCost</f>
        <v/>
      </c>
      <c r="R740" s="37">
        <f>'03_原始数据'!C740-0.625*'03_原始数据'!B740-OtherCost</f>
        <v/>
      </c>
      <c r="S740" s="37">
        <f>'03_原始数据'!C740-0.63*'03_原始数据'!B740-OtherCost</f>
        <v/>
      </c>
      <c r="T740" s="37">
        <f>'03_原始数据'!C740-0.635*'03_原始数据'!B740-OtherCost</f>
        <v/>
      </c>
      <c r="U740" s="37">
        <f>'03_原始数据'!C740-0.64*'03_原始数据'!B740-OtherCost</f>
        <v/>
      </c>
      <c r="V740" s="37">
        <f>'03_原始数据'!C740-0.645*'03_原始数据'!B740-OtherCost</f>
        <v/>
      </c>
      <c r="W740" s="37">
        <f>'03_原始数据'!C740-0.65*'03_原始数据'!B740-OtherCost</f>
        <v/>
      </c>
      <c r="X740" s="37">
        <f>'03_原始数据'!C740-0.655*'03_原始数据'!B740-OtherCost</f>
        <v/>
      </c>
      <c r="Y740" s="37">
        <f>'03_原始数据'!C740-0.66*'03_原始数据'!B740-OtherCost</f>
        <v/>
      </c>
      <c r="Z740" s="37">
        <f>'03_原始数据'!C740-0.665*'03_原始数据'!B740-OtherCost</f>
        <v/>
      </c>
      <c r="AA740" s="37">
        <f>'03_原始数据'!C740-0.67*'03_原始数据'!B740-OtherCost</f>
        <v/>
      </c>
      <c r="AB740" s="37">
        <f>'03_原始数据'!C740-0.675*'03_原始数据'!B740-OtherCost</f>
        <v/>
      </c>
      <c r="AC740" s="37">
        <f>'03_原始数据'!C740-0.68*'03_原始数据'!B740-OtherCost</f>
        <v/>
      </c>
      <c r="AD740" s="37">
        <f>'03_原始数据'!C740-0.685*'03_原始数据'!B740-OtherCost</f>
        <v/>
      </c>
      <c r="AE740" s="37">
        <f>'03_原始数据'!C740-0.69*'03_原始数据'!B740-OtherCost</f>
        <v/>
      </c>
      <c r="AF740" s="37">
        <f>'03_原始数据'!C740-0.695*'03_原始数据'!B740-OtherCost</f>
        <v/>
      </c>
      <c r="AG740" s="37">
        <f>'03_原始数据'!C740-0.7*'03_原始数据'!B740-OtherCost</f>
        <v/>
      </c>
    </row>
    <row r="741">
      <c r="M741" s="37">
        <f>'03_原始数据'!C741-0.6*'03_原始数据'!B741-OtherCost</f>
        <v/>
      </c>
      <c r="N741" s="37">
        <f>'03_原始数据'!C741-0.605*'03_原始数据'!B741-OtherCost</f>
        <v/>
      </c>
      <c r="O741" s="37">
        <f>'03_原始数据'!C741-0.61*'03_原始数据'!B741-OtherCost</f>
        <v/>
      </c>
      <c r="P741" s="37">
        <f>'03_原始数据'!C741-0.615*'03_原始数据'!B741-OtherCost</f>
        <v/>
      </c>
      <c r="Q741" s="37">
        <f>'03_原始数据'!C741-0.62*'03_原始数据'!B741-OtherCost</f>
        <v/>
      </c>
      <c r="R741" s="37">
        <f>'03_原始数据'!C741-0.625*'03_原始数据'!B741-OtherCost</f>
        <v/>
      </c>
      <c r="S741" s="37">
        <f>'03_原始数据'!C741-0.63*'03_原始数据'!B741-OtherCost</f>
        <v/>
      </c>
      <c r="T741" s="37">
        <f>'03_原始数据'!C741-0.635*'03_原始数据'!B741-OtherCost</f>
        <v/>
      </c>
      <c r="U741" s="37">
        <f>'03_原始数据'!C741-0.64*'03_原始数据'!B741-OtherCost</f>
        <v/>
      </c>
      <c r="V741" s="37">
        <f>'03_原始数据'!C741-0.645*'03_原始数据'!B741-OtherCost</f>
        <v/>
      </c>
      <c r="W741" s="37">
        <f>'03_原始数据'!C741-0.65*'03_原始数据'!B741-OtherCost</f>
        <v/>
      </c>
      <c r="X741" s="37">
        <f>'03_原始数据'!C741-0.655*'03_原始数据'!B741-OtherCost</f>
        <v/>
      </c>
      <c r="Y741" s="37">
        <f>'03_原始数据'!C741-0.66*'03_原始数据'!B741-OtherCost</f>
        <v/>
      </c>
      <c r="Z741" s="37">
        <f>'03_原始数据'!C741-0.665*'03_原始数据'!B741-OtherCost</f>
        <v/>
      </c>
      <c r="AA741" s="37">
        <f>'03_原始数据'!C741-0.67*'03_原始数据'!B741-OtherCost</f>
        <v/>
      </c>
      <c r="AB741" s="37">
        <f>'03_原始数据'!C741-0.675*'03_原始数据'!B741-OtherCost</f>
        <v/>
      </c>
      <c r="AC741" s="37">
        <f>'03_原始数据'!C741-0.68*'03_原始数据'!B741-OtherCost</f>
        <v/>
      </c>
      <c r="AD741" s="37">
        <f>'03_原始数据'!C741-0.685*'03_原始数据'!B741-OtherCost</f>
        <v/>
      </c>
      <c r="AE741" s="37">
        <f>'03_原始数据'!C741-0.69*'03_原始数据'!B741-OtherCost</f>
        <v/>
      </c>
      <c r="AF741" s="37">
        <f>'03_原始数据'!C741-0.695*'03_原始数据'!B741-OtherCost</f>
        <v/>
      </c>
      <c r="AG741" s="37">
        <f>'03_原始数据'!C741-0.7*'03_原始数据'!B741-OtherCost</f>
        <v/>
      </c>
    </row>
    <row r="742">
      <c r="M742" s="37">
        <f>'03_原始数据'!C742-0.6*'03_原始数据'!B742-OtherCost</f>
        <v/>
      </c>
      <c r="N742" s="37">
        <f>'03_原始数据'!C742-0.605*'03_原始数据'!B742-OtherCost</f>
        <v/>
      </c>
      <c r="O742" s="37">
        <f>'03_原始数据'!C742-0.61*'03_原始数据'!B742-OtherCost</f>
        <v/>
      </c>
      <c r="P742" s="37">
        <f>'03_原始数据'!C742-0.615*'03_原始数据'!B742-OtherCost</f>
        <v/>
      </c>
      <c r="Q742" s="37">
        <f>'03_原始数据'!C742-0.62*'03_原始数据'!B742-OtherCost</f>
        <v/>
      </c>
      <c r="R742" s="37">
        <f>'03_原始数据'!C742-0.625*'03_原始数据'!B742-OtherCost</f>
        <v/>
      </c>
      <c r="S742" s="37">
        <f>'03_原始数据'!C742-0.63*'03_原始数据'!B742-OtherCost</f>
        <v/>
      </c>
      <c r="T742" s="37">
        <f>'03_原始数据'!C742-0.635*'03_原始数据'!B742-OtherCost</f>
        <v/>
      </c>
      <c r="U742" s="37">
        <f>'03_原始数据'!C742-0.64*'03_原始数据'!B742-OtherCost</f>
        <v/>
      </c>
      <c r="V742" s="37">
        <f>'03_原始数据'!C742-0.645*'03_原始数据'!B742-OtherCost</f>
        <v/>
      </c>
      <c r="W742" s="37">
        <f>'03_原始数据'!C742-0.65*'03_原始数据'!B742-OtherCost</f>
        <v/>
      </c>
      <c r="X742" s="37">
        <f>'03_原始数据'!C742-0.655*'03_原始数据'!B742-OtherCost</f>
        <v/>
      </c>
      <c r="Y742" s="37">
        <f>'03_原始数据'!C742-0.66*'03_原始数据'!B742-OtherCost</f>
        <v/>
      </c>
      <c r="Z742" s="37">
        <f>'03_原始数据'!C742-0.665*'03_原始数据'!B742-OtherCost</f>
        <v/>
      </c>
      <c r="AA742" s="37">
        <f>'03_原始数据'!C742-0.67*'03_原始数据'!B742-OtherCost</f>
        <v/>
      </c>
      <c r="AB742" s="37">
        <f>'03_原始数据'!C742-0.675*'03_原始数据'!B742-OtherCost</f>
        <v/>
      </c>
      <c r="AC742" s="37">
        <f>'03_原始数据'!C742-0.68*'03_原始数据'!B742-OtherCost</f>
        <v/>
      </c>
      <c r="AD742" s="37">
        <f>'03_原始数据'!C742-0.685*'03_原始数据'!B742-OtherCost</f>
        <v/>
      </c>
      <c r="AE742" s="37">
        <f>'03_原始数据'!C742-0.69*'03_原始数据'!B742-OtherCost</f>
        <v/>
      </c>
      <c r="AF742" s="37">
        <f>'03_原始数据'!C742-0.695*'03_原始数据'!B742-OtherCost</f>
        <v/>
      </c>
      <c r="AG742" s="37">
        <f>'03_原始数据'!C742-0.7*'03_原始数据'!B742-OtherCost</f>
        <v/>
      </c>
    </row>
    <row r="743">
      <c r="M743" s="37">
        <f>'03_原始数据'!C743-0.6*'03_原始数据'!B743-OtherCost</f>
        <v/>
      </c>
      <c r="N743" s="37">
        <f>'03_原始数据'!C743-0.605*'03_原始数据'!B743-OtherCost</f>
        <v/>
      </c>
      <c r="O743" s="37">
        <f>'03_原始数据'!C743-0.61*'03_原始数据'!B743-OtherCost</f>
        <v/>
      </c>
      <c r="P743" s="37">
        <f>'03_原始数据'!C743-0.615*'03_原始数据'!B743-OtherCost</f>
        <v/>
      </c>
      <c r="Q743" s="37">
        <f>'03_原始数据'!C743-0.62*'03_原始数据'!B743-OtherCost</f>
        <v/>
      </c>
      <c r="R743" s="37">
        <f>'03_原始数据'!C743-0.625*'03_原始数据'!B743-OtherCost</f>
        <v/>
      </c>
      <c r="S743" s="37">
        <f>'03_原始数据'!C743-0.63*'03_原始数据'!B743-OtherCost</f>
        <v/>
      </c>
      <c r="T743" s="37">
        <f>'03_原始数据'!C743-0.635*'03_原始数据'!B743-OtherCost</f>
        <v/>
      </c>
      <c r="U743" s="37">
        <f>'03_原始数据'!C743-0.64*'03_原始数据'!B743-OtherCost</f>
        <v/>
      </c>
      <c r="V743" s="37">
        <f>'03_原始数据'!C743-0.645*'03_原始数据'!B743-OtherCost</f>
        <v/>
      </c>
      <c r="W743" s="37">
        <f>'03_原始数据'!C743-0.65*'03_原始数据'!B743-OtherCost</f>
        <v/>
      </c>
      <c r="X743" s="37">
        <f>'03_原始数据'!C743-0.655*'03_原始数据'!B743-OtherCost</f>
        <v/>
      </c>
      <c r="Y743" s="37">
        <f>'03_原始数据'!C743-0.66*'03_原始数据'!B743-OtherCost</f>
        <v/>
      </c>
      <c r="Z743" s="37">
        <f>'03_原始数据'!C743-0.665*'03_原始数据'!B743-OtherCost</f>
        <v/>
      </c>
      <c r="AA743" s="37">
        <f>'03_原始数据'!C743-0.67*'03_原始数据'!B743-OtherCost</f>
        <v/>
      </c>
      <c r="AB743" s="37">
        <f>'03_原始数据'!C743-0.675*'03_原始数据'!B743-OtherCost</f>
        <v/>
      </c>
      <c r="AC743" s="37">
        <f>'03_原始数据'!C743-0.68*'03_原始数据'!B743-OtherCost</f>
        <v/>
      </c>
      <c r="AD743" s="37">
        <f>'03_原始数据'!C743-0.685*'03_原始数据'!B743-OtherCost</f>
        <v/>
      </c>
      <c r="AE743" s="37">
        <f>'03_原始数据'!C743-0.69*'03_原始数据'!B743-OtherCost</f>
        <v/>
      </c>
      <c r="AF743" s="37">
        <f>'03_原始数据'!C743-0.695*'03_原始数据'!B743-OtherCost</f>
        <v/>
      </c>
      <c r="AG743" s="37">
        <f>'03_原始数据'!C743-0.7*'03_原始数据'!B743-OtherCost</f>
        <v/>
      </c>
    </row>
    <row r="744">
      <c r="M744" s="37">
        <f>'03_原始数据'!C744-0.6*'03_原始数据'!B744-OtherCost</f>
        <v/>
      </c>
      <c r="N744" s="37">
        <f>'03_原始数据'!C744-0.605*'03_原始数据'!B744-OtherCost</f>
        <v/>
      </c>
      <c r="O744" s="37">
        <f>'03_原始数据'!C744-0.61*'03_原始数据'!B744-OtherCost</f>
        <v/>
      </c>
      <c r="P744" s="37">
        <f>'03_原始数据'!C744-0.615*'03_原始数据'!B744-OtherCost</f>
        <v/>
      </c>
      <c r="Q744" s="37">
        <f>'03_原始数据'!C744-0.62*'03_原始数据'!B744-OtherCost</f>
        <v/>
      </c>
      <c r="R744" s="37">
        <f>'03_原始数据'!C744-0.625*'03_原始数据'!B744-OtherCost</f>
        <v/>
      </c>
      <c r="S744" s="37">
        <f>'03_原始数据'!C744-0.63*'03_原始数据'!B744-OtherCost</f>
        <v/>
      </c>
      <c r="T744" s="37">
        <f>'03_原始数据'!C744-0.635*'03_原始数据'!B744-OtherCost</f>
        <v/>
      </c>
      <c r="U744" s="37">
        <f>'03_原始数据'!C744-0.64*'03_原始数据'!B744-OtherCost</f>
        <v/>
      </c>
      <c r="V744" s="37">
        <f>'03_原始数据'!C744-0.645*'03_原始数据'!B744-OtherCost</f>
        <v/>
      </c>
      <c r="W744" s="37">
        <f>'03_原始数据'!C744-0.65*'03_原始数据'!B744-OtherCost</f>
        <v/>
      </c>
      <c r="X744" s="37">
        <f>'03_原始数据'!C744-0.655*'03_原始数据'!B744-OtherCost</f>
        <v/>
      </c>
      <c r="Y744" s="37">
        <f>'03_原始数据'!C744-0.66*'03_原始数据'!B744-OtherCost</f>
        <v/>
      </c>
      <c r="Z744" s="37">
        <f>'03_原始数据'!C744-0.665*'03_原始数据'!B744-OtherCost</f>
        <v/>
      </c>
      <c r="AA744" s="37">
        <f>'03_原始数据'!C744-0.67*'03_原始数据'!B744-OtherCost</f>
        <v/>
      </c>
      <c r="AB744" s="37">
        <f>'03_原始数据'!C744-0.675*'03_原始数据'!B744-OtherCost</f>
        <v/>
      </c>
      <c r="AC744" s="37">
        <f>'03_原始数据'!C744-0.68*'03_原始数据'!B744-OtherCost</f>
        <v/>
      </c>
      <c r="AD744" s="37">
        <f>'03_原始数据'!C744-0.685*'03_原始数据'!B744-OtherCost</f>
        <v/>
      </c>
      <c r="AE744" s="37">
        <f>'03_原始数据'!C744-0.69*'03_原始数据'!B744-OtherCost</f>
        <v/>
      </c>
      <c r="AF744" s="37">
        <f>'03_原始数据'!C744-0.695*'03_原始数据'!B744-OtherCost</f>
        <v/>
      </c>
      <c r="AG744" s="37">
        <f>'03_原始数据'!C744-0.7*'03_原始数据'!B744-OtherCost</f>
        <v/>
      </c>
    </row>
    <row r="745">
      <c r="M745" s="37">
        <f>'03_原始数据'!C745-0.6*'03_原始数据'!B745-OtherCost</f>
        <v/>
      </c>
      <c r="N745" s="37">
        <f>'03_原始数据'!C745-0.605*'03_原始数据'!B745-OtherCost</f>
        <v/>
      </c>
      <c r="O745" s="37">
        <f>'03_原始数据'!C745-0.61*'03_原始数据'!B745-OtherCost</f>
        <v/>
      </c>
      <c r="P745" s="37">
        <f>'03_原始数据'!C745-0.615*'03_原始数据'!B745-OtherCost</f>
        <v/>
      </c>
      <c r="Q745" s="37">
        <f>'03_原始数据'!C745-0.62*'03_原始数据'!B745-OtherCost</f>
        <v/>
      </c>
      <c r="R745" s="37">
        <f>'03_原始数据'!C745-0.625*'03_原始数据'!B745-OtherCost</f>
        <v/>
      </c>
      <c r="S745" s="37">
        <f>'03_原始数据'!C745-0.63*'03_原始数据'!B745-OtherCost</f>
        <v/>
      </c>
      <c r="T745" s="37">
        <f>'03_原始数据'!C745-0.635*'03_原始数据'!B745-OtherCost</f>
        <v/>
      </c>
      <c r="U745" s="37">
        <f>'03_原始数据'!C745-0.64*'03_原始数据'!B745-OtherCost</f>
        <v/>
      </c>
      <c r="V745" s="37">
        <f>'03_原始数据'!C745-0.645*'03_原始数据'!B745-OtherCost</f>
        <v/>
      </c>
      <c r="W745" s="37">
        <f>'03_原始数据'!C745-0.65*'03_原始数据'!B745-OtherCost</f>
        <v/>
      </c>
      <c r="X745" s="37">
        <f>'03_原始数据'!C745-0.655*'03_原始数据'!B745-OtherCost</f>
        <v/>
      </c>
      <c r="Y745" s="37">
        <f>'03_原始数据'!C745-0.66*'03_原始数据'!B745-OtherCost</f>
        <v/>
      </c>
      <c r="Z745" s="37">
        <f>'03_原始数据'!C745-0.665*'03_原始数据'!B745-OtherCost</f>
        <v/>
      </c>
      <c r="AA745" s="37">
        <f>'03_原始数据'!C745-0.67*'03_原始数据'!B745-OtherCost</f>
        <v/>
      </c>
      <c r="AB745" s="37">
        <f>'03_原始数据'!C745-0.675*'03_原始数据'!B745-OtherCost</f>
        <v/>
      </c>
      <c r="AC745" s="37">
        <f>'03_原始数据'!C745-0.68*'03_原始数据'!B745-OtherCost</f>
        <v/>
      </c>
      <c r="AD745" s="37">
        <f>'03_原始数据'!C745-0.685*'03_原始数据'!B745-OtherCost</f>
        <v/>
      </c>
      <c r="AE745" s="37">
        <f>'03_原始数据'!C745-0.69*'03_原始数据'!B745-OtherCost</f>
        <v/>
      </c>
      <c r="AF745" s="37">
        <f>'03_原始数据'!C745-0.695*'03_原始数据'!B745-OtherCost</f>
        <v/>
      </c>
      <c r="AG745" s="37">
        <f>'03_原始数据'!C745-0.7*'03_原始数据'!B745-OtherCost</f>
        <v/>
      </c>
    </row>
    <row r="746">
      <c r="M746" s="37">
        <f>'03_原始数据'!C746-0.6*'03_原始数据'!B746-OtherCost</f>
        <v/>
      </c>
      <c r="N746" s="37">
        <f>'03_原始数据'!C746-0.605*'03_原始数据'!B746-OtherCost</f>
        <v/>
      </c>
      <c r="O746" s="37">
        <f>'03_原始数据'!C746-0.61*'03_原始数据'!B746-OtherCost</f>
        <v/>
      </c>
      <c r="P746" s="37">
        <f>'03_原始数据'!C746-0.615*'03_原始数据'!B746-OtherCost</f>
        <v/>
      </c>
      <c r="Q746" s="37">
        <f>'03_原始数据'!C746-0.62*'03_原始数据'!B746-OtherCost</f>
        <v/>
      </c>
      <c r="R746" s="37">
        <f>'03_原始数据'!C746-0.625*'03_原始数据'!B746-OtherCost</f>
        <v/>
      </c>
      <c r="S746" s="37">
        <f>'03_原始数据'!C746-0.63*'03_原始数据'!B746-OtherCost</f>
        <v/>
      </c>
      <c r="T746" s="37">
        <f>'03_原始数据'!C746-0.635*'03_原始数据'!B746-OtherCost</f>
        <v/>
      </c>
      <c r="U746" s="37">
        <f>'03_原始数据'!C746-0.64*'03_原始数据'!B746-OtherCost</f>
        <v/>
      </c>
      <c r="V746" s="37">
        <f>'03_原始数据'!C746-0.645*'03_原始数据'!B746-OtherCost</f>
        <v/>
      </c>
      <c r="W746" s="37">
        <f>'03_原始数据'!C746-0.65*'03_原始数据'!B746-OtherCost</f>
        <v/>
      </c>
      <c r="X746" s="37">
        <f>'03_原始数据'!C746-0.655*'03_原始数据'!B746-OtherCost</f>
        <v/>
      </c>
      <c r="Y746" s="37">
        <f>'03_原始数据'!C746-0.66*'03_原始数据'!B746-OtherCost</f>
        <v/>
      </c>
      <c r="Z746" s="37">
        <f>'03_原始数据'!C746-0.665*'03_原始数据'!B746-OtherCost</f>
        <v/>
      </c>
      <c r="AA746" s="37">
        <f>'03_原始数据'!C746-0.67*'03_原始数据'!B746-OtherCost</f>
        <v/>
      </c>
      <c r="AB746" s="37">
        <f>'03_原始数据'!C746-0.675*'03_原始数据'!B746-OtherCost</f>
        <v/>
      </c>
      <c r="AC746" s="37">
        <f>'03_原始数据'!C746-0.68*'03_原始数据'!B746-OtherCost</f>
        <v/>
      </c>
      <c r="AD746" s="37">
        <f>'03_原始数据'!C746-0.685*'03_原始数据'!B746-OtherCost</f>
        <v/>
      </c>
      <c r="AE746" s="37">
        <f>'03_原始数据'!C746-0.69*'03_原始数据'!B746-OtherCost</f>
        <v/>
      </c>
      <c r="AF746" s="37">
        <f>'03_原始数据'!C746-0.695*'03_原始数据'!B746-OtherCost</f>
        <v/>
      </c>
      <c r="AG746" s="37">
        <f>'03_原始数据'!C746-0.7*'03_原始数据'!B746-OtherCost</f>
        <v/>
      </c>
    </row>
    <row r="747">
      <c r="M747" s="37">
        <f>'03_原始数据'!C747-0.6*'03_原始数据'!B747-OtherCost</f>
        <v/>
      </c>
      <c r="N747" s="37">
        <f>'03_原始数据'!C747-0.605*'03_原始数据'!B747-OtherCost</f>
        <v/>
      </c>
      <c r="O747" s="37">
        <f>'03_原始数据'!C747-0.61*'03_原始数据'!B747-OtherCost</f>
        <v/>
      </c>
      <c r="P747" s="37">
        <f>'03_原始数据'!C747-0.615*'03_原始数据'!B747-OtherCost</f>
        <v/>
      </c>
      <c r="Q747" s="37">
        <f>'03_原始数据'!C747-0.62*'03_原始数据'!B747-OtherCost</f>
        <v/>
      </c>
      <c r="R747" s="37">
        <f>'03_原始数据'!C747-0.625*'03_原始数据'!B747-OtherCost</f>
        <v/>
      </c>
      <c r="S747" s="37">
        <f>'03_原始数据'!C747-0.63*'03_原始数据'!B747-OtherCost</f>
        <v/>
      </c>
      <c r="T747" s="37">
        <f>'03_原始数据'!C747-0.635*'03_原始数据'!B747-OtherCost</f>
        <v/>
      </c>
      <c r="U747" s="37">
        <f>'03_原始数据'!C747-0.64*'03_原始数据'!B747-OtherCost</f>
        <v/>
      </c>
      <c r="V747" s="37">
        <f>'03_原始数据'!C747-0.645*'03_原始数据'!B747-OtherCost</f>
        <v/>
      </c>
      <c r="W747" s="37">
        <f>'03_原始数据'!C747-0.65*'03_原始数据'!B747-OtherCost</f>
        <v/>
      </c>
      <c r="X747" s="37">
        <f>'03_原始数据'!C747-0.655*'03_原始数据'!B747-OtherCost</f>
        <v/>
      </c>
      <c r="Y747" s="37">
        <f>'03_原始数据'!C747-0.66*'03_原始数据'!B747-OtherCost</f>
        <v/>
      </c>
      <c r="Z747" s="37">
        <f>'03_原始数据'!C747-0.665*'03_原始数据'!B747-OtherCost</f>
        <v/>
      </c>
      <c r="AA747" s="37">
        <f>'03_原始数据'!C747-0.67*'03_原始数据'!B747-OtherCost</f>
        <v/>
      </c>
      <c r="AB747" s="37">
        <f>'03_原始数据'!C747-0.675*'03_原始数据'!B747-OtherCost</f>
        <v/>
      </c>
      <c r="AC747" s="37">
        <f>'03_原始数据'!C747-0.68*'03_原始数据'!B747-OtherCost</f>
        <v/>
      </c>
      <c r="AD747" s="37">
        <f>'03_原始数据'!C747-0.685*'03_原始数据'!B747-OtherCost</f>
        <v/>
      </c>
      <c r="AE747" s="37">
        <f>'03_原始数据'!C747-0.69*'03_原始数据'!B747-OtherCost</f>
        <v/>
      </c>
      <c r="AF747" s="37">
        <f>'03_原始数据'!C747-0.695*'03_原始数据'!B747-OtherCost</f>
        <v/>
      </c>
      <c r="AG747" s="37">
        <f>'03_原始数据'!C747-0.7*'03_原始数据'!B747-OtherCost</f>
        <v/>
      </c>
    </row>
    <row r="748">
      <c r="M748" s="37">
        <f>'03_原始数据'!C748-0.6*'03_原始数据'!B748-OtherCost</f>
        <v/>
      </c>
      <c r="N748" s="37">
        <f>'03_原始数据'!C748-0.605*'03_原始数据'!B748-OtherCost</f>
        <v/>
      </c>
      <c r="O748" s="37">
        <f>'03_原始数据'!C748-0.61*'03_原始数据'!B748-OtherCost</f>
        <v/>
      </c>
      <c r="P748" s="37">
        <f>'03_原始数据'!C748-0.615*'03_原始数据'!B748-OtherCost</f>
        <v/>
      </c>
      <c r="Q748" s="37">
        <f>'03_原始数据'!C748-0.62*'03_原始数据'!B748-OtherCost</f>
        <v/>
      </c>
      <c r="R748" s="37">
        <f>'03_原始数据'!C748-0.625*'03_原始数据'!B748-OtherCost</f>
        <v/>
      </c>
      <c r="S748" s="37">
        <f>'03_原始数据'!C748-0.63*'03_原始数据'!B748-OtherCost</f>
        <v/>
      </c>
      <c r="T748" s="37">
        <f>'03_原始数据'!C748-0.635*'03_原始数据'!B748-OtherCost</f>
        <v/>
      </c>
      <c r="U748" s="37">
        <f>'03_原始数据'!C748-0.64*'03_原始数据'!B748-OtherCost</f>
        <v/>
      </c>
      <c r="V748" s="37">
        <f>'03_原始数据'!C748-0.645*'03_原始数据'!B748-OtherCost</f>
        <v/>
      </c>
      <c r="W748" s="37">
        <f>'03_原始数据'!C748-0.65*'03_原始数据'!B748-OtherCost</f>
        <v/>
      </c>
      <c r="X748" s="37">
        <f>'03_原始数据'!C748-0.655*'03_原始数据'!B748-OtherCost</f>
        <v/>
      </c>
      <c r="Y748" s="37">
        <f>'03_原始数据'!C748-0.66*'03_原始数据'!B748-OtherCost</f>
        <v/>
      </c>
      <c r="Z748" s="37">
        <f>'03_原始数据'!C748-0.665*'03_原始数据'!B748-OtherCost</f>
        <v/>
      </c>
      <c r="AA748" s="37">
        <f>'03_原始数据'!C748-0.67*'03_原始数据'!B748-OtherCost</f>
        <v/>
      </c>
      <c r="AB748" s="37">
        <f>'03_原始数据'!C748-0.675*'03_原始数据'!B748-OtherCost</f>
        <v/>
      </c>
      <c r="AC748" s="37">
        <f>'03_原始数据'!C748-0.68*'03_原始数据'!B748-OtherCost</f>
        <v/>
      </c>
      <c r="AD748" s="37">
        <f>'03_原始数据'!C748-0.685*'03_原始数据'!B748-OtherCost</f>
        <v/>
      </c>
      <c r="AE748" s="37">
        <f>'03_原始数据'!C748-0.69*'03_原始数据'!B748-OtherCost</f>
        <v/>
      </c>
      <c r="AF748" s="37">
        <f>'03_原始数据'!C748-0.695*'03_原始数据'!B748-OtherCost</f>
        <v/>
      </c>
      <c r="AG748" s="37">
        <f>'03_原始数据'!C748-0.7*'03_原始数据'!B748-OtherCost</f>
        <v/>
      </c>
    </row>
    <row r="749">
      <c r="M749" s="37">
        <f>'03_原始数据'!C749-0.6*'03_原始数据'!B749-OtherCost</f>
        <v/>
      </c>
      <c r="N749" s="37">
        <f>'03_原始数据'!C749-0.605*'03_原始数据'!B749-OtherCost</f>
        <v/>
      </c>
      <c r="O749" s="37">
        <f>'03_原始数据'!C749-0.61*'03_原始数据'!B749-OtherCost</f>
        <v/>
      </c>
      <c r="P749" s="37">
        <f>'03_原始数据'!C749-0.615*'03_原始数据'!B749-OtherCost</f>
        <v/>
      </c>
      <c r="Q749" s="37">
        <f>'03_原始数据'!C749-0.62*'03_原始数据'!B749-OtherCost</f>
        <v/>
      </c>
      <c r="R749" s="37">
        <f>'03_原始数据'!C749-0.625*'03_原始数据'!B749-OtherCost</f>
        <v/>
      </c>
      <c r="S749" s="37">
        <f>'03_原始数据'!C749-0.63*'03_原始数据'!B749-OtherCost</f>
        <v/>
      </c>
      <c r="T749" s="37">
        <f>'03_原始数据'!C749-0.635*'03_原始数据'!B749-OtherCost</f>
        <v/>
      </c>
      <c r="U749" s="37">
        <f>'03_原始数据'!C749-0.64*'03_原始数据'!B749-OtherCost</f>
        <v/>
      </c>
      <c r="V749" s="37">
        <f>'03_原始数据'!C749-0.645*'03_原始数据'!B749-OtherCost</f>
        <v/>
      </c>
      <c r="W749" s="37">
        <f>'03_原始数据'!C749-0.65*'03_原始数据'!B749-OtherCost</f>
        <v/>
      </c>
      <c r="X749" s="37">
        <f>'03_原始数据'!C749-0.655*'03_原始数据'!B749-OtherCost</f>
        <v/>
      </c>
      <c r="Y749" s="37">
        <f>'03_原始数据'!C749-0.66*'03_原始数据'!B749-OtherCost</f>
        <v/>
      </c>
      <c r="Z749" s="37">
        <f>'03_原始数据'!C749-0.665*'03_原始数据'!B749-OtherCost</f>
        <v/>
      </c>
      <c r="AA749" s="37">
        <f>'03_原始数据'!C749-0.67*'03_原始数据'!B749-OtherCost</f>
        <v/>
      </c>
      <c r="AB749" s="37">
        <f>'03_原始数据'!C749-0.675*'03_原始数据'!B749-OtherCost</f>
        <v/>
      </c>
      <c r="AC749" s="37">
        <f>'03_原始数据'!C749-0.68*'03_原始数据'!B749-OtherCost</f>
        <v/>
      </c>
      <c r="AD749" s="37">
        <f>'03_原始数据'!C749-0.685*'03_原始数据'!B749-OtherCost</f>
        <v/>
      </c>
      <c r="AE749" s="37">
        <f>'03_原始数据'!C749-0.69*'03_原始数据'!B749-OtherCost</f>
        <v/>
      </c>
      <c r="AF749" s="37">
        <f>'03_原始数据'!C749-0.695*'03_原始数据'!B749-OtherCost</f>
        <v/>
      </c>
      <c r="AG749" s="37">
        <f>'03_原始数据'!C749-0.7*'03_原始数据'!B749-OtherCost</f>
        <v/>
      </c>
    </row>
    <row r="750">
      <c r="M750" s="37">
        <f>'03_原始数据'!C750-0.6*'03_原始数据'!B750-OtherCost</f>
        <v/>
      </c>
      <c r="N750" s="37">
        <f>'03_原始数据'!C750-0.605*'03_原始数据'!B750-OtherCost</f>
        <v/>
      </c>
      <c r="O750" s="37">
        <f>'03_原始数据'!C750-0.61*'03_原始数据'!B750-OtherCost</f>
        <v/>
      </c>
      <c r="P750" s="37">
        <f>'03_原始数据'!C750-0.615*'03_原始数据'!B750-OtherCost</f>
        <v/>
      </c>
      <c r="Q750" s="37">
        <f>'03_原始数据'!C750-0.62*'03_原始数据'!B750-OtherCost</f>
        <v/>
      </c>
      <c r="R750" s="37">
        <f>'03_原始数据'!C750-0.625*'03_原始数据'!B750-OtherCost</f>
        <v/>
      </c>
      <c r="S750" s="37">
        <f>'03_原始数据'!C750-0.63*'03_原始数据'!B750-OtherCost</f>
        <v/>
      </c>
      <c r="T750" s="37">
        <f>'03_原始数据'!C750-0.635*'03_原始数据'!B750-OtherCost</f>
        <v/>
      </c>
      <c r="U750" s="37">
        <f>'03_原始数据'!C750-0.64*'03_原始数据'!B750-OtherCost</f>
        <v/>
      </c>
      <c r="V750" s="37">
        <f>'03_原始数据'!C750-0.645*'03_原始数据'!B750-OtherCost</f>
        <v/>
      </c>
      <c r="W750" s="37">
        <f>'03_原始数据'!C750-0.65*'03_原始数据'!B750-OtherCost</f>
        <v/>
      </c>
      <c r="X750" s="37">
        <f>'03_原始数据'!C750-0.655*'03_原始数据'!B750-OtherCost</f>
        <v/>
      </c>
      <c r="Y750" s="37">
        <f>'03_原始数据'!C750-0.66*'03_原始数据'!B750-OtherCost</f>
        <v/>
      </c>
      <c r="Z750" s="37">
        <f>'03_原始数据'!C750-0.665*'03_原始数据'!B750-OtherCost</f>
        <v/>
      </c>
      <c r="AA750" s="37">
        <f>'03_原始数据'!C750-0.67*'03_原始数据'!B750-OtherCost</f>
        <v/>
      </c>
      <c r="AB750" s="37">
        <f>'03_原始数据'!C750-0.675*'03_原始数据'!B750-OtherCost</f>
        <v/>
      </c>
      <c r="AC750" s="37">
        <f>'03_原始数据'!C750-0.68*'03_原始数据'!B750-OtherCost</f>
        <v/>
      </c>
      <c r="AD750" s="37">
        <f>'03_原始数据'!C750-0.685*'03_原始数据'!B750-OtherCost</f>
        <v/>
      </c>
      <c r="AE750" s="37">
        <f>'03_原始数据'!C750-0.69*'03_原始数据'!B750-OtherCost</f>
        <v/>
      </c>
      <c r="AF750" s="37">
        <f>'03_原始数据'!C750-0.695*'03_原始数据'!B750-OtherCost</f>
        <v/>
      </c>
      <c r="AG750" s="37">
        <f>'03_原始数据'!C750-0.7*'03_原始数据'!B750-OtherCost</f>
        <v/>
      </c>
    </row>
    <row r="751">
      <c r="M751" s="37">
        <f>'03_原始数据'!C751-0.6*'03_原始数据'!B751-OtherCost</f>
        <v/>
      </c>
      <c r="N751" s="37">
        <f>'03_原始数据'!C751-0.605*'03_原始数据'!B751-OtherCost</f>
        <v/>
      </c>
      <c r="O751" s="37">
        <f>'03_原始数据'!C751-0.61*'03_原始数据'!B751-OtherCost</f>
        <v/>
      </c>
      <c r="P751" s="37">
        <f>'03_原始数据'!C751-0.615*'03_原始数据'!B751-OtherCost</f>
        <v/>
      </c>
      <c r="Q751" s="37">
        <f>'03_原始数据'!C751-0.62*'03_原始数据'!B751-OtherCost</f>
        <v/>
      </c>
      <c r="R751" s="37">
        <f>'03_原始数据'!C751-0.625*'03_原始数据'!B751-OtherCost</f>
        <v/>
      </c>
      <c r="S751" s="37">
        <f>'03_原始数据'!C751-0.63*'03_原始数据'!B751-OtherCost</f>
        <v/>
      </c>
      <c r="T751" s="37">
        <f>'03_原始数据'!C751-0.635*'03_原始数据'!B751-OtherCost</f>
        <v/>
      </c>
      <c r="U751" s="37">
        <f>'03_原始数据'!C751-0.64*'03_原始数据'!B751-OtherCost</f>
        <v/>
      </c>
      <c r="V751" s="37">
        <f>'03_原始数据'!C751-0.645*'03_原始数据'!B751-OtherCost</f>
        <v/>
      </c>
      <c r="W751" s="37">
        <f>'03_原始数据'!C751-0.65*'03_原始数据'!B751-OtherCost</f>
        <v/>
      </c>
      <c r="X751" s="37">
        <f>'03_原始数据'!C751-0.655*'03_原始数据'!B751-OtherCost</f>
        <v/>
      </c>
      <c r="Y751" s="37">
        <f>'03_原始数据'!C751-0.66*'03_原始数据'!B751-OtherCost</f>
        <v/>
      </c>
      <c r="Z751" s="37">
        <f>'03_原始数据'!C751-0.665*'03_原始数据'!B751-OtherCost</f>
        <v/>
      </c>
      <c r="AA751" s="37">
        <f>'03_原始数据'!C751-0.67*'03_原始数据'!B751-OtherCost</f>
        <v/>
      </c>
      <c r="AB751" s="37">
        <f>'03_原始数据'!C751-0.675*'03_原始数据'!B751-OtherCost</f>
        <v/>
      </c>
      <c r="AC751" s="37">
        <f>'03_原始数据'!C751-0.68*'03_原始数据'!B751-OtherCost</f>
        <v/>
      </c>
      <c r="AD751" s="37">
        <f>'03_原始数据'!C751-0.685*'03_原始数据'!B751-OtherCost</f>
        <v/>
      </c>
      <c r="AE751" s="37">
        <f>'03_原始数据'!C751-0.69*'03_原始数据'!B751-OtherCost</f>
        <v/>
      </c>
      <c r="AF751" s="37">
        <f>'03_原始数据'!C751-0.695*'03_原始数据'!B751-OtherCost</f>
        <v/>
      </c>
      <c r="AG751" s="37">
        <f>'03_原始数据'!C751-0.7*'03_原始数据'!B751-OtherCost</f>
        <v/>
      </c>
    </row>
    <row r="752">
      <c r="M752" s="37">
        <f>'03_原始数据'!C752-0.6*'03_原始数据'!B752-OtherCost</f>
        <v/>
      </c>
      <c r="N752" s="37">
        <f>'03_原始数据'!C752-0.605*'03_原始数据'!B752-OtherCost</f>
        <v/>
      </c>
      <c r="O752" s="37">
        <f>'03_原始数据'!C752-0.61*'03_原始数据'!B752-OtherCost</f>
        <v/>
      </c>
      <c r="P752" s="37">
        <f>'03_原始数据'!C752-0.615*'03_原始数据'!B752-OtherCost</f>
        <v/>
      </c>
      <c r="Q752" s="37">
        <f>'03_原始数据'!C752-0.62*'03_原始数据'!B752-OtherCost</f>
        <v/>
      </c>
      <c r="R752" s="37">
        <f>'03_原始数据'!C752-0.625*'03_原始数据'!B752-OtherCost</f>
        <v/>
      </c>
      <c r="S752" s="37">
        <f>'03_原始数据'!C752-0.63*'03_原始数据'!B752-OtherCost</f>
        <v/>
      </c>
      <c r="T752" s="37">
        <f>'03_原始数据'!C752-0.635*'03_原始数据'!B752-OtherCost</f>
        <v/>
      </c>
      <c r="U752" s="37">
        <f>'03_原始数据'!C752-0.64*'03_原始数据'!B752-OtherCost</f>
        <v/>
      </c>
      <c r="V752" s="37">
        <f>'03_原始数据'!C752-0.645*'03_原始数据'!B752-OtherCost</f>
        <v/>
      </c>
      <c r="W752" s="37">
        <f>'03_原始数据'!C752-0.65*'03_原始数据'!B752-OtherCost</f>
        <v/>
      </c>
      <c r="X752" s="37">
        <f>'03_原始数据'!C752-0.655*'03_原始数据'!B752-OtherCost</f>
        <v/>
      </c>
      <c r="Y752" s="37">
        <f>'03_原始数据'!C752-0.66*'03_原始数据'!B752-OtherCost</f>
        <v/>
      </c>
      <c r="Z752" s="37">
        <f>'03_原始数据'!C752-0.665*'03_原始数据'!B752-OtherCost</f>
        <v/>
      </c>
      <c r="AA752" s="37">
        <f>'03_原始数据'!C752-0.67*'03_原始数据'!B752-OtherCost</f>
        <v/>
      </c>
      <c r="AB752" s="37">
        <f>'03_原始数据'!C752-0.675*'03_原始数据'!B752-OtherCost</f>
        <v/>
      </c>
      <c r="AC752" s="37">
        <f>'03_原始数据'!C752-0.68*'03_原始数据'!B752-OtherCost</f>
        <v/>
      </c>
      <c r="AD752" s="37">
        <f>'03_原始数据'!C752-0.685*'03_原始数据'!B752-OtherCost</f>
        <v/>
      </c>
      <c r="AE752" s="37">
        <f>'03_原始数据'!C752-0.69*'03_原始数据'!B752-OtherCost</f>
        <v/>
      </c>
      <c r="AF752" s="37">
        <f>'03_原始数据'!C752-0.695*'03_原始数据'!B752-OtherCost</f>
        <v/>
      </c>
      <c r="AG752" s="37">
        <f>'03_原始数据'!C752-0.7*'03_原始数据'!B752-OtherCost</f>
        <v/>
      </c>
    </row>
    <row r="753">
      <c r="M753" s="37">
        <f>'03_原始数据'!C753-0.6*'03_原始数据'!B753-OtherCost</f>
        <v/>
      </c>
      <c r="N753" s="37">
        <f>'03_原始数据'!C753-0.605*'03_原始数据'!B753-OtherCost</f>
        <v/>
      </c>
      <c r="O753" s="37">
        <f>'03_原始数据'!C753-0.61*'03_原始数据'!B753-OtherCost</f>
        <v/>
      </c>
      <c r="P753" s="37">
        <f>'03_原始数据'!C753-0.615*'03_原始数据'!B753-OtherCost</f>
        <v/>
      </c>
      <c r="Q753" s="37">
        <f>'03_原始数据'!C753-0.62*'03_原始数据'!B753-OtherCost</f>
        <v/>
      </c>
      <c r="R753" s="37">
        <f>'03_原始数据'!C753-0.625*'03_原始数据'!B753-OtherCost</f>
        <v/>
      </c>
      <c r="S753" s="37">
        <f>'03_原始数据'!C753-0.63*'03_原始数据'!B753-OtherCost</f>
        <v/>
      </c>
      <c r="T753" s="37">
        <f>'03_原始数据'!C753-0.635*'03_原始数据'!B753-OtherCost</f>
        <v/>
      </c>
      <c r="U753" s="37">
        <f>'03_原始数据'!C753-0.64*'03_原始数据'!B753-OtherCost</f>
        <v/>
      </c>
      <c r="V753" s="37">
        <f>'03_原始数据'!C753-0.645*'03_原始数据'!B753-OtherCost</f>
        <v/>
      </c>
      <c r="W753" s="37">
        <f>'03_原始数据'!C753-0.65*'03_原始数据'!B753-OtherCost</f>
        <v/>
      </c>
      <c r="X753" s="37">
        <f>'03_原始数据'!C753-0.655*'03_原始数据'!B753-OtherCost</f>
        <v/>
      </c>
      <c r="Y753" s="37">
        <f>'03_原始数据'!C753-0.66*'03_原始数据'!B753-OtherCost</f>
        <v/>
      </c>
      <c r="Z753" s="37">
        <f>'03_原始数据'!C753-0.665*'03_原始数据'!B753-OtherCost</f>
        <v/>
      </c>
      <c r="AA753" s="37">
        <f>'03_原始数据'!C753-0.67*'03_原始数据'!B753-OtherCost</f>
        <v/>
      </c>
      <c r="AB753" s="37">
        <f>'03_原始数据'!C753-0.675*'03_原始数据'!B753-OtherCost</f>
        <v/>
      </c>
      <c r="AC753" s="37">
        <f>'03_原始数据'!C753-0.68*'03_原始数据'!B753-OtherCost</f>
        <v/>
      </c>
      <c r="AD753" s="37">
        <f>'03_原始数据'!C753-0.685*'03_原始数据'!B753-OtherCost</f>
        <v/>
      </c>
      <c r="AE753" s="37">
        <f>'03_原始数据'!C753-0.69*'03_原始数据'!B753-OtherCost</f>
        <v/>
      </c>
      <c r="AF753" s="37">
        <f>'03_原始数据'!C753-0.695*'03_原始数据'!B753-OtherCost</f>
        <v/>
      </c>
      <c r="AG753" s="37">
        <f>'03_原始数据'!C753-0.7*'03_原始数据'!B753-OtherCost</f>
        <v/>
      </c>
    </row>
    <row r="754">
      <c r="M754" s="37">
        <f>'03_原始数据'!C754-0.6*'03_原始数据'!B754-OtherCost</f>
        <v/>
      </c>
      <c r="N754" s="37">
        <f>'03_原始数据'!C754-0.605*'03_原始数据'!B754-OtherCost</f>
        <v/>
      </c>
      <c r="O754" s="37">
        <f>'03_原始数据'!C754-0.61*'03_原始数据'!B754-OtherCost</f>
        <v/>
      </c>
      <c r="P754" s="37">
        <f>'03_原始数据'!C754-0.615*'03_原始数据'!B754-OtherCost</f>
        <v/>
      </c>
      <c r="Q754" s="37">
        <f>'03_原始数据'!C754-0.62*'03_原始数据'!B754-OtherCost</f>
        <v/>
      </c>
      <c r="R754" s="37">
        <f>'03_原始数据'!C754-0.625*'03_原始数据'!B754-OtherCost</f>
        <v/>
      </c>
      <c r="S754" s="37">
        <f>'03_原始数据'!C754-0.63*'03_原始数据'!B754-OtherCost</f>
        <v/>
      </c>
      <c r="T754" s="37">
        <f>'03_原始数据'!C754-0.635*'03_原始数据'!B754-OtherCost</f>
        <v/>
      </c>
      <c r="U754" s="37">
        <f>'03_原始数据'!C754-0.64*'03_原始数据'!B754-OtherCost</f>
        <v/>
      </c>
      <c r="V754" s="37">
        <f>'03_原始数据'!C754-0.645*'03_原始数据'!B754-OtherCost</f>
        <v/>
      </c>
      <c r="W754" s="37">
        <f>'03_原始数据'!C754-0.65*'03_原始数据'!B754-OtherCost</f>
        <v/>
      </c>
      <c r="X754" s="37">
        <f>'03_原始数据'!C754-0.655*'03_原始数据'!B754-OtherCost</f>
        <v/>
      </c>
      <c r="Y754" s="37">
        <f>'03_原始数据'!C754-0.66*'03_原始数据'!B754-OtherCost</f>
        <v/>
      </c>
      <c r="Z754" s="37">
        <f>'03_原始数据'!C754-0.665*'03_原始数据'!B754-OtherCost</f>
        <v/>
      </c>
      <c r="AA754" s="37">
        <f>'03_原始数据'!C754-0.67*'03_原始数据'!B754-OtherCost</f>
        <v/>
      </c>
      <c r="AB754" s="37">
        <f>'03_原始数据'!C754-0.675*'03_原始数据'!B754-OtherCost</f>
        <v/>
      </c>
      <c r="AC754" s="37">
        <f>'03_原始数据'!C754-0.68*'03_原始数据'!B754-OtherCost</f>
        <v/>
      </c>
      <c r="AD754" s="37">
        <f>'03_原始数据'!C754-0.685*'03_原始数据'!B754-OtherCost</f>
        <v/>
      </c>
      <c r="AE754" s="37">
        <f>'03_原始数据'!C754-0.69*'03_原始数据'!B754-OtherCost</f>
        <v/>
      </c>
      <c r="AF754" s="37">
        <f>'03_原始数据'!C754-0.695*'03_原始数据'!B754-OtherCost</f>
        <v/>
      </c>
      <c r="AG754" s="37">
        <f>'03_原始数据'!C754-0.7*'03_原始数据'!B754-OtherCost</f>
        <v/>
      </c>
    </row>
    <row r="755">
      <c r="M755" s="37">
        <f>'03_原始数据'!C755-0.6*'03_原始数据'!B755-OtherCost</f>
        <v/>
      </c>
      <c r="N755" s="37">
        <f>'03_原始数据'!C755-0.605*'03_原始数据'!B755-OtherCost</f>
        <v/>
      </c>
      <c r="O755" s="37">
        <f>'03_原始数据'!C755-0.61*'03_原始数据'!B755-OtherCost</f>
        <v/>
      </c>
      <c r="P755" s="37">
        <f>'03_原始数据'!C755-0.615*'03_原始数据'!B755-OtherCost</f>
        <v/>
      </c>
      <c r="Q755" s="37">
        <f>'03_原始数据'!C755-0.62*'03_原始数据'!B755-OtherCost</f>
        <v/>
      </c>
      <c r="R755" s="37">
        <f>'03_原始数据'!C755-0.625*'03_原始数据'!B755-OtherCost</f>
        <v/>
      </c>
      <c r="S755" s="37">
        <f>'03_原始数据'!C755-0.63*'03_原始数据'!B755-OtherCost</f>
        <v/>
      </c>
      <c r="T755" s="37">
        <f>'03_原始数据'!C755-0.635*'03_原始数据'!B755-OtherCost</f>
        <v/>
      </c>
      <c r="U755" s="37">
        <f>'03_原始数据'!C755-0.64*'03_原始数据'!B755-OtherCost</f>
        <v/>
      </c>
      <c r="V755" s="37">
        <f>'03_原始数据'!C755-0.645*'03_原始数据'!B755-OtherCost</f>
        <v/>
      </c>
      <c r="W755" s="37">
        <f>'03_原始数据'!C755-0.65*'03_原始数据'!B755-OtherCost</f>
        <v/>
      </c>
      <c r="X755" s="37">
        <f>'03_原始数据'!C755-0.655*'03_原始数据'!B755-OtherCost</f>
        <v/>
      </c>
      <c r="Y755" s="37">
        <f>'03_原始数据'!C755-0.66*'03_原始数据'!B755-OtherCost</f>
        <v/>
      </c>
      <c r="Z755" s="37">
        <f>'03_原始数据'!C755-0.665*'03_原始数据'!B755-OtherCost</f>
        <v/>
      </c>
      <c r="AA755" s="37">
        <f>'03_原始数据'!C755-0.67*'03_原始数据'!B755-OtherCost</f>
        <v/>
      </c>
      <c r="AB755" s="37">
        <f>'03_原始数据'!C755-0.675*'03_原始数据'!B755-OtherCost</f>
        <v/>
      </c>
      <c r="AC755" s="37">
        <f>'03_原始数据'!C755-0.68*'03_原始数据'!B755-OtherCost</f>
        <v/>
      </c>
      <c r="AD755" s="37">
        <f>'03_原始数据'!C755-0.685*'03_原始数据'!B755-OtherCost</f>
        <v/>
      </c>
      <c r="AE755" s="37">
        <f>'03_原始数据'!C755-0.69*'03_原始数据'!B755-OtherCost</f>
        <v/>
      </c>
      <c r="AF755" s="37">
        <f>'03_原始数据'!C755-0.695*'03_原始数据'!B755-OtherCost</f>
        <v/>
      </c>
      <c r="AG755" s="37">
        <f>'03_原始数据'!C755-0.7*'03_原始数据'!B755-OtherCost</f>
        <v/>
      </c>
    </row>
    <row r="756">
      <c r="M756" s="37">
        <f>'03_原始数据'!C756-0.6*'03_原始数据'!B756-OtherCost</f>
        <v/>
      </c>
      <c r="N756" s="37">
        <f>'03_原始数据'!C756-0.605*'03_原始数据'!B756-OtherCost</f>
        <v/>
      </c>
      <c r="O756" s="37">
        <f>'03_原始数据'!C756-0.61*'03_原始数据'!B756-OtherCost</f>
        <v/>
      </c>
      <c r="P756" s="37">
        <f>'03_原始数据'!C756-0.615*'03_原始数据'!B756-OtherCost</f>
        <v/>
      </c>
      <c r="Q756" s="37">
        <f>'03_原始数据'!C756-0.62*'03_原始数据'!B756-OtherCost</f>
        <v/>
      </c>
      <c r="R756" s="37">
        <f>'03_原始数据'!C756-0.625*'03_原始数据'!B756-OtherCost</f>
        <v/>
      </c>
      <c r="S756" s="37">
        <f>'03_原始数据'!C756-0.63*'03_原始数据'!B756-OtherCost</f>
        <v/>
      </c>
      <c r="T756" s="37">
        <f>'03_原始数据'!C756-0.635*'03_原始数据'!B756-OtherCost</f>
        <v/>
      </c>
      <c r="U756" s="37">
        <f>'03_原始数据'!C756-0.64*'03_原始数据'!B756-OtherCost</f>
        <v/>
      </c>
      <c r="V756" s="37">
        <f>'03_原始数据'!C756-0.645*'03_原始数据'!B756-OtherCost</f>
        <v/>
      </c>
      <c r="W756" s="37">
        <f>'03_原始数据'!C756-0.65*'03_原始数据'!B756-OtherCost</f>
        <v/>
      </c>
      <c r="X756" s="37">
        <f>'03_原始数据'!C756-0.655*'03_原始数据'!B756-OtherCost</f>
        <v/>
      </c>
      <c r="Y756" s="37">
        <f>'03_原始数据'!C756-0.66*'03_原始数据'!B756-OtherCost</f>
        <v/>
      </c>
      <c r="Z756" s="37">
        <f>'03_原始数据'!C756-0.665*'03_原始数据'!B756-OtherCost</f>
        <v/>
      </c>
      <c r="AA756" s="37">
        <f>'03_原始数据'!C756-0.67*'03_原始数据'!B756-OtherCost</f>
        <v/>
      </c>
      <c r="AB756" s="37">
        <f>'03_原始数据'!C756-0.675*'03_原始数据'!B756-OtherCost</f>
        <v/>
      </c>
      <c r="AC756" s="37">
        <f>'03_原始数据'!C756-0.68*'03_原始数据'!B756-OtherCost</f>
        <v/>
      </c>
      <c r="AD756" s="37">
        <f>'03_原始数据'!C756-0.685*'03_原始数据'!B756-OtherCost</f>
        <v/>
      </c>
      <c r="AE756" s="37">
        <f>'03_原始数据'!C756-0.69*'03_原始数据'!B756-OtherCost</f>
        <v/>
      </c>
      <c r="AF756" s="37">
        <f>'03_原始数据'!C756-0.695*'03_原始数据'!B756-OtherCost</f>
        <v/>
      </c>
      <c r="AG756" s="37">
        <f>'03_原始数据'!C756-0.7*'03_原始数据'!B756-OtherCost</f>
        <v/>
      </c>
    </row>
    <row r="757">
      <c r="M757" s="37">
        <f>'03_原始数据'!C757-0.6*'03_原始数据'!B757-OtherCost</f>
        <v/>
      </c>
      <c r="N757" s="37">
        <f>'03_原始数据'!C757-0.605*'03_原始数据'!B757-OtherCost</f>
        <v/>
      </c>
      <c r="O757" s="37">
        <f>'03_原始数据'!C757-0.61*'03_原始数据'!B757-OtherCost</f>
        <v/>
      </c>
      <c r="P757" s="37">
        <f>'03_原始数据'!C757-0.615*'03_原始数据'!B757-OtherCost</f>
        <v/>
      </c>
      <c r="Q757" s="37">
        <f>'03_原始数据'!C757-0.62*'03_原始数据'!B757-OtherCost</f>
        <v/>
      </c>
      <c r="R757" s="37">
        <f>'03_原始数据'!C757-0.625*'03_原始数据'!B757-OtherCost</f>
        <v/>
      </c>
      <c r="S757" s="37">
        <f>'03_原始数据'!C757-0.63*'03_原始数据'!B757-OtherCost</f>
        <v/>
      </c>
      <c r="T757" s="37">
        <f>'03_原始数据'!C757-0.635*'03_原始数据'!B757-OtherCost</f>
        <v/>
      </c>
      <c r="U757" s="37">
        <f>'03_原始数据'!C757-0.64*'03_原始数据'!B757-OtherCost</f>
        <v/>
      </c>
      <c r="V757" s="37">
        <f>'03_原始数据'!C757-0.645*'03_原始数据'!B757-OtherCost</f>
        <v/>
      </c>
      <c r="W757" s="37">
        <f>'03_原始数据'!C757-0.65*'03_原始数据'!B757-OtherCost</f>
        <v/>
      </c>
      <c r="X757" s="37">
        <f>'03_原始数据'!C757-0.655*'03_原始数据'!B757-OtherCost</f>
        <v/>
      </c>
      <c r="Y757" s="37">
        <f>'03_原始数据'!C757-0.66*'03_原始数据'!B757-OtherCost</f>
        <v/>
      </c>
      <c r="Z757" s="37">
        <f>'03_原始数据'!C757-0.665*'03_原始数据'!B757-OtherCost</f>
        <v/>
      </c>
      <c r="AA757" s="37">
        <f>'03_原始数据'!C757-0.67*'03_原始数据'!B757-OtherCost</f>
        <v/>
      </c>
      <c r="AB757" s="37">
        <f>'03_原始数据'!C757-0.675*'03_原始数据'!B757-OtherCost</f>
        <v/>
      </c>
      <c r="AC757" s="37">
        <f>'03_原始数据'!C757-0.68*'03_原始数据'!B757-OtherCost</f>
        <v/>
      </c>
      <c r="AD757" s="37">
        <f>'03_原始数据'!C757-0.685*'03_原始数据'!B757-OtherCost</f>
        <v/>
      </c>
      <c r="AE757" s="37">
        <f>'03_原始数据'!C757-0.69*'03_原始数据'!B757-OtherCost</f>
        <v/>
      </c>
      <c r="AF757" s="37">
        <f>'03_原始数据'!C757-0.695*'03_原始数据'!B757-OtherCost</f>
        <v/>
      </c>
      <c r="AG757" s="37">
        <f>'03_原始数据'!C757-0.7*'03_原始数据'!B757-OtherCost</f>
        <v/>
      </c>
    </row>
    <row r="758">
      <c r="M758" s="37">
        <f>'03_原始数据'!C758-0.6*'03_原始数据'!B758-OtherCost</f>
        <v/>
      </c>
      <c r="N758" s="37">
        <f>'03_原始数据'!C758-0.605*'03_原始数据'!B758-OtherCost</f>
        <v/>
      </c>
      <c r="O758" s="37">
        <f>'03_原始数据'!C758-0.61*'03_原始数据'!B758-OtherCost</f>
        <v/>
      </c>
      <c r="P758" s="37">
        <f>'03_原始数据'!C758-0.615*'03_原始数据'!B758-OtherCost</f>
        <v/>
      </c>
      <c r="Q758" s="37">
        <f>'03_原始数据'!C758-0.62*'03_原始数据'!B758-OtherCost</f>
        <v/>
      </c>
      <c r="R758" s="37">
        <f>'03_原始数据'!C758-0.625*'03_原始数据'!B758-OtherCost</f>
        <v/>
      </c>
      <c r="S758" s="37">
        <f>'03_原始数据'!C758-0.63*'03_原始数据'!B758-OtherCost</f>
        <v/>
      </c>
      <c r="T758" s="37">
        <f>'03_原始数据'!C758-0.635*'03_原始数据'!B758-OtherCost</f>
        <v/>
      </c>
      <c r="U758" s="37">
        <f>'03_原始数据'!C758-0.64*'03_原始数据'!B758-OtherCost</f>
        <v/>
      </c>
      <c r="V758" s="37">
        <f>'03_原始数据'!C758-0.645*'03_原始数据'!B758-OtherCost</f>
        <v/>
      </c>
      <c r="W758" s="37">
        <f>'03_原始数据'!C758-0.65*'03_原始数据'!B758-OtherCost</f>
        <v/>
      </c>
      <c r="X758" s="37">
        <f>'03_原始数据'!C758-0.655*'03_原始数据'!B758-OtherCost</f>
        <v/>
      </c>
      <c r="Y758" s="37">
        <f>'03_原始数据'!C758-0.66*'03_原始数据'!B758-OtherCost</f>
        <v/>
      </c>
      <c r="Z758" s="37">
        <f>'03_原始数据'!C758-0.665*'03_原始数据'!B758-OtherCost</f>
        <v/>
      </c>
      <c r="AA758" s="37">
        <f>'03_原始数据'!C758-0.67*'03_原始数据'!B758-OtherCost</f>
        <v/>
      </c>
      <c r="AB758" s="37">
        <f>'03_原始数据'!C758-0.675*'03_原始数据'!B758-OtherCost</f>
        <v/>
      </c>
      <c r="AC758" s="37">
        <f>'03_原始数据'!C758-0.68*'03_原始数据'!B758-OtherCost</f>
        <v/>
      </c>
      <c r="AD758" s="37">
        <f>'03_原始数据'!C758-0.685*'03_原始数据'!B758-OtherCost</f>
        <v/>
      </c>
      <c r="AE758" s="37">
        <f>'03_原始数据'!C758-0.69*'03_原始数据'!B758-OtherCost</f>
        <v/>
      </c>
      <c r="AF758" s="37">
        <f>'03_原始数据'!C758-0.695*'03_原始数据'!B758-OtherCost</f>
        <v/>
      </c>
      <c r="AG758" s="37">
        <f>'03_原始数据'!C758-0.7*'03_原始数据'!B758-OtherCost</f>
        <v/>
      </c>
    </row>
    <row r="759">
      <c r="M759" s="37">
        <f>'03_原始数据'!C759-0.6*'03_原始数据'!B759-OtherCost</f>
        <v/>
      </c>
      <c r="N759" s="37">
        <f>'03_原始数据'!C759-0.605*'03_原始数据'!B759-OtherCost</f>
        <v/>
      </c>
      <c r="O759" s="37">
        <f>'03_原始数据'!C759-0.61*'03_原始数据'!B759-OtherCost</f>
        <v/>
      </c>
      <c r="P759" s="37">
        <f>'03_原始数据'!C759-0.615*'03_原始数据'!B759-OtherCost</f>
        <v/>
      </c>
      <c r="Q759" s="37">
        <f>'03_原始数据'!C759-0.62*'03_原始数据'!B759-OtherCost</f>
        <v/>
      </c>
      <c r="R759" s="37">
        <f>'03_原始数据'!C759-0.625*'03_原始数据'!B759-OtherCost</f>
        <v/>
      </c>
      <c r="S759" s="37">
        <f>'03_原始数据'!C759-0.63*'03_原始数据'!B759-OtherCost</f>
        <v/>
      </c>
      <c r="T759" s="37">
        <f>'03_原始数据'!C759-0.635*'03_原始数据'!B759-OtherCost</f>
        <v/>
      </c>
      <c r="U759" s="37">
        <f>'03_原始数据'!C759-0.64*'03_原始数据'!B759-OtherCost</f>
        <v/>
      </c>
      <c r="V759" s="37">
        <f>'03_原始数据'!C759-0.645*'03_原始数据'!B759-OtherCost</f>
        <v/>
      </c>
      <c r="W759" s="37">
        <f>'03_原始数据'!C759-0.65*'03_原始数据'!B759-OtherCost</f>
        <v/>
      </c>
      <c r="X759" s="37">
        <f>'03_原始数据'!C759-0.655*'03_原始数据'!B759-OtherCost</f>
        <v/>
      </c>
      <c r="Y759" s="37">
        <f>'03_原始数据'!C759-0.66*'03_原始数据'!B759-OtherCost</f>
        <v/>
      </c>
      <c r="Z759" s="37">
        <f>'03_原始数据'!C759-0.665*'03_原始数据'!B759-OtherCost</f>
        <v/>
      </c>
      <c r="AA759" s="37">
        <f>'03_原始数据'!C759-0.67*'03_原始数据'!B759-OtherCost</f>
        <v/>
      </c>
      <c r="AB759" s="37">
        <f>'03_原始数据'!C759-0.675*'03_原始数据'!B759-OtherCost</f>
        <v/>
      </c>
      <c r="AC759" s="37">
        <f>'03_原始数据'!C759-0.68*'03_原始数据'!B759-OtherCost</f>
        <v/>
      </c>
      <c r="AD759" s="37">
        <f>'03_原始数据'!C759-0.685*'03_原始数据'!B759-OtherCost</f>
        <v/>
      </c>
      <c r="AE759" s="37">
        <f>'03_原始数据'!C759-0.69*'03_原始数据'!B759-OtherCost</f>
        <v/>
      </c>
      <c r="AF759" s="37">
        <f>'03_原始数据'!C759-0.695*'03_原始数据'!B759-OtherCost</f>
        <v/>
      </c>
      <c r="AG759" s="37">
        <f>'03_原始数据'!C759-0.7*'03_原始数据'!B759-OtherCost</f>
        <v/>
      </c>
    </row>
    <row r="760">
      <c r="M760" s="37">
        <f>'03_原始数据'!C760-0.6*'03_原始数据'!B760-OtherCost</f>
        <v/>
      </c>
      <c r="N760" s="37">
        <f>'03_原始数据'!C760-0.605*'03_原始数据'!B760-OtherCost</f>
        <v/>
      </c>
      <c r="O760" s="37">
        <f>'03_原始数据'!C760-0.61*'03_原始数据'!B760-OtherCost</f>
        <v/>
      </c>
      <c r="P760" s="37">
        <f>'03_原始数据'!C760-0.615*'03_原始数据'!B760-OtherCost</f>
        <v/>
      </c>
      <c r="Q760" s="37">
        <f>'03_原始数据'!C760-0.62*'03_原始数据'!B760-OtherCost</f>
        <v/>
      </c>
      <c r="R760" s="37">
        <f>'03_原始数据'!C760-0.625*'03_原始数据'!B760-OtherCost</f>
        <v/>
      </c>
      <c r="S760" s="37">
        <f>'03_原始数据'!C760-0.63*'03_原始数据'!B760-OtherCost</f>
        <v/>
      </c>
      <c r="T760" s="37">
        <f>'03_原始数据'!C760-0.635*'03_原始数据'!B760-OtherCost</f>
        <v/>
      </c>
      <c r="U760" s="37">
        <f>'03_原始数据'!C760-0.64*'03_原始数据'!B760-OtherCost</f>
        <v/>
      </c>
      <c r="V760" s="37">
        <f>'03_原始数据'!C760-0.645*'03_原始数据'!B760-OtherCost</f>
        <v/>
      </c>
      <c r="W760" s="37">
        <f>'03_原始数据'!C760-0.65*'03_原始数据'!B760-OtherCost</f>
        <v/>
      </c>
      <c r="X760" s="37">
        <f>'03_原始数据'!C760-0.655*'03_原始数据'!B760-OtherCost</f>
        <v/>
      </c>
      <c r="Y760" s="37">
        <f>'03_原始数据'!C760-0.66*'03_原始数据'!B760-OtherCost</f>
        <v/>
      </c>
      <c r="Z760" s="37">
        <f>'03_原始数据'!C760-0.665*'03_原始数据'!B760-OtherCost</f>
        <v/>
      </c>
      <c r="AA760" s="37">
        <f>'03_原始数据'!C760-0.67*'03_原始数据'!B760-OtherCost</f>
        <v/>
      </c>
      <c r="AB760" s="37">
        <f>'03_原始数据'!C760-0.675*'03_原始数据'!B760-OtherCost</f>
        <v/>
      </c>
      <c r="AC760" s="37">
        <f>'03_原始数据'!C760-0.68*'03_原始数据'!B760-OtherCost</f>
        <v/>
      </c>
      <c r="AD760" s="37">
        <f>'03_原始数据'!C760-0.685*'03_原始数据'!B760-OtherCost</f>
        <v/>
      </c>
      <c r="AE760" s="37">
        <f>'03_原始数据'!C760-0.69*'03_原始数据'!B760-OtherCost</f>
        <v/>
      </c>
      <c r="AF760" s="37">
        <f>'03_原始数据'!C760-0.695*'03_原始数据'!B760-OtherCost</f>
        <v/>
      </c>
      <c r="AG760" s="37">
        <f>'03_原始数据'!C760-0.7*'03_原始数据'!B760-OtherCost</f>
        <v/>
      </c>
    </row>
    <row r="761">
      <c r="M761" s="37">
        <f>'03_原始数据'!C761-0.6*'03_原始数据'!B761-OtherCost</f>
        <v/>
      </c>
      <c r="N761" s="37">
        <f>'03_原始数据'!C761-0.605*'03_原始数据'!B761-OtherCost</f>
        <v/>
      </c>
      <c r="O761" s="37">
        <f>'03_原始数据'!C761-0.61*'03_原始数据'!B761-OtherCost</f>
        <v/>
      </c>
      <c r="P761" s="37">
        <f>'03_原始数据'!C761-0.615*'03_原始数据'!B761-OtherCost</f>
        <v/>
      </c>
      <c r="Q761" s="37">
        <f>'03_原始数据'!C761-0.62*'03_原始数据'!B761-OtherCost</f>
        <v/>
      </c>
      <c r="R761" s="37">
        <f>'03_原始数据'!C761-0.625*'03_原始数据'!B761-OtherCost</f>
        <v/>
      </c>
      <c r="S761" s="37">
        <f>'03_原始数据'!C761-0.63*'03_原始数据'!B761-OtherCost</f>
        <v/>
      </c>
      <c r="T761" s="37">
        <f>'03_原始数据'!C761-0.635*'03_原始数据'!B761-OtherCost</f>
        <v/>
      </c>
      <c r="U761" s="37">
        <f>'03_原始数据'!C761-0.64*'03_原始数据'!B761-OtherCost</f>
        <v/>
      </c>
      <c r="V761" s="37">
        <f>'03_原始数据'!C761-0.645*'03_原始数据'!B761-OtherCost</f>
        <v/>
      </c>
      <c r="W761" s="37">
        <f>'03_原始数据'!C761-0.65*'03_原始数据'!B761-OtherCost</f>
        <v/>
      </c>
      <c r="X761" s="37">
        <f>'03_原始数据'!C761-0.655*'03_原始数据'!B761-OtherCost</f>
        <v/>
      </c>
      <c r="Y761" s="37">
        <f>'03_原始数据'!C761-0.66*'03_原始数据'!B761-OtherCost</f>
        <v/>
      </c>
      <c r="Z761" s="37">
        <f>'03_原始数据'!C761-0.665*'03_原始数据'!B761-OtherCost</f>
        <v/>
      </c>
      <c r="AA761" s="37">
        <f>'03_原始数据'!C761-0.67*'03_原始数据'!B761-OtherCost</f>
        <v/>
      </c>
      <c r="AB761" s="37">
        <f>'03_原始数据'!C761-0.675*'03_原始数据'!B761-OtherCost</f>
        <v/>
      </c>
      <c r="AC761" s="37">
        <f>'03_原始数据'!C761-0.68*'03_原始数据'!B761-OtherCost</f>
        <v/>
      </c>
      <c r="AD761" s="37">
        <f>'03_原始数据'!C761-0.685*'03_原始数据'!B761-OtherCost</f>
        <v/>
      </c>
      <c r="AE761" s="37">
        <f>'03_原始数据'!C761-0.69*'03_原始数据'!B761-OtherCost</f>
        <v/>
      </c>
      <c r="AF761" s="37">
        <f>'03_原始数据'!C761-0.695*'03_原始数据'!B761-OtherCost</f>
        <v/>
      </c>
      <c r="AG761" s="37">
        <f>'03_原始数据'!C761-0.7*'03_原始数据'!B761-OtherCost</f>
        <v/>
      </c>
    </row>
    <row r="762">
      <c r="M762" s="37">
        <f>'03_原始数据'!C762-0.6*'03_原始数据'!B762-OtherCost</f>
        <v/>
      </c>
      <c r="N762" s="37">
        <f>'03_原始数据'!C762-0.605*'03_原始数据'!B762-OtherCost</f>
        <v/>
      </c>
      <c r="O762" s="37">
        <f>'03_原始数据'!C762-0.61*'03_原始数据'!B762-OtherCost</f>
        <v/>
      </c>
      <c r="P762" s="37">
        <f>'03_原始数据'!C762-0.615*'03_原始数据'!B762-OtherCost</f>
        <v/>
      </c>
      <c r="Q762" s="37">
        <f>'03_原始数据'!C762-0.62*'03_原始数据'!B762-OtherCost</f>
        <v/>
      </c>
      <c r="R762" s="37">
        <f>'03_原始数据'!C762-0.625*'03_原始数据'!B762-OtherCost</f>
        <v/>
      </c>
      <c r="S762" s="37">
        <f>'03_原始数据'!C762-0.63*'03_原始数据'!B762-OtherCost</f>
        <v/>
      </c>
      <c r="T762" s="37">
        <f>'03_原始数据'!C762-0.635*'03_原始数据'!B762-OtherCost</f>
        <v/>
      </c>
      <c r="U762" s="37">
        <f>'03_原始数据'!C762-0.64*'03_原始数据'!B762-OtherCost</f>
        <v/>
      </c>
      <c r="V762" s="37">
        <f>'03_原始数据'!C762-0.645*'03_原始数据'!B762-OtherCost</f>
        <v/>
      </c>
      <c r="W762" s="37">
        <f>'03_原始数据'!C762-0.65*'03_原始数据'!B762-OtherCost</f>
        <v/>
      </c>
      <c r="X762" s="37">
        <f>'03_原始数据'!C762-0.655*'03_原始数据'!B762-OtherCost</f>
        <v/>
      </c>
      <c r="Y762" s="37">
        <f>'03_原始数据'!C762-0.66*'03_原始数据'!B762-OtherCost</f>
        <v/>
      </c>
      <c r="Z762" s="37">
        <f>'03_原始数据'!C762-0.665*'03_原始数据'!B762-OtherCost</f>
        <v/>
      </c>
      <c r="AA762" s="37">
        <f>'03_原始数据'!C762-0.67*'03_原始数据'!B762-OtherCost</f>
        <v/>
      </c>
      <c r="AB762" s="37">
        <f>'03_原始数据'!C762-0.675*'03_原始数据'!B762-OtherCost</f>
        <v/>
      </c>
      <c r="AC762" s="37">
        <f>'03_原始数据'!C762-0.68*'03_原始数据'!B762-OtherCost</f>
        <v/>
      </c>
      <c r="AD762" s="37">
        <f>'03_原始数据'!C762-0.685*'03_原始数据'!B762-OtherCost</f>
        <v/>
      </c>
      <c r="AE762" s="37">
        <f>'03_原始数据'!C762-0.69*'03_原始数据'!B762-OtherCost</f>
        <v/>
      </c>
      <c r="AF762" s="37">
        <f>'03_原始数据'!C762-0.695*'03_原始数据'!B762-OtherCost</f>
        <v/>
      </c>
      <c r="AG762" s="37">
        <f>'03_原始数据'!C762-0.7*'03_原始数据'!B762-OtherCost</f>
        <v/>
      </c>
    </row>
    <row r="763">
      <c r="M763" s="37">
        <f>'03_原始数据'!C763-0.6*'03_原始数据'!B763-OtherCost</f>
        <v/>
      </c>
      <c r="N763" s="37">
        <f>'03_原始数据'!C763-0.605*'03_原始数据'!B763-OtherCost</f>
        <v/>
      </c>
      <c r="O763" s="37">
        <f>'03_原始数据'!C763-0.61*'03_原始数据'!B763-OtherCost</f>
        <v/>
      </c>
      <c r="P763" s="37">
        <f>'03_原始数据'!C763-0.615*'03_原始数据'!B763-OtherCost</f>
        <v/>
      </c>
      <c r="Q763" s="37">
        <f>'03_原始数据'!C763-0.62*'03_原始数据'!B763-OtherCost</f>
        <v/>
      </c>
      <c r="R763" s="37">
        <f>'03_原始数据'!C763-0.625*'03_原始数据'!B763-OtherCost</f>
        <v/>
      </c>
      <c r="S763" s="37">
        <f>'03_原始数据'!C763-0.63*'03_原始数据'!B763-OtherCost</f>
        <v/>
      </c>
      <c r="T763" s="37">
        <f>'03_原始数据'!C763-0.635*'03_原始数据'!B763-OtherCost</f>
        <v/>
      </c>
      <c r="U763" s="37">
        <f>'03_原始数据'!C763-0.64*'03_原始数据'!B763-OtherCost</f>
        <v/>
      </c>
      <c r="V763" s="37">
        <f>'03_原始数据'!C763-0.645*'03_原始数据'!B763-OtherCost</f>
        <v/>
      </c>
      <c r="W763" s="37">
        <f>'03_原始数据'!C763-0.65*'03_原始数据'!B763-OtherCost</f>
        <v/>
      </c>
      <c r="X763" s="37">
        <f>'03_原始数据'!C763-0.655*'03_原始数据'!B763-OtherCost</f>
        <v/>
      </c>
      <c r="Y763" s="37">
        <f>'03_原始数据'!C763-0.66*'03_原始数据'!B763-OtherCost</f>
        <v/>
      </c>
      <c r="Z763" s="37">
        <f>'03_原始数据'!C763-0.665*'03_原始数据'!B763-OtherCost</f>
        <v/>
      </c>
      <c r="AA763" s="37">
        <f>'03_原始数据'!C763-0.67*'03_原始数据'!B763-OtherCost</f>
        <v/>
      </c>
      <c r="AB763" s="37">
        <f>'03_原始数据'!C763-0.675*'03_原始数据'!B763-OtherCost</f>
        <v/>
      </c>
      <c r="AC763" s="37">
        <f>'03_原始数据'!C763-0.68*'03_原始数据'!B763-OtherCost</f>
        <v/>
      </c>
      <c r="AD763" s="37">
        <f>'03_原始数据'!C763-0.685*'03_原始数据'!B763-OtherCost</f>
        <v/>
      </c>
      <c r="AE763" s="37">
        <f>'03_原始数据'!C763-0.69*'03_原始数据'!B763-OtherCost</f>
        <v/>
      </c>
      <c r="AF763" s="37">
        <f>'03_原始数据'!C763-0.695*'03_原始数据'!B763-OtherCost</f>
        <v/>
      </c>
      <c r="AG763" s="37">
        <f>'03_原始数据'!C763-0.7*'03_原始数据'!B763-OtherCost</f>
        <v/>
      </c>
    </row>
    <row r="764">
      <c r="M764" s="37">
        <f>'03_原始数据'!C764-0.6*'03_原始数据'!B764-OtherCost</f>
        <v/>
      </c>
      <c r="N764" s="37">
        <f>'03_原始数据'!C764-0.605*'03_原始数据'!B764-OtherCost</f>
        <v/>
      </c>
      <c r="O764" s="37">
        <f>'03_原始数据'!C764-0.61*'03_原始数据'!B764-OtherCost</f>
        <v/>
      </c>
      <c r="P764" s="37">
        <f>'03_原始数据'!C764-0.615*'03_原始数据'!B764-OtherCost</f>
        <v/>
      </c>
      <c r="Q764" s="37">
        <f>'03_原始数据'!C764-0.62*'03_原始数据'!B764-OtherCost</f>
        <v/>
      </c>
      <c r="R764" s="37">
        <f>'03_原始数据'!C764-0.625*'03_原始数据'!B764-OtherCost</f>
        <v/>
      </c>
      <c r="S764" s="37">
        <f>'03_原始数据'!C764-0.63*'03_原始数据'!B764-OtherCost</f>
        <v/>
      </c>
      <c r="T764" s="37">
        <f>'03_原始数据'!C764-0.635*'03_原始数据'!B764-OtherCost</f>
        <v/>
      </c>
      <c r="U764" s="37">
        <f>'03_原始数据'!C764-0.64*'03_原始数据'!B764-OtherCost</f>
        <v/>
      </c>
      <c r="V764" s="37">
        <f>'03_原始数据'!C764-0.645*'03_原始数据'!B764-OtherCost</f>
        <v/>
      </c>
      <c r="W764" s="37">
        <f>'03_原始数据'!C764-0.65*'03_原始数据'!B764-OtherCost</f>
        <v/>
      </c>
      <c r="X764" s="37">
        <f>'03_原始数据'!C764-0.655*'03_原始数据'!B764-OtherCost</f>
        <v/>
      </c>
      <c r="Y764" s="37">
        <f>'03_原始数据'!C764-0.66*'03_原始数据'!B764-OtherCost</f>
        <v/>
      </c>
      <c r="Z764" s="37">
        <f>'03_原始数据'!C764-0.665*'03_原始数据'!B764-OtherCost</f>
        <v/>
      </c>
      <c r="AA764" s="37">
        <f>'03_原始数据'!C764-0.67*'03_原始数据'!B764-OtherCost</f>
        <v/>
      </c>
      <c r="AB764" s="37">
        <f>'03_原始数据'!C764-0.675*'03_原始数据'!B764-OtherCost</f>
        <v/>
      </c>
      <c r="AC764" s="37">
        <f>'03_原始数据'!C764-0.68*'03_原始数据'!B764-OtherCost</f>
        <v/>
      </c>
      <c r="AD764" s="37">
        <f>'03_原始数据'!C764-0.685*'03_原始数据'!B764-OtherCost</f>
        <v/>
      </c>
      <c r="AE764" s="37">
        <f>'03_原始数据'!C764-0.69*'03_原始数据'!B764-OtherCost</f>
        <v/>
      </c>
      <c r="AF764" s="37">
        <f>'03_原始数据'!C764-0.695*'03_原始数据'!B764-OtherCost</f>
        <v/>
      </c>
      <c r="AG764" s="37">
        <f>'03_原始数据'!C764-0.7*'03_原始数据'!B764-OtherCost</f>
        <v/>
      </c>
    </row>
    <row r="765">
      <c r="M765" s="37">
        <f>'03_原始数据'!C765-0.6*'03_原始数据'!B765-OtherCost</f>
        <v/>
      </c>
      <c r="N765" s="37">
        <f>'03_原始数据'!C765-0.605*'03_原始数据'!B765-OtherCost</f>
        <v/>
      </c>
      <c r="O765" s="37">
        <f>'03_原始数据'!C765-0.61*'03_原始数据'!B765-OtherCost</f>
        <v/>
      </c>
      <c r="P765" s="37">
        <f>'03_原始数据'!C765-0.615*'03_原始数据'!B765-OtherCost</f>
        <v/>
      </c>
      <c r="Q765" s="37">
        <f>'03_原始数据'!C765-0.62*'03_原始数据'!B765-OtherCost</f>
        <v/>
      </c>
      <c r="R765" s="37">
        <f>'03_原始数据'!C765-0.625*'03_原始数据'!B765-OtherCost</f>
        <v/>
      </c>
      <c r="S765" s="37">
        <f>'03_原始数据'!C765-0.63*'03_原始数据'!B765-OtherCost</f>
        <v/>
      </c>
      <c r="T765" s="37">
        <f>'03_原始数据'!C765-0.635*'03_原始数据'!B765-OtherCost</f>
        <v/>
      </c>
      <c r="U765" s="37">
        <f>'03_原始数据'!C765-0.64*'03_原始数据'!B765-OtherCost</f>
        <v/>
      </c>
      <c r="V765" s="37">
        <f>'03_原始数据'!C765-0.645*'03_原始数据'!B765-OtherCost</f>
        <v/>
      </c>
      <c r="W765" s="37">
        <f>'03_原始数据'!C765-0.65*'03_原始数据'!B765-OtherCost</f>
        <v/>
      </c>
      <c r="X765" s="37">
        <f>'03_原始数据'!C765-0.655*'03_原始数据'!B765-OtherCost</f>
        <v/>
      </c>
      <c r="Y765" s="37">
        <f>'03_原始数据'!C765-0.66*'03_原始数据'!B765-OtherCost</f>
        <v/>
      </c>
      <c r="Z765" s="37">
        <f>'03_原始数据'!C765-0.665*'03_原始数据'!B765-OtherCost</f>
        <v/>
      </c>
      <c r="AA765" s="37">
        <f>'03_原始数据'!C765-0.67*'03_原始数据'!B765-OtherCost</f>
        <v/>
      </c>
      <c r="AB765" s="37">
        <f>'03_原始数据'!C765-0.675*'03_原始数据'!B765-OtherCost</f>
        <v/>
      </c>
      <c r="AC765" s="37">
        <f>'03_原始数据'!C765-0.68*'03_原始数据'!B765-OtherCost</f>
        <v/>
      </c>
      <c r="AD765" s="37">
        <f>'03_原始数据'!C765-0.685*'03_原始数据'!B765-OtherCost</f>
        <v/>
      </c>
      <c r="AE765" s="37">
        <f>'03_原始数据'!C765-0.69*'03_原始数据'!B765-OtherCost</f>
        <v/>
      </c>
      <c r="AF765" s="37">
        <f>'03_原始数据'!C765-0.695*'03_原始数据'!B765-OtherCost</f>
        <v/>
      </c>
      <c r="AG765" s="37">
        <f>'03_原始数据'!C765-0.7*'03_原始数据'!B765-OtherCost</f>
        <v/>
      </c>
    </row>
    <row r="766">
      <c r="M766" s="37">
        <f>'03_原始数据'!C766-0.6*'03_原始数据'!B766-OtherCost</f>
        <v/>
      </c>
      <c r="N766" s="37">
        <f>'03_原始数据'!C766-0.605*'03_原始数据'!B766-OtherCost</f>
        <v/>
      </c>
      <c r="O766" s="37">
        <f>'03_原始数据'!C766-0.61*'03_原始数据'!B766-OtherCost</f>
        <v/>
      </c>
      <c r="P766" s="37">
        <f>'03_原始数据'!C766-0.615*'03_原始数据'!B766-OtherCost</f>
        <v/>
      </c>
      <c r="Q766" s="37">
        <f>'03_原始数据'!C766-0.62*'03_原始数据'!B766-OtherCost</f>
        <v/>
      </c>
      <c r="R766" s="37">
        <f>'03_原始数据'!C766-0.625*'03_原始数据'!B766-OtherCost</f>
        <v/>
      </c>
      <c r="S766" s="37">
        <f>'03_原始数据'!C766-0.63*'03_原始数据'!B766-OtherCost</f>
        <v/>
      </c>
      <c r="T766" s="37">
        <f>'03_原始数据'!C766-0.635*'03_原始数据'!B766-OtherCost</f>
        <v/>
      </c>
      <c r="U766" s="37">
        <f>'03_原始数据'!C766-0.64*'03_原始数据'!B766-OtherCost</f>
        <v/>
      </c>
      <c r="V766" s="37">
        <f>'03_原始数据'!C766-0.645*'03_原始数据'!B766-OtherCost</f>
        <v/>
      </c>
      <c r="W766" s="37">
        <f>'03_原始数据'!C766-0.65*'03_原始数据'!B766-OtherCost</f>
        <v/>
      </c>
      <c r="X766" s="37">
        <f>'03_原始数据'!C766-0.655*'03_原始数据'!B766-OtherCost</f>
        <v/>
      </c>
      <c r="Y766" s="37">
        <f>'03_原始数据'!C766-0.66*'03_原始数据'!B766-OtherCost</f>
        <v/>
      </c>
      <c r="Z766" s="37">
        <f>'03_原始数据'!C766-0.665*'03_原始数据'!B766-OtherCost</f>
        <v/>
      </c>
      <c r="AA766" s="37">
        <f>'03_原始数据'!C766-0.67*'03_原始数据'!B766-OtherCost</f>
        <v/>
      </c>
      <c r="AB766" s="37">
        <f>'03_原始数据'!C766-0.675*'03_原始数据'!B766-OtherCost</f>
        <v/>
      </c>
      <c r="AC766" s="37">
        <f>'03_原始数据'!C766-0.68*'03_原始数据'!B766-OtherCost</f>
        <v/>
      </c>
      <c r="AD766" s="37">
        <f>'03_原始数据'!C766-0.685*'03_原始数据'!B766-OtherCost</f>
        <v/>
      </c>
      <c r="AE766" s="37">
        <f>'03_原始数据'!C766-0.69*'03_原始数据'!B766-OtherCost</f>
        <v/>
      </c>
      <c r="AF766" s="37">
        <f>'03_原始数据'!C766-0.695*'03_原始数据'!B766-OtherCost</f>
        <v/>
      </c>
      <c r="AG766" s="37">
        <f>'03_原始数据'!C766-0.7*'03_原始数据'!B766-OtherCost</f>
        <v/>
      </c>
    </row>
    <row r="767">
      <c r="M767" s="37">
        <f>'03_原始数据'!C767-0.6*'03_原始数据'!B767-OtherCost</f>
        <v/>
      </c>
      <c r="N767" s="37">
        <f>'03_原始数据'!C767-0.605*'03_原始数据'!B767-OtherCost</f>
        <v/>
      </c>
      <c r="O767" s="37">
        <f>'03_原始数据'!C767-0.61*'03_原始数据'!B767-OtherCost</f>
        <v/>
      </c>
      <c r="P767" s="37">
        <f>'03_原始数据'!C767-0.615*'03_原始数据'!B767-OtherCost</f>
        <v/>
      </c>
      <c r="Q767" s="37">
        <f>'03_原始数据'!C767-0.62*'03_原始数据'!B767-OtherCost</f>
        <v/>
      </c>
      <c r="R767" s="37">
        <f>'03_原始数据'!C767-0.625*'03_原始数据'!B767-OtherCost</f>
        <v/>
      </c>
      <c r="S767" s="37">
        <f>'03_原始数据'!C767-0.63*'03_原始数据'!B767-OtherCost</f>
        <v/>
      </c>
      <c r="T767" s="37">
        <f>'03_原始数据'!C767-0.635*'03_原始数据'!B767-OtherCost</f>
        <v/>
      </c>
      <c r="U767" s="37">
        <f>'03_原始数据'!C767-0.64*'03_原始数据'!B767-OtherCost</f>
        <v/>
      </c>
      <c r="V767" s="37">
        <f>'03_原始数据'!C767-0.645*'03_原始数据'!B767-OtherCost</f>
        <v/>
      </c>
      <c r="W767" s="37">
        <f>'03_原始数据'!C767-0.65*'03_原始数据'!B767-OtherCost</f>
        <v/>
      </c>
      <c r="X767" s="37">
        <f>'03_原始数据'!C767-0.655*'03_原始数据'!B767-OtherCost</f>
        <v/>
      </c>
      <c r="Y767" s="37">
        <f>'03_原始数据'!C767-0.66*'03_原始数据'!B767-OtherCost</f>
        <v/>
      </c>
      <c r="Z767" s="37">
        <f>'03_原始数据'!C767-0.665*'03_原始数据'!B767-OtherCost</f>
        <v/>
      </c>
      <c r="AA767" s="37">
        <f>'03_原始数据'!C767-0.67*'03_原始数据'!B767-OtherCost</f>
        <v/>
      </c>
      <c r="AB767" s="37">
        <f>'03_原始数据'!C767-0.675*'03_原始数据'!B767-OtherCost</f>
        <v/>
      </c>
      <c r="AC767" s="37">
        <f>'03_原始数据'!C767-0.68*'03_原始数据'!B767-OtherCost</f>
        <v/>
      </c>
      <c r="AD767" s="37">
        <f>'03_原始数据'!C767-0.685*'03_原始数据'!B767-OtherCost</f>
        <v/>
      </c>
      <c r="AE767" s="37">
        <f>'03_原始数据'!C767-0.69*'03_原始数据'!B767-OtherCost</f>
        <v/>
      </c>
      <c r="AF767" s="37">
        <f>'03_原始数据'!C767-0.695*'03_原始数据'!B767-OtherCost</f>
        <v/>
      </c>
      <c r="AG767" s="37">
        <f>'03_原始数据'!C767-0.7*'03_原始数据'!B767-OtherCost</f>
        <v/>
      </c>
    </row>
    <row r="768">
      <c r="M768" s="37">
        <f>'03_原始数据'!C768-0.6*'03_原始数据'!B768-OtherCost</f>
        <v/>
      </c>
      <c r="N768" s="37">
        <f>'03_原始数据'!C768-0.605*'03_原始数据'!B768-OtherCost</f>
        <v/>
      </c>
      <c r="O768" s="37">
        <f>'03_原始数据'!C768-0.61*'03_原始数据'!B768-OtherCost</f>
        <v/>
      </c>
      <c r="P768" s="37">
        <f>'03_原始数据'!C768-0.615*'03_原始数据'!B768-OtherCost</f>
        <v/>
      </c>
      <c r="Q768" s="37">
        <f>'03_原始数据'!C768-0.62*'03_原始数据'!B768-OtherCost</f>
        <v/>
      </c>
      <c r="R768" s="37">
        <f>'03_原始数据'!C768-0.625*'03_原始数据'!B768-OtherCost</f>
        <v/>
      </c>
      <c r="S768" s="37">
        <f>'03_原始数据'!C768-0.63*'03_原始数据'!B768-OtherCost</f>
        <v/>
      </c>
      <c r="T768" s="37">
        <f>'03_原始数据'!C768-0.635*'03_原始数据'!B768-OtherCost</f>
        <v/>
      </c>
      <c r="U768" s="37">
        <f>'03_原始数据'!C768-0.64*'03_原始数据'!B768-OtherCost</f>
        <v/>
      </c>
      <c r="V768" s="37">
        <f>'03_原始数据'!C768-0.645*'03_原始数据'!B768-OtherCost</f>
        <v/>
      </c>
      <c r="W768" s="37">
        <f>'03_原始数据'!C768-0.65*'03_原始数据'!B768-OtherCost</f>
        <v/>
      </c>
      <c r="X768" s="37">
        <f>'03_原始数据'!C768-0.655*'03_原始数据'!B768-OtherCost</f>
        <v/>
      </c>
      <c r="Y768" s="37">
        <f>'03_原始数据'!C768-0.66*'03_原始数据'!B768-OtherCost</f>
        <v/>
      </c>
      <c r="Z768" s="37">
        <f>'03_原始数据'!C768-0.665*'03_原始数据'!B768-OtherCost</f>
        <v/>
      </c>
      <c r="AA768" s="37">
        <f>'03_原始数据'!C768-0.67*'03_原始数据'!B768-OtherCost</f>
        <v/>
      </c>
      <c r="AB768" s="37">
        <f>'03_原始数据'!C768-0.675*'03_原始数据'!B768-OtherCost</f>
        <v/>
      </c>
      <c r="AC768" s="37">
        <f>'03_原始数据'!C768-0.68*'03_原始数据'!B768-OtherCost</f>
        <v/>
      </c>
      <c r="AD768" s="37">
        <f>'03_原始数据'!C768-0.685*'03_原始数据'!B768-OtherCost</f>
        <v/>
      </c>
      <c r="AE768" s="37">
        <f>'03_原始数据'!C768-0.69*'03_原始数据'!B768-OtherCost</f>
        <v/>
      </c>
      <c r="AF768" s="37">
        <f>'03_原始数据'!C768-0.695*'03_原始数据'!B768-OtherCost</f>
        <v/>
      </c>
      <c r="AG768" s="37">
        <f>'03_原始数据'!C768-0.7*'03_原始数据'!B768-OtherCost</f>
        <v/>
      </c>
    </row>
    <row r="769">
      <c r="M769" s="37">
        <f>'03_原始数据'!C769-0.6*'03_原始数据'!B769-OtherCost</f>
        <v/>
      </c>
      <c r="N769" s="37">
        <f>'03_原始数据'!C769-0.605*'03_原始数据'!B769-OtherCost</f>
        <v/>
      </c>
      <c r="O769" s="37">
        <f>'03_原始数据'!C769-0.61*'03_原始数据'!B769-OtherCost</f>
        <v/>
      </c>
      <c r="P769" s="37">
        <f>'03_原始数据'!C769-0.615*'03_原始数据'!B769-OtherCost</f>
        <v/>
      </c>
      <c r="Q769" s="37">
        <f>'03_原始数据'!C769-0.62*'03_原始数据'!B769-OtherCost</f>
        <v/>
      </c>
      <c r="R769" s="37">
        <f>'03_原始数据'!C769-0.625*'03_原始数据'!B769-OtherCost</f>
        <v/>
      </c>
      <c r="S769" s="37">
        <f>'03_原始数据'!C769-0.63*'03_原始数据'!B769-OtherCost</f>
        <v/>
      </c>
      <c r="T769" s="37">
        <f>'03_原始数据'!C769-0.635*'03_原始数据'!B769-OtherCost</f>
        <v/>
      </c>
      <c r="U769" s="37">
        <f>'03_原始数据'!C769-0.64*'03_原始数据'!B769-OtherCost</f>
        <v/>
      </c>
      <c r="V769" s="37">
        <f>'03_原始数据'!C769-0.645*'03_原始数据'!B769-OtherCost</f>
        <v/>
      </c>
      <c r="W769" s="37">
        <f>'03_原始数据'!C769-0.65*'03_原始数据'!B769-OtherCost</f>
        <v/>
      </c>
      <c r="X769" s="37">
        <f>'03_原始数据'!C769-0.655*'03_原始数据'!B769-OtherCost</f>
        <v/>
      </c>
      <c r="Y769" s="37">
        <f>'03_原始数据'!C769-0.66*'03_原始数据'!B769-OtherCost</f>
        <v/>
      </c>
      <c r="Z769" s="37">
        <f>'03_原始数据'!C769-0.665*'03_原始数据'!B769-OtherCost</f>
        <v/>
      </c>
      <c r="AA769" s="37">
        <f>'03_原始数据'!C769-0.67*'03_原始数据'!B769-OtherCost</f>
        <v/>
      </c>
      <c r="AB769" s="37">
        <f>'03_原始数据'!C769-0.675*'03_原始数据'!B769-OtherCost</f>
        <v/>
      </c>
      <c r="AC769" s="37">
        <f>'03_原始数据'!C769-0.68*'03_原始数据'!B769-OtherCost</f>
        <v/>
      </c>
      <c r="AD769" s="37">
        <f>'03_原始数据'!C769-0.685*'03_原始数据'!B769-OtherCost</f>
        <v/>
      </c>
      <c r="AE769" s="37">
        <f>'03_原始数据'!C769-0.69*'03_原始数据'!B769-OtherCost</f>
        <v/>
      </c>
      <c r="AF769" s="37">
        <f>'03_原始数据'!C769-0.695*'03_原始数据'!B769-OtherCost</f>
        <v/>
      </c>
      <c r="AG769" s="37">
        <f>'03_原始数据'!C769-0.7*'03_原始数据'!B769-OtherCost</f>
        <v/>
      </c>
    </row>
    <row r="770">
      <c r="M770" s="37">
        <f>'03_原始数据'!C770-0.6*'03_原始数据'!B770-OtherCost</f>
        <v/>
      </c>
      <c r="N770" s="37">
        <f>'03_原始数据'!C770-0.605*'03_原始数据'!B770-OtherCost</f>
        <v/>
      </c>
      <c r="O770" s="37">
        <f>'03_原始数据'!C770-0.61*'03_原始数据'!B770-OtherCost</f>
        <v/>
      </c>
      <c r="P770" s="37">
        <f>'03_原始数据'!C770-0.615*'03_原始数据'!B770-OtherCost</f>
        <v/>
      </c>
      <c r="Q770" s="37">
        <f>'03_原始数据'!C770-0.62*'03_原始数据'!B770-OtherCost</f>
        <v/>
      </c>
      <c r="R770" s="37">
        <f>'03_原始数据'!C770-0.625*'03_原始数据'!B770-OtherCost</f>
        <v/>
      </c>
      <c r="S770" s="37">
        <f>'03_原始数据'!C770-0.63*'03_原始数据'!B770-OtherCost</f>
        <v/>
      </c>
      <c r="T770" s="37">
        <f>'03_原始数据'!C770-0.635*'03_原始数据'!B770-OtherCost</f>
        <v/>
      </c>
      <c r="U770" s="37">
        <f>'03_原始数据'!C770-0.64*'03_原始数据'!B770-OtherCost</f>
        <v/>
      </c>
      <c r="V770" s="37">
        <f>'03_原始数据'!C770-0.645*'03_原始数据'!B770-OtherCost</f>
        <v/>
      </c>
      <c r="W770" s="37">
        <f>'03_原始数据'!C770-0.65*'03_原始数据'!B770-OtherCost</f>
        <v/>
      </c>
      <c r="X770" s="37">
        <f>'03_原始数据'!C770-0.655*'03_原始数据'!B770-OtherCost</f>
        <v/>
      </c>
      <c r="Y770" s="37">
        <f>'03_原始数据'!C770-0.66*'03_原始数据'!B770-OtherCost</f>
        <v/>
      </c>
      <c r="Z770" s="37">
        <f>'03_原始数据'!C770-0.665*'03_原始数据'!B770-OtherCost</f>
        <v/>
      </c>
      <c r="AA770" s="37">
        <f>'03_原始数据'!C770-0.67*'03_原始数据'!B770-OtherCost</f>
        <v/>
      </c>
      <c r="AB770" s="37">
        <f>'03_原始数据'!C770-0.675*'03_原始数据'!B770-OtherCost</f>
        <v/>
      </c>
      <c r="AC770" s="37">
        <f>'03_原始数据'!C770-0.68*'03_原始数据'!B770-OtherCost</f>
        <v/>
      </c>
      <c r="AD770" s="37">
        <f>'03_原始数据'!C770-0.685*'03_原始数据'!B770-OtherCost</f>
        <v/>
      </c>
      <c r="AE770" s="37">
        <f>'03_原始数据'!C770-0.69*'03_原始数据'!B770-OtherCost</f>
        <v/>
      </c>
      <c r="AF770" s="37">
        <f>'03_原始数据'!C770-0.695*'03_原始数据'!B770-OtherCost</f>
        <v/>
      </c>
      <c r="AG770" s="37">
        <f>'03_原始数据'!C770-0.7*'03_原始数据'!B770-OtherCost</f>
        <v/>
      </c>
    </row>
    <row r="771">
      <c r="M771" s="37">
        <f>'03_原始数据'!C771-0.6*'03_原始数据'!B771-OtherCost</f>
        <v/>
      </c>
      <c r="N771" s="37">
        <f>'03_原始数据'!C771-0.605*'03_原始数据'!B771-OtherCost</f>
        <v/>
      </c>
      <c r="O771" s="37">
        <f>'03_原始数据'!C771-0.61*'03_原始数据'!B771-OtherCost</f>
        <v/>
      </c>
      <c r="P771" s="37">
        <f>'03_原始数据'!C771-0.615*'03_原始数据'!B771-OtherCost</f>
        <v/>
      </c>
      <c r="Q771" s="37">
        <f>'03_原始数据'!C771-0.62*'03_原始数据'!B771-OtherCost</f>
        <v/>
      </c>
      <c r="R771" s="37">
        <f>'03_原始数据'!C771-0.625*'03_原始数据'!B771-OtherCost</f>
        <v/>
      </c>
      <c r="S771" s="37">
        <f>'03_原始数据'!C771-0.63*'03_原始数据'!B771-OtherCost</f>
        <v/>
      </c>
      <c r="T771" s="37">
        <f>'03_原始数据'!C771-0.635*'03_原始数据'!B771-OtherCost</f>
        <v/>
      </c>
      <c r="U771" s="37">
        <f>'03_原始数据'!C771-0.64*'03_原始数据'!B771-OtherCost</f>
        <v/>
      </c>
      <c r="V771" s="37">
        <f>'03_原始数据'!C771-0.645*'03_原始数据'!B771-OtherCost</f>
        <v/>
      </c>
      <c r="W771" s="37">
        <f>'03_原始数据'!C771-0.65*'03_原始数据'!B771-OtherCost</f>
        <v/>
      </c>
      <c r="X771" s="37">
        <f>'03_原始数据'!C771-0.655*'03_原始数据'!B771-OtherCost</f>
        <v/>
      </c>
      <c r="Y771" s="37">
        <f>'03_原始数据'!C771-0.66*'03_原始数据'!B771-OtherCost</f>
        <v/>
      </c>
      <c r="Z771" s="37">
        <f>'03_原始数据'!C771-0.665*'03_原始数据'!B771-OtherCost</f>
        <v/>
      </c>
      <c r="AA771" s="37">
        <f>'03_原始数据'!C771-0.67*'03_原始数据'!B771-OtherCost</f>
        <v/>
      </c>
      <c r="AB771" s="37">
        <f>'03_原始数据'!C771-0.675*'03_原始数据'!B771-OtherCost</f>
        <v/>
      </c>
      <c r="AC771" s="37">
        <f>'03_原始数据'!C771-0.68*'03_原始数据'!B771-OtherCost</f>
        <v/>
      </c>
      <c r="AD771" s="37">
        <f>'03_原始数据'!C771-0.685*'03_原始数据'!B771-OtherCost</f>
        <v/>
      </c>
      <c r="AE771" s="37">
        <f>'03_原始数据'!C771-0.69*'03_原始数据'!B771-OtherCost</f>
        <v/>
      </c>
      <c r="AF771" s="37">
        <f>'03_原始数据'!C771-0.695*'03_原始数据'!B771-OtherCost</f>
        <v/>
      </c>
      <c r="AG771" s="37">
        <f>'03_原始数据'!C771-0.7*'03_原始数据'!B771-OtherCost</f>
        <v/>
      </c>
    </row>
    <row r="772">
      <c r="M772" s="37">
        <f>'03_原始数据'!C772-0.6*'03_原始数据'!B772-OtherCost</f>
        <v/>
      </c>
      <c r="N772" s="37">
        <f>'03_原始数据'!C772-0.605*'03_原始数据'!B772-OtherCost</f>
        <v/>
      </c>
      <c r="O772" s="37">
        <f>'03_原始数据'!C772-0.61*'03_原始数据'!B772-OtherCost</f>
        <v/>
      </c>
      <c r="P772" s="37">
        <f>'03_原始数据'!C772-0.615*'03_原始数据'!B772-OtherCost</f>
        <v/>
      </c>
      <c r="Q772" s="37">
        <f>'03_原始数据'!C772-0.62*'03_原始数据'!B772-OtherCost</f>
        <v/>
      </c>
      <c r="R772" s="37">
        <f>'03_原始数据'!C772-0.625*'03_原始数据'!B772-OtherCost</f>
        <v/>
      </c>
      <c r="S772" s="37">
        <f>'03_原始数据'!C772-0.63*'03_原始数据'!B772-OtherCost</f>
        <v/>
      </c>
      <c r="T772" s="37">
        <f>'03_原始数据'!C772-0.635*'03_原始数据'!B772-OtherCost</f>
        <v/>
      </c>
      <c r="U772" s="37">
        <f>'03_原始数据'!C772-0.64*'03_原始数据'!B772-OtherCost</f>
        <v/>
      </c>
      <c r="V772" s="37">
        <f>'03_原始数据'!C772-0.645*'03_原始数据'!B772-OtherCost</f>
        <v/>
      </c>
      <c r="W772" s="37">
        <f>'03_原始数据'!C772-0.65*'03_原始数据'!B772-OtherCost</f>
        <v/>
      </c>
      <c r="X772" s="37">
        <f>'03_原始数据'!C772-0.655*'03_原始数据'!B772-OtherCost</f>
        <v/>
      </c>
      <c r="Y772" s="37">
        <f>'03_原始数据'!C772-0.66*'03_原始数据'!B772-OtherCost</f>
        <v/>
      </c>
      <c r="Z772" s="37">
        <f>'03_原始数据'!C772-0.665*'03_原始数据'!B772-OtherCost</f>
        <v/>
      </c>
      <c r="AA772" s="37">
        <f>'03_原始数据'!C772-0.67*'03_原始数据'!B772-OtherCost</f>
        <v/>
      </c>
      <c r="AB772" s="37">
        <f>'03_原始数据'!C772-0.675*'03_原始数据'!B772-OtherCost</f>
        <v/>
      </c>
      <c r="AC772" s="37">
        <f>'03_原始数据'!C772-0.68*'03_原始数据'!B772-OtherCost</f>
        <v/>
      </c>
      <c r="AD772" s="37">
        <f>'03_原始数据'!C772-0.685*'03_原始数据'!B772-OtherCost</f>
        <v/>
      </c>
      <c r="AE772" s="37">
        <f>'03_原始数据'!C772-0.69*'03_原始数据'!B772-OtherCost</f>
        <v/>
      </c>
      <c r="AF772" s="37">
        <f>'03_原始数据'!C772-0.695*'03_原始数据'!B772-OtherCost</f>
        <v/>
      </c>
      <c r="AG772" s="37">
        <f>'03_原始数据'!C772-0.7*'03_原始数据'!B772-OtherCost</f>
        <v/>
      </c>
    </row>
    <row r="773">
      <c r="M773" s="37">
        <f>'03_原始数据'!C773-0.6*'03_原始数据'!B773-OtherCost</f>
        <v/>
      </c>
      <c r="N773" s="37">
        <f>'03_原始数据'!C773-0.605*'03_原始数据'!B773-OtherCost</f>
        <v/>
      </c>
      <c r="O773" s="37">
        <f>'03_原始数据'!C773-0.61*'03_原始数据'!B773-OtherCost</f>
        <v/>
      </c>
      <c r="P773" s="37">
        <f>'03_原始数据'!C773-0.615*'03_原始数据'!B773-OtherCost</f>
        <v/>
      </c>
      <c r="Q773" s="37">
        <f>'03_原始数据'!C773-0.62*'03_原始数据'!B773-OtherCost</f>
        <v/>
      </c>
      <c r="R773" s="37">
        <f>'03_原始数据'!C773-0.625*'03_原始数据'!B773-OtherCost</f>
        <v/>
      </c>
      <c r="S773" s="37">
        <f>'03_原始数据'!C773-0.63*'03_原始数据'!B773-OtherCost</f>
        <v/>
      </c>
      <c r="T773" s="37">
        <f>'03_原始数据'!C773-0.635*'03_原始数据'!B773-OtherCost</f>
        <v/>
      </c>
      <c r="U773" s="37">
        <f>'03_原始数据'!C773-0.64*'03_原始数据'!B773-OtherCost</f>
        <v/>
      </c>
      <c r="V773" s="37">
        <f>'03_原始数据'!C773-0.645*'03_原始数据'!B773-OtherCost</f>
        <v/>
      </c>
      <c r="W773" s="37">
        <f>'03_原始数据'!C773-0.65*'03_原始数据'!B773-OtherCost</f>
        <v/>
      </c>
      <c r="X773" s="37">
        <f>'03_原始数据'!C773-0.655*'03_原始数据'!B773-OtherCost</f>
        <v/>
      </c>
      <c r="Y773" s="37">
        <f>'03_原始数据'!C773-0.66*'03_原始数据'!B773-OtherCost</f>
        <v/>
      </c>
      <c r="Z773" s="37">
        <f>'03_原始数据'!C773-0.665*'03_原始数据'!B773-OtherCost</f>
        <v/>
      </c>
      <c r="AA773" s="37">
        <f>'03_原始数据'!C773-0.67*'03_原始数据'!B773-OtherCost</f>
        <v/>
      </c>
      <c r="AB773" s="37">
        <f>'03_原始数据'!C773-0.675*'03_原始数据'!B773-OtherCost</f>
        <v/>
      </c>
      <c r="AC773" s="37">
        <f>'03_原始数据'!C773-0.68*'03_原始数据'!B773-OtherCost</f>
        <v/>
      </c>
      <c r="AD773" s="37">
        <f>'03_原始数据'!C773-0.685*'03_原始数据'!B773-OtherCost</f>
        <v/>
      </c>
      <c r="AE773" s="37">
        <f>'03_原始数据'!C773-0.69*'03_原始数据'!B773-OtherCost</f>
        <v/>
      </c>
      <c r="AF773" s="37">
        <f>'03_原始数据'!C773-0.695*'03_原始数据'!B773-OtherCost</f>
        <v/>
      </c>
      <c r="AG773" s="37">
        <f>'03_原始数据'!C773-0.7*'03_原始数据'!B773-OtherCost</f>
        <v/>
      </c>
    </row>
    <row r="774">
      <c r="M774" s="37">
        <f>'03_原始数据'!C774-0.6*'03_原始数据'!B774-OtherCost</f>
        <v/>
      </c>
      <c r="N774" s="37">
        <f>'03_原始数据'!C774-0.605*'03_原始数据'!B774-OtherCost</f>
        <v/>
      </c>
      <c r="O774" s="37">
        <f>'03_原始数据'!C774-0.61*'03_原始数据'!B774-OtherCost</f>
        <v/>
      </c>
      <c r="P774" s="37">
        <f>'03_原始数据'!C774-0.615*'03_原始数据'!B774-OtherCost</f>
        <v/>
      </c>
      <c r="Q774" s="37">
        <f>'03_原始数据'!C774-0.62*'03_原始数据'!B774-OtherCost</f>
        <v/>
      </c>
      <c r="R774" s="37">
        <f>'03_原始数据'!C774-0.625*'03_原始数据'!B774-OtherCost</f>
        <v/>
      </c>
      <c r="S774" s="37">
        <f>'03_原始数据'!C774-0.63*'03_原始数据'!B774-OtherCost</f>
        <v/>
      </c>
      <c r="T774" s="37">
        <f>'03_原始数据'!C774-0.635*'03_原始数据'!B774-OtherCost</f>
        <v/>
      </c>
      <c r="U774" s="37">
        <f>'03_原始数据'!C774-0.64*'03_原始数据'!B774-OtherCost</f>
        <v/>
      </c>
      <c r="V774" s="37">
        <f>'03_原始数据'!C774-0.645*'03_原始数据'!B774-OtherCost</f>
        <v/>
      </c>
      <c r="W774" s="37">
        <f>'03_原始数据'!C774-0.65*'03_原始数据'!B774-OtherCost</f>
        <v/>
      </c>
      <c r="X774" s="37">
        <f>'03_原始数据'!C774-0.655*'03_原始数据'!B774-OtherCost</f>
        <v/>
      </c>
      <c r="Y774" s="37">
        <f>'03_原始数据'!C774-0.66*'03_原始数据'!B774-OtherCost</f>
        <v/>
      </c>
      <c r="Z774" s="37">
        <f>'03_原始数据'!C774-0.665*'03_原始数据'!B774-OtherCost</f>
        <v/>
      </c>
      <c r="AA774" s="37">
        <f>'03_原始数据'!C774-0.67*'03_原始数据'!B774-OtherCost</f>
        <v/>
      </c>
      <c r="AB774" s="37">
        <f>'03_原始数据'!C774-0.675*'03_原始数据'!B774-OtherCost</f>
        <v/>
      </c>
      <c r="AC774" s="37">
        <f>'03_原始数据'!C774-0.68*'03_原始数据'!B774-OtherCost</f>
        <v/>
      </c>
      <c r="AD774" s="37">
        <f>'03_原始数据'!C774-0.685*'03_原始数据'!B774-OtherCost</f>
        <v/>
      </c>
      <c r="AE774" s="37">
        <f>'03_原始数据'!C774-0.69*'03_原始数据'!B774-OtherCost</f>
        <v/>
      </c>
      <c r="AF774" s="37">
        <f>'03_原始数据'!C774-0.695*'03_原始数据'!B774-OtherCost</f>
        <v/>
      </c>
      <c r="AG774" s="37">
        <f>'03_原始数据'!C774-0.7*'03_原始数据'!B774-OtherCost</f>
        <v/>
      </c>
    </row>
    <row r="775">
      <c r="M775" s="37">
        <f>'03_原始数据'!C775-0.6*'03_原始数据'!B775-OtherCost</f>
        <v/>
      </c>
      <c r="N775" s="37">
        <f>'03_原始数据'!C775-0.605*'03_原始数据'!B775-OtherCost</f>
        <v/>
      </c>
      <c r="O775" s="37">
        <f>'03_原始数据'!C775-0.61*'03_原始数据'!B775-OtherCost</f>
        <v/>
      </c>
      <c r="P775" s="37">
        <f>'03_原始数据'!C775-0.615*'03_原始数据'!B775-OtherCost</f>
        <v/>
      </c>
      <c r="Q775" s="37">
        <f>'03_原始数据'!C775-0.62*'03_原始数据'!B775-OtherCost</f>
        <v/>
      </c>
      <c r="R775" s="37">
        <f>'03_原始数据'!C775-0.625*'03_原始数据'!B775-OtherCost</f>
        <v/>
      </c>
      <c r="S775" s="37">
        <f>'03_原始数据'!C775-0.63*'03_原始数据'!B775-OtherCost</f>
        <v/>
      </c>
      <c r="T775" s="37">
        <f>'03_原始数据'!C775-0.635*'03_原始数据'!B775-OtherCost</f>
        <v/>
      </c>
      <c r="U775" s="37">
        <f>'03_原始数据'!C775-0.64*'03_原始数据'!B775-OtherCost</f>
        <v/>
      </c>
      <c r="V775" s="37">
        <f>'03_原始数据'!C775-0.645*'03_原始数据'!B775-OtherCost</f>
        <v/>
      </c>
      <c r="W775" s="37">
        <f>'03_原始数据'!C775-0.65*'03_原始数据'!B775-OtherCost</f>
        <v/>
      </c>
      <c r="X775" s="37">
        <f>'03_原始数据'!C775-0.655*'03_原始数据'!B775-OtherCost</f>
        <v/>
      </c>
      <c r="Y775" s="37">
        <f>'03_原始数据'!C775-0.66*'03_原始数据'!B775-OtherCost</f>
        <v/>
      </c>
      <c r="Z775" s="37">
        <f>'03_原始数据'!C775-0.665*'03_原始数据'!B775-OtherCost</f>
        <v/>
      </c>
      <c r="AA775" s="37">
        <f>'03_原始数据'!C775-0.67*'03_原始数据'!B775-OtherCost</f>
        <v/>
      </c>
      <c r="AB775" s="37">
        <f>'03_原始数据'!C775-0.675*'03_原始数据'!B775-OtherCost</f>
        <v/>
      </c>
      <c r="AC775" s="37">
        <f>'03_原始数据'!C775-0.68*'03_原始数据'!B775-OtherCost</f>
        <v/>
      </c>
      <c r="AD775" s="37">
        <f>'03_原始数据'!C775-0.685*'03_原始数据'!B775-OtherCost</f>
        <v/>
      </c>
      <c r="AE775" s="37">
        <f>'03_原始数据'!C775-0.69*'03_原始数据'!B775-OtherCost</f>
        <v/>
      </c>
      <c r="AF775" s="37">
        <f>'03_原始数据'!C775-0.695*'03_原始数据'!B775-OtherCost</f>
        <v/>
      </c>
      <c r="AG775" s="37">
        <f>'03_原始数据'!C775-0.7*'03_原始数据'!B775-OtherCost</f>
        <v/>
      </c>
    </row>
    <row r="776">
      <c r="M776" s="37">
        <f>'03_原始数据'!C776-0.6*'03_原始数据'!B776-OtherCost</f>
        <v/>
      </c>
      <c r="N776" s="37">
        <f>'03_原始数据'!C776-0.605*'03_原始数据'!B776-OtherCost</f>
        <v/>
      </c>
      <c r="O776" s="37">
        <f>'03_原始数据'!C776-0.61*'03_原始数据'!B776-OtherCost</f>
        <v/>
      </c>
      <c r="P776" s="37">
        <f>'03_原始数据'!C776-0.615*'03_原始数据'!B776-OtherCost</f>
        <v/>
      </c>
      <c r="Q776" s="37">
        <f>'03_原始数据'!C776-0.62*'03_原始数据'!B776-OtherCost</f>
        <v/>
      </c>
      <c r="R776" s="37">
        <f>'03_原始数据'!C776-0.625*'03_原始数据'!B776-OtherCost</f>
        <v/>
      </c>
      <c r="S776" s="37">
        <f>'03_原始数据'!C776-0.63*'03_原始数据'!B776-OtherCost</f>
        <v/>
      </c>
      <c r="T776" s="37">
        <f>'03_原始数据'!C776-0.635*'03_原始数据'!B776-OtherCost</f>
        <v/>
      </c>
      <c r="U776" s="37">
        <f>'03_原始数据'!C776-0.64*'03_原始数据'!B776-OtherCost</f>
        <v/>
      </c>
      <c r="V776" s="37">
        <f>'03_原始数据'!C776-0.645*'03_原始数据'!B776-OtherCost</f>
        <v/>
      </c>
      <c r="W776" s="37">
        <f>'03_原始数据'!C776-0.65*'03_原始数据'!B776-OtherCost</f>
        <v/>
      </c>
      <c r="X776" s="37">
        <f>'03_原始数据'!C776-0.655*'03_原始数据'!B776-OtherCost</f>
        <v/>
      </c>
      <c r="Y776" s="37">
        <f>'03_原始数据'!C776-0.66*'03_原始数据'!B776-OtherCost</f>
        <v/>
      </c>
      <c r="Z776" s="37">
        <f>'03_原始数据'!C776-0.665*'03_原始数据'!B776-OtherCost</f>
        <v/>
      </c>
      <c r="AA776" s="37">
        <f>'03_原始数据'!C776-0.67*'03_原始数据'!B776-OtherCost</f>
        <v/>
      </c>
      <c r="AB776" s="37">
        <f>'03_原始数据'!C776-0.675*'03_原始数据'!B776-OtherCost</f>
        <v/>
      </c>
      <c r="AC776" s="37">
        <f>'03_原始数据'!C776-0.68*'03_原始数据'!B776-OtherCost</f>
        <v/>
      </c>
      <c r="AD776" s="37">
        <f>'03_原始数据'!C776-0.685*'03_原始数据'!B776-OtherCost</f>
        <v/>
      </c>
      <c r="AE776" s="37">
        <f>'03_原始数据'!C776-0.69*'03_原始数据'!B776-OtherCost</f>
        <v/>
      </c>
      <c r="AF776" s="37">
        <f>'03_原始数据'!C776-0.695*'03_原始数据'!B776-OtherCost</f>
        <v/>
      </c>
      <c r="AG776" s="37">
        <f>'03_原始数据'!C776-0.7*'03_原始数据'!B776-OtherCost</f>
        <v/>
      </c>
    </row>
    <row r="777">
      <c r="M777" s="37">
        <f>'03_原始数据'!C777-0.6*'03_原始数据'!B777-OtherCost</f>
        <v/>
      </c>
      <c r="N777" s="37">
        <f>'03_原始数据'!C777-0.605*'03_原始数据'!B777-OtherCost</f>
        <v/>
      </c>
      <c r="O777" s="37">
        <f>'03_原始数据'!C777-0.61*'03_原始数据'!B777-OtherCost</f>
        <v/>
      </c>
      <c r="P777" s="37">
        <f>'03_原始数据'!C777-0.615*'03_原始数据'!B777-OtherCost</f>
        <v/>
      </c>
      <c r="Q777" s="37">
        <f>'03_原始数据'!C777-0.62*'03_原始数据'!B777-OtherCost</f>
        <v/>
      </c>
      <c r="R777" s="37">
        <f>'03_原始数据'!C777-0.625*'03_原始数据'!B777-OtherCost</f>
        <v/>
      </c>
      <c r="S777" s="37">
        <f>'03_原始数据'!C777-0.63*'03_原始数据'!B777-OtherCost</f>
        <v/>
      </c>
      <c r="T777" s="37">
        <f>'03_原始数据'!C777-0.635*'03_原始数据'!B777-OtherCost</f>
        <v/>
      </c>
      <c r="U777" s="37">
        <f>'03_原始数据'!C777-0.64*'03_原始数据'!B777-OtherCost</f>
        <v/>
      </c>
      <c r="V777" s="37">
        <f>'03_原始数据'!C777-0.645*'03_原始数据'!B777-OtherCost</f>
        <v/>
      </c>
      <c r="W777" s="37">
        <f>'03_原始数据'!C777-0.65*'03_原始数据'!B777-OtherCost</f>
        <v/>
      </c>
      <c r="X777" s="37">
        <f>'03_原始数据'!C777-0.655*'03_原始数据'!B777-OtherCost</f>
        <v/>
      </c>
      <c r="Y777" s="37">
        <f>'03_原始数据'!C777-0.66*'03_原始数据'!B777-OtherCost</f>
        <v/>
      </c>
      <c r="Z777" s="37">
        <f>'03_原始数据'!C777-0.665*'03_原始数据'!B777-OtherCost</f>
        <v/>
      </c>
      <c r="AA777" s="37">
        <f>'03_原始数据'!C777-0.67*'03_原始数据'!B777-OtherCost</f>
        <v/>
      </c>
      <c r="AB777" s="37">
        <f>'03_原始数据'!C777-0.675*'03_原始数据'!B777-OtherCost</f>
        <v/>
      </c>
      <c r="AC777" s="37">
        <f>'03_原始数据'!C777-0.68*'03_原始数据'!B777-OtherCost</f>
        <v/>
      </c>
      <c r="AD777" s="37">
        <f>'03_原始数据'!C777-0.685*'03_原始数据'!B777-OtherCost</f>
        <v/>
      </c>
      <c r="AE777" s="37">
        <f>'03_原始数据'!C777-0.69*'03_原始数据'!B777-OtherCost</f>
        <v/>
      </c>
      <c r="AF777" s="37">
        <f>'03_原始数据'!C777-0.695*'03_原始数据'!B777-OtherCost</f>
        <v/>
      </c>
      <c r="AG777" s="37">
        <f>'03_原始数据'!C777-0.7*'03_原始数据'!B777-OtherCost</f>
        <v/>
      </c>
    </row>
    <row r="778">
      <c r="M778" s="37">
        <f>'03_原始数据'!C778-0.6*'03_原始数据'!B778-OtherCost</f>
        <v/>
      </c>
      <c r="N778" s="37">
        <f>'03_原始数据'!C778-0.605*'03_原始数据'!B778-OtherCost</f>
        <v/>
      </c>
      <c r="O778" s="37">
        <f>'03_原始数据'!C778-0.61*'03_原始数据'!B778-OtherCost</f>
        <v/>
      </c>
      <c r="P778" s="37">
        <f>'03_原始数据'!C778-0.615*'03_原始数据'!B778-OtherCost</f>
        <v/>
      </c>
      <c r="Q778" s="37">
        <f>'03_原始数据'!C778-0.62*'03_原始数据'!B778-OtherCost</f>
        <v/>
      </c>
      <c r="R778" s="37">
        <f>'03_原始数据'!C778-0.625*'03_原始数据'!B778-OtherCost</f>
        <v/>
      </c>
      <c r="S778" s="37">
        <f>'03_原始数据'!C778-0.63*'03_原始数据'!B778-OtherCost</f>
        <v/>
      </c>
      <c r="T778" s="37">
        <f>'03_原始数据'!C778-0.635*'03_原始数据'!B778-OtherCost</f>
        <v/>
      </c>
      <c r="U778" s="37">
        <f>'03_原始数据'!C778-0.64*'03_原始数据'!B778-OtherCost</f>
        <v/>
      </c>
      <c r="V778" s="37">
        <f>'03_原始数据'!C778-0.645*'03_原始数据'!B778-OtherCost</f>
        <v/>
      </c>
      <c r="W778" s="37">
        <f>'03_原始数据'!C778-0.65*'03_原始数据'!B778-OtherCost</f>
        <v/>
      </c>
      <c r="X778" s="37">
        <f>'03_原始数据'!C778-0.655*'03_原始数据'!B778-OtherCost</f>
        <v/>
      </c>
      <c r="Y778" s="37">
        <f>'03_原始数据'!C778-0.66*'03_原始数据'!B778-OtherCost</f>
        <v/>
      </c>
      <c r="Z778" s="37">
        <f>'03_原始数据'!C778-0.665*'03_原始数据'!B778-OtherCost</f>
        <v/>
      </c>
      <c r="AA778" s="37">
        <f>'03_原始数据'!C778-0.67*'03_原始数据'!B778-OtherCost</f>
        <v/>
      </c>
      <c r="AB778" s="37">
        <f>'03_原始数据'!C778-0.675*'03_原始数据'!B778-OtherCost</f>
        <v/>
      </c>
      <c r="AC778" s="37">
        <f>'03_原始数据'!C778-0.68*'03_原始数据'!B778-OtherCost</f>
        <v/>
      </c>
      <c r="AD778" s="37">
        <f>'03_原始数据'!C778-0.685*'03_原始数据'!B778-OtherCost</f>
        <v/>
      </c>
      <c r="AE778" s="37">
        <f>'03_原始数据'!C778-0.69*'03_原始数据'!B778-OtherCost</f>
        <v/>
      </c>
      <c r="AF778" s="37">
        <f>'03_原始数据'!C778-0.695*'03_原始数据'!B778-OtherCost</f>
        <v/>
      </c>
      <c r="AG778" s="37">
        <f>'03_原始数据'!C778-0.7*'03_原始数据'!B778-OtherCost</f>
        <v/>
      </c>
    </row>
    <row r="779">
      <c r="M779" s="37">
        <f>'03_原始数据'!C779-0.6*'03_原始数据'!B779-OtherCost</f>
        <v/>
      </c>
      <c r="N779" s="37">
        <f>'03_原始数据'!C779-0.605*'03_原始数据'!B779-OtherCost</f>
        <v/>
      </c>
      <c r="O779" s="37">
        <f>'03_原始数据'!C779-0.61*'03_原始数据'!B779-OtherCost</f>
        <v/>
      </c>
      <c r="P779" s="37">
        <f>'03_原始数据'!C779-0.615*'03_原始数据'!B779-OtherCost</f>
        <v/>
      </c>
      <c r="Q779" s="37">
        <f>'03_原始数据'!C779-0.62*'03_原始数据'!B779-OtherCost</f>
        <v/>
      </c>
      <c r="R779" s="37">
        <f>'03_原始数据'!C779-0.625*'03_原始数据'!B779-OtherCost</f>
        <v/>
      </c>
      <c r="S779" s="37">
        <f>'03_原始数据'!C779-0.63*'03_原始数据'!B779-OtherCost</f>
        <v/>
      </c>
      <c r="T779" s="37">
        <f>'03_原始数据'!C779-0.635*'03_原始数据'!B779-OtherCost</f>
        <v/>
      </c>
      <c r="U779" s="37">
        <f>'03_原始数据'!C779-0.64*'03_原始数据'!B779-OtherCost</f>
        <v/>
      </c>
      <c r="V779" s="37">
        <f>'03_原始数据'!C779-0.645*'03_原始数据'!B779-OtherCost</f>
        <v/>
      </c>
      <c r="W779" s="37">
        <f>'03_原始数据'!C779-0.65*'03_原始数据'!B779-OtherCost</f>
        <v/>
      </c>
      <c r="X779" s="37">
        <f>'03_原始数据'!C779-0.655*'03_原始数据'!B779-OtherCost</f>
        <v/>
      </c>
      <c r="Y779" s="37">
        <f>'03_原始数据'!C779-0.66*'03_原始数据'!B779-OtherCost</f>
        <v/>
      </c>
      <c r="Z779" s="37">
        <f>'03_原始数据'!C779-0.665*'03_原始数据'!B779-OtherCost</f>
        <v/>
      </c>
      <c r="AA779" s="37">
        <f>'03_原始数据'!C779-0.67*'03_原始数据'!B779-OtherCost</f>
        <v/>
      </c>
      <c r="AB779" s="37">
        <f>'03_原始数据'!C779-0.675*'03_原始数据'!B779-OtherCost</f>
        <v/>
      </c>
      <c r="AC779" s="37">
        <f>'03_原始数据'!C779-0.68*'03_原始数据'!B779-OtherCost</f>
        <v/>
      </c>
      <c r="AD779" s="37">
        <f>'03_原始数据'!C779-0.685*'03_原始数据'!B779-OtherCost</f>
        <v/>
      </c>
      <c r="AE779" s="37">
        <f>'03_原始数据'!C779-0.69*'03_原始数据'!B779-OtherCost</f>
        <v/>
      </c>
      <c r="AF779" s="37">
        <f>'03_原始数据'!C779-0.695*'03_原始数据'!B779-OtherCost</f>
        <v/>
      </c>
      <c r="AG779" s="37">
        <f>'03_原始数据'!C779-0.7*'03_原始数据'!B779-OtherCost</f>
        <v/>
      </c>
    </row>
    <row r="780">
      <c r="M780" s="37">
        <f>'03_原始数据'!C780-0.6*'03_原始数据'!B780-OtherCost</f>
        <v/>
      </c>
      <c r="N780" s="37">
        <f>'03_原始数据'!C780-0.605*'03_原始数据'!B780-OtherCost</f>
        <v/>
      </c>
      <c r="O780" s="37">
        <f>'03_原始数据'!C780-0.61*'03_原始数据'!B780-OtherCost</f>
        <v/>
      </c>
      <c r="P780" s="37">
        <f>'03_原始数据'!C780-0.615*'03_原始数据'!B780-OtherCost</f>
        <v/>
      </c>
      <c r="Q780" s="37">
        <f>'03_原始数据'!C780-0.62*'03_原始数据'!B780-OtherCost</f>
        <v/>
      </c>
      <c r="R780" s="37">
        <f>'03_原始数据'!C780-0.625*'03_原始数据'!B780-OtherCost</f>
        <v/>
      </c>
      <c r="S780" s="37">
        <f>'03_原始数据'!C780-0.63*'03_原始数据'!B780-OtherCost</f>
        <v/>
      </c>
      <c r="T780" s="37">
        <f>'03_原始数据'!C780-0.635*'03_原始数据'!B780-OtherCost</f>
        <v/>
      </c>
      <c r="U780" s="37">
        <f>'03_原始数据'!C780-0.64*'03_原始数据'!B780-OtherCost</f>
        <v/>
      </c>
      <c r="V780" s="37">
        <f>'03_原始数据'!C780-0.645*'03_原始数据'!B780-OtherCost</f>
        <v/>
      </c>
      <c r="W780" s="37">
        <f>'03_原始数据'!C780-0.65*'03_原始数据'!B780-OtherCost</f>
        <v/>
      </c>
      <c r="X780" s="37">
        <f>'03_原始数据'!C780-0.655*'03_原始数据'!B780-OtherCost</f>
        <v/>
      </c>
      <c r="Y780" s="37">
        <f>'03_原始数据'!C780-0.66*'03_原始数据'!B780-OtherCost</f>
        <v/>
      </c>
      <c r="Z780" s="37">
        <f>'03_原始数据'!C780-0.665*'03_原始数据'!B780-OtherCost</f>
        <v/>
      </c>
      <c r="AA780" s="37">
        <f>'03_原始数据'!C780-0.67*'03_原始数据'!B780-OtherCost</f>
        <v/>
      </c>
      <c r="AB780" s="37">
        <f>'03_原始数据'!C780-0.675*'03_原始数据'!B780-OtherCost</f>
        <v/>
      </c>
      <c r="AC780" s="37">
        <f>'03_原始数据'!C780-0.68*'03_原始数据'!B780-OtherCost</f>
        <v/>
      </c>
      <c r="AD780" s="37">
        <f>'03_原始数据'!C780-0.685*'03_原始数据'!B780-OtherCost</f>
        <v/>
      </c>
      <c r="AE780" s="37">
        <f>'03_原始数据'!C780-0.69*'03_原始数据'!B780-OtherCost</f>
        <v/>
      </c>
      <c r="AF780" s="37">
        <f>'03_原始数据'!C780-0.695*'03_原始数据'!B780-OtherCost</f>
        <v/>
      </c>
      <c r="AG780" s="37">
        <f>'03_原始数据'!C780-0.7*'03_原始数据'!B780-OtherCost</f>
        <v/>
      </c>
    </row>
    <row r="781">
      <c r="M781" s="37">
        <f>'03_原始数据'!C781-0.6*'03_原始数据'!B781-OtherCost</f>
        <v/>
      </c>
      <c r="N781" s="37">
        <f>'03_原始数据'!C781-0.605*'03_原始数据'!B781-OtherCost</f>
        <v/>
      </c>
      <c r="O781" s="37">
        <f>'03_原始数据'!C781-0.61*'03_原始数据'!B781-OtherCost</f>
        <v/>
      </c>
      <c r="P781" s="37">
        <f>'03_原始数据'!C781-0.615*'03_原始数据'!B781-OtherCost</f>
        <v/>
      </c>
      <c r="Q781" s="37">
        <f>'03_原始数据'!C781-0.62*'03_原始数据'!B781-OtherCost</f>
        <v/>
      </c>
      <c r="R781" s="37">
        <f>'03_原始数据'!C781-0.625*'03_原始数据'!B781-OtherCost</f>
        <v/>
      </c>
      <c r="S781" s="37">
        <f>'03_原始数据'!C781-0.63*'03_原始数据'!B781-OtherCost</f>
        <v/>
      </c>
      <c r="T781" s="37">
        <f>'03_原始数据'!C781-0.635*'03_原始数据'!B781-OtherCost</f>
        <v/>
      </c>
      <c r="U781" s="37">
        <f>'03_原始数据'!C781-0.64*'03_原始数据'!B781-OtherCost</f>
        <v/>
      </c>
      <c r="V781" s="37">
        <f>'03_原始数据'!C781-0.645*'03_原始数据'!B781-OtherCost</f>
        <v/>
      </c>
      <c r="W781" s="37">
        <f>'03_原始数据'!C781-0.65*'03_原始数据'!B781-OtherCost</f>
        <v/>
      </c>
      <c r="X781" s="37">
        <f>'03_原始数据'!C781-0.655*'03_原始数据'!B781-OtherCost</f>
        <v/>
      </c>
      <c r="Y781" s="37">
        <f>'03_原始数据'!C781-0.66*'03_原始数据'!B781-OtherCost</f>
        <v/>
      </c>
      <c r="Z781" s="37">
        <f>'03_原始数据'!C781-0.665*'03_原始数据'!B781-OtherCost</f>
        <v/>
      </c>
      <c r="AA781" s="37">
        <f>'03_原始数据'!C781-0.67*'03_原始数据'!B781-OtherCost</f>
        <v/>
      </c>
      <c r="AB781" s="37">
        <f>'03_原始数据'!C781-0.675*'03_原始数据'!B781-OtherCost</f>
        <v/>
      </c>
      <c r="AC781" s="37">
        <f>'03_原始数据'!C781-0.68*'03_原始数据'!B781-OtherCost</f>
        <v/>
      </c>
      <c r="AD781" s="37">
        <f>'03_原始数据'!C781-0.685*'03_原始数据'!B781-OtherCost</f>
        <v/>
      </c>
      <c r="AE781" s="37">
        <f>'03_原始数据'!C781-0.69*'03_原始数据'!B781-OtherCost</f>
        <v/>
      </c>
      <c r="AF781" s="37">
        <f>'03_原始数据'!C781-0.695*'03_原始数据'!B781-OtherCost</f>
        <v/>
      </c>
      <c r="AG781" s="37">
        <f>'03_原始数据'!C781-0.7*'03_原始数据'!B781-OtherCost</f>
        <v/>
      </c>
    </row>
    <row r="782">
      <c r="M782" s="37">
        <f>'03_原始数据'!C782-0.6*'03_原始数据'!B782-OtherCost</f>
        <v/>
      </c>
      <c r="N782" s="37">
        <f>'03_原始数据'!C782-0.605*'03_原始数据'!B782-OtherCost</f>
        <v/>
      </c>
      <c r="O782" s="37">
        <f>'03_原始数据'!C782-0.61*'03_原始数据'!B782-OtherCost</f>
        <v/>
      </c>
      <c r="P782" s="37">
        <f>'03_原始数据'!C782-0.615*'03_原始数据'!B782-OtherCost</f>
        <v/>
      </c>
      <c r="Q782" s="37">
        <f>'03_原始数据'!C782-0.62*'03_原始数据'!B782-OtherCost</f>
        <v/>
      </c>
      <c r="R782" s="37">
        <f>'03_原始数据'!C782-0.625*'03_原始数据'!B782-OtherCost</f>
        <v/>
      </c>
      <c r="S782" s="37">
        <f>'03_原始数据'!C782-0.63*'03_原始数据'!B782-OtherCost</f>
        <v/>
      </c>
      <c r="T782" s="37">
        <f>'03_原始数据'!C782-0.635*'03_原始数据'!B782-OtherCost</f>
        <v/>
      </c>
      <c r="U782" s="37">
        <f>'03_原始数据'!C782-0.64*'03_原始数据'!B782-OtherCost</f>
        <v/>
      </c>
      <c r="V782" s="37">
        <f>'03_原始数据'!C782-0.645*'03_原始数据'!B782-OtherCost</f>
        <v/>
      </c>
      <c r="W782" s="37">
        <f>'03_原始数据'!C782-0.65*'03_原始数据'!B782-OtherCost</f>
        <v/>
      </c>
      <c r="X782" s="37">
        <f>'03_原始数据'!C782-0.655*'03_原始数据'!B782-OtherCost</f>
        <v/>
      </c>
      <c r="Y782" s="37">
        <f>'03_原始数据'!C782-0.66*'03_原始数据'!B782-OtherCost</f>
        <v/>
      </c>
      <c r="Z782" s="37">
        <f>'03_原始数据'!C782-0.665*'03_原始数据'!B782-OtherCost</f>
        <v/>
      </c>
      <c r="AA782" s="37">
        <f>'03_原始数据'!C782-0.67*'03_原始数据'!B782-OtherCost</f>
        <v/>
      </c>
      <c r="AB782" s="37">
        <f>'03_原始数据'!C782-0.675*'03_原始数据'!B782-OtherCost</f>
        <v/>
      </c>
      <c r="AC782" s="37">
        <f>'03_原始数据'!C782-0.68*'03_原始数据'!B782-OtherCost</f>
        <v/>
      </c>
      <c r="AD782" s="37">
        <f>'03_原始数据'!C782-0.685*'03_原始数据'!B782-OtherCost</f>
        <v/>
      </c>
      <c r="AE782" s="37">
        <f>'03_原始数据'!C782-0.69*'03_原始数据'!B782-OtherCost</f>
        <v/>
      </c>
      <c r="AF782" s="37">
        <f>'03_原始数据'!C782-0.695*'03_原始数据'!B782-OtherCost</f>
        <v/>
      </c>
      <c r="AG782" s="37">
        <f>'03_原始数据'!C782-0.7*'03_原始数据'!B782-OtherCost</f>
        <v/>
      </c>
    </row>
    <row r="783">
      <c r="M783" s="37">
        <f>'03_原始数据'!C783-0.6*'03_原始数据'!B783-OtherCost</f>
        <v/>
      </c>
      <c r="N783" s="37">
        <f>'03_原始数据'!C783-0.605*'03_原始数据'!B783-OtherCost</f>
        <v/>
      </c>
      <c r="O783" s="37">
        <f>'03_原始数据'!C783-0.61*'03_原始数据'!B783-OtherCost</f>
        <v/>
      </c>
      <c r="P783" s="37">
        <f>'03_原始数据'!C783-0.615*'03_原始数据'!B783-OtherCost</f>
        <v/>
      </c>
      <c r="Q783" s="37">
        <f>'03_原始数据'!C783-0.62*'03_原始数据'!B783-OtherCost</f>
        <v/>
      </c>
      <c r="R783" s="37">
        <f>'03_原始数据'!C783-0.625*'03_原始数据'!B783-OtherCost</f>
        <v/>
      </c>
      <c r="S783" s="37">
        <f>'03_原始数据'!C783-0.63*'03_原始数据'!B783-OtherCost</f>
        <v/>
      </c>
      <c r="T783" s="37">
        <f>'03_原始数据'!C783-0.635*'03_原始数据'!B783-OtherCost</f>
        <v/>
      </c>
      <c r="U783" s="37">
        <f>'03_原始数据'!C783-0.64*'03_原始数据'!B783-OtherCost</f>
        <v/>
      </c>
      <c r="V783" s="37">
        <f>'03_原始数据'!C783-0.645*'03_原始数据'!B783-OtherCost</f>
        <v/>
      </c>
      <c r="W783" s="37">
        <f>'03_原始数据'!C783-0.65*'03_原始数据'!B783-OtherCost</f>
        <v/>
      </c>
      <c r="X783" s="37">
        <f>'03_原始数据'!C783-0.655*'03_原始数据'!B783-OtherCost</f>
        <v/>
      </c>
      <c r="Y783" s="37">
        <f>'03_原始数据'!C783-0.66*'03_原始数据'!B783-OtherCost</f>
        <v/>
      </c>
      <c r="Z783" s="37">
        <f>'03_原始数据'!C783-0.665*'03_原始数据'!B783-OtherCost</f>
        <v/>
      </c>
      <c r="AA783" s="37">
        <f>'03_原始数据'!C783-0.67*'03_原始数据'!B783-OtherCost</f>
        <v/>
      </c>
      <c r="AB783" s="37">
        <f>'03_原始数据'!C783-0.675*'03_原始数据'!B783-OtherCost</f>
        <v/>
      </c>
      <c r="AC783" s="37">
        <f>'03_原始数据'!C783-0.68*'03_原始数据'!B783-OtherCost</f>
        <v/>
      </c>
      <c r="AD783" s="37">
        <f>'03_原始数据'!C783-0.685*'03_原始数据'!B783-OtherCost</f>
        <v/>
      </c>
      <c r="AE783" s="37">
        <f>'03_原始数据'!C783-0.69*'03_原始数据'!B783-OtherCost</f>
        <v/>
      </c>
      <c r="AF783" s="37">
        <f>'03_原始数据'!C783-0.695*'03_原始数据'!B783-OtherCost</f>
        <v/>
      </c>
      <c r="AG783" s="37">
        <f>'03_原始数据'!C783-0.7*'03_原始数据'!B783-OtherCost</f>
        <v/>
      </c>
    </row>
    <row r="784">
      <c r="M784" s="37">
        <f>'03_原始数据'!C784-0.6*'03_原始数据'!B784-OtherCost</f>
        <v/>
      </c>
      <c r="N784" s="37">
        <f>'03_原始数据'!C784-0.605*'03_原始数据'!B784-OtherCost</f>
        <v/>
      </c>
      <c r="O784" s="37">
        <f>'03_原始数据'!C784-0.61*'03_原始数据'!B784-OtherCost</f>
        <v/>
      </c>
      <c r="P784" s="37">
        <f>'03_原始数据'!C784-0.615*'03_原始数据'!B784-OtherCost</f>
        <v/>
      </c>
      <c r="Q784" s="37">
        <f>'03_原始数据'!C784-0.62*'03_原始数据'!B784-OtherCost</f>
        <v/>
      </c>
      <c r="R784" s="37">
        <f>'03_原始数据'!C784-0.625*'03_原始数据'!B784-OtherCost</f>
        <v/>
      </c>
      <c r="S784" s="37">
        <f>'03_原始数据'!C784-0.63*'03_原始数据'!B784-OtherCost</f>
        <v/>
      </c>
      <c r="T784" s="37">
        <f>'03_原始数据'!C784-0.635*'03_原始数据'!B784-OtherCost</f>
        <v/>
      </c>
      <c r="U784" s="37">
        <f>'03_原始数据'!C784-0.64*'03_原始数据'!B784-OtherCost</f>
        <v/>
      </c>
      <c r="V784" s="37">
        <f>'03_原始数据'!C784-0.645*'03_原始数据'!B784-OtherCost</f>
        <v/>
      </c>
      <c r="W784" s="37">
        <f>'03_原始数据'!C784-0.65*'03_原始数据'!B784-OtherCost</f>
        <v/>
      </c>
      <c r="X784" s="37">
        <f>'03_原始数据'!C784-0.655*'03_原始数据'!B784-OtherCost</f>
        <v/>
      </c>
      <c r="Y784" s="37">
        <f>'03_原始数据'!C784-0.66*'03_原始数据'!B784-OtherCost</f>
        <v/>
      </c>
      <c r="Z784" s="37">
        <f>'03_原始数据'!C784-0.665*'03_原始数据'!B784-OtherCost</f>
        <v/>
      </c>
      <c r="AA784" s="37">
        <f>'03_原始数据'!C784-0.67*'03_原始数据'!B784-OtherCost</f>
        <v/>
      </c>
      <c r="AB784" s="37">
        <f>'03_原始数据'!C784-0.675*'03_原始数据'!B784-OtherCost</f>
        <v/>
      </c>
      <c r="AC784" s="37">
        <f>'03_原始数据'!C784-0.68*'03_原始数据'!B784-OtherCost</f>
        <v/>
      </c>
      <c r="AD784" s="37">
        <f>'03_原始数据'!C784-0.685*'03_原始数据'!B784-OtherCost</f>
        <v/>
      </c>
      <c r="AE784" s="37">
        <f>'03_原始数据'!C784-0.69*'03_原始数据'!B784-OtherCost</f>
        <v/>
      </c>
      <c r="AF784" s="37">
        <f>'03_原始数据'!C784-0.695*'03_原始数据'!B784-OtherCost</f>
        <v/>
      </c>
      <c r="AG784" s="37">
        <f>'03_原始数据'!C784-0.7*'03_原始数据'!B784-OtherCost</f>
        <v/>
      </c>
    </row>
    <row r="785">
      <c r="M785" s="37">
        <f>'03_原始数据'!C785-0.6*'03_原始数据'!B785-OtherCost</f>
        <v/>
      </c>
      <c r="N785" s="37">
        <f>'03_原始数据'!C785-0.605*'03_原始数据'!B785-OtherCost</f>
        <v/>
      </c>
      <c r="O785" s="37">
        <f>'03_原始数据'!C785-0.61*'03_原始数据'!B785-OtherCost</f>
        <v/>
      </c>
      <c r="P785" s="37">
        <f>'03_原始数据'!C785-0.615*'03_原始数据'!B785-OtherCost</f>
        <v/>
      </c>
      <c r="Q785" s="37">
        <f>'03_原始数据'!C785-0.62*'03_原始数据'!B785-OtherCost</f>
        <v/>
      </c>
      <c r="R785" s="37">
        <f>'03_原始数据'!C785-0.625*'03_原始数据'!B785-OtherCost</f>
        <v/>
      </c>
      <c r="S785" s="37">
        <f>'03_原始数据'!C785-0.63*'03_原始数据'!B785-OtherCost</f>
        <v/>
      </c>
      <c r="T785" s="37">
        <f>'03_原始数据'!C785-0.635*'03_原始数据'!B785-OtherCost</f>
        <v/>
      </c>
      <c r="U785" s="37">
        <f>'03_原始数据'!C785-0.64*'03_原始数据'!B785-OtherCost</f>
        <v/>
      </c>
      <c r="V785" s="37">
        <f>'03_原始数据'!C785-0.645*'03_原始数据'!B785-OtherCost</f>
        <v/>
      </c>
      <c r="W785" s="37">
        <f>'03_原始数据'!C785-0.65*'03_原始数据'!B785-OtherCost</f>
        <v/>
      </c>
      <c r="X785" s="37">
        <f>'03_原始数据'!C785-0.655*'03_原始数据'!B785-OtherCost</f>
        <v/>
      </c>
      <c r="Y785" s="37">
        <f>'03_原始数据'!C785-0.66*'03_原始数据'!B785-OtherCost</f>
        <v/>
      </c>
      <c r="Z785" s="37">
        <f>'03_原始数据'!C785-0.665*'03_原始数据'!B785-OtherCost</f>
        <v/>
      </c>
      <c r="AA785" s="37">
        <f>'03_原始数据'!C785-0.67*'03_原始数据'!B785-OtherCost</f>
        <v/>
      </c>
      <c r="AB785" s="37">
        <f>'03_原始数据'!C785-0.675*'03_原始数据'!B785-OtherCost</f>
        <v/>
      </c>
      <c r="AC785" s="37">
        <f>'03_原始数据'!C785-0.68*'03_原始数据'!B785-OtherCost</f>
        <v/>
      </c>
      <c r="AD785" s="37">
        <f>'03_原始数据'!C785-0.685*'03_原始数据'!B785-OtherCost</f>
        <v/>
      </c>
      <c r="AE785" s="37">
        <f>'03_原始数据'!C785-0.69*'03_原始数据'!B785-OtherCost</f>
        <v/>
      </c>
      <c r="AF785" s="37">
        <f>'03_原始数据'!C785-0.695*'03_原始数据'!B785-OtherCost</f>
        <v/>
      </c>
      <c r="AG785" s="37">
        <f>'03_原始数据'!C785-0.7*'03_原始数据'!B785-OtherCost</f>
        <v/>
      </c>
    </row>
    <row r="786">
      <c r="M786" s="37">
        <f>'03_原始数据'!C786-0.6*'03_原始数据'!B786-OtherCost</f>
        <v/>
      </c>
      <c r="N786" s="37">
        <f>'03_原始数据'!C786-0.605*'03_原始数据'!B786-OtherCost</f>
        <v/>
      </c>
      <c r="O786" s="37">
        <f>'03_原始数据'!C786-0.61*'03_原始数据'!B786-OtherCost</f>
        <v/>
      </c>
      <c r="P786" s="37">
        <f>'03_原始数据'!C786-0.615*'03_原始数据'!B786-OtherCost</f>
        <v/>
      </c>
      <c r="Q786" s="37">
        <f>'03_原始数据'!C786-0.62*'03_原始数据'!B786-OtherCost</f>
        <v/>
      </c>
      <c r="R786" s="37">
        <f>'03_原始数据'!C786-0.625*'03_原始数据'!B786-OtherCost</f>
        <v/>
      </c>
      <c r="S786" s="37">
        <f>'03_原始数据'!C786-0.63*'03_原始数据'!B786-OtherCost</f>
        <v/>
      </c>
      <c r="T786" s="37">
        <f>'03_原始数据'!C786-0.635*'03_原始数据'!B786-OtherCost</f>
        <v/>
      </c>
      <c r="U786" s="37">
        <f>'03_原始数据'!C786-0.64*'03_原始数据'!B786-OtherCost</f>
        <v/>
      </c>
      <c r="V786" s="37">
        <f>'03_原始数据'!C786-0.645*'03_原始数据'!B786-OtherCost</f>
        <v/>
      </c>
      <c r="W786" s="37">
        <f>'03_原始数据'!C786-0.65*'03_原始数据'!B786-OtherCost</f>
        <v/>
      </c>
      <c r="X786" s="37">
        <f>'03_原始数据'!C786-0.655*'03_原始数据'!B786-OtherCost</f>
        <v/>
      </c>
      <c r="Y786" s="37">
        <f>'03_原始数据'!C786-0.66*'03_原始数据'!B786-OtherCost</f>
        <v/>
      </c>
      <c r="Z786" s="37">
        <f>'03_原始数据'!C786-0.665*'03_原始数据'!B786-OtherCost</f>
        <v/>
      </c>
      <c r="AA786" s="37">
        <f>'03_原始数据'!C786-0.67*'03_原始数据'!B786-OtherCost</f>
        <v/>
      </c>
      <c r="AB786" s="37">
        <f>'03_原始数据'!C786-0.675*'03_原始数据'!B786-OtherCost</f>
        <v/>
      </c>
      <c r="AC786" s="37">
        <f>'03_原始数据'!C786-0.68*'03_原始数据'!B786-OtherCost</f>
        <v/>
      </c>
      <c r="AD786" s="37">
        <f>'03_原始数据'!C786-0.685*'03_原始数据'!B786-OtherCost</f>
        <v/>
      </c>
      <c r="AE786" s="37">
        <f>'03_原始数据'!C786-0.69*'03_原始数据'!B786-OtherCost</f>
        <v/>
      </c>
      <c r="AF786" s="37">
        <f>'03_原始数据'!C786-0.695*'03_原始数据'!B786-OtherCost</f>
        <v/>
      </c>
      <c r="AG786" s="37">
        <f>'03_原始数据'!C786-0.7*'03_原始数据'!B786-OtherCost</f>
        <v/>
      </c>
    </row>
    <row r="787">
      <c r="M787" s="37">
        <f>'03_原始数据'!C787-0.6*'03_原始数据'!B787-OtherCost</f>
        <v/>
      </c>
      <c r="N787" s="37">
        <f>'03_原始数据'!C787-0.605*'03_原始数据'!B787-OtherCost</f>
        <v/>
      </c>
      <c r="O787" s="37">
        <f>'03_原始数据'!C787-0.61*'03_原始数据'!B787-OtherCost</f>
        <v/>
      </c>
      <c r="P787" s="37">
        <f>'03_原始数据'!C787-0.615*'03_原始数据'!B787-OtherCost</f>
        <v/>
      </c>
      <c r="Q787" s="37">
        <f>'03_原始数据'!C787-0.62*'03_原始数据'!B787-OtherCost</f>
        <v/>
      </c>
      <c r="R787" s="37">
        <f>'03_原始数据'!C787-0.625*'03_原始数据'!B787-OtherCost</f>
        <v/>
      </c>
      <c r="S787" s="37">
        <f>'03_原始数据'!C787-0.63*'03_原始数据'!B787-OtherCost</f>
        <v/>
      </c>
      <c r="T787" s="37">
        <f>'03_原始数据'!C787-0.635*'03_原始数据'!B787-OtherCost</f>
        <v/>
      </c>
      <c r="U787" s="37">
        <f>'03_原始数据'!C787-0.64*'03_原始数据'!B787-OtherCost</f>
        <v/>
      </c>
      <c r="V787" s="37">
        <f>'03_原始数据'!C787-0.645*'03_原始数据'!B787-OtherCost</f>
        <v/>
      </c>
      <c r="W787" s="37">
        <f>'03_原始数据'!C787-0.65*'03_原始数据'!B787-OtherCost</f>
        <v/>
      </c>
      <c r="X787" s="37">
        <f>'03_原始数据'!C787-0.655*'03_原始数据'!B787-OtherCost</f>
        <v/>
      </c>
      <c r="Y787" s="37">
        <f>'03_原始数据'!C787-0.66*'03_原始数据'!B787-OtherCost</f>
        <v/>
      </c>
      <c r="Z787" s="37">
        <f>'03_原始数据'!C787-0.665*'03_原始数据'!B787-OtherCost</f>
        <v/>
      </c>
      <c r="AA787" s="37">
        <f>'03_原始数据'!C787-0.67*'03_原始数据'!B787-OtherCost</f>
        <v/>
      </c>
      <c r="AB787" s="37">
        <f>'03_原始数据'!C787-0.675*'03_原始数据'!B787-OtherCost</f>
        <v/>
      </c>
      <c r="AC787" s="37">
        <f>'03_原始数据'!C787-0.68*'03_原始数据'!B787-OtherCost</f>
        <v/>
      </c>
      <c r="AD787" s="37">
        <f>'03_原始数据'!C787-0.685*'03_原始数据'!B787-OtherCost</f>
        <v/>
      </c>
      <c r="AE787" s="37">
        <f>'03_原始数据'!C787-0.69*'03_原始数据'!B787-OtherCost</f>
        <v/>
      </c>
      <c r="AF787" s="37">
        <f>'03_原始数据'!C787-0.695*'03_原始数据'!B787-OtherCost</f>
        <v/>
      </c>
      <c r="AG787" s="37">
        <f>'03_原始数据'!C787-0.7*'03_原始数据'!B787-OtherCost</f>
        <v/>
      </c>
    </row>
    <row r="788">
      <c r="M788" s="37">
        <f>'03_原始数据'!C788-0.6*'03_原始数据'!B788-OtherCost</f>
        <v/>
      </c>
      <c r="N788" s="37">
        <f>'03_原始数据'!C788-0.605*'03_原始数据'!B788-OtherCost</f>
        <v/>
      </c>
      <c r="O788" s="37">
        <f>'03_原始数据'!C788-0.61*'03_原始数据'!B788-OtherCost</f>
        <v/>
      </c>
      <c r="P788" s="37">
        <f>'03_原始数据'!C788-0.615*'03_原始数据'!B788-OtherCost</f>
        <v/>
      </c>
      <c r="Q788" s="37">
        <f>'03_原始数据'!C788-0.62*'03_原始数据'!B788-OtherCost</f>
        <v/>
      </c>
      <c r="R788" s="37">
        <f>'03_原始数据'!C788-0.625*'03_原始数据'!B788-OtherCost</f>
        <v/>
      </c>
      <c r="S788" s="37">
        <f>'03_原始数据'!C788-0.63*'03_原始数据'!B788-OtherCost</f>
        <v/>
      </c>
      <c r="T788" s="37">
        <f>'03_原始数据'!C788-0.635*'03_原始数据'!B788-OtherCost</f>
        <v/>
      </c>
      <c r="U788" s="37">
        <f>'03_原始数据'!C788-0.64*'03_原始数据'!B788-OtherCost</f>
        <v/>
      </c>
      <c r="V788" s="37">
        <f>'03_原始数据'!C788-0.645*'03_原始数据'!B788-OtherCost</f>
        <v/>
      </c>
      <c r="W788" s="37">
        <f>'03_原始数据'!C788-0.65*'03_原始数据'!B788-OtherCost</f>
        <v/>
      </c>
      <c r="X788" s="37">
        <f>'03_原始数据'!C788-0.655*'03_原始数据'!B788-OtherCost</f>
        <v/>
      </c>
      <c r="Y788" s="37">
        <f>'03_原始数据'!C788-0.66*'03_原始数据'!B788-OtherCost</f>
        <v/>
      </c>
      <c r="Z788" s="37">
        <f>'03_原始数据'!C788-0.665*'03_原始数据'!B788-OtherCost</f>
        <v/>
      </c>
      <c r="AA788" s="37">
        <f>'03_原始数据'!C788-0.67*'03_原始数据'!B788-OtherCost</f>
        <v/>
      </c>
      <c r="AB788" s="37">
        <f>'03_原始数据'!C788-0.675*'03_原始数据'!B788-OtherCost</f>
        <v/>
      </c>
      <c r="AC788" s="37">
        <f>'03_原始数据'!C788-0.68*'03_原始数据'!B788-OtherCost</f>
        <v/>
      </c>
      <c r="AD788" s="37">
        <f>'03_原始数据'!C788-0.685*'03_原始数据'!B788-OtherCost</f>
        <v/>
      </c>
      <c r="AE788" s="37">
        <f>'03_原始数据'!C788-0.69*'03_原始数据'!B788-OtherCost</f>
        <v/>
      </c>
      <c r="AF788" s="37">
        <f>'03_原始数据'!C788-0.695*'03_原始数据'!B788-OtherCost</f>
        <v/>
      </c>
      <c r="AG788" s="37">
        <f>'03_原始数据'!C788-0.7*'03_原始数据'!B788-OtherCost</f>
        <v/>
      </c>
    </row>
    <row r="789">
      <c r="M789" s="37">
        <f>'03_原始数据'!C789-0.6*'03_原始数据'!B789-OtherCost</f>
        <v/>
      </c>
      <c r="N789" s="37">
        <f>'03_原始数据'!C789-0.605*'03_原始数据'!B789-OtherCost</f>
        <v/>
      </c>
      <c r="O789" s="37">
        <f>'03_原始数据'!C789-0.61*'03_原始数据'!B789-OtherCost</f>
        <v/>
      </c>
      <c r="P789" s="37">
        <f>'03_原始数据'!C789-0.615*'03_原始数据'!B789-OtherCost</f>
        <v/>
      </c>
      <c r="Q789" s="37">
        <f>'03_原始数据'!C789-0.62*'03_原始数据'!B789-OtherCost</f>
        <v/>
      </c>
      <c r="R789" s="37">
        <f>'03_原始数据'!C789-0.625*'03_原始数据'!B789-OtherCost</f>
        <v/>
      </c>
      <c r="S789" s="37">
        <f>'03_原始数据'!C789-0.63*'03_原始数据'!B789-OtherCost</f>
        <v/>
      </c>
      <c r="T789" s="37">
        <f>'03_原始数据'!C789-0.635*'03_原始数据'!B789-OtherCost</f>
        <v/>
      </c>
      <c r="U789" s="37">
        <f>'03_原始数据'!C789-0.64*'03_原始数据'!B789-OtherCost</f>
        <v/>
      </c>
      <c r="V789" s="37">
        <f>'03_原始数据'!C789-0.645*'03_原始数据'!B789-OtherCost</f>
        <v/>
      </c>
      <c r="W789" s="37">
        <f>'03_原始数据'!C789-0.65*'03_原始数据'!B789-OtherCost</f>
        <v/>
      </c>
      <c r="X789" s="37">
        <f>'03_原始数据'!C789-0.655*'03_原始数据'!B789-OtherCost</f>
        <v/>
      </c>
      <c r="Y789" s="37">
        <f>'03_原始数据'!C789-0.66*'03_原始数据'!B789-OtherCost</f>
        <v/>
      </c>
      <c r="Z789" s="37">
        <f>'03_原始数据'!C789-0.665*'03_原始数据'!B789-OtherCost</f>
        <v/>
      </c>
      <c r="AA789" s="37">
        <f>'03_原始数据'!C789-0.67*'03_原始数据'!B789-OtherCost</f>
        <v/>
      </c>
      <c r="AB789" s="37">
        <f>'03_原始数据'!C789-0.675*'03_原始数据'!B789-OtherCost</f>
        <v/>
      </c>
      <c r="AC789" s="37">
        <f>'03_原始数据'!C789-0.68*'03_原始数据'!B789-OtherCost</f>
        <v/>
      </c>
      <c r="AD789" s="37">
        <f>'03_原始数据'!C789-0.685*'03_原始数据'!B789-OtherCost</f>
        <v/>
      </c>
      <c r="AE789" s="37">
        <f>'03_原始数据'!C789-0.69*'03_原始数据'!B789-OtherCost</f>
        <v/>
      </c>
      <c r="AF789" s="37">
        <f>'03_原始数据'!C789-0.695*'03_原始数据'!B789-OtherCost</f>
        <v/>
      </c>
      <c r="AG789" s="37">
        <f>'03_原始数据'!C789-0.7*'03_原始数据'!B789-OtherCost</f>
        <v/>
      </c>
    </row>
    <row r="790">
      <c r="M790" s="37">
        <f>'03_原始数据'!C790-0.6*'03_原始数据'!B790-OtherCost</f>
        <v/>
      </c>
      <c r="N790" s="37">
        <f>'03_原始数据'!C790-0.605*'03_原始数据'!B790-OtherCost</f>
        <v/>
      </c>
      <c r="O790" s="37">
        <f>'03_原始数据'!C790-0.61*'03_原始数据'!B790-OtherCost</f>
        <v/>
      </c>
      <c r="P790" s="37">
        <f>'03_原始数据'!C790-0.615*'03_原始数据'!B790-OtherCost</f>
        <v/>
      </c>
      <c r="Q790" s="37">
        <f>'03_原始数据'!C790-0.62*'03_原始数据'!B790-OtherCost</f>
        <v/>
      </c>
      <c r="R790" s="37">
        <f>'03_原始数据'!C790-0.625*'03_原始数据'!B790-OtherCost</f>
        <v/>
      </c>
      <c r="S790" s="37">
        <f>'03_原始数据'!C790-0.63*'03_原始数据'!B790-OtherCost</f>
        <v/>
      </c>
      <c r="T790" s="37">
        <f>'03_原始数据'!C790-0.635*'03_原始数据'!B790-OtherCost</f>
        <v/>
      </c>
      <c r="U790" s="37">
        <f>'03_原始数据'!C790-0.64*'03_原始数据'!B790-OtherCost</f>
        <v/>
      </c>
      <c r="V790" s="37">
        <f>'03_原始数据'!C790-0.645*'03_原始数据'!B790-OtherCost</f>
        <v/>
      </c>
      <c r="W790" s="37">
        <f>'03_原始数据'!C790-0.65*'03_原始数据'!B790-OtherCost</f>
        <v/>
      </c>
      <c r="X790" s="37">
        <f>'03_原始数据'!C790-0.655*'03_原始数据'!B790-OtherCost</f>
        <v/>
      </c>
      <c r="Y790" s="37">
        <f>'03_原始数据'!C790-0.66*'03_原始数据'!B790-OtherCost</f>
        <v/>
      </c>
      <c r="Z790" s="37">
        <f>'03_原始数据'!C790-0.665*'03_原始数据'!B790-OtherCost</f>
        <v/>
      </c>
      <c r="AA790" s="37">
        <f>'03_原始数据'!C790-0.67*'03_原始数据'!B790-OtherCost</f>
        <v/>
      </c>
      <c r="AB790" s="37">
        <f>'03_原始数据'!C790-0.675*'03_原始数据'!B790-OtherCost</f>
        <v/>
      </c>
      <c r="AC790" s="37">
        <f>'03_原始数据'!C790-0.68*'03_原始数据'!B790-OtherCost</f>
        <v/>
      </c>
      <c r="AD790" s="37">
        <f>'03_原始数据'!C790-0.685*'03_原始数据'!B790-OtherCost</f>
        <v/>
      </c>
      <c r="AE790" s="37">
        <f>'03_原始数据'!C790-0.69*'03_原始数据'!B790-OtherCost</f>
        <v/>
      </c>
      <c r="AF790" s="37">
        <f>'03_原始数据'!C790-0.695*'03_原始数据'!B790-OtherCost</f>
        <v/>
      </c>
      <c r="AG790" s="37">
        <f>'03_原始数据'!C790-0.7*'03_原始数据'!B790-OtherCost</f>
        <v/>
      </c>
    </row>
    <row r="791">
      <c r="M791" s="37">
        <f>'03_原始数据'!C791-0.6*'03_原始数据'!B791-OtherCost</f>
        <v/>
      </c>
      <c r="N791" s="37">
        <f>'03_原始数据'!C791-0.605*'03_原始数据'!B791-OtherCost</f>
        <v/>
      </c>
      <c r="O791" s="37">
        <f>'03_原始数据'!C791-0.61*'03_原始数据'!B791-OtherCost</f>
        <v/>
      </c>
      <c r="P791" s="37">
        <f>'03_原始数据'!C791-0.615*'03_原始数据'!B791-OtherCost</f>
        <v/>
      </c>
      <c r="Q791" s="37">
        <f>'03_原始数据'!C791-0.62*'03_原始数据'!B791-OtherCost</f>
        <v/>
      </c>
      <c r="R791" s="37">
        <f>'03_原始数据'!C791-0.625*'03_原始数据'!B791-OtherCost</f>
        <v/>
      </c>
      <c r="S791" s="37">
        <f>'03_原始数据'!C791-0.63*'03_原始数据'!B791-OtherCost</f>
        <v/>
      </c>
      <c r="T791" s="37">
        <f>'03_原始数据'!C791-0.635*'03_原始数据'!B791-OtherCost</f>
        <v/>
      </c>
      <c r="U791" s="37">
        <f>'03_原始数据'!C791-0.64*'03_原始数据'!B791-OtherCost</f>
        <v/>
      </c>
      <c r="V791" s="37">
        <f>'03_原始数据'!C791-0.645*'03_原始数据'!B791-OtherCost</f>
        <v/>
      </c>
      <c r="W791" s="37">
        <f>'03_原始数据'!C791-0.65*'03_原始数据'!B791-OtherCost</f>
        <v/>
      </c>
      <c r="X791" s="37">
        <f>'03_原始数据'!C791-0.655*'03_原始数据'!B791-OtherCost</f>
        <v/>
      </c>
      <c r="Y791" s="37">
        <f>'03_原始数据'!C791-0.66*'03_原始数据'!B791-OtherCost</f>
        <v/>
      </c>
      <c r="Z791" s="37">
        <f>'03_原始数据'!C791-0.665*'03_原始数据'!B791-OtherCost</f>
        <v/>
      </c>
      <c r="AA791" s="37">
        <f>'03_原始数据'!C791-0.67*'03_原始数据'!B791-OtherCost</f>
        <v/>
      </c>
      <c r="AB791" s="37">
        <f>'03_原始数据'!C791-0.675*'03_原始数据'!B791-OtherCost</f>
        <v/>
      </c>
      <c r="AC791" s="37">
        <f>'03_原始数据'!C791-0.68*'03_原始数据'!B791-OtherCost</f>
        <v/>
      </c>
      <c r="AD791" s="37">
        <f>'03_原始数据'!C791-0.685*'03_原始数据'!B791-OtherCost</f>
        <v/>
      </c>
      <c r="AE791" s="37">
        <f>'03_原始数据'!C791-0.69*'03_原始数据'!B791-OtherCost</f>
        <v/>
      </c>
      <c r="AF791" s="37">
        <f>'03_原始数据'!C791-0.695*'03_原始数据'!B791-OtherCost</f>
        <v/>
      </c>
      <c r="AG791" s="37">
        <f>'03_原始数据'!C791-0.7*'03_原始数据'!B791-OtherCost</f>
        <v/>
      </c>
    </row>
    <row r="792">
      <c r="M792" s="37">
        <f>'03_原始数据'!C792-0.6*'03_原始数据'!B792-OtherCost</f>
        <v/>
      </c>
      <c r="N792" s="37">
        <f>'03_原始数据'!C792-0.605*'03_原始数据'!B792-OtherCost</f>
        <v/>
      </c>
      <c r="O792" s="37">
        <f>'03_原始数据'!C792-0.61*'03_原始数据'!B792-OtherCost</f>
        <v/>
      </c>
      <c r="P792" s="37">
        <f>'03_原始数据'!C792-0.615*'03_原始数据'!B792-OtherCost</f>
        <v/>
      </c>
      <c r="Q792" s="37">
        <f>'03_原始数据'!C792-0.62*'03_原始数据'!B792-OtherCost</f>
        <v/>
      </c>
      <c r="R792" s="37">
        <f>'03_原始数据'!C792-0.625*'03_原始数据'!B792-OtherCost</f>
        <v/>
      </c>
      <c r="S792" s="37">
        <f>'03_原始数据'!C792-0.63*'03_原始数据'!B792-OtherCost</f>
        <v/>
      </c>
      <c r="T792" s="37">
        <f>'03_原始数据'!C792-0.635*'03_原始数据'!B792-OtherCost</f>
        <v/>
      </c>
      <c r="U792" s="37">
        <f>'03_原始数据'!C792-0.64*'03_原始数据'!B792-OtherCost</f>
        <v/>
      </c>
      <c r="V792" s="37">
        <f>'03_原始数据'!C792-0.645*'03_原始数据'!B792-OtherCost</f>
        <v/>
      </c>
      <c r="W792" s="37">
        <f>'03_原始数据'!C792-0.65*'03_原始数据'!B792-OtherCost</f>
        <v/>
      </c>
      <c r="X792" s="37">
        <f>'03_原始数据'!C792-0.655*'03_原始数据'!B792-OtherCost</f>
        <v/>
      </c>
      <c r="Y792" s="37">
        <f>'03_原始数据'!C792-0.66*'03_原始数据'!B792-OtherCost</f>
        <v/>
      </c>
      <c r="Z792" s="37">
        <f>'03_原始数据'!C792-0.665*'03_原始数据'!B792-OtherCost</f>
        <v/>
      </c>
      <c r="AA792" s="37">
        <f>'03_原始数据'!C792-0.67*'03_原始数据'!B792-OtherCost</f>
        <v/>
      </c>
      <c r="AB792" s="37">
        <f>'03_原始数据'!C792-0.675*'03_原始数据'!B792-OtherCost</f>
        <v/>
      </c>
      <c r="AC792" s="37">
        <f>'03_原始数据'!C792-0.68*'03_原始数据'!B792-OtherCost</f>
        <v/>
      </c>
      <c r="AD792" s="37">
        <f>'03_原始数据'!C792-0.685*'03_原始数据'!B792-OtherCost</f>
        <v/>
      </c>
      <c r="AE792" s="37">
        <f>'03_原始数据'!C792-0.69*'03_原始数据'!B792-OtherCost</f>
        <v/>
      </c>
      <c r="AF792" s="37">
        <f>'03_原始数据'!C792-0.695*'03_原始数据'!B792-OtherCost</f>
        <v/>
      </c>
      <c r="AG792" s="37">
        <f>'03_原始数据'!C792-0.7*'03_原始数据'!B792-OtherCost</f>
        <v/>
      </c>
    </row>
    <row r="793">
      <c r="M793" s="37">
        <f>'03_原始数据'!C793-0.6*'03_原始数据'!B793-OtherCost</f>
        <v/>
      </c>
      <c r="N793" s="37">
        <f>'03_原始数据'!C793-0.605*'03_原始数据'!B793-OtherCost</f>
        <v/>
      </c>
      <c r="O793" s="37">
        <f>'03_原始数据'!C793-0.61*'03_原始数据'!B793-OtherCost</f>
        <v/>
      </c>
      <c r="P793" s="37">
        <f>'03_原始数据'!C793-0.615*'03_原始数据'!B793-OtherCost</f>
        <v/>
      </c>
      <c r="Q793" s="37">
        <f>'03_原始数据'!C793-0.62*'03_原始数据'!B793-OtherCost</f>
        <v/>
      </c>
      <c r="R793" s="37">
        <f>'03_原始数据'!C793-0.625*'03_原始数据'!B793-OtherCost</f>
        <v/>
      </c>
      <c r="S793" s="37">
        <f>'03_原始数据'!C793-0.63*'03_原始数据'!B793-OtherCost</f>
        <v/>
      </c>
      <c r="T793" s="37">
        <f>'03_原始数据'!C793-0.635*'03_原始数据'!B793-OtherCost</f>
        <v/>
      </c>
      <c r="U793" s="37">
        <f>'03_原始数据'!C793-0.64*'03_原始数据'!B793-OtherCost</f>
        <v/>
      </c>
      <c r="V793" s="37">
        <f>'03_原始数据'!C793-0.645*'03_原始数据'!B793-OtherCost</f>
        <v/>
      </c>
      <c r="W793" s="37">
        <f>'03_原始数据'!C793-0.65*'03_原始数据'!B793-OtherCost</f>
        <v/>
      </c>
      <c r="X793" s="37">
        <f>'03_原始数据'!C793-0.655*'03_原始数据'!B793-OtherCost</f>
        <v/>
      </c>
      <c r="Y793" s="37">
        <f>'03_原始数据'!C793-0.66*'03_原始数据'!B793-OtherCost</f>
        <v/>
      </c>
      <c r="Z793" s="37">
        <f>'03_原始数据'!C793-0.665*'03_原始数据'!B793-OtherCost</f>
        <v/>
      </c>
      <c r="AA793" s="37">
        <f>'03_原始数据'!C793-0.67*'03_原始数据'!B793-OtherCost</f>
        <v/>
      </c>
      <c r="AB793" s="37">
        <f>'03_原始数据'!C793-0.675*'03_原始数据'!B793-OtherCost</f>
        <v/>
      </c>
      <c r="AC793" s="37">
        <f>'03_原始数据'!C793-0.68*'03_原始数据'!B793-OtherCost</f>
        <v/>
      </c>
      <c r="AD793" s="37">
        <f>'03_原始数据'!C793-0.685*'03_原始数据'!B793-OtherCost</f>
        <v/>
      </c>
      <c r="AE793" s="37">
        <f>'03_原始数据'!C793-0.69*'03_原始数据'!B793-OtherCost</f>
        <v/>
      </c>
      <c r="AF793" s="37">
        <f>'03_原始数据'!C793-0.695*'03_原始数据'!B793-OtherCost</f>
        <v/>
      </c>
      <c r="AG793" s="37">
        <f>'03_原始数据'!C793-0.7*'03_原始数据'!B793-OtherCost</f>
        <v/>
      </c>
    </row>
    <row r="794">
      <c r="M794" s="37">
        <f>'03_原始数据'!C794-0.6*'03_原始数据'!B794-OtherCost</f>
        <v/>
      </c>
      <c r="N794" s="37">
        <f>'03_原始数据'!C794-0.605*'03_原始数据'!B794-OtherCost</f>
        <v/>
      </c>
      <c r="O794" s="37">
        <f>'03_原始数据'!C794-0.61*'03_原始数据'!B794-OtherCost</f>
        <v/>
      </c>
      <c r="P794" s="37">
        <f>'03_原始数据'!C794-0.615*'03_原始数据'!B794-OtherCost</f>
        <v/>
      </c>
      <c r="Q794" s="37">
        <f>'03_原始数据'!C794-0.62*'03_原始数据'!B794-OtherCost</f>
        <v/>
      </c>
      <c r="R794" s="37">
        <f>'03_原始数据'!C794-0.625*'03_原始数据'!B794-OtherCost</f>
        <v/>
      </c>
      <c r="S794" s="37">
        <f>'03_原始数据'!C794-0.63*'03_原始数据'!B794-OtherCost</f>
        <v/>
      </c>
      <c r="T794" s="37">
        <f>'03_原始数据'!C794-0.635*'03_原始数据'!B794-OtherCost</f>
        <v/>
      </c>
      <c r="U794" s="37">
        <f>'03_原始数据'!C794-0.64*'03_原始数据'!B794-OtherCost</f>
        <v/>
      </c>
      <c r="V794" s="37">
        <f>'03_原始数据'!C794-0.645*'03_原始数据'!B794-OtherCost</f>
        <v/>
      </c>
      <c r="W794" s="37">
        <f>'03_原始数据'!C794-0.65*'03_原始数据'!B794-OtherCost</f>
        <v/>
      </c>
      <c r="X794" s="37">
        <f>'03_原始数据'!C794-0.655*'03_原始数据'!B794-OtherCost</f>
        <v/>
      </c>
      <c r="Y794" s="37">
        <f>'03_原始数据'!C794-0.66*'03_原始数据'!B794-OtherCost</f>
        <v/>
      </c>
      <c r="Z794" s="37">
        <f>'03_原始数据'!C794-0.665*'03_原始数据'!B794-OtherCost</f>
        <v/>
      </c>
      <c r="AA794" s="37">
        <f>'03_原始数据'!C794-0.67*'03_原始数据'!B794-OtherCost</f>
        <v/>
      </c>
      <c r="AB794" s="37">
        <f>'03_原始数据'!C794-0.675*'03_原始数据'!B794-OtherCost</f>
        <v/>
      </c>
      <c r="AC794" s="37">
        <f>'03_原始数据'!C794-0.68*'03_原始数据'!B794-OtherCost</f>
        <v/>
      </c>
      <c r="AD794" s="37">
        <f>'03_原始数据'!C794-0.685*'03_原始数据'!B794-OtherCost</f>
        <v/>
      </c>
      <c r="AE794" s="37">
        <f>'03_原始数据'!C794-0.69*'03_原始数据'!B794-OtherCost</f>
        <v/>
      </c>
      <c r="AF794" s="37">
        <f>'03_原始数据'!C794-0.695*'03_原始数据'!B794-OtherCost</f>
        <v/>
      </c>
      <c r="AG794" s="37">
        <f>'03_原始数据'!C794-0.7*'03_原始数据'!B794-OtherCost</f>
        <v/>
      </c>
    </row>
    <row r="795">
      <c r="M795" s="37">
        <f>'03_原始数据'!C795-0.6*'03_原始数据'!B795-OtherCost</f>
        <v/>
      </c>
      <c r="N795" s="37">
        <f>'03_原始数据'!C795-0.605*'03_原始数据'!B795-OtherCost</f>
        <v/>
      </c>
      <c r="O795" s="37">
        <f>'03_原始数据'!C795-0.61*'03_原始数据'!B795-OtherCost</f>
        <v/>
      </c>
      <c r="P795" s="37">
        <f>'03_原始数据'!C795-0.615*'03_原始数据'!B795-OtherCost</f>
        <v/>
      </c>
      <c r="Q795" s="37">
        <f>'03_原始数据'!C795-0.62*'03_原始数据'!B795-OtherCost</f>
        <v/>
      </c>
      <c r="R795" s="37">
        <f>'03_原始数据'!C795-0.625*'03_原始数据'!B795-OtherCost</f>
        <v/>
      </c>
      <c r="S795" s="37">
        <f>'03_原始数据'!C795-0.63*'03_原始数据'!B795-OtherCost</f>
        <v/>
      </c>
      <c r="T795" s="37">
        <f>'03_原始数据'!C795-0.635*'03_原始数据'!B795-OtherCost</f>
        <v/>
      </c>
      <c r="U795" s="37">
        <f>'03_原始数据'!C795-0.64*'03_原始数据'!B795-OtherCost</f>
        <v/>
      </c>
      <c r="V795" s="37">
        <f>'03_原始数据'!C795-0.645*'03_原始数据'!B795-OtherCost</f>
        <v/>
      </c>
      <c r="W795" s="37">
        <f>'03_原始数据'!C795-0.65*'03_原始数据'!B795-OtherCost</f>
        <v/>
      </c>
      <c r="X795" s="37">
        <f>'03_原始数据'!C795-0.655*'03_原始数据'!B795-OtherCost</f>
        <v/>
      </c>
      <c r="Y795" s="37">
        <f>'03_原始数据'!C795-0.66*'03_原始数据'!B795-OtherCost</f>
        <v/>
      </c>
      <c r="Z795" s="37">
        <f>'03_原始数据'!C795-0.665*'03_原始数据'!B795-OtherCost</f>
        <v/>
      </c>
      <c r="AA795" s="37">
        <f>'03_原始数据'!C795-0.67*'03_原始数据'!B795-OtherCost</f>
        <v/>
      </c>
      <c r="AB795" s="37">
        <f>'03_原始数据'!C795-0.675*'03_原始数据'!B795-OtherCost</f>
        <v/>
      </c>
      <c r="AC795" s="37">
        <f>'03_原始数据'!C795-0.68*'03_原始数据'!B795-OtherCost</f>
        <v/>
      </c>
      <c r="AD795" s="37">
        <f>'03_原始数据'!C795-0.685*'03_原始数据'!B795-OtherCost</f>
        <v/>
      </c>
      <c r="AE795" s="37">
        <f>'03_原始数据'!C795-0.69*'03_原始数据'!B795-OtherCost</f>
        <v/>
      </c>
      <c r="AF795" s="37">
        <f>'03_原始数据'!C795-0.695*'03_原始数据'!B795-OtherCost</f>
        <v/>
      </c>
      <c r="AG795" s="37">
        <f>'03_原始数据'!C795-0.7*'03_原始数据'!B795-OtherCost</f>
        <v/>
      </c>
    </row>
    <row r="796">
      <c r="M796" s="37">
        <f>'03_原始数据'!C796-0.6*'03_原始数据'!B796-OtherCost</f>
        <v/>
      </c>
      <c r="N796" s="37">
        <f>'03_原始数据'!C796-0.605*'03_原始数据'!B796-OtherCost</f>
        <v/>
      </c>
      <c r="O796" s="37">
        <f>'03_原始数据'!C796-0.61*'03_原始数据'!B796-OtherCost</f>
        <v/>
      </c>
      <c r="P796" s="37">
        <f>'03_原始数据'!C796-0.615*'03_原始数据'!B796-OtherCost</f>
        <v/>
      </c>
      <c r="Q796" s="37">
        <f>'03_原始数据'!C796-0.62*'03_原始数据'!B796-OtherCost</f>
        <v/>
      </c>
      <c r="R796" s="37">
        <f>'03_原始数据'!C796-0.625*'03_原始数据'!B796-OtherCost</f>
        <v/>
      </c>
      <c r="S796" s="37">
        <f>'03_原始数据'!C796-0.63*'03_原始数据'!B796-OtherCost</f>
        <v/>
      </c>
      <c r="T796" s="37">
        <f>'03_原始数据'!C796-0.635*'03_原始数据'!B796-OtherCost</f>
        <v/>
      </c>
      <c r="U796" s="37">
        <f>'03_原始数据'!C796-0.64*'03_原始数据'!B796-OtherCost</f>
        <v/>
      </c>
      <c r="V796" s="37">
        <f>'03_原始数据'!C796-0.645*'03_原始数据'!B796-OtherCost</f>
        <v/>
      </c>
      <c r="W796" s="37">
        <f>'03_原始数据'!C796-0.65*'03_原始数据'!B796-OtherCost</f>
        <v/>
      </c>
      <c r="X796" s="37">
        <f>'03_原始数据'!C796-0.655*'03_原始数据'!B796-OtherCost</f>
        <v/>
      </c>
      <c r="Y796" s="37">
        <f>'03_原始数据'!C796-0.66*'03_原始数据'!B796-OtherCost</f>
        <v/>
      </c>
      <c r="Z796" s="37">
        <f>'03_原始数据'!C796-0.665*'03_原始数据'!B796-OtherCost</f>
        <v/>
      </c>
      <c r="AA796" s="37">
        <f>'03_原始数据'!C796-0.67*'03_原始数据'!B796-OtherCost</f>
        <v/>
      </c>
      <c r="AB796" s="37">
        <f>'03_原始数据'!C796-0.675*'03_原始数据'!B796-OtherCost</f>
        <v/>
      </c>
      <c r="AC796" s="37">
        <f>'03_原始数据'!C796-0.68*'03_原始数据'!B796-OtherCost</f>
        <v/>
      </c>
      <c r="AD796" s="37">
        <f>'03_原始数据'!C796-0.685*'03_原始数据'!B796-OtherCost</f>
        <v/>
      </c>
      <c r="AE796" s="37">
        <f>'03_原始数据'!C796-0.69*'03_原始数据'!B796-OtherCost</f>
        <v/>
      </c>
      <c r="AF796" s="37">
        <f>'03_原始数据'!C796-0.695*'03_原始数据'!B796-OtherCost</f>
        <v/>
      </c>
      <c r="AG796" s="37">
        <f>'03_原始数据'!C796-0.7*'03_原始数据'!B796-OtherCost</f>
        <v/>
      </c>
    </row>
    <row r="797">
      <c r="M797" s="37">
        <f>'03_原始数据'!C797-0.6*'03_原始数据'!B797-OtherCost</f>
        <v/>
      </c>
      <c r="N797" s="37">
        <f>'03_原始数据'!C797-0.605*'03_原始数据'!B797-OtherCost</f>
        <v/>
      </c>
      <c r="O797" s="37">
        <f>'03_原始数据'!C797-0.61*'03_原始数据'!B797-OtherCost</f>
        <v/>
      </c>
      <c r="P797" s="37">
        <f>'03_原始数据'!C797-0.615*'03_原始数据'!B797-OtherCost</f>
        <v/>
      </c>
      <c r="Q797" s="37">
        <f>'03_原始数据'!C797-0.62*'03_原始数据'!B797-OtherCost</f>
        <v/>
      </c>
      <c r="R797" s="37">
        <f>'03_原始数据'!C797-0.625*'03_原始数据'!B797-OtherCost</f>
        <v/>
      </c>
      <c r="S797" s="37">
        <f>'03_原始数据'!C797-0.63*'03_原始数据'!B797-OtherCost</f>
        <v/>
      </c>
      <c r="T797" s="37">
        <f>'03_原始数据'!C797-0.635*'03_原始数据'!B797-OtherCost</f>
        <v/>
      </c>
      <c r="U797" s="37">
        <f>'03_原始数据'!C797-0.64*'03_原始数据'!B797-OtherCost</f>
        <v/>
      </c>
      <c r="V797" s="37">
        <f>'03_原始数据'!C797-0.645*'03_原始数据'!B797-OtherCost</f>
        <v/>
      </c>
      <c r="W797" s="37">
        <f>'03_原始数据'!C797-0.65*'03_原始数据'!B797-OtherCost</f>
        <v/>
      </c>
      <c r="X797" s="37">
        <f>'03_原始数据'!C797-0.655*'03_原始数据'!B797-OtherCost</f>
        <v/>
      </c>
      <c r="Y797" s="37">
        <f>'03_原始数据'!C797-0.66*'03_原始数据'!B797-OtherCost</f>
        <v/>
      </c>
      <c r="Z797" s="37">
        <f>'03_原始数据'!C797-0.665*'03_原始数据'!B797-OtherCost</f>
        <v/>
      </c>
      <c r="AA797" s="37">
        <f>'03_原始数据'!C797-0.67*'03_原始数据'!B797-OtherCost</f>
        <v/>
      </c>
      <c r="AB797" s="37">
        <f>'03_原始数据'!C797-0.675*'03_原始数据'!B797-OtherCost</f>
        <v/>
      </c>
      <c r="AC797" s="37">
        <f>'03_原始数据'!C797-0.68*'03_原始数据'!B797-OtherCost</f>
        <v/>
      </c>
      <c r="AD797" s="37">
        <f>'03_原始数据'!C797-0.685*'03_原始数据'!B797-OtherCost</f>
        <v/>
      </c>
      <c r="AE797" s="37">
        <f>'03_原始数据'!C797-0.69*'03_原始数据'!B797-OtherCost</f>
        <v/>
      </c>
      <c r="AF797" s="37">
        <f>'03_原始数据'!C797-0.695*'03_原始数据'!B797-OtherCost</f>
        <v/>
      </c>
      <c r="AG797" s="37">
        <f>'03_原始数据'!C797-0.7*'03_原始数据'!B797-OtherCost</f>
        <v/>
      </c>
    </row>
    <row r="798">
      <c r="M798" s="37">
        <f>'03_原始数据'!C798-0.6*'03_原始数据'!B798-OtherCost</f>
        <v/>
      </c>
      <c r="N798" s="37">
        <f>'03_原始数据'!C798-0.605*'03_原始数据'!B798-OtherCost</f>
        <v/>
      </c>
      <c r="O798" s="37">
        <f>'03_原始数据'!C798-0.61*'03_原始数据'!B798-OtherCost</f>
        <v/>
      </c>
      <c r="P798" s="37">
        <f>'03_原始数据'!C798-0.615*'03_原始数据'!B798-OtherCost</f>
        <v/>
      </c>
      <c r="Q798" s="37">
        <f>'03_原始数据'!C798-0.62*'03_原始数据'!B798-OtherCost</f>
        <v/>
      </c>
      <c r="R798" s="37">
        <f>'03_原始数据'!C798-0.625*'03_原始数据'!B798-OtherCost</f>
        <v/>
      </c>
      <c r="S798" s="37">
        <f>'03_原始数据'!C798-0.63*'03_原始数据'!B798-OtherCost</f>
        <v/>
      </c>
      <c r="T798" s="37">
        <f>'03_原始数据'!C798-0.635*'03_原始数据'!B798-OtherCost</f>
        <v/>
      </c>
      <c r="U798" s="37">
        <f>'03_原始数据'!C798-0.64*'03_原始数据'!B798-OtherCost</f>
        <v/>
      </c>
      <c r="V798" s="37">
        <f>'03_原始数据'!C798-0.645*'03_原始数据'!B798-OtherCost</f>
        <v/>
      </c>
      <c r="W798" s="37">
        <f>'03_原始数据'!C798-0.65*'03_原始数据'!B798-OtherCost</f>
        <v/>
      </c>
      <c r="X798" s="37">
        <f>'03_原始数据'!C798-0.655*'03_原始数据'!B798-OtherCost</f>
        <v/>
      </c>
      <c r="Y798" s="37">
        <f>'03_原始数据'!C798-0.66*'03_原始数据'!B798-OtherCost</f>
        <v/>
      </c>
      <c r="Z798" s="37">
        <f>'03_原始数据'!C798-0.665*'03_原始数据'!B798-OtherCost</f>
        <v/>
      </c>
      <c r="AA798" s="37">
        <f>'03_原始数据'!C798-0.67*'03_原始数据'!B798-OtherCost</f>
        <v/>
      </c>
      <c r="AB798" s="37">
        <f>'03_原始数据'!C798-0.675*'03_原始数据'!B798-OtherCost</f>
        <v/>
      </c>
      <c r="AC798" s="37">
        <f>'03_原始数据'!C798-0.68*'03_原始数据'!B798-OtherCost</f>
        <v/>
      </c>
      <c r="AD798" s="37">
        <f>'03_原始数据'!C798-0.685*'03_原始数据'!B798-OtherCost</f>
        <v/>
      </c>
      <c r="AE798" s="37">
        <f>'03_原始数据'!C798-0.69*'03_原始数据'!B798-OtherCost</f>
        <v/>
      </c>
      <c r="AF798" s="37">
        <f>'03_原始数据'!C798-0.695*'03_原始数据'!B798-OtherCost</f>
        <v/>
      </c>
      <c r="AG798" s="37">
        <f>'03_原始数据'!C798-0.7*'03_原始数据'!B798-OtherCost</f>
        <v/>
      </c>
    </row>
    <row r="799">
      <c r="M799" s="37">
        <f>'03_原始数据'!C799-0.6*'03_原始数据'!B799-OtherCost</f>
        <v/>
      </c>
      <c r="N799" s="37">
        <f>'03_原始数据'!C799-0.605*'03_原始数据'!B799-OtherCost</f>
        <v/>
      </c>
      <c r="O799" s="37">
        <f>'03_原始数据'!C799-0.61*'03_原始数据'!B799-OtherCost</f>
        <v/>
      </c>
      <c r="P799" s="37">
        <f>'03_原始数据'!C799-0.615*'03_原始数据'!B799-OtherCost</f>
        <v/>
      </c>
      <c r="Q799" s="37">
        <f>'03_原始数据'!C799-0.62*'03_原始数据'!B799-OtherCost</f>
        <v/>
      </c>
      <c r="R799" s="37">
        <f>'03_原始数据'!C799-0.625*'03_原始数据'!B799-OtherCost</f>
        <v/>
      </c>
      <c r="S799" s="37">
        <f>'03_原始数据'!C799-0.63*'03_原始数据'!B799-OtherCost</f>
        <v/>
      </c>
      <c r="T799" s="37">
        <f>'03_原始数据'!C799-0.635*'03_原始数据'!B799-OtherCost</f>
        <v/>
      </c>
      <c r="U799" s="37">
        <f>'03_原始数据'!C799-0.64*'03_原始数据'!B799-OtherCost</f>
        <v/>
      </c>
      <c r="V799" s="37">
        <f>'03_原始数据'!C799-0.645*'03_原始数据'!B799-OtherCost</f>
        <v/>
      </c>
      <c r="W799" s="37">
        <f>'03_原始数据'!C799-0.65*'03_原始数据'!B799-OtherCost</f>
        <v/>
      </c>
      <c r="X799" s="37">
        <f>'03_原始数据'!C799-0.655*'03_原始数据'!B799-OtherCost</f>
        <v/>
      </c>
      <c r="Y799" s="37">
        <f>'03_原始数据'!C799-0.66*'03_原始数据'!B799-OtherCost</f>
        <v/>
      </c>
      <c r="Z799" s="37">
        <f>'03_原始数据'!C799-0.665*'03_原始数据'!B799-OtherCost</f>
        <v/>
      </c>
      <c r="AA799" s="37">
        <f>'03_原始数据'!C799-0.67*'03_原始数据'!B799-OtherCost</f>
        <v/>
      </c>
      <c r="AB799" s="37">
        <f>'03_原始数据'!C799-0.675*'03_原始数据'!B799-OtherCost</f>
        <v/>
      </c>
      <c r="AC799" s="37">
        <f>'03_原始数据'!C799-0.68*'03_原始数据'!B799-OtherCost</f>
        <v/>
      </c>
      <c r="AD799" s="37">
        <f>'03_原始数据'!C799-0.685*'03_原始数据'!B799-OtherCost</f>
        <v/>
      </c>
      <c r="AE799" s="37">
        <f>'03_原始数据'!C799-0.69*'03_原始数据'!B799-OtherCost</f>
        <v/>
      </c>
      <c r="AF799" s="37">
        <f>'03_原始数据'!C799-0.695*'03_原始数据'!B799-OtherCost</f>
        <v/>
      </c>
      <c r="AG799" s="37">
        <f>'03_原始数据'!C799-0.7*'03_原始数据'!B799-OtherCost</f>
        <v/>
      </c>
    </row>
    <row r="800">
      <c r="M800" s="37">
        <f>'03_原始数据'!C800-0.6*'03_原始数据'!B800-OtherCost</f>
        <v/>
      </c>
      <c r="N800" s="37">
        <f>'03_原始数据'!C800-0.605*'03_原始数据'!B800-OtherCost</f>
        <v/>
      </c>
      <c r="O800" s="37">
        <f>'03_原始数据'!C800-0.61*'03_原始数据'!B800-OtherCost</f>
        <v/>
      </c>
      <c r="P800" s="37">
        <f>'03_原始数据'!C800-0.615*'03_原始数据'!B800-OtherCost</f>
        <v/>
      </c>
      <c r="Q800" s="37">
        <f>'03_原始数据'!C800-0.62*'03_原始数据'!B800-OtherCost</f>
        <v/>
      </c>
      <c r="R800" s="37">
        <f>'03_原始数据'!C800-0.625*'03_原始数据'!B800-OtherCost</f>
        <v/>
      </c>
      <c r="S800" s="37">
        <f>'03_原始数据'!C800-0.63*'03_原始数据'!B800-OtherCost</f>
        <v/>
      </c>
      <c r="T800" s="37">
        <f>'03_原始数据'!C800-0.635*'03_原始数据'!B800-OtherCost</f>
        <v/>
      </c>
      <c r="U800" s="37">
        <f>'03_原始数据'!C800-0.64*'03_原始数据'!B800-OtherCost</f>
        <v/>
      </c>
      <c r="V800" s="37">
        <f>'03_原始数据'!C800-0.645*'03_原始数据'!B800-OtherCost</f>
        <v/>
      </c>
      <c r="W800" s="37">
        <f>'03_原始数据'!C800-0.65*'03_原始数据'!B800-OtherCost</f>
        <v/>
      </c>
      <c r="X800" s="37">
        <f>'03_原始数据'!C800-0.655*'03_原始数据'!B800-OtherCost</f>
        <v/>
      </c>
      <c r="Y800" s="37">
        <f>'03_原始数据'!C800-0.66*'03_原始数据'!B800-OtherCost</f>
        <v/>
      </c>
      <c r="Z800" s="37">
        <f>'03_原始数据'!C800-0.665*'03_原始数据'!B800-OtherCost</f>
        <v/>
      </c>
      <c r="AA800" s="37">
        <f>'03_原始数据'!C800-0.67*'03_原始数据'!B800-OtherCost</f>
        <v/>
      </c>
      <c r="AB800" s="37">
        <f>'03_原始数据'!C800-0.675*'03_原始数据'!B800-OtherCost</f>
        <v/>
      </c>
      <c r="AC800" s="37">
        <f>'03_原始数据'!C800-0.68*'03_原始数据'!B800-OtherCost</f>
        <v/>
      </c>
      <c r="AD800" s="37">
        <f>'03_原始数据'!C800-0.685*'03_原始数据'!B800-OtherCost</f>
        <v/>
      </c>
      <c r="AE800" s="37">
        <f>'03_原始数据'!C800-0.69*'03_原始数据'!B800-OtherCost</f>
        <v/>
      </c>
      <c r="AF800" s="37">
        <f>'03_原始数据'!C800-0.695*'03_原始数据'!B800-OtherCost</f>
        <v/>
      </c>
      <c r="AG800" s="37">
        <f>'03_原始数据'!C800-0.7*'03_原始数据'!B800-OtherCost</f>
        <v/>
      </c>
    </row>
    <row r="801">
      <c r="M801" s="37">
        <f>'03_原始数据'!C801-0.6*'03_原始数据'!B801-OtherCost</f>
        <v/>
      </c>
      <c r="N801" s="37">
        <f>'03_原始数据'!C801-0.605*'03_原始数据'!B801-OtherCost</f>
        <v/>
      </c>
      <c r="O801" s="37">
        <f>'03_原始数据'!C801-0.61*'03_原始数据'!B801-OtherCost</f>
        <v/>
      </c>
      <c r="P801" s="37">
        <f>'03_原始数据'!C801-0.615*'03_原始数据'!B801-OtherCost</f>
        <v/>
      </c>
      <c r="Q801" s="37">
        <f>'03_原始数据'!C801-0.62*'03_原始数据'!B801-OtherCost</f>
        <v/>
      </c>
      <c r="R801" s="37">
        <f>'03_原始数据'!C801-0.625*'03_原始数据'!B801-OtherCost</f>
        <v/>
      </c>
      <c r="S801" s="37">
        <f>'03_原始数据'!C801-0.63*'03_原始数据'!B801-OtherCost</f>
        <v/>
      </c>
      <c r="T801" s="37">
        <f>'03_原始数据'!C801-0.635*'03_原始数据'!B801-OtherCost</f>
        <v/>
      </c>
      <c r="U801" s="37">
        <f>'03_原始数据'!C801-0.64*'03_原始数据'!B801-OtherCost</f>
        <v/>
      </c>
      <c r="V801" s="37">
        <f>'03_原始数据'!C801-0.645*'03_原始数据'!B801-OtherCost</f>
        <v/>
      </c>
      <c r="W801" s="37">
        <f>'03_原始数据'!C801-0.65*'03_原始数据'!B801-OtherCost</f>
        <v/>
      </c>
      <c r="X801" s="37">
        <f>'03_原始数据'!C801-0.655*'03_原始数据'!B801-OtherCost</f>
        <v/>
      </c>
      <c r="Y801" s="37">
        <f>'03_原始数据'!C801-0.66*'03_原始数据'!B801-OtherCost</f>
        <v/>
      </c>
      <c r="Z801" s="37">
        <f>'03_原始数据'!C801-0.665*'03_原始数据'!B801-OtherCost</f>
        <v/>
      </c>
      <c r="AA801" s="37">
        <f>'03_原始数据'!C801-0.67*'03_原始数据'!B801-OtherCost</f>
        <v/>
      </c>
      <c r="AB801" s="37">
        <f>'03_原始数据'!C801-0.675*'03_原始数据'!B801-OtherCost</f>
        <v/>
      </c>
      <c r="AC801" s="37">
        <f>'03_原始数据'!C801-0.68*'03_原始数据'!B801-OtherCost</f>
        <v/>
      </c>
      <c r="AD801" s="37">
        <f>'03_原始数据'!C801-0.685*'03_原始数据'!B801-OtherCost</f>
        <v/>
      </c>
      <c r="AE801" s="37">
        <f>'03_原始数据'!C801-0.69*'03_原始数据'!B801-OtherCost</f>
        <v/>
      </c>
      <c r="AF801" s="37">
        <f>'03_原始数据'!C801-0.695*'03_原始数据'!B801-OtherCost</f>
        <v/>
      </c>
      <c r="AG801" s="37">
        <f>'03_原始数据'!C801-0.7*'03_原始数据'!B801-OtherCost</f>
        <v/>
      </c>
    </row>
    <row r="802">
      <c r="M802" s="37">
        <f>'03_原始数据'!C802-0.6*'03_原始数据'!B802-OtherCost</f>
        <v/>
      </c>
      <c r="N802" s="37">
        <f>'03_原始数据'!C802-0.605*'03_原始数据'!B802-OtherCost</f>
        <v/>
      </c>
      <c r="O802" s="37">
        <f>'03_原始数据'!C802-0.61*'03_原始数据'!B802-OtherCost</f>
        <v/>
      </c>
      <c r="P802" s="37">
        <f>'03_原始数据'!C802-0.615*'03_原始数据'!B802-OtherCost</f>
        <v/>
      </c>
      <c r="Q802" s="37">
        <f>'03_原始数据'!C802-0.62*'03_原始数据'!B802-OtherCost</f>
        <v/>
      </c>
      <c r="R802" s="37">
        <f>'03_原始数据'!C802-0.625*'03_原始数据'!B802-OtherCost</f>
        <v/>
      </c>
      <c r="S802" s="37">
        <f>'03_原始数据'!C802-0.63*'03_原始数据'!B802-OtherCost</f>
        <v/>
      </c>
      <c r="T802" s="37">
        <f>'03_原始数据'!C802-0.635*'03_原始数据'!B802-OtherCost</f>
        <v/>
      </c>
      <c r="U802" s="37">
        <f>'03_原始数据'!C802-0.64*'03_原始数据'!B802-OtherCost</f>
        <v/>
      </c>
      <c r="V802" s="37">
        <f>'03_原始数据'!C802-0.645*'03_原始数据'!B802-OtherCost</f>
        <v/>
      </c>
      <c r="W802" s="37">
        <f>'03_原始数据'!C802-0.65*'03_原始数据'!B802-OtherCost</f>
        <v/>
      </c>
      <c r="X802" s="37">
        <f>'03_原始数据'!C802-0.655*'03_原始数据'!B802-OtherCost</f>
        <v/>
      </c>
      <c r="Y802" s="37">
        <f>'03_原始数据'!C802-0.66*'03_原始数据'!B802-OtherCost</f>
        <v/>
      </c>
      <c r="Z802" s="37">
        <f>'03_原始数据'!C802-0.665*'03_原始数据'!B802-OtherCost</f>
        <v/>
      </c>
      <c r="AA802" s="37">
        <f>'03_原始数据'!C802-0.67*'03_原始数据'!B802-OtherCost</f>
        <v/>
      </c>
      <c r="AB802" s="37">
        <f>'03_原始数据'!C802-0.675*'03_原始数据'!B802-OtherCost</f>
        <v/>
      </c>
      <c r="AC802" s="37">
        <f>'03_原始数据'!C802-0.68*'03_原始数据'!B802-OtherCost</f>
        <v/>
      </c>
      <c r="AD802" s="37">
        <f>'03_原始数据'!C802-0.685*'03_原始数据'!B802-OtherCost</f>
        <v/>
      </c>
      <c r="AE802" s="37">
        <f>'03_原始数据'!C802-0.69*'03_原始数据'!B802-OtherCost</f>
        <v/>
      </c>
      <c r="AF802" s="37">
        <f>'03_原始数据'!C802-0.695*'03_原始数据'!B802-OtherCost</f>
        <v/>
      </c>
      <c r="AG802" s="37">
        <f>'03_原始数据'!C802-0.7*'03_原始数据'!B802-OtherCost</f>
        <v/>
      </c>
    </row>
    <row r="803">
      <c r="M803" s="37">
        <f>'03_原始数据'!C803-0.6*'03_原始数据'!B803-OtherCost</f>
        <v/>
      </c>
      <c r="N803" s="37">
        <f>'03_原始数据'!C803-0.605*'03_原始数据'!B803-OtherCost</f>
        <v/>
      </c>
      <c r="O803" s="37">
        <f>'03_原始数据'!C803-0.61*'03_原始数据'!B803-OtherCost</f>
        <v/>
      </c>
      <c r="P803" s="37">
        <f>'03_原始数据'!C803-0.615*'03_原始数据'!B803-OtherCost</f>
        <v/>
      </c>
      <c r="Q803" s="37">
        <f>'03_原始数据'!C803-0.62*'03_原始数据'!B803-OtherCost</f>
        <v/>
      </c>
      <c r="R803" s="37">
        <f>'03_原始数据'!C803-0.625*'03_原始数据'!B803-OtherCost</f>
        <v/>
      </c>
      <c r="S803" s="37">
        <f>'03_原始数据'!C803-0.63*'03_原始数据'!B803-OtherCost</f>
        <v/>
      </c>
      <c r="T803" s="37">
        <f>'03_原始数据'!C803-0.635*'03_原始数据'!B803-OtherCost</f>
        <v/>
      </c>
      <c r="U803" s="37">
        <f>'03_原始数据'!C803-0.64*'03_原始数据'!B803-OtherCost</f>
        <v/>
      </c>
      <c r="V803" s="37">
        <f>'03_原始数据'!C803-0.645*'03_原始数据'!B803-OtherCost</f>
        <v/>
      </c>
      <c r="W803" s="37">
        <f>'03_原始数据'!C803-0.65*'03_原始数据'!B803-OtherCost</f>
        <v/>
      </c>
      <c r="X803" s="37">
        <f>'03_原始数据'!C803-0.655*'03_原始数据'!B803-OtherCost</f>
        <v/>
      </c>
      <c r="Y803" s="37">
        <f>'03_原始数据'!C803-0.66*'03_原始数据'!B803-OtherCost</f>
        <v/>
      </c>
      <c r="Z803" s="37">
        <f>'03_原始数据'!C803-0.665*'03_原始数据'!B803-OtherCost</f>
        <v/>
      </c>
      <c r="AA803" s="37">
        <f>'03_原始数据'!C803-0.67*'03_原始数据'!B803-OtherCost</f>
        <v/>
      </c>
      <c r="AB803" s="37">
        <f>'03_原始数据'!C803-0.675*'03_原始数据'!B803-OtherCost</f>
        <v/>
      </c>
      <c r="AC803" s="37">
        <f>'03_原始数据'!C803-0.68*'03_原始数据'!B803-OtherCost</f>
        <v/>
      </c>
      <c r="AD803" s="37">
        <f>'03_原始数据'!C803-0.685*'03_原始数据'!B803-OtherCost</f>
        <v/>
      </c>
      <c r="AE803" s="37">
        <f>'03_原始数据'!C803-0.69*'03_原始数据'!B803-OtherCost</f>
        <v/>
      </c>
      <c r="AF803" s="37">
        <f>'03_原始数据'!C803-0.695*'03_原始数据'!B803-OtherCost</f>
        <v/>
      </c>
      <c r="AG803" s="37">
        <f>'03_原始数据'!C803-0.7*'03_原始数据'!B803-OtherCost</f>
        <v/>
      </c>
    </row>
    <row r="804">
      <c r="M804" s="37">
        <f>'03_原始数据'!C804-0.6*'03_原始数据'!B804-OtherCost</f>
        <v/>
      </c>
      <c r="N804" s="37">
        <f>'03_原始数据'!C804-0.605*'03_原始数据'!B804-OtherCost</f>
        <v/>
      </c>
      <c r="O804" s="37">
        <f>'03_原始数据'!C804-0.61*'03_原始数据'!B804-OtherCost</f>
        <v/>
      </c>
      <c r="P804" s="37">
        <f>'03_原始数据'!C804-0.615*'03_原始数据'!B804-OtherCost</f>
        <v/>
      </c>
      <c r="Q804" s="37">
        <f>'03_原始数据'!C804-0.62*'03_原始数据'!B804-OtherCost</f>
        <v/>
      </c>
      <c r="R804" s="37">
        <f>'03_原始数据'!C804-0.625*'03_原始数据'!B804-OtherCost</f>
        <v/>
      </c>
      <c r="S804" s="37">
        <f>'03_原始数据'!C804-0.63*'03_原始数据'!B804-OtherCost</f>
        <v/>
      </c>
      <c r="T804" s="37">
        <f>'03_原始数据'!C804-0.635*'03_原始数据'!B804-OtherCost</f>
        <v/>
      </c>
      <c r="U804" s="37">
        <f>'03_原始数据'!C804-0.64*'03_原始数据'!B804-OtherCost</f>
        <v/>
      </c>
      <c r="V804" s="37">
        <f>'03_原始数据'!C804-0.645*'03_原始数据'!B804-OtherCost</f>
        <v/>
      </c>
      <c r="W804" s="37">
        <f>'03_原始数据'!C804-0.65*'03_原始数据'!B804-OtherCost</f>
        <v/>
      </c>
      <c r="X804" s="37">
        <f>'03_原始数据'!C804-0.655*'03_原始数据'!B804-OtherCost</f>
        <v/>
      </c>
      <c r="Y804" s="37">
        <f>'03_原始数据'!C804-0.66*'03_原始数据'!B804-OtherCost</f>
        <v/>
      </c>
      <c r="Z804" s="37">
        <f>'03_原始数据'!C804-0.665*'03_原始数据'!B804-OtherCost</f>
        <v/>
      </c>
      <c r="AA804" s="37">
        <f>'03_原始数据'!C804-0.67*'03_原始数据'!B804-OtherCost</f>
        <v/>
      </c>
      <c r="AB804" s="37">
        <f>'03_原始数据'!C804-0.675*'03_原始数据'!B804-OtherCost</f>
        <v/>
      </c>
      <c r="AC804" s="37">
        <f>'03_原始数据'!C804-0.68*'03_原始数据'!B804-OtherCost</f>
        <v/>
      </c>
      <c r="AD804" s="37">
        <f>'03_原始数据'!C804-0.685*'03_原始数据'!B804-OtherCost</f>
        <v/>
      </c>
      <c r="AE804" s="37">
        <f>'03_原始数据'!C804-0.69*'03_原始数据'!B804-OtherCost</f>
        <v/>
      </c>
      <c r="AF804" s="37">
        <f>'03_原始数据'!C804-0.695*'03_原始数据'!B804-OtherCost</f>
        <v/>
      </c>
      <c r="AG804" s="37">
        <f>'03_原始数据'!C804-0.7*'03_原始数据'!B804-OtherCost</f>
        <v/>
      </c>
    </row>
    <row r="805">
      <c r="M805" s="37">
        <f>'03_原始数据'!C805-0.6*'03_原始数据'!B805-OtherCost</f>
        <v/>
      </c>
      <c r="N805" s="37">
        <f>'03_原始数据'!C805-0.605*'03_原始数据'!B805-OtherCost</f>
        <v/>
      </c>
      <c r="O805" s="37">
        <f>'03_原始数据'!C805-0.61*'03_原始数据'!B805-OtherCost</f>
        <v/>
      </c>
      <c r="P805" s="37">
        <f>'03_原始数据'!C805-0.615*'03_原始数据'!B805-OtherCost</f>
        <v/>
      </c>
      <c r="Q805" s="37">
        <f>'03_原始数据'!C805-0.62*'03_原始数据'!B805-OtherCost</f>
        <v/>
      </c>
      <c r="R805" s="37">
        <f>'03_原始数据'!C805-0.625*'03_原始数据'!B805-OtherCost</f>
        <v/>
      </c>
      <c r="S805" s="37">
        <f>'03_原始数据'!C805-0.63*'03_原始数据'!B805-OtherCost</f>
        <v/>
      </c>
      <c r="T805" s="37">
        <f>'03_原始数据'!C805-0.635*'03_原始数据'!B805-OtherCost</f>
        <v/>
      </c>
      <c r="U805" s="37">
        <f>'03_原始数据'!C805-0.64*'03_原始数据'!B805-OtherCost</f>
        <v/>
      </c>
      <c r="V805" s="37">
        <f>'03_原始数据'!C805-0.645*'03_原始数据'!B805-OtherCost</f>
        <v/>
      </c>
      <c r="W805" s="37">
        <f>'03_原始数据'!C805-0.65*'03_原始数据'!B805-OtherCost</f>
        <v/>
      </c>
      <c r="X805" s="37">
        <f>'03_原始数据'!C805-0.655*'03_原始数据'!B805-OtherCost</f>
        <v/>
      </c>
      <c r="Y805" s="37">
        <f>'03_原始数据'!C805-0.66*'03_原始数据'!B805-OtherCost</f>
        <v/>
      </c>
      <c r="Z805" s="37">
        <f>'03_原始数据'!C805-0.665*'03_原始数据'!B805-OtherCost</f>
        <v/>
      </c>
      <c r="AA805" s="37">
        <f>'03_原始数据'!C805-0.67*'03_原始数据'!B805-OtherCost</f>
        <v/>
      </c>
      <c r="AB805" s="37">
        <f>'03_原始数据'!C805-0.675*'03_原始数据'!B805-OtherCost</f>
        <v/>
      </c>
      <c r="AC805" s="37">
        <f>'03_原始数据'!C805-0.68*'03_原始数据'!B805-OtherCost</f>
        <v/>
      </c>
      <c r="AD805" s="37">
        <f>'03_原始数据'!C805-0.685*'03_原始数据'!B805-OtherCost</f>
        <v/>
      </c>
      <c r="AE805" s="37">
        <f>'03_原始数据'!C805-0.69*'03_原始数据'!B805-OtherCost</f>
        <v/>
      </c>
      <c r="AF805" s="37">
        <f>'03_原始数据'!C805-0.695*'03_原始数据'!B805-OtherCost</f>
        <v/>
      </c>
      <c r="AG805" s="37">
        <f>'03_原始数据'!C805-0.7*'03_原始数据'!B805-OtherCost</f>
        <v/>
      </c>
    </row>
    <row r="806">
      <c r="M806" s="37">
        <f>'03_原始数据'!C806-0.6*'03_原始数据'!B806-OtherCost</f>
        <v/>
      </c>
      <c r="N806" s="37">
        <f>'03_原始数据'!C806-0.605*'03_原始数据'!B806-OtherCost</f>
        <v/>
      </c>
      <c r="O806" s="37">
        <f>'03_原始数据'!C806-0.61*'03_原始数据'!B806-OtherCost</f>
        <v/>
      </c>
      <c r="P806" s="37">
        <f>'03_原始数据'!C806-0.615*'03_原始数据'!B806-OtherCost</f>
        <v/>
      </c>
      <c r="Q806" s="37">
        <f>'03_原始数据'!C806-0.62*'03_原始数据'!B806-OtherCost</f>
        <v/>
      </c>
      <c r="R806" s="37">
        <f>'03_原始数据'!C806-0.625*'03_原始数据'!B806-OtherCost</f>
        <v/>
      </c>
      <c r="S806" s="37">
        <f>'03_原始数据'!C806-0.63*'03_原始数据'!B806-OtherCost</f>
        <v/>
      </c>
      <c r="T806" s="37">
        <f>'03_原始数据'!C806-0.635*'03_原始数据'!B806-OtherCost</f>
        <v/>
      </c>
      <c r="U806" s="37">
        <f>'03_原始数据'!C806-0.64*'03_原始数据'!B806-OtherCost</f>
        <v/>
      </c>
      <c r="V806" s="37">
        <f>'03_原始数据'!C806-0.645*'03_原始数据'!B806-OtherCost</f>
        <v/>
      </c>
      <c r="W806" s="37">
        <f>'03_原始数据'!C806-0.65*'03_原始数据'!B806-OtherCost</f>
        <v/>
      </c>
      <c r="X806" s="37">
        <f>'03_原始数据'!C806-0.655*'03_原始数据'!B806-OtherCost</f>
        <v/>
      </c>
      <c r="Y806" s="37">
        <f>'03_原始数据'!C806-0.66*'03_原始数据'!B806-OtherCost</f>
        <v/>
      </c>
      <c r="Z806" s="37">
        <f>'03_原始数据'!C806-0.665*'03_原始数据'!B806-OtherCost</f>
        <v/>
      </c>
      <c r="AA806" s="37">
        <f>'03_原始数据'!C806-0.67*'03_原始数据'!B806-OtherCost</f>
        <v/>
      </c>
      <c r="AB806" s="37">
        <f>'03_原始数据'!C806-0.675*'03_原始数据'!B806-OtherCost</f>
        <v/>
      </c>
      <c r="AC806" s="37">
        <f>'03_原始数据'!C806-0.68*'03_原始数据'!B806-OtherCost</f>
        <v/>
      </c>
      <c r="AD806" s="37">
        <f>'03_原始数据'!C806-0.685*'03_原始数据'!B806-OtherCost</f>
        <v/>
      </c>
      <c r="AE806" s="37">
        <f>'03_原始数据'!C806-0.69*'03_原始数据'!B806-OtherCost</f>
        <v/>
      </c>
      <c r="AF806" s="37">
        <f>'03_原始数据'!C806-0.695*'03_原始数据'!B806-OtherCost</f>
        <v/>
      </c>
      <c r="AG806" s="37">
        <f>'03_原始数据'!C806-0.7*'03_原始数据'!B806-OtherCost</f>
        <v/>
      </c>
    </row>
    <row r="807">
      <c r="M807" s="37">
        <f>'03_原始数据'!C807-0.6*'03_原始数据'!B807-OtherCost</f>
        <v/>
      </c>
      <c r="N807" s="37">
        <f>'03_原始数据'!C807-0.605*'03_原始数据'!B807-OtherCost</f>
        <v/>
      </c>
      <c r="O807" s="37">
        <f>'03_原始数据'!C807-0.61*'03_原始数据'!B807-OtherCost</f>
        <v/>
      </c>
      <c r="P807" s="37">
        <f>'03_原始数据'!C807-0.615*'03_原始数据'!B807-OtherCost</f>
        <v/>
      </c>
      <c r="Q807" s="37">
        <f>'03_原始数据'!C807-0.62*'03_原始数据'!B807-OtherCost</f>
        <v/>
      </c>
      <c r="R807" s="37">
        <f>'03_原始数据'!C807-0.625*'03_原始数据'!B807-OtherCost</f>
        <v/>
      </c>
      <c r="S807" s="37">
        <f>'03_原始数据'!C807-0.63*'03_原始数据'!B807-OtherCost</f>
        <v/>
      </c>
      <c r="T807" s="37">
        <f>'03_原始数据'!C807-0.635*'03_原始数据'!B807-OtherCost</f>
        <v/>
      </c>
      <c r="U807" s="37">
        <f>'03_原始数据'!C807-0.64*'03_原始数据'!B807-OtherCost</f>
        <v/>
      </c>
      <c r="V807" s="37">
        <f>'03_原始数据'!C807-0.645*'03_原始数据'!B807-OtherCost</f>
        <v/>
      </c>
      <c r="W807" s="37">
        <f>'03_原始数据'!C807-0.65*'03_原始数据'!B807-OtherCost</f>
        <v/>
      </c>
      <c r="X807" s="37">
        <f>'03_原始数据'!C807-0.655*'03_原始数据'!B807-OtherCost</f>
        <v/>
      </c>
      <c r="Y807" s="37">
        <f>'03_原始数据'!C807-0.66*'03_原始数据'!B807-OtherCost</f>
        <v/>
      </c>
      <c r="Z807" s="37">
        <f>'03_原始数据'!C807-0.665*'03_原始数据'!B807-OtherCost</f>
        <v/>
      </c>
      <c r="AA807" s="37">
        <f>'03_原始数据'!C807-0.67*'03_原始数据'!B807-OtherCost</f>
        <v/>
      </c>
      <c r="AB807" s="37">
        <f>'03_原始数据'!C807-0.675*'03_原始数据'!B807-OtherCost</f>
        <v/>
      </c>
      <c r="AC807" s="37">
        <f>'03_原始数据'!C807-0.68*'03_原始数据'!B807-OtherCost</f>
        <v/>
      </c>
      <c r="AD807" s="37">
        <f>'03_原始数据'!C807-0.685*'03_原始数据'!B807-OtherCost</f>
        <v/>
      </c>
      <c r="AE807" s="37">
        <f>'03_原始数据'!C807-0.69*'03_原始数据'!B807-OtherCost</f>
        <v/>
      </c>
      <c r="AF807" s="37">
        <f>'03_原始数据'!C807-0.695*'03_原始数据'!B807-OtherCost</f>
        <v/>
      </c>
      <c r="AG807" s="37">
        <f>'03_原始数据'!C807-0.7*'03_原始数据'!B807-OtherCost</f>
        <v/>
      </c>
    </row>
    <row r="808">
      <c r="M808" s="37">
        <f>'03_原始数据'!C808-0.6*'03_原始数据'!B808-OtherCost</f>
        <v/>
      </c>
      <c r="N808" s="37">
        <f>'03_原始数据'!C808-0.605*'03_原始数据'!B808-OtherCost</f>
        <v/>
      </c>
      <c r="O808" s="37">
        <f>'03_原始数据'!C808-0.61*'03_原始数据'!B808-OtherCost</f>
        <v/>
      </c>
      <c r="P808" s="37">
        <f>'03_原始数据'!C808-0.615*'03_原始数据'!B808-OtherCost</f>
        <v/>
      </c>
      <c r="Q808" s="37">
        <f>'03_原始数据'!C808-0.62*'03_原始数据'!B808-OtherCost</f>
        <v/>
      </c>
      <c r="R808" s="37">
        <f>'03_原始数据'!C808-0.625*'03_原始数据'!B808-OtherCost</f>
        <v/>
      </c>
      <c r="S808" s="37">
        <f>'03_原始数据'!C808-0.63*'03_原始数据'!B808-OtherCost</f>
        <v/>
      </c>
      <c r="T808" s="37">
        <f>'03_原始数据'!C808-0.635*'03_原始数据'!B808-OtherCost</f>
        <v/>
      </c>
      <c r="U808" s="37">
        <f>'03_原始数据'!C808-0.64*'03_原始数据'!B808-OtherCost</f>
        <v/>
      </c>
      <c r="V808" s="37">
        <f>'03_原始数据'!C808-0.645*'03_原始数据'!B808-OtherCost</f>
        <v/>
      </c>
      <c r="W808" s="37">
        <f>'03_原始数据'!C808-0.65*'03_原始数据'!B808-OtherCost</f>
        <v/>
      </c>
      <c r="X808" s="37">
        <f>'03_原始数据'!C808-0.655*'03_原始数据'!B808-OtherCost</f>
        <v/>
      </c>
      <c r="Y808" s="37">
        <f>'03_原始数据'!C808-0.66*'03_原始数据'!B808-OtherCost</f>
        <v/>
      </c>
      <c r="Z808" s="37">
        <f>'03_原始数据'!C808-0.665*'03_原始数据'!B808-OtherCost</f>
        <v/>
      </c>
      <c r="AA808" s="37">
        <f>'03_原始数据'!C808-0.67*'03_原始数据'!B808-OtherCost</f>
        <v/>
      </c>
      <c r="AB808" s="37">
        <f>'03_原始数据'!C808-0.675*'03_原始数据'!B808-OtherCost</f>
        <v/>
      </c>
      <c r="AC808" s="37">
        <f>'03_原始数据'!C808-0.68*'03_原始数据'!B808-OtherCost</f>
        <v/>
      </c>
      <c r="AD808" s="37">
        <f>'03_原始数据'!C808-0.685*'03_原始数据'!B808-OtherCost</f>
        <v/>
      </c>
      <c r="AE808" s="37">
        <f>'03_原始数据'!C808-0.69*'03_原始数据'!B808-OtherCost</f>
        <v/>
      </c>
      <c r="AF808" s="37">
        <f>'03_原始数据'!C808-0.695*'03_原始数据'!B808-OtherCost</f>
        <v/>
      </c>
      <c r="AG808" s="37">
        <f>'03_原始数据'!C808-0.7*'03_原始数据'!B808-OtherCost</f>
        <v/>
      </c>
    </row>
    <row r="809">
      <c r="M809" s="37">
        <f>'03_原始数据'!C809-0.6*'03_原始数据'!B809-OtherCost</f>
        <v/>
      </c>
      <c r="N809" s="37">
        <f>'03_原始数据'!C809-0.605*'03_原始数据'!B809-OtherCost</f>
        <v/>
      </c>
      <c r="O809" s="37">
        <f>'03_原始数据'!C809-0.61*'03_原始数据'!B809-OtherCost</f>
        <v/>
      </c>
      <c r="P809" s="37">
        <f>'03_原始数据'!C809-0.615*'03_原始数据'!B809-OtherCost</f>
        <v/>
      </c>
      <c r="Q809" s="37">
        <f>'03_原始数据'!C809-0.62*'03_原始数据'!B809-OtherCost</f>
        <v/>
      </c>
      <c r="R809" s="37">
        <f>'03_原始数据'!C809-0.625*'03_原始数据'!B809-OtherCost</f>
        <v/>
      </c>
      <c r="S809" s="37">
        <f>'03_原始数据'!C809-0.63*'03_原始数据'!B809-OtherCost</f>
        <v/>
      </c>
      <c r="T809" s="37">
        <f>'03_原始数据'!C809-0.635*'03_原始数据'!B809-OtherCost</f>
        <v/>
      </c>
      <c r="U809" s="37">
        <f>'03_原始数据'!C809-0.64*'03_原始数据'!B809-OtherCost</f>
        <v/>
      </c>
      <c r="V809" s="37">
        <f>'03_原始数据'!C809-0.645*'03_原始数据'!B809-OtherCost</f>
        <v/>
      </c>
      <c r="W809" s="37">
        <f>'03_原始数据'!C809-0.65*'03_原始数据'!B809-OtherCost</f>
        <v/>
      </c>
      <c r="X809" s="37">
        <f>'03_原始数据'!C809-0.655*'03_原始数据'!B809-OtherCost</f>
        <v/>
      </c>
      <c r="Y809" s="37">
        <f>'03_原始数据'!C809-0.66*'03_原始数据'!B809-OtherCost</f>
        <v/>
      </c>
      <c r="Z809" s="37">
        <f>'03_原始数据'!C809-0.665*'03_原始数据'!B809-OtherCost</f>
        <v/>
      </c>
      <c r="AA809" s="37">
        <f>'03_原始数据'!C809-0.67*'03_原始数据'!B809-OtherCost</f>
        <v/>
      </c>
      <c r="AB809" s="37">
        <f>'03_原始数据'!C809-0.675*'03_原始数据'!B809-OtherCost</f>
        <v/>
      </c>
      <c r="AC809" s="37">
        <f>'03_原始数据'!C809-0.68*'03_原始数据'!B809-OtherCost</f>
        <v/>
      </c>
      <c r="AD809" s="37">
        <f>'03_原始数据'!C809-0.685*'03_原始数据'!B809-OtherCost</f>
        <v/>
      </c>
      <c r="AE809" s="37">
        <f>'03_原始数据'!C809-0.69*'03_原始数据'!B809-OtherCost</f>
        <v/>
      </c>
      <c r="AF809" s="37">
        <f>'03_原始数据'!C809-0.695*'03_原始数据'!B809-OtherCost</f>
        <v/>
      </c>
      <c r="AG809" s="37">
        <f>'03_原始数据'!C809-0.7*'03_原始数据'!B809-OtherCost</f>
        <v/>
      </c>
    </row>
    <row r="810">
      <c r="M810" s="37">
        <f>'03_原始数据'!C810-0.6*'03_原始数据'!B810-OtherCost</f>
        <v/>
      </c>
      <c r="N810" s="37">
        <f>'03_原始数据'!C810-0.605*'03_原始数据'!B810-OtherCost</f>
        <v/>
      </c>
      <c r="O810" s="37">
        <f>'03_原始数据'!C810-0.61*'03_原始数据'!B810-OtherCost</f>
        <v/>
      </c>
      <c r="P810" s="37">
        <f>'03_原始数据'!C810-0.615*'03_原始数据'!B810-OtherCost</f>
        <v/>
      </c>
      <c r="Q810" s="37">
        <f>'03_原始数据'!C810-0.62*'03_原始数据'!B810-OtherCost</f>
        <v/>
      </c>
      <c r="R810" s="37">
        <f>'03_原始数据'!C810-0.625*'03_原始数据'!B810-OtherCost</f>
        <v/>
      </c>
      <c r="S810" s="37">
        <f>'03_原始数据'!C810-0.63*'03_原始数据'!B810-OtherCost</f>
        <v/>
      </c>
      <c r="T810" s="37">
        <f>'03_原始数据'!C810-0.635*'03_原始数据'!B810-OtherCost</f>
        <v/>
      </c>
      <c r="U810" s="37">
        <f>'03_原始数据'!C810-0.64*'03_原始数据'!B810-OtherCost</f>
        <v/>
      </c>
      <c r="V810" s="37">
        <f>'03_原始数据'!C810-0.645*'03_原始数据'!B810-OtherCost</f>
        <v/>
      </c>
      <c r="W810" s="37">
        <f>'03_原始数据'!C810-0.65*'03_原始数据'!B810-OtherCost</f>
        <v/>
      </c>
      <c r="X810" s="37">
        <f>'03_原始数据'!C810-0.655*'03_原始数据'!B810-OtherCost</f>
        <v/>
      </c>
      <c r="Y810" s="37">
        <f>'03_原始数据'!C810-0.66*'03_原始数据'!B810-OtherCost</f>
        <v/>
      </c>
      <c r="Z810" s="37">
        <f>'03_原始数据'!C810-0.665*'03_原始数据'!B810-OtherCost</f>
        <v/>
      </c>
      <c r="AA810" s="37">
        <f>'03_原始数据'!C810-0.67*'03_原始数据'!B810-OtherCost</f>
        <v/>
      </c>
      <c r="AB810" s="37">
        <f>'03_原始数据'!C810-0.675*'03_原始数据'!B810-OtherCost</f>
        <v/>
      </c>
      <c r="AC810" s="37">
        <f>'03_原始数据'!C810-0.68*'03_原始数据'!B810-OtherCost</f>
        <v/>
      </c>
      <c r="AD810" s="37">
        <f>'03_原始数据'!C810-0.685*'03_原始数据'!B810-OtherCost</f>
        <v/>
      </c>
      <c r="AE810" s="37">
        <f>'03_原始数据'!C810-0.69*'03_原始数据'!B810-OtherCost</f>
        <v/>
      </c>
      <c r="AF810" s="37">
        <f>'03_原始数据'!C810-0.695*'03_原始数据'!B810-OtherCost</f>
        <v/>
      </c>
      <c r="AG810" s="37">
        <f>'03_原始数据'!C810-0.7*'03_原始数据'!B810-OtherCost</f>
        <v/>
      </c>
    </row>
    <row r="811">
      <c r="M811" s="37">
        <f>'03_原始数据'!C811-0.6*'03_原始数据'!B811-OtherCost</f>
        <v/>
      </c>
      <c r="N811" s="37">
        <f>'03_原始数据'!C811-0.605*'03_原始数据'!B811-OtherCost</f>
        <v/>
      </c>
      <c r="O811" s="37">
        <f>'03_原始数据'!C811-0.61*'03_原始数据'!B811-OtherCost</f>
        <v/>
      </c>
      <c r="P811" s="37">
        <f>'03_原始数据'!C811-0.615*'03_原始数据'!B811-OtherCost</f>
        <v/>
      </c>
      <c r="Q811" s="37">
        <f>'03_原始数据'!C811-0.62*'03_原始数据'!B811-OtherCost</f>
        <v/>
      </c>
      <c r="R811" s="37">
        <f>'03_原始数据'!C811-0.625*'03_原始数据'!B811-OtherCost</f>
        <v/>
      </c>
      <c r="S811" s="37">
        <f>'03_原始数据'!C811-0.63*'03_原始数据'!B811-OtherCost</f>
        <v/>
      </c>
      <c r="T811" s="37">
        <f>'03_原始数据'!C811-0.635*'03_原始数据'!B811-OtherCost</f>
        <v/>
      </c>
      <c r="U811" s="37">
        <f>'03_原始数据'!C811-0.64*'03_原始数据'!B811-OtherCost</f>
        <v/>
      </c>
      <c r="V811" s="37">
        <f>'03_原始数据'!C811-0.645*'03_原始数据'!B811-OtherCost</f>
        <v/>
      </c>
      <c r="W811" s="37">
        <f>'03_原始数据'!C811-0.65*'03_原始数据'!B811-OtherCost</f>
        <v/>
      </c>
      <c r="X811" s="37">
        <f>'03_原始数据'!C811-0.655*'03_原始数据'!B811-OtherCost</f>
        <v/>
      </c>
      <c r="Y811" s="37">
        <f>'03_原始数据'!C811-0.66*'03_原始数据'!B811-OtherCost</f>
        <v/>
      </c>
      <c r="Z811" s="37">
        <f>'03_原始数据'!C811-0.665*'03_原始数据'!B811-OtherCost</f>
        <v/>
      </c>
      <c r="AA811" s="37">
        <f>'03_原始数据'!C811-0.67*'03_原始数据'!B811-OtherCost</f>
        <v/>
      </c>
      <c r="AB811" s="37">
        <f>'03_原始数据'!C811-0.675*'03_原始数据'!B811-OtherCost</f>
        <v/>
      </c>
      <c r="AC811" s="37">
        <f>'03_原始数据'!C811-0.68*'03_原始数据'!B811-OtherCost</f>
        <v/>
      </c>
      <c r="AD811" s="37">
        <f>'03_原始数据'!C811-0.685*'03_原始数据'!B811-OtherCost</f>
        <v/>
      </c>
      <c r="AE811" s="37">
        <f>'03_原始数据'!C811-0.69*'03_原始数据'!B811-OtherCost</f>
        <v/>
      </c>
      <c r="AF811" s="37">
        <f>'03_原始数据'!C811-0.695*'03_原始数据'!B811-OtherCost</f>
        <v/>
      </c>
      <c r="AG811" s="37">
        <f>'03_原始数据'!C811-0.7*'03_原始数据'!B811-OtherCost</f>
        <v/>
      </c>
    </row>
    <row r="812">
      <c r="M812" s="37">
        <f>'03_原始数据'!C812-0.6*'03_原始数据'!B812-OtherCost</f>
        <v/>
      </c>
      <c r="N812" s="37">
        <f>'03_原始数据'!C812-0.605*'03_原始数据'!B812-OtherCost</f>
        <v/>
      </c>
      <c r="O812" s="37">
        <f>'03_原始数据'!C812-0.61*'03_原始数据'!B812-OtherCost</f>
        <v/>
      </c>
      <c r="P812" s="37">
        <f>'03_原始数据'!C812-0.615*'03_原始数据'!B812-OtherCost</f>
        <v/>
      </c>
      <c r="Q812" s="37">
        <f>'03_原始数据'!C812-0.62*'03_原始数据'!B812-OtherCost</f>
        <v/>
      </c>
      <c r="R812" s="37">
        <f>'03_原始数据'!C812-0.625*'03_原始数据'!B812-OtherCost</f>
        <v/>
      </c>
      <c r="S812" s="37">
        <f>'03_原始数据'!C812-0.63*'03_原始数据'!B812-OtherCost</f>
        <v/>
      </c>
      <c r="T812" s="37">
        <f>'03_原始数据'!C812-0.635*'03_原始数据'!B812-OtherCost</f>
        <v/>
      </c>
      <c r="U812" s="37">
        <f>'03_原始数据'!C812-0.64*'03_原始数据'!B812-OtherCost</f>
        <v/>
      </c>
      <c r="V812" s="37">
        <f>'03_原始数据'!C812-0.645*'03_原始数据'!B812-OtherCost</f>
        <v/>
      </c>
      <c r="W812" s="37">
        <f>'03_原始数据'!C812-0.65*'03_原始数据'!B812-OtherCost</f>
        <v/>
      </c>
      <c r="X812" s="37">
        <f>'03_原始数据'!C812-0.655*'03_原始数据'!B812-OtherCost</f>
        <v/>
      </c>
      <c r="Y812" s="37">
        <f>'03_原始数据'!C812-0.66*'03_原始数据'!B812-OtherCost</f>
        <v/>
      </c>
      <c r="Z812" s="37">
        <f>'03_原始数据'!C812-0.665*'03_原始数据'!B812-OtherCost</f>
        <v/>
      </c>
      <c r="AA812" s="37">
        <f>'03_原始数据'!C812-0.67*'03_原始数据'!B812-OtherCost</f>
        <v/>
      </c>
      <c r="AB812" s="37">
        <f>'03_原始数据'!C812-0.675*'03_原始数据'!B812-OtherCost</f>
        <v/>
      </c>
      <c r="AC812" s="37">
        <f>'03_原始数据'!C812-0.68*'03_原始数据'!B812-OtherCost</f>
        <v/>
      </c>
      <c r="AD812" s="37">
        <f>'03_原始数据'!C812-0.685*'03_原始数据'!B812-OtherCost</f>
        <v/>
      </c>
      <c r="AE812" s="37">
        <f>'03_原始数据'!C812-0.69*'03_原始数据'!B812-OtherCost</f>
        <v/>
      </c>
      <c r="AF812" s="37">
        <f>'03_原始数据'!C812-0.695*'03_原始数据'!B812-OtherCost</f>
        <v/>
      </c>
      <c r="AG812" s="37">
        <f>'03_原始数据'!C812-0.7*'03_原始数据'!B812-OtherCost</f>
        <v/>
      </c>
    </row>
    <row r="813">
      <c r="M813" s="37">
        <f>'03_原始数据'!C813-0.6*'03_原始数据'!B813-OtherCost</f>
        <v/>
      </c>
      <c r="N813" s="37">
        <f>'03_原始数据'!C813-0.605*'03_原始数据'!B813-OtherCost</f>
        <v/>
      </c>
      <c r="O813" s="37">
        <f>'03_原始数据'!C813-0.61*'03_原始数据'!B813-OtherCost</f>
        <v/>
      </c>
      <c r="P813" s="37">
        <f>'03_原始数据'!C813-0.615*'03_原始数据'!B813-OtherCost</f>
        <v/>
      </c>
      <c r="Q813" s="37">
        <f>'03_原始数据'!C813-0.62*'03_原始数据'!B813-OtherCost</f>
        <v/>
      </c>
      <c r="R813" s="37">
        <f>'03_原始数据'!C813-0.625*'03_原始数据'!B813-OtherCost</f>
        <v/>
      </c>
      <c r="S813" s="37">
        <f>'03_原始数据'!C813-0.63*'03_原始数据'!B813-OtherCost</f>
        <v/>
      </c>
      <c r="T813" s="37">
        <f>'03_原始数据'!C813-0.635*'03_原始数据'!B813-OtherCost</f>
        <v/>
      </c>
      <c r="U813" s="37">
        <f>'03_原始数据'!C813-0.64*'03_原始数据'!B813-OtherCost</f>
        <v/>
      </c>
      <c r="V813" s="37">
        <f>'03_原始数据'!C813-0.645*'03_原始数据'!B813-OtherCost</f>
        <v/>
      </c>
      <c r="W813" s="37">
        <f>'03_原始数据'!C813-0.65*'03_原始数据'!B813-OtherCost</f>
        <v/>
      </c>
      <c r="X813" s="37">
        <f>'03_原始数据'!C813-0.655*'03_原始数据'!B813-OtherCost</f>
        <v/>
      </c>
      <c r="Y813" s="37">
        <f>'03_原始数据'!C813-0.66*'03_原始数据'!B813-OtherCost</f>
        <v/>
      </c>
      <c r="Z813" s="37">
        <f>'03_原始数据'!C813-0.665*'03_原始数据'!B813-OtherCost</f>
        <v/>
      </c>
      <c r="AA813" s="37">
        <f>'03_原始数据'!C813-0.67*'03_原始数据'!B813-OtherCost</f>
        <v/>
      </c>
      <c r="AB813" s="37">
        <f>'03_原始数据'!C813-0.675*'03_原始数据'!B813-OtherCost</f>
        <v/>
      </c>
      <c r="AC813" s="37">
        <f>'03_原始数据'!C813-0.68*'03_原始数据'!B813-OtherCost</f>
        <v/>
      </c>
      <c r="AD813" s="37">
        <f>'03_原始数据'!C813-0.685*'03_原始数据'!B813-OtherCost</f>
        <v/>
      </c>
      <c r="AE813" s="37">
        <f>'03_原始数据'!C813-0.69*'03_原始数据'!B813-OtherCost</f>
        <v/>
      </c>
      <c r="AF813" s="37">
        <f>'03_原始数据'!C813-0.695*'03_原始数据'!B813-OtherCost</f>
        <v/>
      </c>
      <c r="AG813" s="37">
        <f>'03_原始数据'!C813-0.7*'03_原始数据'!B813-OtherCost</f>
        <v/>
      </c>
    </row>
    <row r="814">
      <c r="M814" s="37">
        <f>'03_原始数据'!C814-0.6*'03_原始数据'!B814-OtherCost</f>
        <v/>
      </c>
      <c r="N814" s="37">
        <f>'03_原始数据'!C814-0.605*'03_原始数据'!B814-OtherCost</f>
        <v/>
      </c>
      <c r="O814" s="37">
        <f>'03_原始数据'!C814-0.61*'03_原始数据'!B814-OtherCost</f>
        <v/>
      </c>
      <c r="P814" s="37">
        <f>'03_原始数据'!C814-0.615*'03_原始数据'!B814-OtherCost</f>
        <v/>
      </c>
      <c r="Q814" s="37">
        <f>'03_原始数据'!C814-0.62*'03_原始数据'!B814-OtherCost</f>
        <v/>
      </c>
      <c r="R814" s="37">
        <f>'03_原始数据'!C814-0.625*'03_原始数据'!B814-OtherCost</f>
        <v/>
      </c>
      <c r="S814" s="37">
        <f>'03_原始数据'!C814-0.63*'03_原始数据'!B814-OtherCost</f>
        <v/>
      </c>
      <c r="T814" s="37">
        <f>'03_原始数据'!C814-0.635*'03_原始数据'!B814-OtherCost</f>
        <v/>
      </c>
      <c r="U814" s="37">
        <f>'03_原始数据'!C814-0.64*'03_原始数据'!B814-OtherCost</f>
        <v/>
      </c>
      <c r="V814" s="37">
        <f>'03_原始数据'!C814-0.645*'03_原始数据'!B814-OtherCost</f>
        <v/>
      </c>
      <c r="W814" s="37">
        <f>'03_原始数据'!C814-0.65*'03_原始数据'!B814-OtherCost</f>
        <v/>
      </c>
      <c r="X814" s="37">
        <f>'03_原始数据'!C814-0.655*'03_原始数据'!B814-OtherCost</f>
        <v/>
      </c>
      <c r="Y814" s="37">
        <f>'03_原始数据'!C814-0.66*'03_原始数据'!B814-OtherCost</f>
        <v/>
      </c>
      <c r="Z814" s="37">
        <f>'03_原始数据'!C814-0.665*'03_原始数据'!B814-OtherCost</f>
        <v/>
      </c>
      <c r="AA814" s="37">
        <f>'03_原始数据'!C814-0.67*'03_原始数据'!B814-OtherCost</f>
        <v/>
      </c>
      <c r="AB814" s="37">
        <f>'03_原始数据'!C814-0.675*'03_原始数据'!B814-OtherCost</f>
        <v/>
      </c>
      <c r="AC814" s="37">
        <f>'03_原始数据'!C814-0.68*'03_原始数据'!B814-OtherCost</f>
        <v/>
      </c>
      <c r="AD814" s="37">
        <f>'03_原始数据'!C814-0.685*'03_原始数据'!B814-OtherCost</f>
        <v/>
      </c>
      <c r="AE814" s="37">
        <f>'03_原始数据'!C814-0.69*'03_原始数据'!B814-OtherCost</f>
        <v/>
      </c>
      <c r="AF814" s="37">
        <f>'03_原始数据'!C814-0.695*'03_原始数据'!B814-OtherCost</f>
        <v/>
      </c>
      <c r="AG814" s="37">
        <f>'03_原始数据'!C814-0.7*'03_原始数据'!B814-OtherCost</f>
        <v/>
      </c>
    </row>
    <row r="815">
      <c r="M815" s="37">
        <f>'03_原始数据'!C815-0.6*'03_原始数据'!B815-OtherCost</f>
        <v/>
      </c>
      <c r="N815" s="37">
        <f>'03_原始数据'!C815-0.605*'03_原始数据'!B815-OtherCost</f>
        <v/>
      </c>
      <c r="O815" s="37">
        <f>'03_原始数据'!C815-0.61*'03_原始数据'!B815-OtherCost</f>
        <v/>
      </c>
      <c r="P815" s="37">
        <f>'03_原始数据'!C815-0.615*'03_原始数据'!B815-OtherCost</f>
        <v/>
      </c>
      <c r="Q815" s="37">
        <f>'03_原始数据'!C815-0.62*'03_原始数据'!B815-OtherCost</f>
        <v/>
      </c>
      <c r="R815" s="37">
        <f>'03_原始数据'!C815-0.625*'03_原始数据'!B815-OtherCost</f>
        <v/>
      </c>
      <c r="S815" s="37">
        <f>'03_原始数据'!C815-0.63*'03_原始数据'!B815-OtherCost</f>
        <v/>
      </c>
      <c r="T815" s="37">
        <f>'03_原始数据'!C815-0.635*'03_原始数据'!B815-OtherCost</f>
        <v/>
      </c>
      <c r="U815" s="37">
        <f>'03_原始数据'!C815-0.64*'03_原始数据'!B815-OtherCost</f>
        <v/>
      </c>
      <c r="V815" s="37">
        <f>'03_原始数据'!C815-0.645*'03_原始数据'!B815-OtherCost</f>
        <v/>
      </c>
      <c r="W815" s="37">
        <f>'03_原始数据'!C815-0.65*'03_原始数据'!B815-OtherCost</f>
        <v/>
      </c>
      <c r="X815" s="37">
        <f>'03_原始数据'!C815-0.655*'03_原始数据'!B815-OtherCost</f>
        <v/>
      </c>
      <c r="Y815" s="37">
        <f>'03_原始数据'!C815-0.66*'03_原始数据'!B815-OtherCost</f>
        <v/>
      </c>
      <c r="Z815" s="37">
        <f>'03_原始数据'!C815-0.665*'03_原始数据'!B815-OtherCost</f>
        <v/>
      </c>
      <c r="AA815" s="37">
        <f>'03_原始数据'!C815-0.67*'03_原始数据'!B815-OtherCost</f>
        <v/>
      </c>
      <c r="AB815" s="37">
        <f>'03_原始数据'!C815-0.675*'03_原始数据'!B815-OtherCost</f>
        <v/>
      </c>
      <c r="AC815" s="37">
        <f>'03_原始数据'!C815-0.68*'03_原始数据'!B815-OtherCost</f>
        <v/>
      </c>
      <c r="AD815" s="37">
        <f>'03_原始数据'!C815-0.685*'03_原始数据'!B815-OtherCost</f>
        <v/>
      </c>
      <c r="AE815" s="37">
        <f>'03_原始数据'!C815-0.69*'03_原始数据'!B815-OtherCost</f>
        <v/>
      </c>
      <c r="AF815" s="37">
        <f>'03_原始数据'!C815-0.695*'03_原始数据'!B815-OtherCost</f>
        <v/>
      </c>
      <c r="AG815" s="37">
        <f>'03_原始数据'!C815-0.7*'03_原始数据'!B815-OtherCost</f>
        <v/>
      </c>
    </row>
    <row r="816">
      <c r="M816" s="37">
        <f>'03_原始数据'!C816-0.6*'03_原始数据'!B816-OtherCost</f>
        <v/>
      </c>
      <c r="N816" s="37">
        <f>'03_原始数据'!C816-0.605*'03_原始数据'!B816-OtherCost</f>
        <v/>
      </c>
      <c r="O816" s="37">
        <f>'03_原始数据'!C816-0.61*'03_原始数据'!B816-OtherCost</f>
        <v/>
      </c>
      <c r="P816" s="37">
        <f>'03_原始数据'!C816-0.615*'03_原始数据'!B816-OtherCost</f>
        <v/>
      </c>
      <c r="Q816" s="37">
        <f>'03_原始数据'!C816-0.62*'03_原始数据'!B816-OtherCost</f>
        <v/>
      </c>
      <c r="R816" s="37">
        <f>'03_原始数据'!C816-0.625*'03_原始数据'!B816-OtherCost</f>
        <v/>
      </c>
      <c r="S816" s="37">
        <f>'03_原始数据'!C816-0.63*'03_原始数据'!B816-OtherCost</f>
        <v/>
      </c>
      <c r="T816" s="37">
        <f>'03_原始数据'!C816-0.635*'03_原始数据'!B816-OtherCost</f>
        <v/>
      </c>
      <c r="U816" s="37">
        <f>'03_原始数据'!C816-0.64*'03_原始数据'!B816-OtherCost</f>
        <v/>
      </c>
      <c r="V816" s="37">
        <f>'03_原始数据'!C816-0.645*'03_原始数据'!B816-OtherCost</f>
        <v/>
      </c>
      <c r="W816" s="37">
        <f>'03_原始数据'!C816-0.65*'03_原始数据'!B816-OtherCost</f>
        <v/>
      </c>
      <c r="X816" s="37">
        <f>'03_原始数据'!C816-0.655*'03_原始数据'!B816-OtherCost</f>
        <v/>
      </c>
      <c r="Y816" s="37">
        <f>'03_原始数据'!C816-0.66*'03_原始数据'!B816-OtherCost</f>
        <v/>
      </c>
      <c r="Z816" s="37">
        <f>'03_原始数据'!C816-0.665*'03_原始数据'!B816-OtherCost</f>
        <v/>
      </c>
      <c r="AA816" s="37">
        <f>'03_原始数据'!C816-0.67*'03_原始数据'!B816-OtherCost</f>
        <v/>
      </c>
      <c r="AB816" s="37">
        <f>'03_原始数据'!C816-0.675*'03_原始数据'!B816-OtherCost</f>
        <v/>
      </c>
      <c r="AC816" s="37">
        <f>'03_原始数据'!C816-0.68*'03_原始数据'!B816-OtherCost</f>
        <v/>
      </c>
      <c r="AD816" s="37">
        <f>'03_原始数据'!C816-0.685*'03_原始数据'!B816-OtherCost</f>
        <v/>
      </c>
      <c r="AE816" s="37">
        <f>'03_原始数据'!C816-0.69*'03_原始数据'!B816-OtherCost</f>
        <v/>
      </c>
      <c r="AF816" s="37">
        <f>'03_原始数据'!C816-0.695*'03_原始数据'!B816-OtherCost</f>
        <v/>
      </c>
      <c r="AG816" s="37">
        <f>'03_原始数据'!C816-0.7*'03_原始数据'!B816-OtherCost</f>
        <v/>
      </c>
    </row>
    <row r="817">
      <c r="M817" s="37">
        <f>'03_原始数据'!C817-0.6*'03_原始数据'!B817-OtherCost</f>
        <v/>
      </c>
      <c r="N817" s="37">
        <f>'03_原始数据'!C817-0.605*'03_原始数据'!B817-OtherCost</f>
        <v/>
      </c>
      <c r="O817" s="37">
        <f>'03_原始数据'!C817-0.61*'03_原始数据'!B817-OtherCost</f>
        <v/>
      </c>
      <c r="P817" s="37">
        <f>'03_原始数据'!C817-0.615*'03_原始数据'!B817-OtherCost</f>
        <v/>
      </c>
      <c r="Q817" s="37">
        <f>'03_原始数据'!C817-0.62*'03_原始数据'!B817-OtherCost</f>
        <v/>
      </c>
      <c r="R817" s="37">
        <f>'03_原始数据'!C817-0.625*'03_原始数据'!B817-OtherCost</f>
        <v/>
      </c>
      <c r="S817" s="37">
        <f>'03_原始数据'!C817-0.63*'03_原始数据'!B817-OtherCost</f>
        <v/>
      </c>
      <c r="T817" s="37">
        <f>'03_原始数据'!C817-0.635*'03_原始数据'!B817-OtherCost</f>
        <v/>
      </c>
      <c r="U817" s="37">
        <f>'03_原始数据'!C817-0.64*'03_原始数据'!B817-OtherCost</f>
        <v/>
      </c>
      <c r="V817" s="37">
        <f>'03_原始数据'!C817-0.645*'03_原始数据'!B817-OtherCost</f>
        <v/>
      </c>
      <c r="W817" s="37">
        <f>'03_原始数据'!C817-0.65*'03_原始数据'!B817-OtherCost</f>
        <v/>
      </c>
      <c r="X817" s="37">
        <f>'03_原始数据'!C817-0.655*'03_原始数据'!B817-OtherCost</f>
        <v/>
      </c>
      <c r="Y817" s="37">
        <f>'03_原始数据'!C817-0.66*'03_原始数据'!B817-OtherCost</f>
        <v/>
      </c>
      <c r="Z817" s="37">
        <f>'03_原始数据'!C817-0.665*'03_原始数据'!B817-OtherCost</f>
        <v/>
      </c>
      <c r="AA817" s="37">
        <f>'03_原始数据'!C817-0.67*'03_原始数据'!B817-OtherCost</f>
        <v/>
      </c>
      <c r="AB817" s="37">
        <f>'03_原始数据'!C817-0.675*'03_原始数据'!B817-OtherCost</f>
        <v/>
      </c>
      <c r="AC817" s="37">
        <f>'03_原始数据'!C817-0.68*'03_原始数据'!B817-OtherCost</f>
        <v/>
      </c>
      <c r="AD817" s="37">
        <f>'03_原始数据'!C817-0.685*'03_原始数据'!B817-OtherCost</f>
        <v/>
      </c>
      <c r="AE817" s="37">
        <f>'03_原始数据'!C817-0.69*'03_原始数据'!B817-OtherCost</f>
        <v/>
      </c>
      <c r="AF817" s="37">
        <f>'03_原始数据'!C817-0.695*'03_原始数据'!B817-OtherCost</f>
        <v/>
      </c>
      <c r="AG817" s="37">
        <f>'03_原始数据'!C817-0.7*'03_原始数据'!B817-OtherCost</f>
        <v/>
      </c>
    </row>
    <row r="818">
      <c r="M818" s="37">
        <f>'03_原始数据'!C818-0.6*'03_原始数据'!B818-OtherCost</f>
        <v/>
      </c>
      <c r="N818" s="37">
        <f>'03_原始数据'!C818-0.605*'03_原始数据'!B818-OtherCost</f>
        <v/>
      </c>
      <c r="O818" s="37">
        <f>'03_原始数据'!C818-0.61*'03_原始数据'!B818-OtherCost</f>
        <v/>
      </c>
      <c r="P818" s="37">
        <f>'03_原始数据'!C818-0.615*'03_原始数据'!B818-OtherCost</f>
        <v/>
      </c>
      <c r="Q818" s="37">
        <f>'03_原始数据'!C818-0.62*'03_原始数据'!B818-OtherCost</f>
        <v/>
      </c>
      <c r="R818" s="37">
        <f>'03_原始数据'!C818-0.625*'03_原始数据'!B818-OtherCost</f>
        <v/>
      </c>
      <c r="S818" s="37">
        <f>'03_原始数据'!C818-0.63*'03_原始数据'!B818-OtherCost</f>
        <v/>
      </c>
      <c r="T818" s="37">
        <f>'03_原始数据'!C818-0.635*'03_原始数据'!B818-OtherCost</f>
        <v/>
      </c>
      <c r="U818" s="37">
        <f>'03_原始数据'!C818-0.64*'03_原始数据'!B818-OtherCost</f>
        <v/>
      </c>
      <c r="V818" s="37">
        <f>'03_原始数据'!C818-0.645*'03_原始数据'!B818-OtherCost</f>
        <v/>
      </c>
      <c r="W818" s="37">
        <f>'03_原始数据'!C818-0.65*'03_原始数据'!B818-OtherCost</f>
        <v/>
      </c>
      <c r="X818" s="37">
        <f>'03_原始数据'!C818-0.655*'03_原始数据'!B818-OtherCost</f>
        <v/>
      </c>
      <c r="Y818" s="37">
        <f>'03_原始数据'!C818-0.66*'03_原始数据'!B818-OtherCost</f>
        <v/>
      </c>
      <c r="Z818" s="37">
        <f>'03_原始数据'!C818-0.665*'03_原始数据'!B818-OtherCost</f>
        <v/>
      </c>
      <c r="AA818" s="37">
        <f>'03_原始数据'!C818-0.67*'03_原始数据'!B818-OtherCost</f>
        <v/>
      </c>
      <c r="AB818" s="37">
        <f>'03_原始数据'!C818-0.675*'03_原始数据'!B818-OtherCost</f>
        <v/>
      </c>
      <c r="AC818" s="37">
        <f>'03_原始数据'!C818-0.68*'03_原始数据'!B818-OtherCost</f>
        <v/>
      </c>
      <c r="AD818" s="37">
        <f>'03_原始数据'!C818-0.685*'03_原始数据'!B818-OtherCost</f>
        <v/>
      </c>
      <c r="AE818" s="37">
        <f>'03_原始数据'!C818-0.69*'03_原始数据'!B818-OtherCost</f>
        <v/>
      </c>
      <c r="AF818" s="37">
        <f>'03_原始数据'!C818-0.695*'03_原始数据'!B818-OtherCost</f>
        <v/>
      </c>
      <c r="AG818" s="37">
        <f>'03_原始数据'!C818-0.7*'03_原始数据'!B818-OtherCost</f>
        <v/>
      </c>
    </row>
    <row r="819">
      <c r="M819" s="37">
        <f>'03_原始数据'!C819-0.6*'03_原始数据'!B819-OtherCost</f>
        <v/>
      </c>
      <c r="N819" s="37">
        <f>'03_原始数据'!C819-0.605*'03_原始数据'!B819-OtherCost</f>
        <v/>
      </c>
      <c r="O819" s="37">
        <f>'03_原始数据'!C819-0.61*'03_原始数据'!B819-OtherCost</f>
        <v/>
      </c>
      <c r="P819" s="37">
        <f>'03_原始数据'!C819-0.615*'03_原始数据'!B819-OtherCost</f>
        <v/>
      </c>
      <c r="Q819" s="37">
        <f>'03_原始数据'!C819-0.62*'03_原始数据'!B819-OtherCost</f>
        <v/>
      </c>
      <c r="R819" s="37">
        <f>'03_原始数据'!C819-0.625*'03_原始数据'!B819-OtherCost</f>
        <v/>
      </c>
      <c r="S819" s="37">
        <f>'03_原始数据'!C819-0.63*'03_原始数据'!B819-OtherCost</f>
        <v/>
      </c>
      <c r="T819" s="37">
        <f>'03_原始数据'!C819-0.635*'03_原始数据'!B819-OtherCost</f>
        <v/>
      </c>
      <c r="U819" s="37">
        <f>'03_原始数据'!C819-0.64*'03_原始数据'!B819-OtherCost</f>
        <v/>
      </c>
      <c r="V819" s="37">
        <f>'03_原始数据'!C819-0.645*'03_原始数据'!B819-OtherCost</f>
        <v/>
      </c>
      <c r="W819" s="37">
        <f>'03_原始数据'!C819-0.65*'03_原始数据'!B819-OtherCost</f>
        <v/>
      </c>
      <c r="X819" s="37">
        <f>'03_原始数据'!C819-0.655*'03_原始数据'!B819-OtherCost</f>
        <v/>
      </c>
      <c r="Y819" s="37">
        <f>'03_原始数据'!C819-0.66*'03_原始数据'!B819-OtherCost</f>
        <v/>
      </c>
      <c r="Z819" s="37">
        <f>'03_原始数据'!C819-0.665*'03_原始数据'!B819-OtherCost</f>
        <v/>
      </c>
      <c r="AA819" s="37">
        <f>'03_原始数据'!C819-0.67*'03_原始数据'!B819-OtherCost</f>
        <v/>
      </c>
      <c r="AB819" s="37">
        <f>'03_原始数据'!C819-0.675*'03_原始数据'!B819-OtherCost</f>
        <v/>
      </c>
      <c r="AC819" s="37">
        <f>'03_原始数据'!C819-0.68*'03_原始数据'!B819-OtherCost</f>
        <v/>
      </c>
      <c r="AD819" s="37">
        <f>'03_原始数据'!C819-0.685*'03_原始数据'!B819-OtherCost</f>
        <v/>
      </c>
      <c r="AE819" s="37">
        <f>'03_原始数据'!C819-0.69*'03_原始数据'!B819-OtherCost</f>
        <v/>
      </c>
      <c r="AF819" s="37">
        <f>'03_原始数据'!C819-0.695*'03_原始数据'!B819-OtherCost</f>
        <v/>
      </c>
      <c r="AG819" s="37">
        <f>'03_原始数据'!C819-0.7*'03_原始数据'!B819-OtherCost</f>
        <v/>
      </c>
    </row>
    <row r="820">
      <c r="M820" s="37">
        <f>'03_原始数据'!C820-0.6*'03_原始数据'!B820-OtherCost</f>
        <v/>
      </c>
      <c r="N820" s="37">
        <f>'03_原始数据'!C820-0.605*'03_原始数据'!B820-OtherCost</f>
        <v/>
      </c>
      <c r="O820" s="37">
        <f>'03_原始数据'!C820-0.61*'03_原始数据'!B820-OtherCost</f>
        <v/>
      </c>
      <c r="P820" s="37">
        <f>'03_原始数据'!C820-0.615*'03_原始数据'!B820-OtherCost</f>
        <v/>
      </c>
      <c r="Q820" s="37">
        <f>'03_原始数据'!C820-0.62*'03_原始数据'!B820-OtherCost</f>
        <v/>
      </c>
      <c r="R820" s="37">
        <f>'03_原始数据'!C820-0.625*'03_原始数据'!B820-OtherCost</f>
        <v/>
      </c>
      <c r="S820" s="37">
        <f>'03_原始数据'!C820-0.63*'03_原始数据'!B820-OtherCost</f>
        <v/>
      </c>
      <c r="T820" s="37">
        <f>'03_原始数据'!C820-0.635*'03_原始数据'!B820-OtherCost</f>
        <v/>
      </c>
      <c r="U820" s="37">
        <f>'03_原始数据'!C820-0.64*'03_原始数据'!B820-OtherCost</f>
        <v/>
      </c>
      <c r="V820" s="37">
        <f>'03_原始数据'!C820-0.645*'03_原始数据'!B820-OtherCost</f>
        <v/>
      </c>
      <c r="W820" s="37">
        <f>'03_原始数据'!C820-0.65*'03_原始数据'!B820-OtherCost</f>
        <v/>
      </c>
      <c r="X820" s="37">
        <f>'03_原始数据'!C820-0.655*'03_原始数据'!B820-OtherCost</f>
        <v/>
      </c>
      <c r="Y820" s="37">
        <f>'03_原始数据'!C820-0.66*'03_原始数据'!B820-OtherCost</f>
        <v/>
      </c>
      <c r="Z820" s="37">
        <f>'03_原始数据'!C820-0.665*'03_原始数据'!B820-OtherCost</f>
        <v/>
      </c>
      <c r="AA820" s="37">
        <f>'03_原始数据'!C820-0.67*'03_原始数据'!B820-OtherCost</f>
        <v/>
      </c>
      <c r="AB820" s="37">
        <f>'03_原始数据'!C820-0.675*'03_原始数据'!B820-OtherCost</f>
        <v/>
      </c>
      <c r="AC820" s="37">
        <f>'03_原始数据'!C820-0.68*'03_原始数据'!B820-OtherCost</f>
        <v/>
      </c>
      <c r="AD820" s="37">
        <f>'03_原始数据'!C820-0.685*'03_原始数据'!B820-OtherCost</f>
        <v/>
      </c>
      <c r="AE820" s="37">
        <f>'03_原始数据'!C820-0.69*'03_原始数据'!B820-OtherCost</f>
        <v/>
      </c>
      <c r="AF820" s="37">
        <f>'03_原始数据'!C820-0.695*'03_原始数据'!B820-OtherCost</f>
        <v/>
      </c>
      <c r="AG820" s="37">
        <f>'03_原始数据'!C820-0.7*'03_原始数据'!B820-OtherCost</f>
        <v/>
      </c>
    </row>
    <row r="821">
      <c r="M821" s="37">
        <f>'03_原始数据'!C821-0.6*'03_原始数据'!B821-OtherCost</f>
        <v/>
      </c>
      <c r="N821" s="37">
        <f>'03_原始数据'!C821-0.605*'03_原始数据'!B821-OtherCost</f>
        <v/>
      </c>
      <c r="O821" s="37">
        <f>'03_原始数据'!C821-0.61*'03_原始数据'!B821-OtherCost</f>
        <v/>
      </c>
      <c r="P821" s="37">
        <f>'03_原始数据'!C821-0.615*'03_原始数据'!B821-OtherCost</f>
        <v/>
      </c>
      <c r="Q821" s="37">
        <f>'03_原始数据'!C821-0.62*'03_原始数据'!B821-OtherCost</f>
        <v/>
      </c>
      <c r="R821" s="37">
        <f>'03_原始数据'!C821-0.625*'03_原始数据'!B821-OtherCost</f>
        <v/>
      </c>
      <c r="S821" s="37">
        <f>'03_原始数据'!C821-0.63*'03_原始数据'!B821-OtherCost</f>
        <v/>
      </c>
      <c r="T821" s="37">
        <f>'03_原始数据'!C821-0.635*'03_原始数据'!B821-OtherCost</f>
        <v/>
      </c>
      <c r="U821" s="37">
        <f>'03_原始数据'!C821-0.64*'03_原始数据'!B821-OtherCost</f>
        <v/>
      </c>
      <c r="V821" s="37">
        <f>'03_原始数据'!C821-0.645*'03_原始数据'!B821-OtherCost</f>
        <v/>
      </c>
      <c r="W821" s="37">
        <f>'03_原始数据'!C821-0.65*'03_原始数据'!B821-OtherCost</f>
        <v/>
      </c>
      <c r="X821" s="37">
        <f>'03_原始数据'!C821-0.655*'03_原始数据'!B821-OtherCost</f>
        <v/>
      </c>
      <c r="Y821" s="37">
        <f>'03_原始数据'!C821-0.66*'03_原始数据'!B821-OtherCost</f>
        <v/>
      </c>
      <c r="Z821" s="37">
        <f>'03_原始数据'!C821-0.665*'03_原始数据'!B821-OtherCost</f>
        <v/>
      </c>
      <c r="AA821" s="37">
        <f>'03_原始数据'!C821-0.67*'03_原始数据'!B821-OtherCost</f>
        <v/>
      </c>
      <c r="AB821" s="37">
        <f>'03_原始数据'!C821-0.675*'03_原始数据'!B821-OtherCost</f>
        <v/>
      </c>
      <c r="AC821" s="37">
        <f>'03_原始数据'!C821-0.68*'03_原始数据'!B821-OtherCost</f>
        <v/>
      </c>
      <c r="AD821" s="37">
        <f>'03_原始数据'!C821-0.685*'03_原始数据'!B821-OtherCost</f>
        <v/>
      </c>
      <c r="AE821" s="37">
        <f>'03_原始数据'!C821-0.69*'03_原始数据'!B821-OtherCost</f>
        <v/>
      </c>
      <c r="AF821" s="37">
        <f>'03_原始数据'!C821-0.695*'03_原始数据'!B821-OtherCost</f>
        <v/>
      </c>
      <c r="AG821" s="37">
        <f>'03_原始数据'!C821-0.7*'03_原始数据'!B821-OtherCost</f>
        <v/>
      </c>
    </row>
    <row r="822">
      <c r="M822" s="37">
        <f>'03_原始数据'!C822-0.6*'03_原始数据'!B822-OtherCost</f>
        <v/>
      </c>
      <c r="N822" s="37">
        <f>'03_原始数据'!C822-0.605*'03_原始数据'!B822-OtherCost</f>
        <v/>
      </c>
      <c r="O822" s="37">
        <f>'03_原始数据'!C822-0.61*'03_原始数据'!B822-OtherCost</f>
        <v/>
      </c>
      <c r="P822" s="37">
        <f>'03_原始数据'!C822-0.615*'03_原始数据'!B822-OtherCost</f>
        <v/>
      </c>
      <c r="Q822" s="37">
        <f>'03_原始数据'!C822-0.62*'03_原始数据'!B822-OtherCost</f>
        <v/>
      </c>
      <c r="R822" s="37">
        <f>'03_原始数据'!C822-0.625*'03_原始数据'!B822-OtherCost</f>
        <v/>
      </c>
      <c r="S822" s="37">
        <f>'03_原始数据'!C822-0.63*'03_原始数据'!B822-OtherCost</f>
        <v/>
      </c>
      <c r="T822" s="37">
        <f>'03_原始数据'!C822-0.635*'03_原始数据'!B822-OtherCost</f>
        <v/>
      </c>
      <c r="U822" s="37">
        <f>'03_原始数据'!C822-0.64*'03_原始数据'!B822-OtherCost</f>
        <v/>
      </c>
      <c r="V822" s="37">
        <f>'03_原始数据'!C822-0.645*'03_原始数据'!B822-OtherCost</f>
        <v/>
      </c>
      <c r="W822" s="37">
        <f>'03_原始数据'!C822-0.65*'03_原始数据'!B822-OtherCost</f>
        <v/>
      </c>
      <c r="X822" s="37">
        <f>'03_原始数据'!C822-0.655*'03_原始数据'!B822-OtherCost</f>
        <v/>
      </c>
      <c r="Y822" s="37">
        <f>'03_原始数据'!C822-0.66*'03_原始数据'!B822-OtherCost</f>
        <v/>
      </c>
      <c r="Z822" s="37">
        <f>'03_原始数据'!C822-0.665*'03_原始数据'!B822-OtherCost</f>
        <v/>
      </c>
      <c r="AA822" s="37">
        <f>'03_原始数据'!C822-0.67*'03_原始数据'!B822-OtherCost</f>
        <v/>
      </c>
      <c r="AB822" s="37">
        <f>'03_原始数据'!C822-0.675*'03_原始数据'!B822-OtherCost</f>
        <v/>
      </c>
      <c r="AC822" s="37">
        <f>'03_原始数据'!C822-0.68*'03_原始数据'!B822-OtherCost</f>
        <v/>
      </c>
      <c r="AD822" s="37">
        <f>'03_原始数据'!C822-0.685*'03_原始数据'!B822-OtherCost</f>
        <v/>
      </c>
      <c r="AE822" s="37">
        <f>'03_原始数据'!C822-0.69*'03_原始数据'!B822-OtherCost</f>
        <v/>
      </c>
      <c r="AF822" s="37">
        <f>'03_原始数据'!C822-0.695*'03_原始数据'!B822-OtherCost</f>
        <v/>
      </c>
      <c r="AG822" s="37">
        <f>'03_原始数据'!C822-0.7*'03_原始数据'!B822-OtherCost</f>
        <v/>
      </c>
    </row>
    <row r="823">
      <c r="M823" s="37">
        <f>'03_原始数据'!C823-0.6*'03_原始数据'!B823-OtherCost</f>
        <v/>
      </c>
      <c r="N823" s="37">
        <f>'03_原始数据'!C823-0.605*'03_原始数据'!B823-OtherCost</f>
        <v/>
      </c>
      <c r="O823" s="37">
        <f>'03_原始数据'!C823-0.61*'03_原始数据'!B823-OtherCost</f>
        <v/>
      </c>
      <c r="P823" s="37">
        <f>'03_原始数据'!C823-0.615*'03_原始数据'!B823-OtherCost</f>
        <v/>
      </c>
      <c r="Q823" s="37">
        <f>'03_原始数据'!C823-0.62*'03_原始数据'!B823-OtherCost</f>
        <v/>
      </c>
      <c r="R823" s="37">
        <f>'03_原始数据'!C823-0.625*'03_原始数据'!B823-OtherCost</f>
        <v/>
      </c>
      <c r="S823" s="37">
        <f>'03_原始数据'!C823-0.63*'03_原始数据'!B823-OtherCost</f>
        <v/>
      </c>
      <c r="T823" s="37">
        <f>'03_原始数据'!C823-0.635*'03_原始数据'!B823-OtherCost</f>
        <v/>
      </c>
      <c r="U823" s="37">
        <f>'03_原始数据'!C823-0.64*'03_原始数据'!B823-OtherCost</f>
        <v/>
      </c>
      <c r="V823" s="37">
        <f>'03_原始数据'!C823-0.645*'03_原始数据'!B823-OtherCost</f>
        <v/>
      </c>
      <c r="W823" s="37">
        <f>'03_原始数据'!C823-0.65*'03_原始数据'!B823-OtherCost</f>
        <v/>
      </c>
      <c r="X823" s="37">
        <f>'03_原始数据'!C823-0.655*'03_原始数据'!B823-OtherCost</f>
        <v/>
      </c>
      <c r="Y823" s="37">
        <f>'03_原始数据'!C823-0.66*'03_原始数据'!B823-OtherCost</f>
        <v/>
      </c>
      <c r="Z823" s="37">
        <f>'03_原始数据'!C823-0.665*'03_原始数据'!B823-OtherCost</f>
        <v/>
      </c>
      <c r="AA823" s="37">
        <f>'03_原始数据'!C823-0.67*'03_原始数据'!B823-OtherCost</f>
        <v/>
      </c>
      <c r="AB823" s="37">
        <f>'03_原始数据'!C823-0.675*'03_原始数据'!B823-OtherCost</f>
        <v/>
      </c>
      <c r="AC823" s="37">
        <f>'03_原始数据'!C823-0.68*'03_原始数据'!B823-OtherCost</f>
        <v/>
      </c>
      <c r="AD823" s="37">
        <f>'03_原始数据'!C823-0.685*'03_原始数据'!B823-OtherCost</f>
        <v/>
      </c>
      <c r="AE823" s="37">
        <f>'03_原始数据'!C823-0.69*'03_原始数据'!B823-OtherCost</f>
        <v/>
      </c>
      <c r="AF823" s="37">
        <f>'03_原始数据'!C823-0.695*'03_原始数据'!B823-OtherCost</f>
        <v/>
      </c>
      <c r="AG823" s="37">
        <f>'03_原始数据'!C823-0.7*'03_原始数据'!B823-OtherCost</f>
        <v/>
      </c>
    </row>
    <row r="824">
      <c r="M824" s="37">
        <f>'03_原始数据'!C824-0.6*'03_原始数据'!B824-OtherCost</f>
        <v/>
      </c>
      <c r="N824" s="37">
        <f>'03_原始数据'!C824-0.605*'03_原始数据'!B824-OtherCost</f>
        <v/>
      </c>
      <c r="O824" s="37">
        <f>'03_原始数据'!C824-0.61*'03_原始数据'!B824-OtherCost</f>
        <v/>
      </c>
      <c r="P824" s="37">
        <f>'03_原始数据'!C824-0.615*'03_原始数据'!B824-OtherCost</f>
        <v/>
      </c>
      <c r="Q824" s="37">
        <f>'03_原始数据'!C824-0.62*'03_原始数据'!B824-OtherCost</f>
        <v/>
      </c>
      <c r="R824" s="37">
        <f>'03_原始数据'!C824-0.625*'03_原始数据'!B824-OtherCost</f>
        <v/>
      </c>
      <c r="S824" s="37">
        <f>'03_原始数据'!C824-0.63*'03_原始数据'!B824-OtherCost</f>
        <v/>
      </c>
      <c r="T824" s="37">
        <f>'03_原始数据'!C824-0.635*'03_原始数据'!B824-OtherCost</f>
        <v/>
      </c>
      <c r="U824" s="37">
        <f>'03_原始数据'!C824-0.64*'03_原始数据'!B824-OtherCost</f>
        <v/>
      </c>
      <c r="V824" s="37">
        <f>'03_原始数据'!C824-0.645*'03_原始数据'!B824-OtherCost</f>
        <v/>
      </c>
      <c r="W824" s="37">
        <f>'03_原始数据'!C824-0.65*'03_原始数据'!B824-OtherCost</f>
        <v/>
      </c>
      <c r="X824" s="37">
        <f>'03_原始数据'!C824-0.655*'03_原始数据'!B824-OtherCost</f>
        <v/>
      </c>
      <c r="Y824" s="37">
        <f>'03_原始数据'!C824-0.66*'03_原始数据'!B824-OtherCost</f>
        <v/>
      </c>
      <c r="Z824" s="37">
        <f>'03_原始数据'!C824-0.665*'03_原始数据'!B824-OtherCost</f>
        <v/>
      </c>
      <c r="AA824" s="37">
        <f>'03_原始数据'!C824-0.67*'03_原始数据'!B824-OtherCost</f>
        <v/>
      </c>
      <c r="AB824" s="37">
        <f>'03_原始数据'!C824-0.675*'03_原始数据'!B824-OtherCost</f>
        <v/>
      </c>
      <c r="AC824" s="37">
        <f>'03_原始数据'!C824-0.68*'03_原始数据'!B824-OtherCost</f>
        <v/>
      </c>
      <c r="AD824" s="37">
        <f>'03_原始数据'!C824-0.685*'03_原始数据'!B824-OtherCost</f>
        <v/>
      </c>
      <c r="AE824" s="37">
        <f>'03_原始数据'!C824-0.69*'03_原始数据'!B824-OtherCost</f>
        <v/>
      </c>
      <c r="AF824" s="37">
        <f>'03_原始数据'!C824-0.695*'03_原始数据'!B824-OtherCost</f>
        <v/>
      </c>
      <c r="AG824" s="37">
        <f>'03_原始数据'!C824-0.7*'03_原始数据'!B824-OtherCost</f>
        <v/>
      </c>
    </row>
    <row r="825">
      <c r="M825" s="37">
        <f>'03_原始数据'!C825-0.6*'03_原始数据'!B825-OtherCost</f>
        <v/>
      </c>
      <c r="N825" s="37">
        <f>'03_原始数据'!C825-0.605*'03_原始数据'!B825-OtherCost</f>
        <v/>
      </c>
      <c r="O825" s="37">
        <f>'03_原始数据'!C825-0.61*'03_原始数据'!B825-OtherCost</f>
        <v/>
      </c>
      <c r="P825" s="37">
        <f>'03_原始数据'!C825-0.615*'03_原始数据'!B825-OtherCost</f>
        <v/>
      </c>
      <c r="Q825" s="37">
        <f>'03_原始数据'!C825-0.62*'03_原始数据'!B825-OtherCost</f>
        <v/>
      </c>
      <c r="R825" s="37">
        <f>'03_原始数据'!C825-0.625*'03_原始数据'!B825-OtherCost</f>
        <v/>
      </c>
      <c r="S825" s="37">
        <f>'03_原始数据'!C825-0.63*'03_原始数据'!B825-OtherCost</f>
        <v/>
      </c>
      <c r="T825" s="37">
        <f>'03_原始数据'!C825-0.635*'03_原始数据'!B825-OtherCost</f>
        <v/>
      </c>
      <c r="U825" s="37">
        <f>'03_原始数据'!C825-0.64*'03_原始数据'!B825-OtherCost</f>
        <v/>
      </c>
      <c r="V825" s="37">
        <f>'03_原始数据'!C825-0.645*'03_原始数据'!B825-OtherCost</f>
        <v/>
      </c>
      <c r="W825" s="37">
        <f>'03_原始数据'!C825-0.65*'03_原始数据'!B825-OtherCost</f>
        <v/>
      </c>
      <c r="X825" s="37">
        <f>'03_原始数据'!C825-0.655*'03_原始数据'!B825-OtherCost</f>
        <v/>
      </c>
      <c r="Y825" s="37">
        <f>'03_原始数据'!C825-0.66*'03_原始数据'!B825-OtherCost</f>
        <v/>
      </c>
      <c r="Z825" s="37">
        <f>'03_原始数据'!C825-0.665*'03_原始数据'!B825-OtherCost</f>
        <v/>
      </c>
      <c r="AA825" s="37">
        <f>'03_原始数据'!C825-0.67*'03_原始数据'!B825-OtherCost</f>
        <v/>
      </c>
      <c r="AB825" s="37">
        <f>'03_原始数据'!C825-0.675*'03_原始数据'!B825-OtherCost</f>
        <v/>
      </c>
      <c r="AC825" s="37">
        <f>'03_原始数据'!C825-0.68*'03_原始数据'!B825-OtherCost</f>
        <v/>
      </c>
      <c r="AD825" s="37">
        <f>'03_原始数据'!C825-0.685*'03_原始数据'!B825-OtherCost</f>
        <v/>
      </c>
      <c r="AE825" s="37">
        <f>'03_原始数据'!C825-0.69*'03_原始数据'!B825-OtherCost</f>
        <v/>
      </c>
      <c r="AF825" s="37">
        <f>'03_原始数据'!C825-0.695*'03_原始数据'!B825-OtherCost</f>
        <v/>
      </c>
      <c r="AG825" s="37">
        <f>'03_原始数据'!C825-0.7*'03_原始数据'!B825-OtherCost</f>
        <v/>
      </c>
    </row>
    <row r="826">
      <c r="M826" s="37">
        <f>'03_原始数据'!C826-0.6*'03_原始数据'!B826-OtherCost</f>
        <v/>
      </c>
      <c r="N826" s="37">
        <f>'03_原始数据'!C826-0.605*'03_原始数据'!B826-OtherCost</f>
        <v/>
      </c>
      <c r="O826" s="37">
        <f>'03_原始数据'!C826-0.61*'03_原始数据'!B826-OtherCost</f>
        <v/>
      </c>
      <c r="P826" s="37">
        <f>'03_原始数据'!C826-0.615*'03_原始数据'!B826-OtherCost</f>
        <v/>
      </c>
      <c r="Q826" s="37">
        <f>'03_原始数据'!C826-0.62*'03_原始数据'!B826-OtherCost</f>
        <v/>
      </c>
      <c r="R826" s="37">
        <f>'03_原始数据'!C826-0.625*'03_原始数据'!B826-OtherCost</f>
        <v/>
      </c>
      <c r="S826" s="37">
        <f>'03_原始数据'!C826-0.63*'03_原始数据'!B826-OtherCost</f>
        <v/>
      </c>
      <c r="T826" s="37">
        <f>'03_原始数据'!C826-0.635*'03_原始数据'!B826-OtherCost</f>
        <v/>
      </c>
      <c r="U826" s="37">
        <f>'03_原始数据'!C826-0.64*'03_原始数据'!B826-OtherCost</f>
        <v/>
      </c>
      <c r="V826" s="37">
        <f>'03_原始数据'!C826-0.645*'03_原始数据'!B826-OtherCost</f>
        <v/>
      </c>
      <c r="W826" s="37">
        <f>'03_原始数据'!C826-0.65*'03_原始数据'!B826-OtherCost</f>
        <v/>
      </c>
      <c r="X826" s="37">
        <f>'03_原始数据'!C826-0.655*'03_原始数据'!B826-OtherCost</f>
        <v/>
      </c>
      <c r="Y826" s="37">
        <f>'03_原始数据'!C826-0.66*'03_原始数据'!B826-OtherCost</f>
        <v/>
      </c>
      <c r="Z826" s="37">
        <f>'03_原始数据'!C826-0.665*'03_原始数据'!B826-OtherCost</f>
        <v/>
      </c>
      <c r="AA826" s="37">
        <f>'03_原始数据'!C826-0.67*'03_原始数据'!B826-OtherCost</f>
        <v/>
      </c>
      <c r="AB826" s="37">
        <f>'03_原始数据'!C826-0.675*'03_原始数据'!B826-OtherCost</f>
        <v/>
      </c>
      <c r="AC826" s="37">
        <f>'03_原始数据'!C826-0.68*'03_原始数据'!B826-OtherCost</f>
        <v/>
      </c>
      <c r="AD826" s="37">
        <f>'03_原始数据'!C826-0.685*'03_原始数据'!B826-OtherCost</f>
        <v/>
      </c>
      <c r="AE826" s="37">
        <f>'03_原始数据'!C826-0.69*'03_原始数据'!B826-OtherCost</f>
        <v/>
      </c>
      <c r="AF826" s="37">
        <f>'03_原始数据'!C826-0.695*'03_原始数据'!B826-OtherCost</f>
        <v/>
      </c>
      <c r="AG826" s="37">
        <f>'03_原始数据'!C826-0.7*'03_原始数据'!B826-OtherCost</f>
        <v/>
      </c>
    </row>
    <row r="827">
      <c r="M827" s="37">
        <f>'03_原始数据'!C827-0.6*'03_原始数据'!B827-OtherCost</f>
        <v/>
      </c>
      <c r="N827" s="37">
        <f>'03_原始数据'!C827-0.605*'03_原始数据'!B827-OtherCost</f>
        <v/>
      </c>
      <c r="O827" s="37">
        <f>'03_原始数据'!C827-0.61*'03_原始数据'!B827-OtherCost</f>
        <v/>
      </c>
      <c r="P827" s="37">
        <f>'03_原始数据'!C827-0.615*'03_原始数据'!B827-OtherCost</f>
        <v/>
      </c>
      <c r="Q827" s="37">
        <f>'03_原始数据'!C827-0.62*'03_原始数据'!B827-OtherCost</f>
        <v/>
      </c>
      <c r="R827" s="37">
        <f>'03_原始数据'!C827-0.625*'03_原始数据'!B827-OtherCost</f>
        <v/>
      </c>
      <c r="S827" s="37">
        <f>'03_原始数据'!C827-0.63*'03_原始数据'!B827-OtherCost</f>
        <v/>
      </c>
      <c r="T827" s="37">
        <f>'03_原始数据'!C827-0.635*'03_原始数据'!B827-OtherCost</f>
        <v/>
      </c>
      <c r="U827" s="37">
        <f>'03_原始数据'!C827-0.64*'03_原始数据'!B827-OtherCost</f>
        <v/>
      </c>
      <c r="V827" s="37">
        <f>'03_原始数据'!C827-0.645*'03_原始数据'!B827-OtherCost</f>
        <v/>
      </c>
      <c r="W827" s="37">
        <f>'03_原始数据'!C827-0.65*'03_原始数据'!B827-OtherCost</f>
        <v/>
      </c>
      <c r="X827" s="37">
        <f>'03_原始数据'!C827-0.655*'03_原始数据'!B827-OtherCost</f>
        <v/>
      </c>
      <c r="Y827" s="37">
        <f>'03_原始数据'!C827-0.66*'03_原始数据'!B827-OtherCost</f>
        <v/>
      </c>
      <c r="Z827" s="37">
        <f>'03_原始数据'!C827-0.665*'03_原始数据'!B827-OtherCost</f>
        <v/>
      </c>
      <c r="AA827" s="37">
        <f>'03_原始数据'!C827-0.67*'03_原始数据'!B827-OtherCost</f>
        <v/>
      </c>
      <c r="AB827" s="37">
        <f>'03_原始数据'!C827-0.675*'03_原始数据'!B827-OtherCost</f>
        <v/>
      </c>
      <c r="AC827" s="37">
        <f>'03_原始数据'!C827-0.68*'03_原始数据'!B827-OtherCost</f>
        <v/>
      </c>
      <c r="AD827" s="37">
        <f>'03_原始数据'!C827-0.685*'03_原始数据'!B827-OtherCost</f>
        <v/>
      </c>
      <c r="AE827" s="37">
        <f>'03_原始数据'!C827-0.69*'03_原始数据'!B827-OtherCost</f>
        <v/>
      </c>
      <c r="AF827" s="37">
        <f>'03_原始数据'!C827-0.695*'03_原始数据'!B827-OtherCost</f>
        <v/>
      </c>
      <c r="AG827" s="37">
        <f>'03_原始数据'!C827-0.7*'03_原始数据'!B827-OtherCost</f>
        <v/>
      </c>
    </row>
    <row r="828">
      <c r="M828" s="37">
        <f>'03_原始数据'!C828-0.6*'03_原始数据'!B828-OtherCost</f>
        <v/>
      </c>
      <c r="N828" s="37">
        <f>'03_原始数据'!C828-0.605*'03_原始数据'!B828-OtherCost</f>
        <v/>
      </c>
      <c r="O828" s="37">
        <f>'03_原始数据'!C828-0.61*'03_原始数据'!B828-OtherCost</f>
        <v/>
      </c>
      <c r="P828" s="37">
        <f>'03_原始数据'!C828-0.615*'03_原始数据'!B828-OtherCost</f>
        <v/>
      </c>
      <c r="Q828" s="37">
        <f>'03_原始数据'!C828-0.62*'03_原始数据'!B828-OtherCost</f>
        <v/>
      </c>
      <c r="R828" s="37">
        <f>'03_原始数据'!C828-0.625*'03_原始数据'!B828-OtherCost</f>
        <v/>
      </c>
      <c r="S828" s="37">
        <f>'03_原始数据'!C828-0.63*'03_原始数据'!B828-OtherCost</f>
        <v/>
      </c>
      <c r="T828" s="37">
        <f>'03_原始数据'!C828-0.635*'03_原始数据'!B828-OtherCost</f>
        <v/>
      </c>
      <c r="U828" s="37">
        <f>'03_原始数据'!C828-0.64*'03_原始数据'!B828-OtherCost</f>
        <v/>
      </c>
      <c r="V828" s="37">
        <f>'03_原始数据'!C828-0.645*'03_原始数据'!B828-OtherCost</f>
        <v/>
      </c>
      <c r="W828" s="37">
        <f>'03_原始数据'!C828-0.65*'03_原始数据'!B828-OtherCost</f>
        <v/>
      </c>
      <c r="X828" s="37">
        <f>'03_原始数据'!C828-0.655*'03_原始数据'!B828-OtherCost</f>
        <v/>
      </c>
      <c r="Y828" s="37">
        <f>'03_原始数据'!C828-0.66*'03_原始数据'!B828-OtherCost</f>
        <v/>
      </c>
      <c r="Z828" s="37">
        <f>'03_原始数据'!C828-0.665*'03_原始数据'!B828-OtherCost</f>
        <v/>
      </c>
      <c r="AA828" s="37">
        <f>'03_原始数据'!C828-0.67*'03_原始数据'!B828-OtherCost</f>
        <v/>
      </c>
      <c r="AB828" s="37">
        <f>'03_原始数据'!C828-0.675*'03_原始数据'!B828-OtherCost</f>
        <v/>
      </c>
      <c r="AC828" s="37">
        <f>'03_原始数据'!C828-0.68*'03_原始数据'!B828-OtherCost</f>
        <v/>
      </c>
      <c r="AD828" s="37">
        <f>'03_原始数据'!C828-0.685*'03_原始数据'!B828-OtherCost</f>
        <v/>
      </c>
      <c r="AE828" s="37">
        <f>'03_原始数据'!C828-0.69*'03_原始数据'!B828-OtherCost</f>
        <v/>
      </c>
      <c r="AF828" s="37">
        <f>'03_原始数据'!C828-0.695*'03_原始数据'!B828-OtherCost</f>
        <v/>
      </c>
      <c r="AG828" s="37">
        <f>'03_原始数据'!C828-0.7*'03_原始数据'!B828-OtherCost</f>
        <v/>
      </c>
    </row>
    <row r="829">
      <c r="M829" s="37">
        <f>'03_原始数据'!C829-0.6*'03_原始数据'!B829-OtherCost</f>
        <v/>
      </c>
      <c r="N829" s="37">
        <f>'03_原始数据'!C829-0.605*'03_原始数据'!B829-OtherCost</f>
        <v/>
      </c>
      <c r="O829" s="37">
        <f>'03_原始数据'!C829-0.61*'03_原始数据'!B829-OtherCost</f>
        <v/>
      </c>
      <c r="P829" s="37">
        <f>'03_原始数据'!C829-0.615*'03_原始数据'!B829-OtherCost</f>
        <v/>
      </c>
      <c r="Q829" s="37">
        <f>'03_原始数据'!C829-0.62*'03_原始数据'!B829-OtherCost</f>
        <v/>
      </c>
      <c r="R829" s="37">
        <f>'03_原始数据'!C829-0.625*'03_原始数据'!B829-OtherCost</f>
        <v/>
      </c>
      <c r="S829" s="37">
        <f>'03_原始数据'!C829-0.63*'03_原始数据'!B829-OtherCost</f>
        <v/>
      </c>
      <c r="T829" s="37">
        <f>'03_原始数据'!C829-0.635*'03_原始数据'!B829-OtherCost</f>
        <v/>
      </c>
      <c r="U829" s="37">
        <f>'03_原始数据'!C829-0.64*'03_原始数据'!B829-OtherCost</f>
        <v/>
      </c>
      <c r="V829" s="37">
        <f>'03_原始数据'!C829-0.645*'03_原始数据'!B829-OtherCost</f>
        <v/>
      </c>
      <c r="W829" s="37">
        <f>'03_原始数据'!C829-0.65*'03_原始数据'!B829-OtherCost</f>
        <v/>
      </c>
      <c r="X829" s="37">
        <f>'03_原始数据'!C829-0.655*'03_原始数据'!B829-OtherCost</f>
        <v/>
      </c>
      <c r="Y829" s="37">
        <f>'03_原始数据'!C829-0.66*'03_原始数据'!B829-OtherCost</f>
        <v/>
      </c>
      <c r="Z829" s="37">
        <f>'03_原始数据'!C829-0.665*'03_原始数据'!B829-OtherCost</f>
        <v/>
      </c>
      <c r="AA829" s="37">
        <f>'03_原始数据'!C829-0.67*'03_原始数据'!B829-OtherCost</f>
        <v/>
      </c>
      <c r="AB829" s="37">
        <f>'03_原始数据'!C829-0.675*'03_原始数据'!B829-OtherCost</f>
        <v/>
      </c>
      <c r="AC829" s="37">
        <f>'03_原始数据'!C829-0.68*'03_原始数据'!B829-OtherCost</f>
        <v/>
      </c>
      <c r="AD829" s="37">
        <f>'03_原始数据'!C829-0.685*'03_原始数据'!B829-OtherCost</f>
        <v/>
      </c>
      <c r="AE829" s="37">
        <f>'03_原始数据'!C829-0.69*'03_原始数据'!B829-OtherCost</f>
        <v/>
      </c>
      <c r="AF829" s="37">
        <f>'03_原始数据'!C829-0.695*'03_原始数据'!B829-OtherCost</f>
        <v/>
      </c>
      <c r="AG829" s="37">
        <f>'03_原始数据'!C829-0.7*'03_原始数据'!B829-OtherCost</f>
        <v/>
      </c>
    </row>
    <row r="830">
      <c r="M830" s="37">
        <f>'03_原始数据'!C830-0.6*'03_原始数据'!B830-OtherCost</f>
        <v/>
      </c>
      <c r="N830" s="37">
        <f>'03_原始数据'!C830-0.605*'03_原始数据'!B830-OtherCost</f>
        <v/>
      </c>
      <c r="O830" s="37">
        <f>'03_原始数据'!C830-0.61*'03_原始数据'!B830-OtherCost</f>
        <v/>
      </c>
      <c r="P830" s="37">
        <f>'03_原始数据'!C830-0.615*'03_原始数据'!B830-OtherCost</f>
        <v/>
      </c>
      <c r="Q830" s="37">
        <f>'03_原始数据'!C830-0.62*'03_原始数据'!B830-OtherCost</f>
        <v/>
      </c>
      <c r="R830" s="37">
        <f>'03_原始数据'!C830-0.625*'03_原始数据'!B830-OtherCost</f>
        <v/>
      </c>
      <c r="S830" s="37">
        <f>'03_原始数据'!C830-0.63*'03_原始数据'!B830-OtherCost</f>
        <v/>
      </c>
      <c r="T830" s="37">
        <f>'03_原始数据'!C830-0.635*'03_原始数据'!B830-OtherCost</f>
        <v/>
      </c>
      <c r="U830" s="37">
        <f>'03_原始数据'!C830-0.64*'03_原始数据'!B830-OtherCost</f>
        <v/>
      </c>
      <c r="V830" s="37">
        <f>'03_原始数据'!C830-0.645*'03_原始数据'!B830-OtherCost</f>
        <v/>
      </c>
      <c r="W830" s="37">
        <f>'03_原始数据'!C830-0.65*'03_原始数据'!B830-OtherCost</f>
        <v/>
      </c>
      <c r="X830" s="37">
        <f>'03_原始数据'!C830-0.655*'03_原始数据'!B830-OtherCost</f>
        <v/>
      </c>
      <c r="Y830" s="37">
        <f>'03_原始数据'!C830-0.66*'03_原始数据'!B830-OtherCost</f>
        <v/>
      </c>
      <c r="Z830" s="37">
        <f>'03_原始数据'!C830-0.665*'03_原始数据'!B830-OtherCost</f>
        <v/>
      </c>
      <c r="AA830" s="37">
        <f>'03_原始数据'!C830-0.67*'03_原始数据'!B830-OtherCost</f>
        <v/>
      </c>
      <c r="AB830" s="37">
        <f>'03_原始数据'!C830-0.675*'03_原始数据'!B830-OtherCost</f>
        <v/>
      </c>
      <c r="AC830" s="37">
        <f>'03_原始数据'!C830-0.68*'03_原始数据'!B830-OtherCost</f>
        <v/>
      </c>
      <c r="AD830" s="37">
        <f>'03_原始数据'!C830-0.685*'03_原始数据'!B830-OtherCost</f>
        <v/>
      </c>
      <c r="AE830" s="37">
        <f>'03_原始数据'!C830-0.69*'03_原始数据'!B830-OtherCost</f>
        <v/>
      </c>
      <c r="AF830" s="37">
        <f>'03_原始数据'!C830-0.695*'03_原始数据'!B830-OtherCost</f>
        <v/>
      </c>
      <c r="AG830" s="37">
        <f>'03_原始数据'!C830-0.7*'03_原始数据'!B830-OtherCost</f>
        <v/>
      </c>
    </row>
    <row r="831">
      <c r="M831" s="37">
        <f>'03_原始数据'!C831-0.6*'03_原始数据'!B831-OtherCost</f>
        <v/>
      </c>
      <c r="N831" s="37">
        <f>'03_原始数据'!C831-0.605*'03_原始数据'!B831-OtherCost</f>
        <v/>
      </c>
      <c r="O831" s="37">
        <f>'03_原始数据'!C831-0.61*'03_原始数据'!B831-OtherCost</f>
        <v/>
      </c>
      <c r="P831" s="37">
        <f>'03_原始数据'!C831-0.615*'03_原始数据'!B831-OtherCost</f>
        <v/>
      </c>
      <c r="Q831" s="37">
        <f>'03_原始数据'!C831-0.62*'03_原始数据'!B831-OtherCost</f>
        <v/>
      </c>
      <c r="R831" s="37">
        <f>'03_原始数据'!C831-0.625*'03_原始数据'!B831-OtherCost</f>
        <v/>
      </c>
      <c r="S831" s="37">
        <f>'03_原始数据'!C831-0.63*'03_原始数据'!B831-OtherCost</f>
        <v/>
      </c>
      <c r="T831" s="37">
        <f>'03_原始数据'!C831-0.635*'03_原始数据'!B831-OtherCost</f>
        <v/>
      </c>
      <c r="U831" s="37">
        <f>'03_原始数据'!C831-0.64*'03_原始数据'!B831-OtherCost</f>
        <v/>
      </c>
      <c r="V831" s="37">
        <f>'03_原始数据'!C831-0.645*'03_原始数据'!B831-OtherCost</f>
        <v/>
      </c>
      <c r="W831" s="37">
        <f>'03_原始数据'!C831-0.65*'03_原始数据'!B831-OtherCost</f>
        <v/>
      </c>
      <c r="X831" s="37">
        <f>'03_原始数据'!C831-0.655*'03_原始数据'!B831-OtherCost</f>
        <v/>
      </c>
      <c r="Y831" s="37">
        <f>'03_原始数据'!C831-0.66*'03_原始数据'!B831-OtherCost</f>
        <v/>
      </c>
      <c r="Z831" s="37">
        <f>'03_原始数据'!C831-0.665*'03_原始数据'!B831-OtherCost</f>
        <v/>
      </c>
      <c r="AA831" s="37">
        <f>'03_原始数据'!C831-0.67*'03_原始数据'!B831-OtherCost</f>
        <v/>
      </c>
      <c r="AB831" s="37">
        <f>'03_原始数据'!C831-0.675*'03_原始数据'!B831-OtherCost</f>
        <v/>
      </c>
      <c r="AC831" s="37">
        <f>'03_原始数据'!C831-0.68*'03_原始数据'!B831-OtherCost</f>
        <v/>
      </c>
      <c r="AD831" s="37">
        <f>'03_原始数据'!C831-0.685*'03_原始数据'!B831-OtherCost</f>
        <v/>
      </c>
      <c r="AE831" s="37">
        <f>'03_原始数据'!C831-0.69*'03_原始数据'!B831-OtherCost</f>
        <v/>
      </c>
      <c r="AF831" s="37">
        <f>'03_原始数据'!C831-0.695*'03_原始数据'!B831-OtherCost</f>
        <v/>
      </c>
      <c r="AG831" s="37">
        <f>'03_原始数据'!C831-0.7*'03_原始数据'!B831-OtherCost</f>
        <v/>
      </c>
    </row>
    <row r="832">
      <c r="M832" s="37">
        <f>'03_原始数据'!C832-0.6*'03_原始数据'!B832-OtherCost</f>
        <v/>
      </c>
      <c r="N832" s="37">
        <f>'03_原始数据'!C832-0.605*'03_原始数据'!B832-OtherCost</f>
        <v/>
      </c>
      <c r="O832" s="37">
        <f>'03_原始数据'!C832-0.61*'03_原始数据'!B832-OtherCost</f>
        <v/>
      </c>
      <c r="P832" s="37">
        <f>'03_原始数据'!C832-0.615*'03_原始数据'!B832-OtherCost</f>
        <v/>
      </c>
      <c r="Q832" s="37">
        <f>'03_原始数据'!C832-0.62*'03_原始数据'!B832-OtherCost</f>
        <v/>
      </c>
      <c r="R832" s="37">
        <f>'03_原始数据'!C832-0.625*'03_原始数据'!B832-OtherCost</f>
        <v/>
      </c>
      <c r="S832" s="37">
        <f>'03_原始数据'!C832-0.63*'03_原始数据'!B832-OtherCost</f>
        <v/>
      </c>
      <c r="T832" s="37">
        <f>'03_原始数据'!C832-0.635*'03_原始数据'!B832-OtherCost</f>
        <v/>
      </c>
      <c r="U832" s="37">
        <f>'03_原始数据'!C832-0.64*'03_原始数据'!B832-OtherCost</f>
        <v/>
      </c>
      <c r="V832" s="37">
        <f>'03_原始数据'!C832-0.645*'03_原始数据'!B832-OtherCost</f>
        <v/>
      </c>
      <c r="W832" s="37">
        <f>'03_原始数据'!C832-0.65*'03_原始数据'!B832-OtherCost</f>
        <v/>
      </c>
      <c r="X832" s="37">
        <f>'03_原始数据'!C832-0.655*'03_原始数据'!B832-OtherCost</f>
        <v/>
      </c>
      <c r="Y832" s="37">
        <f>'03_原始数据'!C832-0.66*'03_原始数据'!B832-OtherCost</f>
        <v/>
      </c>
      <c r="Z832" s="37">
        <f>'03_原始数据'!C832-0.665*'03_原始数据'!B832-OtherCost</f>
        <v/>
      </c>
      <c r="AA832" s="37">
        <f>'03_原始数据'!C832-0.67*'03_原始数据'!B832-OtherCost</f>
        <v/>
      </c>
      <c r="AB832" s="37">
        <f>'03_原始数据'!C832-0.675*'03_原始数据'!B832-OtherCost</f>
        <v/>
      </c>
      <c r="AC832" s="37">
        <f>'03_原始数据'!C832-0.68*'03_原始数据'!B832-OtherCost</f>
        <v/>
      </c>
      <c r="AD832" s="37">
        <f>'03_原始数据'!C832-0.685*'03_原始数据'!B832-OtherCost</f>
        <v/>
      </c>
      <c r="AE832" s="37">
        <f>'03_原始数据'!C832-0.69*'03_原始数据'!B832-OtherCost</f>
        <v/>
      </c>
      <c r="AF832" s="37">
        <f>'03_原始数据'!C832-0.695*'03_原始数据'!B832-OtherCost</f>
        <v/>
      </c>
      <c r="AG832" s="37">
        <f>'03_原始数据'!C832-0.7*'03_原始数据'!B832-OtherCost</f>
        <v/>
      </c>
    </row>
    <row r="833">
      <c r="M833" s="37">
        <f>'03_原始数据'!C833-0.6*'03_原始数据'!B833-OtherCost</f>
        <v/>
      </c>
      <c r="N833" s="37">
        <f>'03_原始数据'!C833-0.605*'03_原始数据'!B833-OtherCost</f>
        <v/>
      </c>
      <c r="O833" s="37">
        <f>'03_原始数据'!C833-0.61*'03_原始数据'!B833-OtherCost</f>
        <v/>
      </c>
      <c r="P833" s="37">
        <f>'03_原始数据'!C833-0.615*'03_原始数据'!B833-OtherCost</f>
        <v/>
      </c>
      <c r="Q833" s="37">
        <f>'03_原始数据'!C833-0.62*'03_原始数据'!B833-OtherCost</f>
        <v/>
      </c>
      <c r="R833" s="37">
        <f>'03_原始数据'!C833-0.625*'03_原始数据'!B833-OtherCost</f>
        <v/>
      </c>
      <c r="S833" s="37">
        <f>'03_原始数据'!C833-0.63*'03_原始数据'!B833-OtherCost</f>
        <v/>
      </c>
      <c r="T833" s="37">
        <f>'03_原始数据'!C833-0.635*'03_原始数据'!B833-OtherCost</f>
        <v/>
      </c>
      <c r="U833" s="37">
        <f>'03_原始数据'!C833-0.64*'03_原始数据'!B833-OtherCost</f>
        <v/>
      </c>
      <c r="V833" s="37">
        <f>'03_原始数据'!C833-0.645*'03_原始数据'!B833-OtherCost</f>
        <v/>
      </c>
      <c r="W833" s="37">
        <f>'03_原始数据'!C833-0.65*'03_原始数据'!B833-OtherCost</f>
        <v/>
      </c>
      <c r="X833" s="37">
        <f>'03_原始数据'!C833-0.655*'03_原始数据'!B833-OtherCost</f>
        <v/>
      </c>
      <c r="Y833" s="37">
        <f>'03_原始数据'!C833-0.66*'03_原始数据'!B833-OtherCost</f>
        <v/>
      </c>
      <c r="Z833" s="37">
        <f>'03_原始数据'!C833-0.665*'03_原始数据'!B833-OtherCost</f>
        <v/>
      </c>
      <c r="AA833" s="37">
        <f>'03_原始数据'!C833-0.67*'03_原始数据'!B833-OtherCost</f>
        <v/>
      </c>
      <c r="AB833" s="37">
        <f>'03_原始数据'!C833-0.675*'03_原始数据'!B833-OtherCost</f>
        <v/>
      </c>
      <c r="AC833" s="37">
        <f>'03_原始数据'!C833-0.68*'03_原始数据'!B833-OtherCost</f>
        <v/>
      </c>
      <c r="AD833" s="37">
        <f>'03_原始数据'!C833-0.685*'03_原始数据'!B833-OtherCost</f>
        <v/>
      </c>
      <c r="AE833" s="37">
        <f>'03_原始数据'!C833-0.69*'03_原始数据'!B833-OtherCost</f>
        <v/>
      </c>
      <c r="AF833" s="37">
        <f>'03_原始数据'!C833-0.695*'03_原始数据'!B833-OtherCost</f>
        <v/>
      </c>
      <c r="AG833" s="37">
        <f>'03_原始数据'!C833-0.7*'03_原始数据'!B833-OtherCost</f>
        <v/>
      </c>
    </row>
    <row r="834">
      <c r="M834" s="37">
        <f>'03_原始数据'!C834-0.6*'03_原始数据'!B834-OtherCost</f>
        <v/>
      </c>
      <c r="N834" s="37">
        <f>'03_原始数据'!C834-0.605*'03_原始数据'!B834-OtherCost</f>
        <v/>
      </c>
      <c r="O834" s="37">
        <f>'03_原始数据'!C834-0.61*'03_原始数据'!B834-OtherCost</f>
        <v/>
      </c>
      <c r="P834" s="37">
        <f>'03_原始数据'!C834-0.615*'03_原始数据'!B834-OtherCost</f>
        <v/>
      </c>
      <c r="Q834" s="37">
        <f>'03_原始数据'!C834-0.62*'03_原始数据'!B834-OtherCost</f>
        <v/>
      </c>
      <c r="R834" s="37">
        <f>'03_原始数据'!C834-0.625*'03_原始数据'!B834-OtherCost</f>
        <v/>
      </c>
      <c r="S834" s="37">
        <f>'03_原始数据'!C834-0.63*'03_原始数据'!B834-OtherCost</f>
        <v/>
      </c>
      <c r="T834" s="37">
        <f>'03_原始数据'!C834-0.635*'03_原始数据'!B834-OtherCost</f>
        <v/>
      </c>
      <c r="U834" s="37">
        <f>'03_原始数据'!C834-0.64*'03_原始数据'!B834-OtherCost</f>
        <v/>
      </c>
      <c r="V834" s="37">
        <f>'03_原始数据'!C834-0.645*'03_原始数据'!B834-OtherCost</f>
        <v/>
      </c>
      <c r="W834" s="37">
        <f>'03_原始数据'!C834-0.65*'03_原始数据'!B834-OtherCost</f>
        <v/>
      </c>
      <c r="X834" s="37">
        <f>'03_原始数据'!C834-0.655*'03_原始数据'!B834-OtherCost</f>
        <v/>
      </c>
      <c r="Y834" s="37">
        <f>'03_原始数据'!C834-0.66*'03_原始数据'!B834-OtherCost</f>
        <v/>
      </c>
      <c r="Z834" s="37">
        <f>'03_原始数据'!C834-0.665*'03_原始数据'!B834-OtherCost</f>
        <v/>
      </c>
      <c r="AA834" s="37">
        <f>'03_原始数据'!C834-0.67*'03_原始数据'!B834-OtherCost</f>
        <v/>
      </c>
      <c r="AB834" s="37">
        <f>'03_原始数据'!C834-0.675*'03_原始数据'!B834-OtherCost</f>
        <v/>
      </c>
      <c r="AC834" s="37">
        <f>'03_原始数据'!C834-0.68*'03_原始数据'!B834-OtherCost</f>
        <v/>
      </c>
      <c r="AD834" s="37">
        <f>'03_原始数据'!C834-0.685*'03_原始数据'!B834-OtherCost</f>
        <v/>
      </c>
      <c r="AE834" s="37">
        <f>'03_原始数据'!C834-0.69*'03_原始数据'!B834-OtherCost</f>
        <v/>
      </c>
      <c r="AF834" s="37">
        <f>'03_原始数据'!C834-0.695*'03_原始数据'!B834-OtherCost</f>
        <v/>
      </c>
      <c r="AG834" s="37">
        <f>'03_原始数据'!C834-0.7*'03_原始数据'!B834-OtherCost</f>
        <v/>
      </c>
    </row>
    <row r="835">
      <c r="M835" s="37">
        <f>'03_原始数据'!C835-0.6*'03_原始数据'!B835-OtherCost</f>
        <v/>
      </c>
      <c r="N835" s="37">
        <f>'03_原始数据'!C835-0.605*'03_原始数据'!B835-OtherCost</f>
        <v/>
      </c>
      <c r="O835" s="37">
        <f>'03_原始数据'!C835-0.61*'03_原始数据'!B835-OtherCost</f>
        <v/>
      </c>
      <c r="P835" s="37">
        <f>'03_原始数据'!C835-0.615*'03_原始数据'!B835-OtherCost</f>
        <v/>
      </c>
      <c r="Q835" s="37">
        <f>'03_原始数据'!C835-0.62*'03_原始数据'!B835-OtherCost</f>
        <v/>
      </c>
      <c r="R835" s="37">
        <f>'03_原始数据'!C835-0.625*'03_原始数据'!B835-OtherCost</f>
        <v/>
      </c>
      <c r="S835" s="37">
        <f>'03_原始数据'!C835-0.63*'03_原始数据'!B835-OtherCost</f>
        <v/>
      </c>
      <c r="T835" s="37">
        <f>'03_原始数据'!C835-0.635*'03_原始数据'!B835-OtherCost</f>
        <v/>
      </c>
      <c r="U835" s="37">
        <f>'03_原始数据'!C835-0.64*'03_原始数据'!B835-OtherCost</f>
        <v/>
      </c>
      <c r="V835" s="37">
        <f>'03_原始数据'!C835-0.645*'03_原始数据'!B835-OtherCost</f>
        <v/>
      </c>
      <c r="W835" s="37">
        <f>'03_原始数据'!C835-0.65*'03_原始数据'!B835-OtherCost</f>
        <v/>
      </c>
      <c r="X835" s="37">
        <f>'03_原始数据'!C835-0.655*'03_原始数据'!B835-OtherCost</f>
        <v/>
      </c>
      <c r="Y835" s="37">
        <f>'03_原始数据'!C835-0.66*'03_原始数据'!B835-OtherCost</f>
        <v/>
      </c>
      <c r="Z835" s="37">
        <f>'03_原始数据'!C835-0.665*'03_原始数据'!B835-OtherCost</f>
        <v/>
      </c>
      <c r="AA835" s="37">
        <f>'03_原始数据'!C835-0.67*'03_原始数据'!B835-OtherCost</f>
        <v/>
      </c>
      <c r="AB835" s="37">
        <f>'03_原始数据'!C835-0.675*'03_原始数据'!B835-OtherCost</f>
        <v/>
      </c>
      <c r="AC835" s="37">
        <f>'03_原始数据'!C835-0.68*'03_原始数据'!B835-OtherCost</f>
        <v/>
      </c>
      <c r="AD835" s="37">
        <f>'03_原始数据'!C835-0.685*'03_原始数据'!B835-OtherCost</f>
        <v/>
      </c>
      <c r="AE835" s="37">
        <f>'03_原始数据'!C835-0.69*'03_原始数据'!B835-OtherCost</f>
        <v/>
      </c>
      <c r="AF835" s="37">
        <f>'03_原始数据'!C835-0.695*'03_原始数据'!B835-OtherCost</f>
        <v/>
      </c>
      <c r="AG835" s="37">
        <f>'03_原始数据'!C835-0.7*'03_原始数据'!B835-OtherCost</f>
        <v/>
      </c>
    </row>
    <row r="836">
      <c r="M836" s="37">
        <f>'03_原始数据'!C836-0.6*'03_原始数据'!B836-OtherCost</f>
        <v/>
      </c>
      <c r="N836" s="37">
        <f>'03_原始数据'!C836-0.605*'03_原始数据'!B836-OtherCost</f>
        <v/>
      </c>
      <c r="O836" s="37">
        <f>'03_原始数据'!C836-0.61*'03_原始数据'!B836-OtherCost</f>
        <v/>
      </c>
      <c r="P836" s="37">
        <f>'03_原始数据'!C836-0.615*'03_原始数据'!B836-OtherCost</f>
        <v/>
      </c>
      <c r="Q836" s="37">
        <f>'03_原始数据'!C836-0.62*'03_原始数据'!B836-OtherCost</f>
        <v/>
      </c>
      <c r="R836" s="37">
        <f>'03_原始数据'!C836-0.625*'03_原始数据'!B836-OtherCost</f>
        <v/>
      </c>
      <c r="S836" s="37">
        <f>'03_原始数据'!C836-0.63*'03_原始数据'!B836-OtherCost</f>
        <v/>
      </c>
      <c r="T836" s="37">
        <f>'03_原始数据'!C836-0.635*'03_原始数据'!B836-OtherCost</f>
        <v/>
      </c>
      <c r="U836" s="37">
        <f>'03_原始数据'!C836-0.64*'03_原始数据'!B836-OtherCost</f>
        <v/>
      </c>
      <c r="V836" s="37">
        <f>'03_原始数据'!C836-0.645*'03_原始数据'!B836-OtherCost</f>
        <v/>
      </c>
      <c r="W836" s="37">
        <f>'03_原始数据'!C836-0.65*'03_原始数据'!B836-OtherCost</f>
        <v/>
      </c>
      <c r="X836" s="37">
        <f>'03_原始数据'!C836-0.655*'03_原始数据'!B836-OtherCost</f>
        <v/>
      </c>
      <c r="Y836" s="37">
        <f>'03_原始数据'!C836-0.66*'03_原始数据'!B836-OtherCost</f>
        <v/>
      </c>
      <c r="Z836" s="37">
        <f>'03_原始数据'!C836-0.665*'03_原始数据'!B836-OtherCost</f>
        <v/>
      </c>
      <c r="AA836" s="37">
        <f>'03_原始数据'!C836-0.67*'03_原始数据'!B836-OtherCost</f>
        <v/>
      </c>
      <c r="AB836" s="37">
        <f>'03_原始数据'!C836-0.675*'03_原始数据'!B836-OtherCost</f>
        <v/>
      </c>
      <c r="AC836" s="37">
        <f>'03_原始数据'!C836-0.68*'03_原始数据'!B836-OtherCost</f>
        <v/>
      </c>
      <c r="AD836" s="37">
        <f>'03_原始数据'!C836-0.685*'03_原始数据'!B836-OtherCost</f>
        <v/>
      </c>
      <c r="AE836" s="37">
        <f>'03_原始数据'!C836-0.69*'03_原始数据'!B836-OtherCost</f>
        <v/>
      </c>
      <c r="AF836" s="37">
        <f>'03_原始数据'!C836-0.695*'03_原始数据'!B836-OtherCost</f>
        <v/>
      </c>
      <c r="AG836" s="37">
        <f>'03_原始数据'!C836-0.7*'03_原始数据'!B836-OtherCost</f>
        <v/>
      </c>
    </row>
    <row r="837">
      <c r="M837" s="37">
        <f>'03_原始数据'!C837-0.6*'03_原始数据'!B837-OtherCost</f>
        <v/>
      </c>
      <c r="N837" s="37">
        <f>'03_原始数据'!C837-0.605*'03_原始数据'!B837-OtherCost</f>
        <v/>
      </c>
      <c r="O837" s="37">
        <f>'03_原始数据'!C837-0.61*'03_原始数据'!B837-OtherCost</f>
        <v/>
      </c>
      <c r="P837" s="37">
        <f>'03_原始数据'!C837-0.615*'03_原始数据'!B837-OtherCost</f>
        <v/>
      </c>
      <c r="Q837" s="37">
        <f>'03_原始数据'!C837-0.62*'03_原始数据'!B837-OtherCost</f>
        <v/>
      </c>
      <c r="R837" s="37">
        <f>'03_原始数据'!C837-0.625*'03_原始数据'!B837-OtherCost</f>
        <v/>
      </c>
      <c r="S837" s="37">
        <f>'03_原始数据'!C837-0.63*'03_原始数据'!B837-OtherCost</f>
        <v/>
      </c>
      <c r="T837" s="37">
        <f>'03_原始数据'!C837-0.635*'03_原始数据'!B837-OtherCost</f>
        <v/>
      </c>
      <c r="U837" s="37">
        <f>'03_原始数据'!C837-0.64*'03_原始数据'!B837-OtherCost</f>
        <v/>
      </c>
      <c r="V837" s="37">
        <f>'03_原始数据'!C837-0.645*'03_原始数据'!B837-OtherCost</f>
        <v/>
      </c>
      <c r="W837" s="37">
        <f>'03_原始数据'!C837-0.65*'03_原始数据'!B837-OtherCost</f>
        <v/>
      </c>
      <c r="X837" s="37">
        <f>'03_原始数据'!C837-0.655*'03_原始数据'!B837-OtherCost</f>
        <v/>
      </c>
      <c r="Y837" s="37">
        <f>'03_原始数据'!C837-0.66*'03_原始数据'!B837-OtherCost</f>
        <v/>
      </c>
      <c r="Z837" s="37">
        <f>'03_原始数据'!C837-0.665*'03_原始数据'!B837-OtherCost</f>
        <v/>
      </c>
      <c r="AA837" s="37">
        <f>'03_原始数据'!C837-0.67*'03_原始数据'!B837-OtherCost</f>
        <v/>
      </c>
      <c r="AB837" s="37">
        <f>'03_原始数据'!C837-0.675*'03_原始数据'!B837-OtherCost</f>
        <v/>
      </c>
      <c r="AC837" s="37">
        <f>'03_原始数据'!C837-0.68*'03_原始数据'!B837-OtherCost</f>
        <v/>
      </c>
      <c r="AD837" s="37">
        <f>'03_原始数据'!C837-0.685*'03_原始数据'!B837-OtherCost</f>
        <v/>
      </c>
      <c r="AE837" s="37">
        <f>'03_原始数据'!C837-0.69*'03_原始数据'!B837-OtherCost</f>
        <v/>
      </c>
      <c r="AF837" s="37">
        <f>'03_原始数据'!C837-0.695*'03_原始数据'!B837-OtherCost</f>
        <v/>
      </c>
      <c r="AG837" s="37">
        <f>'03_原始数据'!C837-0.7*'03_原始数据'!B837-OtherCost</f>
        <v/>
      </c>
    </row>
    <row r="838">
      <c r="M838" s="37">
        <f>'03_原始数据'!C838-0.6*'03_原始数据'!B838-OtherCost</f>
        <v/>
      </c>
      <c r="N838" s="37">
        <f>'03_原始数据'!C838-0.605*'03_原始数据'!B838-OtherCost</f>
        <v/>
      </c>
      <c r="O838" s="37">
        <f>'03_原始数据'!C838-0.61*'03_原始数据'!B838-OtherCost</f>
        <v/>
      </c>
      <c r="P838" s="37">
        <f>'03_原始数据'!C838-0.615*'03_原始数据'!B838-OtherCost</f>
        <v/>
      </c>
      <c r="Q838" s="37">
        <f>'03_原始数据'!C838-0.62*'03_原始数据'!B838-OtherCost</f>
        <v/>
      </c>
      <c r="R838" s="37">
        <f>'03_原始数据'!C838-0.625*'03_原始数据'!B838-OtherCost</f>
        <v/>
      </c>
      <c r="S838" s="37">
        <f>'03_原始数据'!C838-0.63*'03_原始数据'!B838-OtherCost</f>
        <v/>
      </c>
      <c r="T838" s="37">
        <f>'03_原始数据'!C838-0.635*'03_原始数据'!B838-OtherCost</f>
        <v/>
      </c>
      <c r="U838" s="37">
        <f>'03_原始数据'!C838-0.64*'03_原始数据'!B838-OtherCost</f>
        <v/>
      </c>
      <c r="V838" s="37">
        <f>'03_原始数据'!C838-0.645*'03_原始数据'!B838-OtherCost</f>
        <v/>
      </c>
      <c r="W838" s="37">
        <f>'03_原始数据'!C838-0.65*'03_原始数据'!B838-OtherCost</f>
        <v/>
      </c>
      <c r="X838" s="37">
        <f>'03_原始数据'!C838-0.655*'03_原始数据'!B838-OtherCost</f>
        <v/>
      </c>
      <c r="Y838" s="37">
        <f>'03_原始数据'!C838-0.66*'03_原始数据'!B838-OtherCost</f>
        <v/>
      </c>
      <c r="Z838" s="37">
        <f>'03_原始数据'!C838-0.665*'03_原始数据'!B838-OtherCost</f>
        <v/>
      </c>
      <c r="AA838" s="37">
        <f>'03_原始数据'!C838-0.67*'03_原始数据'!B838-OtherCost</f>
        <v/>
      </c>
      <c r="AB838" s="37">
        <f>'03_原始数据'!C838-0.675*'03_原始数据'!B838-OtherCost</f>
        <v/>
      </c>
      <c r="AC838" s="37">
        <f>'03_原始数据'!C838-0.68*'03_原始数据'!B838-OtherCost</f>
        <v/>
      </c>
      <c r="AD838" s="37">
        <f>'03_原始数据'!C838-0.685*'03_原始数据'!B838-OtherCost</f>
        <v/>
      </c>
      <c r="AE838" s="37">
        <f>'03_原始数据'!C838-0.69*'03_原始数据'!B838-OtherCost</f>
        <v/>
      </c>
      <c r="AF838" s="37">
        <f>'03_原始数据'!C838-0.695*'03_原始数据'!B838-OtherCost</f>
        <v/>
      </c>
      <c r="AG838" s="37">
        <f>'03_原始数据'!C838-0.7*'03_原始数据'!B838-OtherCost</f>
        <v/>
      </c>
    </row>
    <row r="839">
      <c r="M839" s="37">
        <f>'03_原始数据'!C839-0.6*'03_原始数据'!B839-OtherCost</f>
        <v/>
      </c>
      <c r="N839" s="37">
        <f>'03_原始数据'!C839-0.605*'03_原始数据'!B839-OtherCost</f>
        <v/>
      </c>
      <c r="O839" s="37">
        <f>'03_原始数据'!C839-0.61*'03_原始数据'!B839-OtherCost</f>
        <v/>
      </c>
      <c r="P839" s="37">
        <f>'03_原始数据'!C839-0.615*'03_原始数据'!B839-OtherCost</f>
        <v/>
      </c>
      <c r="Q839" s="37">
        <f>'03_原始数据'!C839-0.62*'03_原始数据'!B839-OtherCost</f>
        <v/>
      </c>
      <c r="R839" s="37">
        <f>'03_原始数据'!C839-0.625*'03_原始数据'!B839-OtherCost</f>
        <v/>
      </c>
      <c r="S839" s="37">
        <f>'03_原始数据'!C839-0.63*'03_原始数据'!B839-OtherCost</f>
        <v/>
      </c>
      <c r="T839" s="37">
        <f>'03_原始数据'!C839-0.635*'03_原始数据'!B839-OtherCost</f>
        <v/>
      </c>
      <c r="U839" s="37">
        <f>'03_原始数据'!C839-0.64*'03_原始数据'!B839-OtherCost</f>
        <v/>
      </c>
      <c r="V839" s="37">
        <f>'03_原始数据'!C839-0.645*'03_原始数据'!B839-OtherCost</f>
        <v/>
      </c>
      <c r="W839" s="37">
        <f>'03_原始数据'!C839-0.65*'03_原始数据'!B839-OtherCost</f>
        <v/>
      </c>
      <c r="X839" s="37">
        <f>'03_原始数据'!C839-0.655*'03_原始数据'!B839-OtherCost</f>
        <v/>
      </c>
      <c r="Y839" s="37">
        <f>'03_原始数据'!C839-0.66*'03_原始数据'!B839-OtherCost</f>
        <v/>
      </c>
      <c r="Z839" s="37">
        <f>'03_原始数据'!C839-0.665*'03_原始数据'!B839-OtherCost</f>
        <v/>
      </c>
      <c r="AA839" s="37">
        <f>'03_原始数据'!C839-0.67*'03_原始数据'!B839-OtherCost</f>
        <v/>
      </c>
      <c r="AB839" s="37">
        <f>'03_原始数据'!C839-0.675*'03_原始数据'!B839-OtherCost</f>
        <v/>
      </c>
      <c r="AC839" s="37">
        <f>'03_原始数据'!C839-0.68*'03_原始数据'!B839-OtherCost</f>
        <v/>
      </c>
      <c r="AD839" s="37">
        <f>'03_原始数据'!C839-0.685*'03_原始数据'!B839-OtherCost</f>
        <v/>
      </c>
      <c r="AE839" s="37">
        <f>'03_原始数据'!C839-0.69*'03_原始数据'!B839-OtherCost</f>
        <v/>
      </c>
      <c r="AF839" s="37">
        <f>'03_原始数据'!C839-0.695*'03_原始数据'!B839-OtherCost</f>
        <v/>
      </c>
      <c r="AG839" s="37">
        <f>'03_原始数据'!C839-0.7*'03_原始数据'!B839-OtherCost</f>
        <v/>
      </c>
    </row>
    <row r="840">
      <c r="M840" s="37">
        <f>'03_原始数据'!C840-0.6*'03_原始数据'!B840-OtherCost</f>
        <v/>
      </c>
      <c r="N840" s="37">
        <f>'03_原始数据'!C840-0.605*'03_原始数据'!B840-OtherCost</f>
        <v/>
      </c>
      <c r="O840" s="37">
        <f>'03_原始数据'!C840-0.61*'03_原始数据'!B840-OtherCost</f>
        <v/>
      </c>
      <c r="P840" s="37">
        <f>'03_原始数据'!C840-0.615*'03_原始数据'!B840-OtherCost</f>
        <v/>
      </c>
      <c r="Q840" s="37">
        <f>'03_原始数据'!C840-0.62*'03_原始数据'!B840-OtherCost</f>
        <v/>
      </c>
      <c r="R840" s="37">
        <f>'03_原始数据'!C840-0.625*'03_原始数据'!B840-OtherCost</f>
        <v/>
      </c>
      <c r="S840" s="37">
        <f>'03_原始数据'!C840-0.63*'03_原始数据'!B840-OtherCost</f>
        <v/>
      </c>
      <c r="T840" s="37">
        <f>'03_原始数据'!C840-0.635*'03_原始数据'!B840-OtherCost</f>
        <v/>
      </c>
      <c r="U840" s="37">
        <f>'03_原始数据'!C840-0.64*'03_原始数据'!B840-OtherCost</f>
        <v/>
      </c>
      <c r="V840" s="37">
        <f>'03_原始数据'!C840-0.645*'03_原始数据'!B840-OtherCost</f>
        <v/>
      </c>
      <c r="W840" s="37">
        <f>'03_原始数据'!C840-0.65*'03_原始数据'!B840-OtherCost</f>
        <v/>
      </c>
      <c r="X840" s="37">
        <f>'03_原始数据'!C840-0.655*'03_原始数据'!B840-OtherCost</f>
        <v/>
      </c>
      <c r="Y840" s="37">
        <f>'03_原始数据'!C840-0.66*'03_原始数据'!B840-OtherCost</f>
        <v/>
      </c>
      <c r="Z840" s="37">
        <f>'03_原始数据'!C840-0.665*'03_原始数据'!B840-OtherCost</f>
        <v/>
      </c>
      <c r="AA840" s="37">
        <f>'03_原始数据'!C840-0.67*'03_原始数据'!B840-OtherCost</f>
        <v/>
      </c>
      <c r="AB840" s="37">
        <f>'03_原始数据'!C840-0.675*'03_原始数据'!B840-OtherCost</f>
        <v/>
      </c>
      <c r="AC840" s="37">
        <f>'03_原始数据'!C840-0.68*'03_原始数据'!B840-OtherCost</f>
        <v/>
      </c>
      <c r="AD840" s="37">
        <f>'03_原始数据'!C840-0.685*'03_原始数据'!B840-OtherCost</f>
        <v/>
      </c>
      <c r="AE840" s="37">
        <f>'03_原始数据'!C840-0.69*'03_原始数据'!B840-OtherCost</f>
        <v/>
      </c>
      <c r="AF840" s="37">
        <f>'03_原始数据'!C840-0.695*'03_原始数据'!B840-OtherCost</f>
        <v/>
      </c>
      <c r="AG840" s="37">
        <f>'03_原始数据'!C840-0.7*'03_原始数据'!B840-OtherCost</f>
        <v/>
      </c>
    </row>
    <row r="841">
      <c r="M841" s="37">
        <f>'03_原始数据'!C841-0.6*'03_原始数据'!B841-OtherCost</f>
        <v/>
      </c>
      <c r="N841" s="37">
        <f>'03_原始数据'!C841-0.605*'03_原始数据'!B841-OtherCost</f>
        <v/>
      </c>
      <c r="O841" s="37">
        <f>'03_原始数据'!C841-0.61*'03_原始数据'!B841-OtherCost</f>
        <v/>
      </c>
      <c r="P841" s="37">
        <f>'03_原始数据'!C841-0.615*'03_原始数据'!B841-OtherCost</f>
        <v/>
      </c>
      <c r="Q841" s="37">
        <f>'03_原始数据'!C841-0.62*'03_原始数据'!B841-OtherCost</f>
        <v/>
      </c>
      <c r="R841" s="37">
        <f>'03_原始数据'!C841-0.625*'03_原始数据'!B841-OtherCost</f>
        <v/>
      </c>
      <c r="S841" s="37">
        <f>'03_原始数据'!C841-0.63*'03_原始数据'!B841-OtherCost</f>
        <v/>
      </c>
      <c r="T841" s="37">
        <f>'03_原始数据'!C841-0.635*'03_原始数据'!B841-OtherCost</f>
        <v/>
      </c>
      <c r="U841" s="37">
        <f>'03_原始数据'!C841-0.64*'03_原始数据'!B841-OtherCost</f>
        <v/>
      </c>
      <c r="V841" s="37">
        <f>'03_原始数据'!C841-0.645*'03_原始数据'!B841-OtherCost</f>
        <v/>
      </c>
      <c r="W841" s="37">
        <f>'03_原始数据'!C841-0.65*'03_原始数据'!B841-OtherCost</f>
        <v/>
      </c>
      <c r="X841" s="37">
        <f>'03_原始数据'!C841-0.655*'03_原始数据'!B841-OtherCost</f>
        <v/>
      </c>
      <c r="Y841" s="37">
        <f>'03_原始数据'!C841-0.66*'03_原始数据'!B841-OtherCost</f>
        <v/>
      </c>
      <c r="Z841" s="37">
        <f>'03_原始数据'!C841-0.665*'03_原始数据'!B841-OtherCost</f>
        <v/>
      </c>
      <c r="AA841" s="37">
        <f>'03_原始数据'!C841-0.67*'03_原始数据'!B841-OtherCost</f>
        <v/>
      </c>
      <c r="AB841" s="37">
        <f>'03_原始数据'!C841-0.675*'03_原始数据'!B841-OtherCost</f>
        <v/>
      </c>
      <c r="AC841" s="37">
        <f>'03_原始数据'!C841-0.68*'03_原始数据'!B841-OtherCost</f>
        <v/>
      </c>
      <c r="AD841" s="37">
        <f>'03_原始数据'!C841-0.685*'03_原始数据'!B841-OtherCost</f>
        <v/>
      </c>
      <c r="AE841" s="37">
        <f>'03_原始数据'!C841-0.69*'03_原始数据'!B841-OtherCost</f>
        <v/>
      </c>
      <c r="AF841" s="37">
        <f>'03_原始数据'!C841-0.695*'03_原始数据'!B841-OtherCost</f>
        <v/>
      </c>
      <c r="AG841" s="37">
        <f>'03_原始数据'!C841-0.7*'03_原始数据'!B841-OtherCost</f>
        <v/>
      </c>
    </row>
    <row r="842">
      <c r="M842" s="37">
        <f>'03_原始数据'!C842-0.6*'03_原始数据'!B842-OtherCost</f>
        <v/>
      </c>
      <c r="N842" s="37">
        <f>'03_原始数据'!C842-0.605*'03_原始数据'!B842-OtherCost</f>
        <v/>
      </c>
      <c r="O842" s="37">
        <f>'03_原始数据'!C842-0.61*'03_原始数据'!B842-OtherCost</f>
        <v/>
      </c>
      <c r="P842" s="37">
        <f>'03_原始数据'!C842-0.615*'03_原始数据'!B842-OtherCost</f>
        <v/>
      </c>
      <c r="Q842" s="37">
        <f>'03_原始数据'!C842-0.62*'03_原始数据'!B842-OtherCost</f>
        <v/>
      </c>
      <c r="R842" s="37">
        <f>'03_原始数据'!C842-0.625*'03_原始数据'!B842-OtherCost</f>
        <v/>
      </c>
      <c r="S842" s="37">
        <f>'03_原始数据'!C842-0.63*'03_原始数据'!B842-OtherCost</f>
        <v/>
      </c>
      <c r="T842" s="37">
        <f>'03_原始数据'!C842-0.635*'03_原始数据'!B842-OtherCost</f>
        <v/>
      </c>
      <c r="U842" s="37">
        <f>'03_原始数据'!C842-0.64*'03_原始数据'!B842-OtherCost</f>
        <v/>
      </c>
      <c r="V842" s="37">
        <f>'03_原始数据'!C842-0.645*'03_原始数据'!B842-OtherCost</f>
        <v/>
      </c>
      <c r="W842" s="37">
        <f>'03_原始数据'!C842-0.65*'03_原始数据'!B842-OtherCost</f>
        <v/>
      </c>
      <c r="X842" s="37">
        <f>'03_原始数据'!C842-0.655*'03_原始数据'!B842-OtherCost</f>
        <v/>
      </c>
      <c r="Y842" s="37">
        <f>'03_原始数据'!C842-0.66*'03_原始数据'!B842-OtherCost</f>
        <v/>
      </c>
      <c r="Z842" s="37">
        <f>'03_原始数据'!C842-0.665*'03_原始数据'!B842-OtherCost</f>
        <v/>
      </c>
      <c r="AA842" s="37">
        <f>'03_原始数据'!C842-0.67*'03_原始数据'!B842-OtherCost</f>
        <v/>
      </c>
      <c r="AB842" s="37">
        <f>'03_原始数据'!C842-0.675*'03_原始数据'!B842-OtherCost</f>
        <v/>
      </c>
      <c r="AC842" s="37">
        <f>'03_原始数据'!C842-0.68*'03_原始数据'!B842-OtherCost</f>
        <v/>
      </c>
      <c r="AD842" s="37">
        <f>'03_原始数据'!C842-0.685*'03_原始数据'!B842-OtherCost</f>
        <v/>
      </c>
      <c r="AE842" s="37">
        <f>'03_原始数据'!C842-0.69*'03_原始数据'!B842-OtherCost</f>
        <v/>
      </c>
      <c r="AF842" s="37">
        <f>'03_原始数据'!C842-0.695*'03_原始数据'!B842-OtherCost</f>
        <v/>
      </c>
      <c r="AG842" s="37">
        <f>'03_原始数据'!C842-0.7*'03_原始数据'!B842-OtherCost</f>
        <v/>
      </c>
    </row>
    <row r="843">
      <c r="M843" s="37">
        <f>'03_原始数据'!C843-0.6*'03_原始数据'!B843-OtherCost</f>
        <v/>
      </c>
      <c r="N843" s="37">
        <f>'03_原始数据'!C843-0.605*'03_原始数据'!B843-OtherCost</f>
        <v/>
      </c>
      <c r="O843" s="37">
        <f>'03_原始数据'!C843-0.61*'03_原始数据'!B843-OtherCost</f>
        <v/>
      </c>
      <c r="P843" s="37">
        <f>'03_原始数据'!C843-0.615*'03_原始数据'!B843-OtherCost</f>
        <v/>
      </c>
      <c r="Q843" s="37">
        <f>'03_原始数据'!C843-0.62*'03_原始数据'!B843-OtherCost</f>
        <v/>
      </c>
      <c r="R843" s="37">
        <f>'03_原始数据'!C843-0.625*'03_原始数据'!B843-OtherCost</f>
        <v/>
      </c>
      <c r="S843" s="37">
        <f>'03_原始数据'!C843-0.63*'03_原始数据'!B843-OtherCost</f>
        <v/>
      </c>
      <c r="T843" s="37">
        <f>'03_原始数据'!C843-0.635*'03_原始数据'!B843-OtherCost</f>
        <v/>
      </c>
      <c r="U843" s="37">
        <f>'03_原始数据'!C843-0.64*'03_原始数据'!B843-OtherCost</f>
        <v/>
      </c>
      <c r="V843" s="37">
        <f>'03_原始数据'!C843-0.645*'03_原始数据'!B843-OtherCost</f>
        <v/>
      </c>
      <c r="W843" s="37">
        <f>'03_原始数据'!C843-0.65*'03_原始数据'!B843-OtherCost</f>
        <v/>
      </c>
      <c r="X843" s="37">
        <f>'03_原始数据'!C843-0.655*'03_原始数据'!B843-OtherCost</f>
        <v/>
      </c>
      <c r="Y843" s="37">
        <f>'03_原始数据'!C843-0.66*'03_原始数据'!B843-OtherCost</f>
        <v/>
      </c>
      <c r="Z843" s="37">
        <f>'03_原始数据'!C843-0.665*'03_原始数据'!B843-OtherCost</f>
        <v/>
      </c>
      <c r="AA843" s="37">
        <f>'03_原始数据'!C843-0.67*'03_原始数据'!B843-OtherCost</f>
        <v/>
      </c>
      <c r="AB843" s="37">
        <f>'03_原始数据'!C843-0.675*'03_原始数据'!B843-OtherCost</f>
        <v/>
      </c>
      <c r="AC843" s="37">
        <f>'03_原始数据'!C843-0.68*'03_原始数据'!B843-OtherCost</f>
        <v/>
      </c>
      <c r="AD843" s="37">
        <f>'03_原始数据'!C843-0.685*'03_原始数据'!B843-OtherCost</f>
        <v/>
      </c>
      <c r="AE843" s="37">
        <f>'03_原始数据'!C843-0.69*'03_原始数据'!B843-OtherCost</f>
        <v/>
      </c>
      <c r="AF843" s="37">
        <f>'03_原始数据'!C843-0.695*'03_原始数据'!B843-OtherCost</f>
        <v/>
      </c>
      <c r="AG843" s="37">
        <f>'03_原始数据'!C843-0.7*'03_原始数据'!B843-OtherCost</f>
        <v/>
      </c>
    </row>
    <row r="844">
      <c r="M844" s="37">
        <f>'03_原始数据'!C844-0.6*'03_原始数据'!B844-OtherCost</f>
        <v/>
      </c>
      <c r="N844" s="37">
        <f>'03_原始数据'!C844-0.605*'03_原始数据'!B844-OtherCost</f>
        <v/>
      </c>
      <c r="O844" s="37">
        <f>'03_原始数据'!C844-0.61*'03_原始数据'!B844-OtherCost</f>
        <v/>
      </c>
      <c r="P844" s="37">
        <f>'03_原始数据'!C844-0.615*'03_原始数据'!B844-OtherCost</f>
        <v/>
      </c>
      <c r="Q844" s="37">
        <f>'03_原始数据'!C844-0.62*'03_原始数据'!B844-OtherCost</f>
        <v/>
      </c>
      <c r="R844" s="37">
        <f>'03_原始数据'!C844-0.625*'03_原始数据'!B844-OtherCost</f>
        <v/>
      </c>
      <c r="S844" s="37">
        <f>'03_原始数据'!C844-0.63*'03_原始数据'!B844-OtherCost</f>
        <v/>
      </c>
      <c r="T844" s="37">
        <f>'03_原始数据'!C844-0.635*'03_原始数据'!B844-OtherCost</f>
        <v/>
      </c>
      <c r="U844" s="37">
        <f>'03_原始数据'!C844-0.64*'03_原始数据'!B844-OtherCost</f>
        <v/>
      </c>
      <c r="V844" s="37">
        <f>'03_原始数据'!C844-0.645*'03_原始数据'!B844-OtherCost</f>
        <v/>
      </c>
      <c r="W844" s="37">
        <f>'03_原始数据'!C844-0.65*'03_原始数据'!B844-OtherCost</f>
        <v/>
      </c>
      <c r="X844" s="37">
        <f>'03_原始数据'!C844-0.655*'03_原始数据'!B844-OtherCost</f>
        <v/>
      </c>
      <c r="Y844" s="37">
        <f>'03_原始数据'!C844-0.66*'03_原始数据'!B844-OtherCost</f>
        <v/>
      </c>
      <c r="Z844" s="37">
        <f>'03_原始数据'!C844-0.665*'03_原始数据'!B844-OtherCost</f>
        <v/>
      </c>
      <c r="AA844" s="37">
        <f>'03_原始数据'!C844-0.67*'03_原始数据'!B844-OtherCost</f>
        <v/>
      </c>
      <c r="AB844" s="37">
        <f>'03_原始数据'!C844-0.675*'03_原始数据'!B844-OtherCost</f>
        <v/>
      </c>
      <c r="AC844" s="37">
        <f>'03_原始数据'!C844-0.68*'03_原始数据'!B844-OtherCost</f>
        <v/>
      </c>
      <c r="AD844" s="37">
        <f>'03_原始数据'!C844-0.685*'03_原始数据'!B844-OtherCost</f>
        <v/>
      </c>
      <c r="AE844" s="37">
        <f>'03_原始数据'!C844-0.69*'03_原始数据'!B844-OtherCost</f>
        <v/>
      </c>
      <c r="AF844" s="37">
        <f>'03_原始数据'!C844-0.695*'03_原始数据'!B844-OtherCost</f>
        <v/>
      </c>
      <c r="AG844" s="37">
        <f>'03_原始数据'!C844-0.7*'03_原始数据'!B844-OtherCost</f>
        <v/>
      </c>
    </row>
    <row r="845">
      <c r="M845" s="37">
        <f>'03_原始数据'!C845-0.6*'03_原始数据'!B845-OtherCost</f>
        <v/>
      </c>
      <c r="N845" s="37">
        <f>'03_原始数据'!C845-0.605*'03_原始数据'!B845-OtherCost</f>
        <v/>
      </c>
      <c r="O845" s="37">
        <f>'03_原始数据'!C845-0.61*'03_原始数据'!B845-OtherCost</f>
        <v/>
      </c>
      <c r="P845" s="37">
        <f>'03_原始数据'!C845-0.615*'03_原始数据'!B845-OtherCost</f>
        <v/>
      </c>
      <c r="Q845" s="37">
        <f>'03_原始数据'!C845-0.62*'03_原始数据'!B845-OtherCost</f>
        <v/>
      </c>
      <c r="R845" s="37">
        <f>'03_原始数据'!C845-0.625*'03_原始数据'!B845-OtherCost</f>
        <v/>
      </c>
      <c r="S845" s="37">
        <f>'03_原始数据'!C845-0.63*'03_原始数据'!B845-OtherCost</f>
        <v/>
      </c>
      <c r="T845" s="37">
        <f>'03_原始数据'!C845-0.635*'03_原始数据'!B845-OtherCost</f>
        <v/>
      </c>
      <c r="U845" s="37">
        <f>'03_原始数据'!C845-0.64*'03_原始数据'!B845-OtherCost</f>
        <v/>
      </c>
      <c r="V845" s="37">
        <f>'03_原始数据'!C845-0.645*'03_原始数据'!B845-OtherCost</f>
        <v/>
      </c>
      <c r="W845" s="37">
        <f>'03_原始数据'!C845-0.65*'03_原始数据'!B845-OtherCost</f>
        <v/>
      </c>
      <c r="X845" s="37">
        <f>'03_原始数据'!C845-0.655*'03_原始数据'!B845-OtherCost</f>
        <v/>
      </c>
      <c r="Y845" s="37">
        <f>'03_原始数据'!C845-0.66*'03_原始数据'!B845-OtherCost</f>
        <v/>
      </c>
      <c r="Z845" s="37">
        <f>'03_原始数据'!C845-0.665*'03_原始数据'!B845-OtherCost</f>
        <v/>
      </c>
      <c r="AA845" s="37">
        <f>'03_原始数据'!C845-0.67*'03_原始数据'!B845-OtherCost</f>
        <v/>
      </c>
      <c r="AB845" s="37">
        <f>'03_原始数据'!C845-0.675*'03_原始数据'!B845-OtherCost</f>
        <v/>
      </c>
      <c r="AC845" s="37">
        <f>'03_原始数据'!C845-0.68*'03_原始数据'!B845-OtherCost</f>
        <v/>
      </c>
      <c r="AD845" s="37">
        <f>'03_原始数据'!C845-0.685*'03_原始数据'!B845-OtherCost</f>
        <v/>
      </c>
      <c r="AE845" s="37">
        <f>'03_原始数据'!C845-0.69*'03_原始数据'!B845-OtherCost</f>
        <v/>
      </c>
      <c r="AF845" s="37">
        <f>'03_原始数据'!C845-0.695*'03_原始数据'!B845-OtherCost</f>
        <v/>
      </c>
      <c r="AG845" s="37">
        <f>'03_原始数据'!C845-0.7*'03_原始数据'!B845-OtherCost</f>
        <v/>
      </c>
    </row>
    <row r="846">
      <c r="M846" s="37">
        <f>'03_原始数据'!C846-0.6*'03_原始数据'!B846-OtherCost</f>
        <v/>
      </c>
      <c r="N846" s="37">
        <f>'03_原始数据'!C846-0.605*'03_原始数据'!B846-OtherCost</f>
        <v/>
      </c>
      <c r="O846" s="37">
        <f>'03_原始数据'!C846-0.61*'03_原始数据'!B846-OtherCost</f>
        <v/>
      </c>
      <c r="P846" s="37">
        <f>'03_原始数据'!C846-0.615*'03_原始数据'!B846-OtherCost</f>
        <v/>
      </c>
      <c r="Q846" s="37">
        <f>'03_原始数据'!C846-0.62*'03_原始数据'!B846-OtherCost</f>
        <v/>
      </c>
      <c r="R846" s="37">
        <f>'03_原始数据'!C846-0.625*'03_原始数据'!B846-OtherCost</f>
        <v/>
      </c>
      <c r="S846" s="37">
        <f>'03_原始数据'!C846-0.63*'03_原始数据'!B846-OtherCost</f>
        <v/>
      </c>
      <c r="T846" s="37">
        <f>'03_原始数据'!C846-0.635*'03_原始数据'!B846-OtherCost</f>
        <v/>
      </c>
      <c r="U846" s="37">
        <f>'03_原始数据'!C846-0.64*'03_原始数据'!B846-OtherCost</f>
        <v/>
      </c>
      <c r="V846" s="37">
        <f>'03_原始数据'!C846-0.645*'03_原始数据'!B846-OtherCost</f>
        <v/>
      </c>
      <c r="W846" s="37">
        <f>'03_原始数据'!C846-0.65*'03_原始数据'!B846-OtherCost</f>
        <v/>
      </c>
      <c r="X846" s="37">
        <f>'03_原始数据'!C846-0.655*'03_原始数据'!B846-OtherCost</f>
        <v/>
      </c>
      <c r="Y846" s="37">
        <f>'03_原始数据'!C846-0.66*'03_原始数据'!B846-OtherCost</f>
        <v/>
      </c>
      <c r="Z846" s="37">
        <f>'03_原始数据'!C846-0.665*'03_原始数据'!B846-OtherCost</f>
        <v/>
      </c>
      <c r="AA846" s="37">
        <f>'03_原始数据'!C846-0.67*'03_原始数据'!B846-OtherCost</f>
        <v/>
      </c>
      <c r="AB846" s="37">
        <f>'03_原始数据'!C846-0.675*'03_原始数据'!B846-OtherCost</f>
        <v/>
      </c>
      <c r="AC846" s="37">
        <f>'03_原始数据'!C846-0.68*'03_原始数据'!B846-OtherCost</f>
        <v/>
      </c>
      <c r="AD846" s="37">
        <f>'03_原始数据'!C846-0.685*'03_原始数据'!B846-OtherCost</f>
        <v/>
      </c>
      <c r="AE846" s="37">
        <f>'03_原始数据'!C846-0.69*'03_原始数据'!B846-OtherCost</f>
        <v/>
      </c>
      <c r="AF846" s="37">
        <f>'03_原始数据'!C846-0.695*'03_原始数据'!B846-OtherCost</f>
        <v/>
      </c>
      <c r="AG846" s="37">
        <f>'03_原始数据'!C846-0.7*'03_原始数据'!B846-OtherCost</f>
        <v/>
      </c>
    </row>
    <row r="847">
      <c r="M847" s="37">
        <f>'03_原始数据'!C847-0.6*'03_原始数据'!B847-OtherCost</f>
        <v/>
      </c>
      <c r="N847" s="37">
        <f>'03_原始数据'!C847-0.605*'03_原始数据'!B847-OtherCost</f>
        <v/>
      </c>
      <c r="O847" s="37">
        <f>'03_原始数据'!C847-0.61*'03_原始数据'!B847-OtherCost</f>
        <v/>
      </c>
      <c r="P847" s="37">
        <f>'03_原始数据'!C847-0.615*'03_原始数据'!B847-OtherCost</f>
        <v/>
      </c>
      <c r="Q847" s="37">
        <f>'03_原始数据'!C847-0.62*'03_原始数据'!B847-OtherCost</f>
        <v/>
      </c>
      <c r="R847" s="37">
        <f>'03_原始数据'!C847-0.625*'03_原始数据'!B847-OtherCost</f>
        <v/>
      </c>
      <c r="S847" s="37">
        <f>'03_原始数据'!C847-0.63*'03_原始数据'!B847-OtherCost</f>
        <v/>
      </c>
      <c r="T847" s="37">
        <f>'03_原始数据'!C847-0.635*'03_原始数据'!B847-OtherCost</f>
        <v/>
      </c>
      <c r="U847" s="37">
        <f>'03_原始数据'!C847-0.64*'03_原始数据'!B847-OtherCost</f>
        <v/>
      </c>
      <c r="V847" s="37">
        <f>'03_原始数据'!C847-0.645*'03_原始数据'!B847-OtherCost</f>
        <v/>
      </c>
      <c r="W847" s="37">
        <f>'03_原始数据'!C847-0.65*'03_原始数据'!B847-OtherCost</f>
        <v/>
      </c>
      <c r="X847" s="37">
        <f>'03_原始数据'!C847-0.655*'03_原始数据'!B847-OtherCost</f>
        <v/>
      </c>
      <c r="Y847" s="37">
        <f>'03_原始数据'!C847-0.66*'03_原始数据'!B847-OtherCost</f>
        <v/>
      </c>
      <c r="Z847" s="37">
        <f>'03_原始数据'!C847-0.665*'03_原始数据'!B847-OtherCost</f>
        <v/>
      </c>
      <c r="AA847" s="37">
        <f>'03_原始数据'!C847-0.67*'03_原始数据'!B847-OtherCost</f>
        <v/>
      </c>
      <c r="AB847" s="37">
        <f>'03_原始数据'!C847-0.675*'03_原始数据'!B847-OtherCost</f>
        <v/>
      </c>
      <c r="AC847" s="37">
        <f>'03_原始数据'!C847-0.68*'03_原始数据'!B847-OtherCost</f>
        <v/>
      </c>
      <c r="AD847" s="37">
        <f>'03_原始数据'!C847-0.685*'03_原始数据'!B847-OtherCost</f>
        <v/>
      </c>
      <c r="AE847" s="37">
        <f>'03_原始数据'!C847-0.69*'03_原始数据'!B847-OtherCost</f>
        <v/>
      </c>
      <c r="AF847" s="37">
        <f>'03_原始数据'!C847-0.695*'03_原始数据'!B847-OtherCost</f>
        <v/>
      </c>
      <c r="AG847" s="37">
        <f>'03_原始数据'!C847-0.7*'03_原始数据'!B847-OtherCost</f>
        <v/>
      </c>
    </row>
    <row r="848">
      <c r="M848" s="37">
        <f>'03_原始数据'!C848-0.6*'03_原始数据'!B848-OtherCost</f>
        <v/>
      </c>
      <c r="N848" s="37">
        <f>'03_原始数据'!C848-0.605*'03_原始数据'!B848-OtherCost</f>
        <v/>
      </c>
      <c r="O848" s="37">
        <f>'03_原始数据'!C848-0.61*'03_原始数据'!B848-OtherCost</f>
        <v/>
      </c>
      <c r="P848" s="37">
        <f>'03_原始数据'!C848-0.615*'03_原始数据'!B848-OtherCost</f>
        <v/>
      </c>
      <c r="Q848" s="37">
        <f>'03_原始数据'!C848-0.62*'03_原始数据'!B848-OtherCost</f>
        <v/>
      </c>
      <c r="R848" s="37">
        <f>'03_原始数据'!C848-0.625*'03_原始数据'!B848-OtherCost</f>
        <v/>
      </c>
      <c r="S848" s="37">
        <f>'03_原始数据'!C848-0.63*'03_原始数据'!B848-OtherCost</f>
        <v/>
      </c>
      <c r="T848" s="37">
        <f>'03_原始数据'!C848-0.635*'03_原始数据'!B848-OtherCost</f>
        <v/>
      </c>
      <c r="U848" s="37">
        <f>'03_原始数据'!C848-0.64*'03_原始数据'!B848-OtherCost</f>
        <v/>
      </c>
      <c r="V848" s="37">
        <f>'03_原始数据'!C848-0.645*'03_原始数据'!B848-OtherCost</f>
        <v/>
      </c>
      <c r="W848" s="37">
        <f>'03_原始数据'!C848-0.65*'03_原始数据'!B848-OtherCost</f>
        <v/>
      </c>
      <c r="X848" s="37">
        <f>'03_原始数据'!C848-0.655*'03_原始数据'!B848-OtherCost</f>
        <v/>
      </c>
      <c r="Y848" s="37">
        <f>'03_原始数据'!C848-0.66*'03_原始数据'!B848-OtherCost</f>
        <v/>
      </c>
      <c r="Z848" s="37">
        <f>'03_原始数据'!C848-0.665*'03_原始数据'!B848-OtherCost</f>
        <v/>
      </c>
      <c r="AA848" s="37">
        <f>'03_原始数据'!C848-0.67*'03_原始数据'!B848-OtherCost</f>
        <v/>
      </c>
      <c r="AB848" s="37">
        <f>'03_原始数据'!C848-0.675*'03_原始数据'!B848-OtherCost</f>
        <v/>
      </c>
      <c r="AC848" s="37">
        <f>'03_原始数据'!C848-0.68*'03_原始数据'!B848-OtherCost</f>
        <v/>
      </c>
      <c r="AD848" s="37">
        <f>'03_原始数据'!C848-0.685*'03_原始数据'!B848-OtherCost</f>
        <v/>
      </c>
      <c r="AE848" s="37">
        <f>'03_原始数据'!C848-0.69*'03_原始数据'!B848-OtherCost</f>
        <v/>
      </c>
      <c r="AF848" s="37">
        <f>'03_原始数据'!C848-0.695*'03_原始数据'!B848-OtherCost</f>
        <v/>
      </c>
      <c r="AG848" s="37">
        <f>'03_原始数据'!C848-0.7*'03_原始数据'!B848-OtherCost</f>
        <v/>
      </c>
    </row>
    <row r="849">
      <c r="M849" s="37">
        <f>'03_原始数据'!C849-0.6*'03_原始数据'!B849-OtherCost</f>
        <v/>
      </c>
      <c r="N849" s="37">
        <f>'03_原始数据'!C849-0.605*'03_原始数据'!B849-OtherCost</f>
        <v/>
      </c>
      <c r="O849" s="37">
        <f>'03_原始数据'!C849-0.61*'03_原始数据'!B849-OtherCost</f>
        <v/>
      </c>
      <c r="P849" s="37">
        <f>'03_原始数据'!C849-0.615*'03_原始数据'!B849-OtherCost</f>
        <v/>
      </c>
      <c r="Q849" s="37">
        <f>'03_原始数据'!C849-0.62*'03_原始数据'!B849-OtherCost</f>
        <v/>
      </c>
      <c r="R849" s="37">
        <f>'03_原始数据'!C849-0.625*'03_原始数据'!B849-OtherCost</f>
        <v/>
      </c>
      <c r="S849" s="37">
        <f>'03_原始数据'!C849-0.63*'03_原始数据'!B849-OtherCost</f>
        <v/>
      </c>
      <c r="T849" s="37">
        <f>'03_原始数据'!C849-0.635*'03_原始数据'!B849-OtherCost</f>
        <v/>
      </c>
      <c r="U849" s="37">
        <f>'03_原始数据'!C849-0.64*'03_原始数据'!B849-OtherCost</f>
        <v/>
      </c>
      <c r="V849" s="37">
        <f>'03_原始数据'!C849-0.645*'03_原始数据'!B849-OtherCost</f>
        <v/>
      </c>
      <c r="W849" s="37">
        <f>'03_原始数据'!C849-0.65*'03_原始数据'!B849-OtherCost</f>
        <v/>
      </c>
      <c r="X849" s="37">
        <f>'03_原始数据'!C849-0.655*'03_原始数据'!B849-OtherCost</f>
        <v/>
      </c>
      <c r="Y849" s="37">
        <f>'03_原始数据'!C849-0.66*'03_原始数据'!B849-OtherCost</f>
        <v/>
      </c>
      <c r="Z849" s="37">
        <f>'03_原始数据'!C849-0.665*'03_原始数据'!B849-OtherCost</f>
        <v/>
      </c>
      <c r="AA849" s="37">
        <f>'03_原始数据'!C849-0.67*'03_原始数据'!B849-OtherCost</f>
        <v/>
      </c>
      <c r="AB849" s="37">
        <f>'03_原始数据'!C849-0.675*'03_原始数据'!B849-OtherCost</f>
        <v/>
      </c>
      <c r="AC849" s="37">
        <f>'03_原始数据'!C849-0.68*'03_原始数据'!B849-OtherCost</f>
        <v/>
      </c>
      <c r="AD849" s="37">
        <f>'03_原始数据'!C849-0.685*'03_原始数据'!B849-OtherCost</f>
        <v/>
      </c>
      <c r="AE849" s="37">
        <f>'03_原始数据'!C849-0.69*'03_原始数据'!B849-OtherCost</f>
        <v/>
      </c>
      <c r="AF849" s="37">
        <f>'03_原始数据'!C849-0.695*'03_原始数据'!B849-OtherCost</f>
        <v/>
      </c>
      <c r="AG849" s="37">
        <f>'03_原始数据'!C849-0.7*'03_原始数据'!B849-OtherCost</f>
        <v/>
      </c>
    </row>
    <row r="850">
      <c r="M850" s="37">
        <f>'03_原始数据'!C850-0.6*'03_原始数据'!B850-OtherCost</f>
        <v/>
      </c>
      <c r="N850" s="37">
        <f>'03_原始数据'!C850-0.605*'03_原始数据'!B850-OtherCost</f>
        <v/>
      </c>
      <c r="O850" s="37">
        <f>'03_原始数据'!C850-0.61*'03_原始数据'!B850-OtherCost</f>
        <v/>
      </c>
      <c r="P850" s="37">
        <f>'03_原始数据'!C850-0.615*'03_原始数据'!B850-OtherCost</f>
        <v/>
      </c>
      <c r="Q850" s="37">
        <f>'03_原始数据'!C850-0.62*'03_原始数据'!B850-OtherCost</f>
        <v/>
      </c>
      <c r="R850" s="37">
        <f>'03_原始数据'!C850-0.625*'03_原始数据'!B850-OtherCost</f>
        <v/>
      </c>
      <c r="S850" s="37">
        <f>'03_原始数据'!C850-0.63*'03_原始数据'!B850-OtherCost</f>
        <v/>
      </c>
      <c r="T850" s="37">
        <f>'03_原始数据'!C850-0.635*'03_原始数据'!B850-OtherCost</f>
        <v/>
      </c>
      <c r="U850" s="37">
        <f>'03_原始数据'!C850-0.64*'03_原始数据'!B850-OtherCost</f>
        <v/>
      </c>
      <c r="V850" s="37">
        <f>'03_原始数据'!C850-0.645*'03_原始数据'!B850-OtherCost</f>
        <v/>
      </c>
      <c r="W850" s="37">
        <f>'03_原始数据'!C850-0.65*'03_原始数据'!B850-OtherCost</f>
        <v/>
      </c>
      <c r="X850" s="37">
        <f>'03_原始数据'!C850-0.655*'03_原始数据'!B850-OtherCost</f>
        <v/>
      </c>
      <c r="Y850" s="37">
        <f>'03_原始数据'!C850-0.66*'03_原始数据'!B850-OtherCost</f>
        <v/>
      </c>
      <c r="Z850" s="37">
        <f>'03_原始数据'!C850-0.665*'03_原始数据'!B850-OtherCost</f>
        <v/>
      </c>
      <c r="AA850" s="37">
        <f>'03_原始数据'!C850-0.67*'03_原始数据'!B850-OtherCost</f>
        <v/>
      </c>
      <c r="AB850" s="37">
        <f>'03_原始数据'!C850-0.675*'03_原始数据'!B850-OtherCost</f>
        <v/>
      </c>
      <c r="AC850" s="37">
        <f>'03_原始数据'!C850-0.68*'03_原始数据'!B850-OtherCost</f>
        <v/>
      </c>
      <c r="AD850" s="37">
        <f>'03_原始数据'!C850-0.685*'03_原始数据'!B850-OtherCost</f>
        <v/>
      </c>
      <c r="AE850" s="37">
        <f>'03_原始数据'!C850-0.69*'03_原始数据'!B850-OtherCost</f>
        <v/>
      </c>
      <c r="AF850" s="37">
        <f>'03_原始数据'!C850-0.695*'03_原始数据'!B850-OtherCost</f>
        <v/>
      </c>
      <c r="AG850" s="37">
        <f>'03_原始数据'!C850-0.7*'03_原始数据'!B850-OtherCost</f>
        <v/>
      </c>
    </row>
    <row r="851">
      <c r="M851" s="37">
        <f>'03_原始数据'!C851-0.6*'03_原始数据'!B851-OtherCost</f>
        <v/>
      </c>
      <c r="N851" s="37">
        <f>'03_原始数据'!C851-0.605*'03_原始数据'!B851-OtherCost</f>
        <v/>
      </c>
      <c r="O851" s="37">
        <f>'03_原始数据'!C851-0.61*'03_原始数据'!B851-OtherCost</f>
        <v/>
      </c>
      <c r="P851" s="37">
        <f>'03_原始数据'!C851-0.615*'03_原始数据'!B851-OtherCost</f>
        <v/>
      </c>
      <c r="Q851" s="37">
        <f>'03_原始数据'!C851-0.62*'03_原始数据'!B851-OtherCost</f>
        <v/>
      </c>
      <c r="R851" s="37">
        <f>'03_原始数据'!C851-0.625*'03_原始数据'!B851-OtherCost</f>
        <v/>
      </c>
      <c r="S851" s="37">
        <f>'03_原始数据'!C851-0.63*'03_原始数据'!B851-OtherCost</f>
        <v/>
      </c>
      <c r="T851" s="37">
        <f>'03_原始数据'!C851-0.635*'03_原始数据'!B851-OtherCost</f>
        <v/>
      </c>
      <c r="U851" s="37">
        <f>'03_原始数据'!C851-0.64*'03_原始数据'!B851-OtherCost</f>
        <v/>
      </c>
      <c r="V851" s="37">
        <f>'03_原始数据'!C851-0.645*'03_原始数据'!B851-OtherCost</f>
        <v/>
      </c>
      <c r="W851" s="37">
        <f>'03_原始数据'!C851-0.65*'03_原始数据'!B851-OtherCost</f>
        <v/>
      </c>
      <c r="X851" s="37">
        <f>'03_原始数据'!C851-0.655*'03_原始数据'!B851-OtherCost</f>
        <v/>
      </c>
      <c r="Y851" s="37">
        <f>'03_原始数据'!C851-0.66*'03_原始数据'!B851-OtherCost</f>
        <v/>
      </c>
      <c r="Z851" s="37">
        <f>'03_原始数据'!C851-0.665*'03_原始数据'!B851-OtherCost</f>
        <v/>
      </c>
      <c r="AA851" s="37">
        <f>'03_原始数据'!C851-0.67*'03_原始数据'!B851-OtherCost</f>
        <v/>
      </c>
      <c r="AB851" s="37">
        <f>'03_原始数据'!C851-0.675*'03_原始数据'!B851-OtherCost</f>
        <v/>
      </c>
      <c r="AC851" s="37">
        <f>'03_原始数据'!C851-0.68*'03_原始数据'!B851-OtherCost</f>
        <v/>
      </c>
      <c r="AD851" s="37">
        <f>'03_原始数据'!C851-0.685*'03_原始数据'!B851-OtherCost</f>
        <v/>
      </c>
      <c r="AE851" s="37">
        <f>'03_原始数据'!C851-0.69*'03_原始数据'!B851-OtherCost</f>
        <v/>
      </c>
      <c r="AF851" s="37">
        <f>'03_原始数据'!C851-0.695*'03_原始数据'!B851-OtherCost</f>
        <v/>
      </c>
      <c r="AG851" s="37">
        <f>'03_原始数据'!C851-0.7*'03_原始数据'!B851-OtherCost</f>
        <v/>
      </c>
    </row>
    <row r="852">
      <c r="M852" s="37">
        <f>'03_原始数据'!C852-0.6*'03_原始数据'!B852-OtherCost</f>
        <v/>
      </c>
      <c r="N852" s="37">
        <f>'03_原始数据'!C852-0.605*'03_原始数据'!B852-OtherCost</f>
        <v/>
      </c>
      <c r="O852" s="37">
        <f>'03_原始数据'!C852-0.61*'03_原始数据'!B852-OtherCost</f>
        <v/>
      </c>
      <c r="P852" s="37">
        <f>'03_原始数据'!C852-0.615*'03_原始数据'!B852-OtherCost</f>
        <v/>
      </c>
      <c r="Q852" s="37">
        <f>'03_原始数据'!C852-0.62*'03_原始数据'!B852-OtherCost</f>
        <v/>
      </c>
      <c r="R852" s="37">
        <f>'03_原始数据'!C852-0.625*'03_原始数据'!B852-OtherCost</f>
        <v/>
      </c>
      <c r="S852" s="37">
        <f>'03_原始数据'!C852-0.63*'03_原始数据'!B852-OtherCost</f>
        <v/>
      </c>
      <c r="T852" s="37">
        <f>'03_原始数据'!C852-0.635*'03_原始数据'!B852-OtherCost</f>
        <v/>
      </c>
      <c r="U852" s="37">
        <f>'03_原始数据'!C852-0.64*'03_原始数据'!B852-OtherCost</f>
        <v/>
      </c>
      <c r="V852" s="37">
        <f>'03_原始数据'!C852-0.645*'03_原始数据'!B852-OtherCost</f>
        <v/>
      </c>
      <c r="W852" s="37">
        <f>'03_原始数据'!C852-0.65*'03_原始数据'!B852-OtherCost</f>
        <v/>
      </c>
      <c r="X852" s="37">
        <f>'03_原始数据'!C852-0.655*'03_原始数据'!B852-OtherCost</f>
        <v/>
      </c>
      <c r="Y852" s="37">
        <f>'03_原始数据'!C852-0.66*'03_原始数据'!B852-OtherCost</f>
        <v/>
      </c>
      <c r="Z852" s="37">
        <f>'03_原始数据'!C852-0.665*'03_原始数据'!B852-OtherCost</f>
        <v/>
      </c>
      <c r="AA852" s="37">
        <f>'03_原始数据'!C852-0.67*'03_原始数据'!B852-OtherCost</f>
        <v/>
      </c>
      <c r="AB852" s="37">
        <f>'03_原始数据'!C852-0.675*'03_原始数据'!B852-OtherCost</f>
        <v/>
      </c>
      <c r="AC852" s="37">
        <f>'03_原始数据'!C852-0.68*'03_原始数据'!B852-OtherCost</f>
        <v/>
      </c>
      <c r="AD852" s="37">
        <f>'03_原始数据'!C852-0.685*'03_原始数据'!B852-OtherCost</f>
        <v/>
      </c>
      <c r="AE852" s="37">
        <f>'03_原始数据'!C852-0.69*'03_原始数据'!B852-OtherCost</f>
        <v/>
      </c>
      <c r="AF852" s="37">
        <f>'03_原始数据'!C852-0.695*'03_原始数据'!B852-OtherCost</f>
        <v/>
      </c>
      <c r="AG852" s="37">
        <f>'03_原始数据'!C852-0.7*'03_原始数据'!B852-OtherCost</f>
        <v/>
      </c>
    </row>
    <row r="853">
      <c r="M853" s="37">
        <f>'03_原始数据'!C853-0.6*'03_原始数据'!B853-OtherCost</f>
        <v/>
      </c>
      <c r="N853" s="37">
        <f>'03_原始数据'!C853-0.605*'03_原始数据'!B853-OtherCost</f>
        <v/>
      </c>
      <c r="O853" s="37">
        <f>'03_原始数据'!C853-0.61*'03_原始数据'!B853-OtherCost</f>
        <v/>
      </c>
      <c r="P853" s="37">
        <f>'03_原始数据'!C853-0.615*'03_原始数据'!B853-OtherCost</f>
        <v/>
      </c>
      <c r="Q853" s="37">
        <f>'03_原始数据'!C853-0.62*'03_原始数据'!B853-OtherCost</f>
        <v/>
      </c>
      <c r="R853" s="37">
        <f>'03_原始数据'!C853-0.625*'03_原始数据'!B853-OtherCost</f>
        <v/>
      </c>
      <c r="S853" s="37">
        <f>'03_原始数据'!C853-0.63*'03_原始数据'!B853-OtherCost</f>
        <v/>
      </c>
      <c r="T853" s="37">
        <f>'03_原始数据'!C853-0.635*'03_原始数据'!B853-OtherCost</f>
        <v/>
      </c>
      <c r="U853" s="37">
        <f>'03_原始数据'!C853-0.64*'03_原始数据'!B853-OtherCost</f>
        <v/>
      </c>
      <c r="V853" s="37">
        <f>'03_原始数据'!C853-0.645*'03_原始数据'!B853-OtherCost</f>
        <v/>
      </c>
      <c r="W853" s="37">
        <f>'03_原始数据'!C853-0.65*'03_原始数据'!B853-OtherCost</f>
        <v/>
      </c>
      <c r="X853" s="37">
        <f>'03_原始数据'!C853-0.655*'03_原始数据'!B853-OtherCost</f>
        <v/>
      </c>
      <c r="Y853" s="37">
        <f>'03_原始数据'!C853-0.66*'03_原始数据'!B853-OtherCost</f>
        <v/>
      </c>
      <c r="Z853" s="37">
        <f>'03_原始数据'!C853-0.665*'03_原始数据'!B853-OtherCost</f>
        <v/>
      </c>
      <c r="AA853" s="37">
        <f>'03_原始数据'!C853-0.67*'03_原始数据'!B853-OtherCost</f>
        <v/>
      </c>
      <c r="AB853" s="37">
        <f>'03_原始数据'!C853-0.675*'03_原始数据'!B853-OtherCost</f>
        <v/>
      </c>
      <c r="AC853" s="37">
        <f>'03_原始数据'!C853-0.68*'03_原始数据'!B853-OtherCost</f>
        <v/>
      </c>
      <c r="AD853" s="37">
        <f>'03_原始数据'!C853-0.685*'03_原始数据'!B853-OtherCost</f>
        <v/>
      </c>
      <c r="AE853" s="37">
        <f>'03_原始数据'!C853-0.69*'03_原始数据'!B853-OtherCost</f>
        <v/>
      </c>
      <c r="AF853" s="37">
        <f>'03_原始数据'!C853-0.695*'03_原始数据'!B853-OtherCost</f>
        <v/>
      </c>
      <c r="AG853" s="37">
        <f>'03_原始数据'!C853-0.7*'03_原始数据'!B853-OtherCost</f>
        <v/>
      </c>
    </row>
    <row r="854">
      <c r="M854" s="37">
        <f>'03_原始数据'!C854-0.6*'03_原始数据'!B854-OtherCost</f>
        <v/>
      </c>
      <c r="N854" s="37">
        <f>'03_原始数据'!C854-0.605*'03_原始数据'!B854-OtherCost</f>
        <v/>
      </c>
      <c r="O854" s="37">
        <f>'03_原始数据'!C854-0.61*'03_原始数据'!B854-OtherCost</f>
        <v/>
      </c>
      <c r="P854" s="37">
        <f>'03_原始数据'!C854-0.615*'03_原始数据'!B854-OtherCost</f>
        <v/>
      </c>
      <c r="Q854" s="37">
        <f>'03_原始数据'!C854-0.62*'03_原始数据'!B854-OtherCost</f>
        <v/>
      </c>
      <c r="R854" s="37">
        <f>'03_原始数据'!C854-0.625*'03_原始数据'!B854-OtherCost</f>
        <v/>
      </c>
      <c r="S854" s="37">
        <f>'03_原始数据'!C854-0.63*'03_原始数据'!B854-OtherCost</f>
        <v/>
      </c>
      <c r="T854" s="37">
        <f>'03_原始数据'!C854-0.635*'03_原始数据'!B854-OtherCost</f>
        <v/>
      </c>
      <c r="U854" s="37">
        <f>'03_原始数据'!C854-0.64*'03_原始数据'!B854-OtherCost</f>
        <v/>
      </c>
      <c r="V854" s="37">
        <f>'03_原始数据'!C854-0.645*'03_原始数据'!B854-OtherCost</f>
        <v/>
      </c>
      <c r="W854" s="37">
        <f>'03_原始数据'!C854-0.65*'03_原始数据'!B854-OtherCost</f>
        <v/>
      </c>
      <c r="X854" s="37">
        <f>'03_原始数据'!C854-0.655*'03_原始数据'!B854-OtherCost</f>
        <v/>
      </c>
      <c r="Y854" s="37">
        <f>'03_原始数据'!C854-0.66*'03_原始数据'!B854-OtherCost</f>
        <v/>
      </c>
      <c r="Z854" s="37">
        <f>'03_原始数据'!C854-0.665*'03_原始数据'!B854-OtherCost</f>
        <v/>
      </c>
      <c r="AA854" s="37">
        <f>'03_原始数据'!C854-0.67*'03_原始数据'!B854-OtherCost</f>
        <v/>
      </c>
      <c r="AB854" s="37">
        <f>'03_原始数据'!C854-0.675*'03_原始数据'!B854-OtherCost</f>
        <v/>
      </c>
      <c r="AC854" s="37">
        <f>'03_原始数据'!C854-0.68*'03_原始数据'!B854-OtherCost</f>
        <v/>
      </c>
      <c r="AD854" s="37">
        <f>'03_原始数据'!C854-0.685*'03_原始数据'!B854-OtherCost</f>
        <v/>
      </c>
      <c r="AE854" s="37">
        <f>'03_原始数据'!C854-0.69*'03_原始数据'!B854-OtherCost</f>
        <v/>
      </c>
      <c r="AF854" s="37">
        <f>'03_原始数据'!C854-0.695*'03_原始数据'!B854-OtherCost</f>
        <v/>
      </c>
      <c r="AG854" s="37">
        <f>'03_原始数据'!C854-0.7*'03_原始数据'!B854-OtherCost</f>
        <v/>
      </c>
    </row>
    <row r="855">
      <c r="M855" s="37">
        <f>'03_原始数据'!C855-0.6*'03_原始数据'!B855-OtherCost</f>
        <v/>
      </c>
      <c r="N855" s="37">
        <f>'03_原始数据'!C855-0.605*'03_原始数据'!B855-OtherCost</f>
        <v/>
      </c>
      <c r="O855" s="37">
        <f>'03_原始数据'!C855-0.61*'03_原始数据'!B855-OtherCost</f>
        <v/>
      </c>
      <c r="P855" s="37">
        <f>'03_原始数据'!C855-0.615*'03_原始数据'!B855-OtherCost</f>
        <v/>
      </c>
      <c r="Q855" s="37">
        <f>'03_原始数据'!C855-0.62*'03_原始数据'!B855-OtherCost</f>
        <v/>
      </c>
      <c r="R855" s="37">
        <f>'03_原始数据'!C855-0.625*'03_原始数据'!B855-OtherCost</f>
        <v/>
      </c>
      <c r="S855" s="37">
        <f>'03_原始数据'!C855-0.63*'03_原始数据'!B855-OtherCost</f>
        <v/>
      </c>
      <c r="T855" s="37">
        <f>'03_原始数据'!C855-0.635*'03_原始数据'!B855-OtherCost</f>
        <v/>
      </c>
      <c r="U855" s="37">
        <f>'03_原始数据'!C855-0.64*'03_原始数据'!B855-OtherCost</f>
        <v/>
      </c>
      <c r="V855" s="37">
        <f>'03_原始数据'!C855-0.645*'03_原始数据'!B855-OtherCost</f>
        <v/>
      </c>
      <c r="W855" s="37">
        <f>'03_原始数据'!C855-0.65*'03_原始数据'!B855-OtherCost</f>
        <v/>
      </c>
      <c r="X855" s="37">
        <f>'03_原始数据'!C855-0.655*'03_原始数据'!B855-OtherCost</f>
        <v/>
      </c>
      <c r="Y855" s="37">
        <f>'03_原始数据'!C855-0.66*'03_原始数据'!B855-OtherCost</f>
        <v/>
      </c>
      <c r="Z855" s="37">
        <f>'03_原始数据'!C855-0.665*'03_原始数据'!B855-OtherCost</f>
        <v/>
      </c>
      <c r="AA855" s="37">
        <f>'03_原始数据'!C855-0.67*'03_原始数据'!B855-OtherCost</f>
        <v/>
      </c>
      <c r="AB855" s="37">
        <f>'03_原始数据'!C855-0.675*'03_原始数据'!B855-OtherCost</f>
        <v/>
      </c>
      <c r="AC855" s="37">
        <f>'03_原始数据'!C855-0.68*'03_原始数据'!B855-OtherCost</f>
        <v/>
      </c>
      <c r="AD855" s="37">
        <f>'03_原始数据'!C855-0.685*'03_原始数据'!B855-OtherCost</f>
        <v/>
      </c>
      <c r="AE855" s="37">
        <f>'03_原始数据'!C855-0.69*'03_原始数据'!B855-OtherCost</f>
        <v/>
      </c>
      <c r="AF855" s="37">
        <f>'03_原始数据'!C855-0.695*'03_原始数据'!B855-OtherCost</f>
        <v/>
      </c>
      <c r="AG855" s="37">
        <f>'03_原始数据'!C855-0.7*'03_原始数据'!B855-OtherCost</f>
        <v/>
      </c>
    </row>
    <row r="856">
      <c r="M856" s="37">
        <f>'03_原始数据'!C856-0.6*'03_原始数据'!B856-OtherCost</f>
        <v/>
      </c>
      <c r="N856" s="37">
        <f>'03_原始数据'!C856-0.605*'03_原始数据'!B856-OtherCost</f>
        <v/>
      </c>
      <c r="O856" s="37">
        <f>'03_原始数据'!C856-0.61*'03_原始数据'!B856-OtherCost</f>
        <v/>
      </c>
      <c r="P856" s="37">
        <f>'03_原始数据'!C856-0.615*'03_原始数据'!B856-OtherCost</f>
        <v/>
      </c>
      <c r="Q856" s="37">
        <f>'03_原始数据'!C856-0.62*'03_原始数据'!B856-OtherCost</f>
        <v/>
      </c>
      <c r="R856" s="37">
        <f>'03_原始数据'!C856-0.625*'03_原始数据'!B856-OtherCost</f>
        <v/>
      </c>
      <c r="S856" s="37">
        <f>'03_原始数据'!C856-0.63*'03_原始数据'!B856-OtherCost</f>
        <v/>
      </c>
      <c r="T856" s="37">
        <f>'03_原始数据'!C856-0.635*'03_原始数据'!B856-OtherCost</f>
        <v/>
      </c>
      <c r="U856" s="37">
        <f>'03_原始数据'!C856-0.64*'03_原始数据'!B856-OtherCost</f>
        <v/>
      </c>
      <c r="V856" s="37">
        <f>'03_原始数据'!C856-0.645*'03_原始数据'!B856-OtherCost</f>
        <v/>
      </c>
      <c r="W856" s="37">
        <f>'03_原始数据'!C856-0.65*'03_原始数据'!B856-OtherCost</f>
        <v/>
      </c>
      <c r="X856" s="37">
        <f>'03_原始数据'!C856-0.655*'03_原始数据'!B856-OtherCost</f>
        <v/>
      </c>
      <c r="Y856" s="37">
        <f>'03_原始数据'!C856-0.66*'03_原始数据'!B856-OtherCost</f>
        <v/>
      </c>
      <c r="Z856" s="37">
        <f>'03_原始数据'!C856-0.665*'03_原始数据'!B856-OtherCost</f>
        <v/>
      </c>
      <c r="AA856" s="37">
        <f>'03_原始数据'!C856-0.67*'03_原始数据'!B856-OtherCost</f>
        <v/>
      </c>
      <c r="AB856" s="37">
        <f>'03_原始数据'!C856-0.675*'03_原始数据'!B856-OtherCost</f>
        <v/>
      </c>
      <c r="AC856" s="37">
        <f>'03_原始数据'!C856-0.68*'03_原始数据'!B856-OtherCost</f>
        <v/>
      </c>
      <c r="AD856" s="37">
        <f>'03_原始数据'!C856-0.685*'03_原始数据'!B856-OtherCost</f>
        <v/>
      </c>
      <c r="AE856" s="37">
        <f>'03_原始数据'!C856-0.69*'03_原始数据'!B856-OtherCost</f>
        <v/>
      </c>
      <c r="AF856" s="37">
        <f>'03_原始数据'!C856-0.695*'03_原始数据'!B856-OtherCost</f>
        <v/>
      </c>
      <c r="AG856" s="37">
        <f>'03_原始数据'!C856-0.7*'03_原始数据'!B856-OtherCost</f>
        <v/>
      </c>
    </row>
    <row r="857">
      <c r="M857" s="37">
        <f>'03_原始数据'!C857-0.6*'03_原始数据'!B857-OtherCost</f>
        <v/>
      </c>
      <c r="N857" s="37">
        <f>'03_原始数据'!C857-0.605*'03_原始数据'!B857-OtherCost</f>
        <v/>
      </c>
      <c r="O857" s="37">
        <f>'03_原始数据'!C857-0.61*'03_原始数据'!B857-OtherCost</f>
        <v/>
      </c>
      <c r="P857" s="37">
        <f>'03_原始数据'!C857-0.615*'03_原始数据'!B857-OtherCost</f>
        <v/>
      </c>
      <c r="Q857" s="37">
        <f>'03_原始数据'!C857-0.62*'03_原始数据'!B857-OtherCost</f>
        <v/>
      </c>
      <c r="R857" s="37">
        <f>'03_原始数据'!C857-0.625*'03_原始数据'!B857-OtherCost</f>
        <v/>
      </c>
      <c r="S857" s="37">
        <f>'03_原始数据'!C857-0.63*'03_原始数据'!B857-OtherCost</f>
        <v/>
      </c>
      <c r="T857" s="37">
        <f>'03_原始数据'!C857-0.635*'03_原始数据'!B857-OtherCost</f>
        <v/>
      </c>
      <c r="U857" s="37">
        <f>'03_原始数据'!C857-0.64*'03_原始数据'!B857-OtherCost</f>
        <v/>
      </c>
      <c r="V857" s="37">
        <f>'03_原始数据'!C857-0.645*'03_原始数据'!B857-OtherCost</f>
        <v/>
      </c>
      <c r="W857" s="37">
        <f>'03_原始数据'!C857-0.65*'03_原始数据'!B857-OtherCost</f>
        <v/>
      </c>
      <c r="X857" s="37">
        <f>'03_原始数据'!C857-0.655*'03_原始数据'!B857-OtherCost</f>
        <v/>
      </c>
      <c r="Y857" s="37">
        <f>'03_原始数据'!C857-0.66*'03_原始数据'!B857-OtherCost</f>
        <v/>
      </c>
      <c r="Z857" s="37">
        <f>'03_原始数据'!C857-0.665*'03_原始数据'!B857-OtherCost</f>
        <v/>
      </c>
      <c r="AA857" s="37">
        <f>'03_原始数据'!C857-0.67*'03_原始数据'!B857-OtherCost</f>
        <v/>
      </c>
      <c r="AB857" s="37">
        <f>'03_原始数据'!C857-0.675*'03_原始数据'!B857-OtherCost</f>
        <v/>
      </c>
      <c r="AC857" s="37">
        <f>'03_原始数据'!C857-0.68*'03_原始数据'!B857-OtherCost</f>
        <v/>
      </c>
      <c r="AD857" s="37">
        <f>'03_原始数据'!C857-0.685*'03_原始数据'!B857-OtherCost</f>
        <v/>
      </c>
      <c r="AE857" s="37">
        <f>'03_原始数据'!C857-0.69*'03_原始数据'!B857-OtherCost</f>
        <v/>
      </c>
      <c r="AF857" s="37">
        <f>'03_原始数据'!C857-0.695*'03_原始数据'!B857-OtherCost</f>
        <v/>
      </c>
      <c r="AG857" s="37">
        <f>'03_原始数据'!C857-0.7*'03_原始数据'!B857-OtherCost</f>
        <v/>
      </c>
    </row>
    <row r="858">
      <c r="M858" s="37">
        <f>'03_原始数据'!C858-0.6*'03_原始数据'!B858-OtherCost</f>
        <v/>
      </c>
      <c r="N858" s="37">
        <f>'03_原始数据'!C858-0.605*'03_原始数据'!B858-OtherCost</f>
        <v/>
      </c>
      <c r="O858" s="37">
        <f>'03_原始数据'!C858-0.61*'03_原始数据'!B858-OtherCost</f>
        <v/>
      </c>
      <c r="P858" s="37">
        <f>'03_原始数据'!C858-0.615*'03_原始数据'!B858-OtherCost</f>
        <v/>
      </c>
      <c r="Q858" s="37">
        <f>'03_原始数据'!C858-0.62*'03_原始数据'!B858-OtherCost</f>
        <v/>
      </c>
      <c r="R858" s="37">
        <f>'03_原始数据'!C858-0.625*'03_原始数据'!B858-OtherCost</f>
        <v/>
      </c>
      <c r="S858" s="37">
        <f>'03_原始数据'!C858-0.63*'03_原始数据'!B858-OtherCost</f>
        <v/>
      </c>
      <c r="T858" s="37">
        <f>'03_原始数据'!C858-0.635*'03_原始数据'!B858-OtherCost</f>
        <v/>
      </c>
      <c r="U858" s="37">
        <f>'03_原始数据'!C858-0.64*'03_原始数据'!B858-OtherCost</f>
        <v/>
      </c>
      <c r="V858" s="37">
        <f>'03_原始数据'!C858-0.645*'03_原始数据'!B858-OtherCost</f>
        <v/>
      </c>
      <c r="W858" s="37">
        <f>'03_原始数据'!C858-0.65*'03_原始数据'!B858-OtherCost</f>
        <v/>
      </c>
      <c r="X858" s="37">
        <f>'03_原始数据'!C858-0.655*'03_原始数据'!B858-OtherCost</f>
        <v/>
      </c>
      <c r="Y858" s="37">
        <f>'03_原始数据'!C858-0.66*'03_原始数据'!B858-OtherCost</f>
        <v/>
      </c>
      <c r="Z858" s="37">
        <f>'03_原始数据'!C858-0.665*'03_原始数据'!B858-OtherCost</f>
        <v/>
      </c>
      <c r="AA858" s="37">
        <f>'03_原始数据'!C858-0.67*'03_原始数据'!B858-OtherCost</f>
        <v/>
      </c>
      <c r="AB858" s="37">
        <f>'03_原始数据'!C858-0.675*'03_原始数据'!B858-OtherCost</f>
        <v/>
      </c>
      <c r="AC858" s="37">
        <f>'03_原始数据'!C858-0.68*'03_原始数据'!B858-OtherCost</f>
        <v/>
      </c>
      <c r="AD858" s="37">
        <f>'03_原始数据'!C858-0.685*'03_原始数据'!B858-OtherCost</f>
        <v/>
      </c>
      <c r="AE858" s="37">
        <f>'03_原始数据'!C858-0.69*'03_原始数据'!B858-OtherCost</f>
        <v/>
      </c>
      <c r="AF858" s="37">
        <f>'03_原始数据'!C858-0.695*'03_原始数据'!B858-OtherCost</f>
        <v/>
      </c>
      <c r="AG858" s="37">
        <f>'03_原始数据'!C858-0.7*'03_原始数据'!B858-OtherCost</f>
        <v/>
      </c>
    </row>
    <row r="859">
      <c r="M859" s="37">
        <f>'03_原始数据'!C859-0.6*'03_原始数据'!B859-OtherCost</f>
        <v/>
      </c>
      <c r="N859" s="37">
        <f>'03_原始数据'!C859-0.605*'03_原始数据'!B859-OtherCost</f>
        <v/>
      </c>
      <c r="O859" s="37">
        <f>'03_原始数据'!C859-0.61*'03_原始数据'!B859-OtherCost</f>
        <v/>
      </c>
      <c r="P859" s="37">
        <f>'03_原始数据'!C859-0.615*'03_原始数据'!B859-OtherCost</f>
        <v/>
      </c>
      <c r="Q859" s="37">
        <f>'03_原始数据'!C859-0.62*'03_原始数据'!B859-OtherCost</f>
        <v/>
      </c>
      <c r="R859" s="37">
        <f>'03_原始数据'!C859-0.625*'03_原始数据'!B859-OtherCost</f>
        <v/>
      </c>
      <c r="S859" s="37">
        <f>'03_原始数据'!C859-0.63*'03_原始数据'!B859-OtherCost</f>
        <v/>
      </c>
      <c r="T859" s="37">
        <f>'03_原始数据'!C859-0.635*'03_原始数据'!B859-OtherCost</f>
        <v/>
      </c>
      <c r="U859" s="37">
        <f>'03_原始数据'!C859-0.64*'03_原始数据'!B859-OtherCost</f>
        <v/>
      </c>
      <c r="V859" s="37">
        <f>'03_原始数据'!C859-0.645*'03_原始数据'!B859-OtherCost</f>
        <v/>
      </c>
      <c r="W859" s="37">
        <f>'03_原始数据'!C859-0.65*'03_原始数据'!B859-OtherCost</f>
        <v/>
      </c>
      <c r="X859" s="37">
        <f>'03_原始数据'!C859-0.655*'03_原始数据'!B859-OtherCost</f>
        <v/>
      </c>
      <c r="Y859" s="37">
        <f>'03_原始数据'!C859-0.66*'03_原始数据'!B859-OtherCost</f>
        <v/>
      </c>
      <c r="Z859" s="37">
        <f>'03_原始数据'!C859-0.665*'03_原始数据'!B859-OtherCost</f>
        <v/>
      </c>
      <c r="AA859" s="37">
        <f>'03_原始数据'!C859-0.67*'03_原始数据'!B859-OtherCost</f>
        <v/>
      </c>
      <c r="AB859" s="37">
        <f>'03_原始数据'!C859-0.675*'03_原始数据'!B859-OtherCost</f>
        <v/>
      </c>
      <c r="AC859" s="37">
        <f>'03_原始数据'!C859-0.68*'03_原始数据'!B859-OtherCost</f>
        <v/>
      </c>
      <c r="AD859" s="37">
        <f>'03_原始数据'!C859-0.685*'03_原始数据'!B859-OtherCost</f>
        <v/>
      </c>
      <c r="AE859" s="37">
        <f>'03_原始数据'!C859-0.69*'03_原始数据'!B859-OtherCost</f>
        <v/>
      </c>
      <c r="AF859" s="37">
        <f>'03_原始数据'!C859-0.695*'03_原始数据'!B859-OtherCost</f>
        <v/>
      </c>
      <c r="AG859" s="37">
        <f>'03_原始数据'!C859-0.7*'03_原始数据'!B859-OtherCost</f>
        <v/>
      </c>
    </row>
    <row r="860">
      <c r="M860" s="37">
        <f>'03_原始数据'!C860-0.6*'03_原始数据'!B860-OtherCost</f>
        <v/>
      </c>
      <c r="N860" s="37">
        <f>'03_原始数据'!C860-0.605*'03_原始数据'!B860-OtherCost</f>
        <v/>
      </c>
      <c r="O860" s="37">
        <f>'03_原始数据'!C860-0.61*'03_原始数据'!B860-OtherCost</f>
        <v/>
      </c>
      <c r="P860" s="37">
        <f>'03_原始数据'!C860-0.615*'03_原始数据'!B860-OtherCost</f>
        <v/>
      </c>
      <c r="Q860" s="37">
        <f>'03_原始数据'!C860-0.62*'03_原始数据'!B860-OtherCost</f>
        <v/>
      </c>
      <c r="R860" s="37">
        <f>'03_原始数据'!C860-0.625*'03_原始数据'!B860-OtherCost</f>
        <v/>
      </c>
      <c r="S860" s="37">
        <f>'03_原始数据'!C860-0.63*'03_原始数据'!B860-OtherCost</f>
        <v/>
      </c>
      <c r="T860" s="37">
        <f>'03_原始数据'!C860-0.635*'03_原始数据'!B860-OtherCost</f>
        <v/>
      </c>
      <c r="U860" s="37">
        <f>'03_原始数据'!C860-0.64*'03_原始数据'!B860-OtherCost</f>
        <v/>
      </c>
      <c r="V860" s="37">
        <f>'03_原始数据'!C860-0.645*'03_原始数据'!B860-OtherCost</f>
        <v/>
      </c>
      <c r="W860" s="37">
        <f>'03_原始数据'!C860-0.65*'03_原始数据'!B860-OtherCost</f>
        <v/>
      </c>
      <c r="X860" s="37">
        <f>'03_原始数据'!C860-0.655*'03_原始数据'!B860-OtherCost</f>
        <v/>
      </c>
      <c r="Y860" s="37">
        <f>'03_原始数据'!C860-0.66*'03_原始数据'!B860-OtherCost</f>
        <v/>
      </c>
      <c r="Z860" s="37">
        <f>'03_原始数据'!C860-0.665*'03_原始数据'!B860-OtherCost</f>
        <v/>
      </c>
      <c r="AA860" s="37">
        <f>'03_原始数据'!C860-0.67*'03_原始数据'!B860-OtherCost</f>
        <v/>
      </c>
      <c r="AB860" s="37">
        <f>'03_原始数据'!C860-0.675*'03_原始数据'!B860-OtherCost</f>
        <v/>
      </c>
      <c r="AC860" s="37">
        <f>'03_原始数据'!C860-0.68*'03_原始数据'!B860-OtherCost</f>
        <v/>
      </c>
      <c r="AD860" s="37">
        <f>'03_原始数据'!C860-0.685*'03_原始数据'!B860-OtherCost</f>
        <v/>
      </c>
      <c r="AE860" s="37">
        <f>'03_原始数据'!C860-0.69*'03_原始数据'!B860-OtherCost</f>
        <v/>
      </c>
      <c r="AF860" s="37">
        <f>'03_原始数据'!C860-0.695*'03_原始数据'!B860-OtherCost</f>
        <v/>
      </c>
      <c r="AG860" s="37">
        <f>'03_原始数据'!C860-0.7*'03_原始数据'!B860-OtherCost</f>
        <v/>
      </c>
    </row>
    <row r="861">
      <c r="M861" s="37">
        <f>'03_原始数据'!C861-0.6*'03_原始数据'!B861-OtherCost</f>
        <v/>
      </c>
      <c r="N861" s="37">
        <f>'03_原始数据'!C861-0.605*'03_原始数据'!B861-OtherCost</f>
        <v/>
      </c>
      <c r="O861" s="37">
        <f>'03_原始数据'!C861-0.61*'03_原始数据'!B861-OtherCost</f>
        <v/>
      </c>
      <c r="P861" s="37">
        <f>'03_原始数据'!C861-0.615*'03_原始数据'!B861-OtherCost</f>
        <v/>
      </c>
      <c r="Q861" s="37">
        <f>'03_原始数据'!C861-0.62*'03_原始数据'!B861-OtherCost</f>
        <v/>
      </c>
      <c r="R861" s="37">
        <f>'03_原始数据'!C861-0.625*'03_原始数据'!B861-OtherCost</f>
        <v/>
      </c>
      <c r="S861" s="37">
        <f>'03_原始数据'!C861-0.63*'03_原始数据'!B861-OtherCost</f>
        <v/>
      </c>
      <c r="T861" s="37">
        <f>'03_原始数据'!C861-0.635*'03_原始数据'!B861-OtherCost</f>
        <v/>
      </c>
      <c r="U861" s="37">
        <f>'03_原始数据'!C861-0.64*'03_原始数据'!B861-OtherCost</f>
        <v/>
      </c>
      <c r="V861" s="37">
        <f>'03_原始数据'!C861-0.645*'03_原始数据'!B861-OtherCost</f>
        <v/>
      </c>
      <c r="W861" s="37">
        <f>'03_原始数据'!C861-0.65*'03_原始数据'!B861-OtherCost</f>
        <v/>
      </c>
      <c r="X861" s="37">
        <f>'03_原始数据'!C861-0.655*'03_原始数据'!B861-OtherCost</f>
        <v/>
      </c>
      <c r="Y861" s="37">
        <f>'03_原始数据'!C861-0.66*'03_原始数据'!B861-OtherCost</f>
        <v/>
      </c>
      <c r="Z861" s="37">
        <f>'03_原始数据'!C861-0.665*'03_原始数据'!B861-OtherCost</f>
        <v/>
      </c>
      <c r="AA861" s="37">
        <f>'03_原始数据'!C861-0.67*'03_原始数据'!B861-OtherCost</f>
        <v/>
      </c>
      <c r="AB861" s="37">
        <f>'03_原始数据'!C861-0.675*'03_原始数据'!B861-OtherCost</f>
        <v/>
      </c>
      <c r="AC861" s="37">
        <f>'03_原始数据'!C861-0.68*'03_原始数据'!B861-OtherCost</f>
        <v/>
      </c>
      <c r="AD861" s="37">
        <f>'03_原始数据'!C861-0.685*'03_原始数据'!B861-OtherCost</f>
        <v/>
      </c>
      <c r="AE861" s="37">
        <f>'03_原始数据'!C861-0.69*'03_原始数据'!B861-OtherCost</f>
        <v/>
      </c>
      <c r="AF861" s="37">
        <f>'03_原始数据'!C861-0.695*'03_原始数据'!B861-OtherCost</f>
        <v/>
      </c>
      <c r="AG861" s="37">
        <f>'03_原始数据'!C861-0.7*'03_原始数据'!B861-OtherCost</f>
        <v/>
      </c>
    </row>
    <row r="862">
      <c r="M862" s="37">
        <f>'03_原始数据'!C862-0.6*'03_原始数据'!B862-OtherCost</f>
        <v/>
      </c>
      <c r="N862" s="37">
        <f>'03_原始数据'!C862-0.605*'03_原始数据'!B862-OtherCost</f>
        <v/>
      </c>
      <c r="O862" s="37">
        <f>'03_原始数据'!C862-0.61*'03_原始数据'!B862-OtherCost</f>
        <v/>
      </c>
      <c r="P862" s="37">
        <f>'03_原始数据'!C862-0.615*'03_原始数据'!B862-OtherCost</f>
        <v/>
      </c>
      <c r="Q862" s="37">
        <f>'03_原始数据'!C862-0.62*'03_原始数据'!B862-OtherCost</f>
        <v/>
      </c>
      <c r="R862" s="37">
        <f>'03_原始数据'!C862-0.625*'03_原始数据'!B862-OtherCost</f>
        <v/>
      </c>
      <c r="S862" s="37">
        <f>'03_原始数据'!C862-0.63*'03_原始数据'!B862-OtherCost</f>
        <v/>
      </c>
      <c r="T862" s="37">
        <f>'03_原始数据'!C862-0.635*'03_原始数据'!B862-OtherCost</f>
        <v/>
      </c>
      <c r="U862" s="37">
        <f>'03_原始数据'!C862-0.64*'03_原始数据'!B862-OtherCost</f>
        <v/>
      </c>
      <c r="V862" s="37">
        <f>'03_原始数据'!C862-0.645*'03_原始数据'!B862-OtherCost</f>
        <v/>
      </c>
      <c r="W862" s="37">
        <f>'03_原始数据'!C862-0.65*'03_原始数据'!B862-OtherCost</f>
        <v/>
      </c>
      <c r="X862" s="37">
        <f>'03_原始数据'!C862-0.655*'03_原始数据'!B862-OtherCost</f>
        <v/>
      </c>
      <c r="Y862" s="37">
        <f>'03_原始数据'!C862-0.66*'03_原始数据'!B862-OtherCost</f>
        <v/>
      </c>
      <c r="Z862" s="37">
        <f>'03_原始数据'!C862-0.665*'03_原始数据'!B862-OtherCost</f>
        <v/>
      </c>
      <c r="AA862" s="37">
        <f>'03_原始数据'!C862-0.67*'03_原始数据'!B862-OtherCost</f>
        <v/>
      </c>
      <c r="AB862" s="37">
        <f>'03_原始数据'!C862-0.675*'03_原始数据'!B862-OtherCost</f>
        <v/>
      </c>
      <c r="AC862" s="37">
        <f>'03_原始数据'!C862-0.68*'03_原始数据'!B862-OtherCost</f>
        <v/>
      </c>
      <c r="AD862" s="37">
        <f>'03_原始数据'!C862-0.685*'03_原始数据'!B862-OtherCost</f>
        <v/>
      </c>
      <c r="AE862" s="37">
        <f>'03_原始数据'!C862-0.69*'03_原始数据'!B862-OtherCost</f>
        <v/>
      </c>
      <c r="AF862" s="37">
        <f>'03_原始数据'!C862-0.695*'03_原始数据'!B862-OtherCost</f>
        <v/>
      </c>
      <c r="AG862" s="37">
        <f>'03_原始数据'!C862-0.7*'03_原始数据'!B862-OtherCost</f>
        <v/>
      </c>
    </row>
    <row r="863">
      <c r="M863" s="37">
        <f>'03_原始数据'!C863-0.6*'03_原始数据'!B863-OtherCost</f>
        <v/>
      </c>
      <c r="N863" s="37">
        <f>'03_原始数据'!C863-0.605*'03_原始数据'!B863-OtherCost</f>
        <v/>
      </c>
      <c r="O863" s="37">
        <f>'03_原始数据'!C863-0.61*'03_原始数据'!B863-OtherCost</f>
        <v/>
      </c>
      <c r="P863" s="37">
        <f>'03_原始数据'!C863-0.615*'03_原始数据'!B863-OtherCost</f>
        <v/>
      </c>
      <c r="Q863" s="37">
        <f>'03_原始数据'!C863-0.62*'03_原始数据'!B863-OtherCost</f>
        <v/>
      </c>
      <c r="R863" s="37">
        <f>'03_原始数据'!C863-0.625*'03_原始数据'!B863-OtherCost</f>
        <v/>
      </c>
      <c r="S863" s="37">
        <f>'03_原始数据'!C863-0.63*'03_原始数据'!B863-OtherCost</f>
        <v/>
      </c>
      <c r="T863" s="37">
        <f>'03_原始数据'!C863-0.635*'03_原始数据'!B863-OtherCost</f>
        <v/>
      </c>
      <c r="U863" s="37">
        <f>'03_原始数据'!C863-0.64*'03_原始数据'!B863-OtherCost</f>
        <v/>
      </c>
      <c r="V863" s="37">
        <f>'03_原始数据'!C863-0.645*'03_原始数据'!B863-OtherCost</f>
        <v/>
      </c>
      <c r="W863" s="37">
        <f>'03_原始数据'!C863-0.65*'03_原始数据'!B863-OtherCost</f>
        <v/>
      </c>
      <c r="X863" s="37">
        <f>'03_原始数据'!C863-0.655*'03_原始数据'!B863-OtherCost</f>
        <v/>
      </c>
      <c r="Y863" s="37">
        <f>'03_原始数据'!C863-0.66*'03_原始数据'!B863-OtherCost</f>
        <v/>
      </c>
      <c r="Z863" s="37">
        <f>'03_原始数据'!C863-0.665*'03_原始数据'!B863-OtherCost</f>
        <v/>
      </c>
      <c r="AA863" s="37">
        <f>'03_原始数据'!C863-0.67*'03_原始数据'!B863-OtherCost</f>
        <v/>
      </c>
      <c r="AB863" s="37">
        <f>'03_原始数据'!C863-0.675*'03_原始数据'!B863-OtherCost</f>
        <v/>
      </c>
      <c r="AC863" s="37">
        <f>'03_原始数据'!C863-0.68*'03_原始数据'!B863-OtherCost</f>
        <v/>
      </c>
      <c r="AD863" s="37">
        <f>'03_原始数据'!C863-0.685*'03_原始数据'!B863-OtherCost</f>
        <v/>
      </c>
      <c r="AE863" s="37">
        <f>'03_原始数据'!C863-0.69*'03_原始数据'!B863-OtherCost</f>
        <v/>
      </c>
      <c r="AF863" s="37">
        <f>'03_原始数据'!C863-0.695*'03_原始数据'!B863-OtherCost</f>
        <v/>
      </c>
      <c r="AG863" s="37">
        <f>'03_原始数据'!C863-0.7*'03_原始数据'!B863-OtherCost</f>
        <v/>
      </c>
    </row>
    <row r="864">
      <c r="M864" s="37">
        <f>'03_原始数据'!C864-0.6*'03_原始数据'!B864-OtherCost</f>
        <v/>
      </c>
      <c r="N864" s="37">
        <f>'03_原始数据'!C864-0.605*'03_原始数据'!B864-OtherCost</f>
        <v/>
      </c>
      <c r="O864" s="37">
        <f>'03_原始数据'!C864-0.61*'03_原始数据'!B864-OtherCost</f>
        <v/>
      </c>
      <c r="P864" s="37">
        <f>'03_原始数据'!C864-0.615*'03_原始数据'!B864-OtherCost</f>
        <v/>
      </c>
      <c r="Q864" s="37">
        <f>'03_原始数据'!C864-0.62*'03_原始数据'!B864-OtherCost</f>
        <v/>
      </c>
      <c r="R864" s="37">
        <f>'03_原始数据'!C864-0.625*'03_原始数据'!B864-OtherCost</f>
        <v/>
      </c>
      <c r="S864" s="37">
        <f>'03_原始数据'!C864-0.63*'03_原始数据'!B864-OtherCost</f>
        <v/>
      </c>
      <c r="T864" s="37">
        <f>'03_原始数据'!C864-0.635*'03_原始数据'!B864-OtherCost</f>
        <v/>
      </c>
      <c r="U864" s="37">
        <f>'03_原始数据'!C864-0.64*'03_原始数据'!B864-OtherCost</f>
        <v/>
      </c>
      <c r="V864" s="37">
        <f>'03_原始数据'!C864-0.645*'03_原始数据'!B864-OtherCost</f>
        <v/>
      </c>
      <c r="W864" s="37">
        <f>'03_原始数据'!C864-0.65*'03_原始数据'!B864-OtherCost</f>
        <v/>
      </c>
      <c r="X864" s="37">
        <f>'03_原始数据'!C864-0.655*'03_原始数据'!B864-OtherCost</f>
        <v/>
      </c>
      <c r="Y864" s="37">
        <f>'03_原始数据'!C864-0.66*'03_原始数据'!B864-OtherCost</f>
        <v/>
      </c>
      <c r="Z864" s="37">
        <f>'03_原始数据'!C864-0.665*'03_原始数据'!B864-OtherCost</f>
        <v/>
      </c>
      <c r="AA864" s="37">
        <f>'03_原始数据'!C864-0.67*'03_原始数据'!B864-OtherCost</f>
        <v/>
      </c>
      <c r="AB864" s="37">
        <f>'03_原始数据'!C864-0.675*'03_原始数据'!B864-OtherCost</f>
        <v/>
      </c>
      <c r="AC864" s="37">
        <f>'03_原始数据'!C864-0.68*'03_原始数据'!B864-OtherCost</f>
        <v/>
      </c>
      <c r="AD864" s="37">
        <f>'03_原始数据'!C864-0.685*'03_原始数据'!B864-OtherCost</f>
        <v/>
      </c>
      <c r="AE864" s="37">
        <f>'03_原始数据'!C864-0.69*'03_原始数据'!B864-OtherCost</f>
        <v/>
      </c>
      <c r="AF864" s="37">
        <f>'03_原始数据'!C864-0.695*'03_原始数据'!B864-OtherCost</f>
        <v/>
      </c>
      <c r="AG864" s="37">
        <f>'03_原始数据'!C864-0.7*'03_原始数据'!B864-OtherCost</f>
        <v/>
      </c>
    </row>
    <row r="865">
      <c r="M865" s="37">
        <f>'03_原始数据'!C865-0.6*'03_原始数据'!B865-OtherCost</f>
        <v/>
      </c>
      <c r="N865" s="37">
        <f>'03_原始数据'!C865-0.605*'03_原始数据'!B865-OtherCost</f>
        <v/>
      </c>
      <c r="O865" s="37">
        <f>'03_原始数据'!C865-0.61*'03_原始数据'!B865-OtherCost</f>
        <v/>
      </c>
      <c r="P865" s="37">
        <f>'03_原始数据'!C865-0.615*'03_原始数据'!B865-OtherCost</f>
        <v/>
      </c>
      <c r="Q865" s="37">
        <f>'03_原始数据'!C865-0.62*'03_原始数据'!B865-OtherCost</f>
        <v/>
      </c>
      <c r="R865" s="37">
        <f>'03_原始数据'!C865-0.625*'03_原始数据'!B865-OtherCost</f>
        <v/>
      </c>
      <c r="S865" s="37">
        <f>'03_原始数据'!C865-0.63*'03_原始数据'!B865-OtherCost</f>
        <v/>
      </c>
      <c r="T865" s="37">
        <f>'03_原始数据'!C865-0.635*'03_原始数据'!B865-OtherCost</f>
        <v/>
      </c>
      <c r="U865" s="37">
        <f>'03_原始数据'!C865-0.64*'03_原始数据'!B865-OtherCost</f>
        <v/>
      </c>
      <c r="V865" s="37">
        <f>'03_原始数据'!C865-0.645*'03_原始数据'!B865-OtherCost</f>
        <v/>
      </c>
      <c r="W865" s="37">
        <f>'03_原始数据'!C865-0.65*'03_原始数据'!B865-OtherCost</f>
        <v/>
      </c>
      <c r="X865" s="37">
        <f>'03_原始数据'!C865-0.655*'03_原始数据'!B865-OtherCost</f>
        <v/>
      </c>
      <c r="Y865" s="37">
        <f>'03_原始数据'!C865-0.66*'03_原始数据'!B865-OtherCost</f>
        <v/>
      </c>
      <c r="Z865" s="37">
        <f>'03_原始数据'!C865-0.665*'03_原始数据'!B865-OtherCost</f>
        <v/>
      </c>
      <c r="AA865" s="37">
        <f>'03_原始数据'!C865-0.67*'03_原始数据'!B865-OtherCost</f>
        <v/>
      </c>
      <c r="AB865" s="37">
        <f>'03_原始数据'!C865-0.675*'03_原始数据'!B865-OtherCost</f>
        <v/>
      </c>
      <c r="AC865" s="37">
        <f>'03_原始数据'!C865-0.68*'03_原始数据'!B865-OtherCost</f>
        <v/>
      </c>
      <c r="AD865" s="37">
        <f>'03_原始数据'!C865-0.685*'03_原始数据'!B865-OtherCost</f>
        <v/>
      </c>
      <c r="AE865" s="37">
        <f>'03_原始数据'!C865-0.69*'03_原始数据'!B865-OtherCost</f>
        <v/>
      </c>
      <c r="AF865" s="37">
        <f>'03_原始数据'!C865-0.695*'03_原始数据'!B865-OtherCost</f>
        <v/>
      </c>
      <c r="AG865" s="37">
        <f>'03_原始数据'!C865-0.7*'03_原始数据'!B865-OtherCost</f>
        <v/>
      </c>
    </row>
    <row r="866">
      <c r="M866" s="37">
        <f>'03_原始数据'!C866-0.6*'03_原始数据'!B866-OtherCost</f>
        <v/>
      </c>
      <c r="N866" s="37">
        <f>'03_原始数据'!C866-0.605*'03_原始数据'!B866-OtherCost</f>
        <v/>
      </c>
      <c r="O866" s="37">
        <f>'03_原始数据'!C866-0.61*'03_原始数据'!B866-OtherCost</f>
        <v/>
      </c>
      <c r="P866" s="37">
        <f>'03_原始数据'!C866-0.615*'03_原始数据'!B866-OtherCost</f>
        <v/>
      </c>
      <c r="Q866" s="37">
        <f>'03_原始数据'!C866-0.62*'03_原始数据'!B866-OtherCost</f>
        <v/>
      </c>
      <c r="R866" s="37">
        <f>'03_原始数据'!C866-0.625*'03_原始数据'!B866-OtherCost</f>
        <v/>
      </c>
      <c r="S866" s="37">
        <f>'03_原始数据'!C866-0.63*'03_原始数据'!B866-OtherCost</f>
        <v/>
      </c>
      <c r="T866" s="37">
        <f>'03_原始数据'!C866-0.635*'03_原始数据'!B866-OtherCost</f>
        <v/>
      </c>
      <c r="U866" s="37">
        <f>'03_原始数据'!C866-0.64*'03_原始数据'!B866-OtherCost</f>
        <v/>
      </c>
      <c r="V866" s="37">
        <f>'03_原始数据'!C866-0.645*'03_原始数据'!B866-OtherCost</f>
        <v/>
      </c>
      <c r="W866" s="37">
        <f>'03_原始数据'!C866-0.65*'03_原始数据'!B866-OtherCost</f>
        <v/>
      </c>
      <c r="X866" s="37">
        <f>'03_原始数据'!C866-0.655*'03_原始数据'!B866-OtherCost</f>
        <v/>
      </c>
      <c r="Y866" s="37">
        <f>'03_原始数据'!C866-0.66*'03_原始数据'!B866-OtherCost</f>
        <v/>
      </c>
      <c r="Z866" s="37">
        <f>'03_原始数据'!C866-0.665*'03_原始数据'!B866-OtherCost</f>
        <v/>
      </c>
      <c r="AA866" s="37">
        <f>'03_原始数据'!C866-0.67*'03_原始数据'!B866-OtherCost</f>
        <v/>
      </c>
      <c r="AB866" s="37">
        <f>'03_原始数据'!C866-0.675*'03_原始数据'!B866-OtherCost</f>
        <v/>
      </c>
      <c r="AC866" s="37">
        <f>'03_原始数据'!C866-0.68*'03_原始数据'!B866-OtherCost</f>
        <v/>
      </c>
      <c r="AD866" s="37">
        <f>'03_原始数据'!C866-0.685*'03_原始数据'!B866-OtherCost</f>
        <v/>
      </c>
      <c r="AE866" s="37">
        <f>'03_原始数据'!C866-0.69*'03_原始数据'!B866-OtherCost</f>
        <v/>
      </c>
      <c r="AF866" s="37">
        <f>'03_原始数据'!C866-0.695*'03_原始数据'!B866-OtherCost</f>
        <v/>
      </c>
      <c r="AG866" s="37">
        <f>'03_原始数据'!C866-0.7*'03_原始数据'!B866-OtherCost</f>
        <v/>
      </c>
    </row>
    <row r="867">
      <c r="M867" s="37">
        <f>'03_原始数据'!C867-0.6*'03_原始数据'!B867-OtherCost</f>
        <v/>
      </c>
      <c r="N867" s="37">
        <f>'03_原始数据'!C867-0.605*'03_原始数据'!B867-OtherCost</f>
        <v/>
      </c>
      <c r="O867" s="37">
        <f>'03_原始数据'!C867-0.61*'03_原始数据'!B867-OtherCost</f>
        <v/>
      </c>
      <c r="P867" s="37">
        <f>'03_原始数据'!C867-0.615*'03_原始数据'!B867-OtherCost</f>
        <v/>
      </c>
      <c r="Q867" s="37">
        <f>'03_原始数据'!C867-0.62*'03_原始数据'!B867-OtherCost</f>
        <v/>
      </c>
      <c r="R867" s="37">
        <f>'03_原始数据'!C867-0.625*'03_原始数据'!B867-OtherCost</f>
        <v/>
      </c>
      <c r="S867" s="37">
        <f>'03_原始数据'!C867-0.63*'03_原始数据'!B867-OtherCost</f>
        <v/>
      </c>
      <c r="T867" s="37">
        <f>'03_原始数据'!C867-0.635*'03_原始数据'!B867-OtherCost</f>
        <v/>
      </c>
      <c r="U867" s="37">
        <f>'03_原始数据'!C867-0.64*'03_原始数据'!B867-OtherCost</f>
        <v/>
      </c>
      <c r="V867" s="37">
        <f>'03_原始数据'!C867-0.645*'03_原始数据'!B867-OtherCost</f>
        <v/>
      </c>
      <c r="W867" s="37">
        <f>'03_原始数据'!C867-0.65*'03_原始数据'!B867-OtherCost</f>
        <v/>
      </c>
      <c r="X867" s="37">
        <f>'03_原始数据'!C867-0.655*'03_原始数据'!B867-OtherCost</f>
        <v/>
      </c>
      <c r="Y867" s="37">
        <f>'03_原始数据'!C867-0.66*'03_原始数据'!B867-OtherCost</f>
        <v/>
      </c>
      <c r="Z867" s="37">
        <f>'03_原始数据'!C867-0.665*'03_原始数据'!B867-OtherCost</f>
        <v/>
      </c>
      <c r="AA867" s="37">
        <f>'03_原始数据'!C867-0.67*'03_原始数据'!B867-OtherCost</f>
        <v/>
      </c>
      <c r="AB867" s="37">
        <f>'03_原始数据'!C867-0.675*'03_原始数据'!B867-OtherCost</f>
        <v/>
      </c>
      <c r="AC867" s="37">
        <f>'03_原始数据'!C867-0.68*'03_原始数据'!B867-OtherCost</f>
        <v/>
      </c>
      <c r="AD867" s="37">
        <f>'03_原始数据'!C867-0.685*'03_原始数据'!B867-OtherCost</f>
        <v/>
      </c>
      <c r="AE867" s="37">
        <f>'03_原始数据'!C867-0.69*'03_原始数据'!B867-OtherCost</f>
        <v/>
      </c>
      <c r="AF867" s="37">
        <f>'03_原始数据'!C867-0.695*'03_原始数据'!B867-OtherCost</f>
        <v/>
      </c>
      <c r="AG867" s="37">
        <f>'03_原始数据'!C867-0.7*'03_原始数据'!B867-OtherCost</f>
        <v/>
      </c>
    </row>
    <row r="868">
      <c r="M868" s="37">
        <f>'03_原始数据'!C868-0.6*'03_原始数据'!B868-OtherCost</f>
        <v/>
      </c>
      <c r="N868" s="37">
        <f>'03_原始数据'!C868-0.605*'03_原始数据'!B868-OtherCost</f>
        <v/>
      </c>
      <c r="O868" s="37">
        <f>'03_原始数据'!C868-0.61*'03_原始数据'!B868-OtherCost</f>
        <v/>
      </c>
      <c r="P868" s="37">
        <f>'03_原始数据'!C868-0.615*'03_原始数据'!B868-OtherCost</f>
        <v/>
      </c>
      <c r="Q868" s="37">
        <f>'03_原始数据'!C868-0.62*'03_原始数据'!B868-OtherCost</f>
        <v/>
      </c>
      <c r="R868" s="37">
        <f>'03_原始数据'!C868-0.625*'03_原始数据'!B868-OtherCost</f>
        <v/>
      </c>
      <c r="S868" s="37">
        <f>'03_原始数据'!C868-0.63*'03_原始数据'!B868-OtherCost</f>
        <v/>
      </c>
      <c r="T868" s="37">
        <f>'03_原始数据'!C868-0.635*'03_原始数据'!B868-OtherCost</f>
        <v/>
      </c>
      <c r="U868" s="37">
        <f>'03_原始数据'!C868-0.64*'03_原始数据'!B868-OtherCost</f>
        <v/>
      </c>
      <c r="V868" s="37">
        <f>'03_原始数据'!C868-0.645*'03_原始数据'!B868-OtherCost</f>
        <v/>
      </c>
      <c r="W868" s="37">
        <f>'03_原始数据'!C868-0.65*'03_原始数据'!B868-OtherCost</f>
        <v/>
      </c>
      <c r="X868" s="37">
        <f>'03_原始数据'!C868-0.655*'03_原始数据'!B868-OtherCost</f>
        <v/>
      </c>
      <c r="Y868" s="37">
        <f>'03_原始数据'!C868-0.66*'03_原始数据'!B868-OtherCost</f>
        <v/>
      </c>
      <c r="Z868" s="37">
        <f>'03_原始数据'!C868-0.665*'03_原始数据'!B868-OtherCost</f>
        <v/>
      </c>
      <c r="AA868" s="37">
        <f>'03_原始数据'!C868-0.67*'03_原始数据'!B868-OtherCost</f>
        <v/>
      </c>
      <c r="AB868" s="37">
        <f>'03_原始数据'!C868-0.675*'03_原始数据'!B868-OtherCost</f>
        <v/>
      </c>
      <c r="AC868" s="37">
        <f>'03_原始数据'!C868-0.68*'03_原始数据'!B868-OtherCost</f>
        <v/>
      </c>
      <c r="AD868" s="37">
        <f>'03_原始数据'!C868-0.685*'03_原始数据'!B868-OtherCost</f>
        <v/>
      </c>
      <c r="AE868" s="37">
        <f>'03_原始数据'!C868-0.69*'03_原始数据'!B868-OtherCost</f>
        <v/>
      </c>
      <c r="AF868" s="37">
        <f>'03_原始数据'!C868-0.695*'03_原始数据'!B868-OtherCost</f>
        <v/>
      </c>
      <c r="AG868" s="37">
        <f>'03_原始数据'!C868-0.7*'03_原始数据'!B868-OtherCost</f>
        <v/>
      </c>
    </row>
    <row r="869">
      <c r="M869" s="37">
        <f>'03_原始数据'!C869-0.6*'03_原始数据'!B869-OtherCost</f>
        <v/>
      </c>
      <c r="N869" s="37">
        <f>'03_原始数据'!C869-0.605*'03_原始数据'!B869-OtherCost</f>
        <v/>
      </c>
      <c r="O869" s="37">
        <f>'03_原始数据'!C869-0.61*'03_原始数据'!B869-OtherCost</f>
        <v/>
      </c>
      <c r="P869" s="37">
        <f>'03_原始数据'!C869-0.615*'03_原始数据'!B869-OtherCost</f>
        <v/>
      </c>
      <c r="Q869" s="37">
        <f>'03_原始数据'!C869-0.62*'03_原始数据'!B869-OtherCost</f>
        <v/>
      </c>
      <c r="R869" s="37">
        <f>'03_原始数据'!C869-0.625*'03_原始数据'!B869-OtherCost</f>
        <v/>
      </c>
      <c r="S869" s="37">
        <f>'03_原始数据'!C869-0.63*'03_原始数据'!B869-OtherCost</f>
        <v/>
      </c>
      <c r="T869" s="37">
        <f>'03_原始数据'!C869-0.635*'03_原始数据'!B869-OtherCost</f>
        <v/>
      </c>
      <c r="U869" s="37">
        <f>'03_原始数据'!C869-0.64*'03_原始数据'!B869-OtherCost</f>
        <v/>
      </c>
      <c r="V869" s="37">
        <f>'03_原始数据'!C869-0.645*'03_原始数据'!B869-OtherCost</f>
        <v/>
      </c>
      <c r="W869" s="37">
        <f>'03_原始数据'!C869-0.65*'03_原始数据'!B869-OtherCost</f>
        <v/>
      </c>
      <c r="X869" s="37">
        <f>'03_原始数据'!C869-0.655*'03_原始数据'!B869-OtherCost</f>
        <v/>
      </c>
      <c r="Y869" s="37">
        <f>'03_原始数据'!C869-0.66*'03_原始数据'!B869-OtherCost</f>
        <v/>
      </c>
      <c r="Z869" s="37">
        <f>'03_原始数据'!C869-0.665*'03_原始数据'!B869-OtherCost</f>
        <v/>
      </c>
      <c r="AA869" s="37">
        <f>'03_原始数据'!C869-0.67*'03_原始数据'!B869-OtherCost</f>
        <v/>
      </c>
      <c r="AB869" s="37">
        <f>'03_原始数据'!C869-0.675*'03_原始数据'!B869-OtherCost</f>
        <v/>
      </c>
      <c r="AC869" s="37">
        <f>'03_原始数据'!C869-0.68*'03_原始数据'!B869-OtherCost</f>
        <v/>
      </c>
      <c r="AD869" s="37">
        <f>'03_原始数据'!C869-0.685*'03_原始数据'!B869-OtherCost</f>
        <v/>
      </c>
      <c r="AE869" s="37">
        <f>'03_原始数据'!C869-0.69*'03_原始数据'!B869-OtherCost</f>
        <v/>
      </c>
      <c r="AF869" s="37">
        <f>'03_原始数据'!C869-0.695*'03_原始数据'!B869-OtherCost</f>
        <v/>
      </c>
      <c r="AG869" s="37">
        <f>'03_原始数据'!C869-0.7*'03_原始数据'!B869-OtherCost</f>
        <v/>
      </c>
    </row>
    <row r="870">
      <c r="M870" s="37">
        <f>'03_原始数据'!C870-0.6*'03_原始数据'!B870-OtherCost</f>
        <v/>
      </c>
      <c r="N870" s="37">
        <f>'03_原始数据'!C870-0.605*'03_原始数据'!B870-OtherCost</f>
        <v/>
      </c>
      <c r="O870" s="37">
        <f>'03_原始数据'!C870-0.61*'03_原始数据'!B870-OtherCost</f>
        <v/>
      </c>
      <c r="P870" s="37">
        <f>'03_原始数据'!C870-0.615*'03_原始数据'!B870-OtherCost</f>
        <v/>
      </c>
      <c r="Q870" s="37">
        <f>'03_原始数据'!C870-0.62*'03_原始数据'!B870-OtherCost</f>
        <v/>
      </c>
      <c r="R870" s="37">
        <f>'03_原始数据'!C870-0.625*'03_原始数据'!B870-OtherCost</f>
        <v/>
      </c>
      <c r="S870" s="37">
        <f>'03_原始数据'!C870-0.63*'03_原始数据'!B870-OtherCost</f>
        <v/>
      </c>
      <c r="T870" s="37">
        <f>'03_原始数据'!C870-0.635*'03_原始数据'!B870-OtherCost</f>
        <v/>
      </c>
      <c r="U870" s="37">
        <f>'03_原始数据'!C870-0.64*'03_原始数据'!B870-OtherCost</f>
        <v/>
      </c>
      <c r="V870" s="37">
        <f>'03_原始数据'!C870-0.645*'03_原始数据'!B870-OtherCost</f>
        <v/>
      </c>
      <c r="W870" s="37">
        <f>'03_原始数据'!C870-0.65*'03_原始数据'!B870-OtherCost</f>
        <v/>
      </c>
      <c r="X870" s="37">
        <f>'03_原始数据'!C870-0.655*'03_原始数据'!B870-OtherCost</f>
        <v/>
      </c>
      <c r="Y870" s="37">
        <f>'03_原始数据'!C870-0.66*'03_原始数据'!B870-OtherCost</f>
        <v/>
      </c>
      <c r="Z870" s="37">
        <f>'03_原始数据'!C870-0.665*'03_原始数据'!B870-OtherCost</f>
        <v/>
      </c>
      <c r="AA870" s="37">
        <f>'03_原始数据'!C870-0.67*'03_原始数据'!B870-OtherCost</f>
        <v/>
      </c>
      <c r="AB870" s="37">
        <f>'03_原始数据'!C870-0.675*'03_原始数据'!B870-OtherCost</f>
        <v/>
      </c>
      <c r="AC870" s="37">
        <f>'03_原始数据'!C870-0.68*'03_原始数据'!B870-OtherCost</f>
        <v/>
      </c>
      <c r="AD870" s="37">
        <f>'03_原始数据'!C870-0.685*'03_原始数据'!B870-OtherCost</f>
        <v/>
      </c>
      <c r="AE870" s="37">
        <f>'03_原始数据'!C870-0.69*'03_原始数据'!B870-OtherCost</f>
        <v/>
      </c>
      <c r="AF870" s="37">
        <f>'03_原始数据'!C870-0.695*'03_原始数据'!B870-OtherCost</f>
        <v/>
      </c>
      <c r="AG870" s="37">
        <f>'03_原始数据'!C870-0.7*'03_原始数据'!B870-OtherCost</f>
        <v/>
      </c>
    </row>
    <row r="871">
      <c r="M871" s="37">
        <f>'03_原始数据'!C871-0.6*'03_原始数据'!B871-OtherCost</f>
        <v/>
      </c>
      <c r="N871" s="37">
        <f>'03_原始数据'!C871-0.605*'03_原始数据'!B871-OtherCost</f>
        <v/>
      </c>
      <c r="O871" s="37">
        <f>'03_原始数据'!C871-0.61*'03_原始数据'!B871-OtherCost</f>
        <v/>
      </c>
      <c r="P871" s="37">
        <f>'03_原始数据'!C871-0.615*'03_原始数据'!B871-OtherCost</f>
        <v/>
      </c>
      <c r="Q871" s="37">
        <f>'03_原始数据'!C871-0.62*'03_原始数据'!B871-OtherCost</f>
        <v/>
      </c>
      <c r="R871" s="37">
        <f>'03_原始数据'!C871-0.625*'03_原始数据'!B871-OtherCost</f>
        <v/>
      </c>
      <c r="S871" s="37">
        <f>'03_原始数据'!C871-0.63*'03_原始数据'!B871-OtherCost</f>
        <v/>
      </c>
      <c r="T871" s="37">
        <f>'03_原始数据'!C871-0.635*'03_原始数据'!B871-OtherCost</f>
        <v/>
      </c>
      <c r="U871" s="37">
        <f>'03_原始数据'!C871-0.64*'03_原始数据'!B871-OtherCost</f>
        <v/>
      </c>
      <c r="V871" s="37">
        <f>'03_原始数据'!C871-0.645*'03_原始数据'!B871-OtherCost</f>
        <v/>
      </c>
      <c r="W871" s="37">
        <f>'03_原始数据'!C871-0.65*'03_原始数据'!B871-OtherCost</f>
        <v/>
      </c>
      <c r="X871" s="37">
        <f>'03_原始数据'!C871-0.655*'03_原始数据'!B871-OtherCost</f>
        <v/>
      </c>
      <c r="Y871" s="37">
        <f>'03_原始数据'!C871-0.66*'03_原始数据'!B871-OtherCost</f>
        <v/>
      </c>
      <c r="Z871" s="37">
        <f>'03_原始数据'!C871-0.665*'03_原始数据'!B871-OtherCost</f>
        <v/>
      </c>
      <c r="AA871" s="37">
        <f>'03_原始数据'!C871-0.67*'03_原始数据'!B871-OtherCost</f>
        <v/>
      </c>
      <c r="AB871" s="37">
        <f>'03_原始数据'!C871-0.675*'03_原始数据'!B871-OtherCost</f>
        <v/>
      </c>
      <c r="AC871" s="37">
        <f>'03_原始数据'!C871-0.68*'03_原始数据'!B871-OtherCost</f>
        <v/>
      </c>
      <c r="AD871" s="37">
        <f>'03_原始数据'!C871-0.685*'03_原始数据'!B871-OtherCost</f>
        <v/>
      </c>
      <c r="AE871" s="37">
        <f>'03_原始数据'!C871-0.69*'03_原始数据'!B871-OtherCost</f>
        <v/>
      </c>
      <c r="AF871" s="37">
        <f>'03_原始数据'!C871-0.695*'03_原始数据'!B871-OtherCost</f>
        <v/>
      </c>
      <c r="AG871" s="37">
        <f>'03_原始数据'!C871-0.7*'03_原始数据'!B871-OtherCost</f>
        <v/>
      </c>
    </row>
    <row r="872">
      <c r="M872" s="37">
        <f>'03_原始数据'!C872-0.6*'03_原始数据'!B872-OtherCost</f>
        <v/>
      </c>
      <c r="N872" s="37">
        <f>'03_原始数据'!C872-0.605*'03_原始数据'!B872-OtherCost</f>
        <v/>
      </c>
      <c r="O872" s="37">
        <f>'03_原始数据'!C872-0.61*'03_原始数据'!B872-OtherCost</f>
        <v/>
      </c>
      <c r="P872" s="37">
        <f>'03_原始数据'!C872-0.615*'03_原始数据'!B872-OtherCost</f>
        <v/>
      </c>
      <c r="Q872" s="37">
        <f>'03_原始数据'!C872-0.62*'03_原始数据'!B872-OtherCost</f>
        <v/>
      </c>
      <c r="R872" s="37">
        <f>'03_原始数据'!C872-0.625*'03_原始数据'!B872-OtherCost</f>
        <v/>
      </c>
      <c r="S872" s="37">
        <f>'03_原始数据'!C872-0.63*'03_原始数据'!B872-OtherCost</f>
        <v/>
      </c>
      <c r="T872" s="37">
        <f>'03_原始数据'!C872-0.635*'03_原始数据'!B872-OtherCost</f>
        <v/>
      </c>
      <c r="U872" s="37">
        <f>'03_原始数据'!C872-0.64*'03_原始数据'!B872-OtherCost</f>
        <v/>
      </c>
      <c r="V872" s="37">
        <f>'03_原始数据'!C872-0.645*'03_原始数据'!B872-OtherCost</f>
        <v/>
      </c>
      <c r="W872" s="37">
        <f>'03_原始数据'!C872-0.65*'03_原始数据'!B872-OtherCost</f>
        <v/>
      </c>
      <c r="X872" s="37">
        <f>'03_原始数据'!C872-0.655*'03_原始数据'!B872-OtherCost</f>
        <v/>
      </c>
      <c r="Y872" s="37">
        <f>'03_原始数据'!C872-0.66*'03_原始数据'!B872-OtherCost</f>
        <v/>
      </c>
      <c r="Z872" s="37">
        <f>'03_原始数据'!C872-0.665*'03_原始数据'!B872-OtherCost</f>
        <v/>
      </c>
      <c r="AA872" s="37">
        <f>'03_原始数据'!C872-0.67*'03_原始数据'!B872-OtherCost</f>
        <v/>
      </c>
      <c r="AB872" s="37">
        <f>'03_原始数据'!C872-0.675*'03_原始数据'!B872-OtherCost</f>
        <v/>
      </c>
      <c r="AC872" s="37">
        <f>'03_原始数据'!C872-0.68*'03_原始数据'!B872-OtherCost</f>
        <v/>
      </c>
      <c r="AD872" s="37">
        <f>'03_原始数据'!C872-0.685*'03_原始数据'!B872-OtherCost</f>
        <v/>
      </c>
      <c r="AE872" s="37">
        <f>'03_原始数据'!C872-0.69*'03_原始数据'!B872-OtherCost</f>
        <v/>
      </c>
      <c r="AF872" s="37">
        <f>'03_原始数据'!C872-0.695*'03_原始数据'!B872-OtherCost</f>
        <v/>
      </c>
      <c r="AG872" s="37">
        <f>'03_原始数据'!C872-0.7*'03_原始数据'!B872-OtherCost</f>
        <v/>
      </c>
    </row>
    <row r="873">
      <c r="M873" s="37">
        <f>'03_原始数据'!C873-0.6*'03_原始数据'!B873-OtherCost</f>
        <v/>
      </c>
      <c r="N873" s="37">
        <f>'03_原始数据'!C873-0.605*'03_原始数据'!B873-OtherCost</f>
        <v/>
      </c>
      <c r="O873" s="37">
        <f>'03_原始数据'!C873-0.61*'03_原始数据'!B873-OtherCost</f>
        <v/>
      </c>
      <c r="P873" s="37">
        <f>'03_原始数据'!C873-0.615*'03_原始数据'!B873-OtherCost</f>
        <v/>
      </c>
      <c r="Q873" s="37">
        <f>'03_原始数据'!C873-0.62*'03_原始数据'!B873-OtherCost</f>
        <v/>
      </c>
      <c r="R873" s="37">
        <f>'03_原始数据'!C873-0.625*'03_原始数据'!B873-OtherCost</f>
        <v/>
      </c>
      <c r="S873" s="37">
        <f>'03_原始数据'!C873-0.63*'03_原始数据'!B873-OtherCost</f>
        <v/>
      </c>
      <c r="T873" s="37">
        <f>'03_原始数据'!C873-0.635*'03_原始数据'!B873-OtherCost</f>
        <v/>
      </c>
      <c r="U873" s="37">
        <f>'03_原始数据'!C873-0.64*'03_原始数据'!B873-OtherCost</f>
        <v/>
      </c>
      <c r="V873" s="37">
        <f>'03_原始数据'!C873-0.645*'03_原始数据'!B873-OtherCost</f>
        <v/>
      </c>
      <c r="W873" s="37">
        <f>'03_原始数据'!C873-0.65*'03_原始数据'!B873-OtherCost</f>
        <v/>
      </c>
      <c r="X873" s="37">
        <f>'03_原始数据'!C873-0.655*'03_原始数据'!B873-OtherCost</f>
        <v/>
      </c>
      <c r="Y873" s="37">
        <f>'03_原始数据'!C873-0.66*'03_原始数据'!B873-OtherCost</f>
        <v/>
      </c>
      <c r="Z873" s="37">
        <f>'03_原始数据'!C873-0.665*'03_原始数据'!B873-OtherCost</f>
        <v/>
      </c>
      <c r="AA873" s="37">
        <f>'03_原始数据'!C873-0.67*'03_原始数据'!B873-OtherCost</f>
        <v/>
      </c>
      <c r="AB873" s="37">
        <f>'03_原始数据'!C873-0.675*'03_原始数据'!B873-OtherCost</f>
        <v/>
      </c>
      <c r="AC873" s="37">
        <f>'03_原始数据'!C873-0.68*'03_原始数据'!B873-OtherCost</f>
        <v/>
      </c>
      <c r="AD873" s="37">
        <f>'03_原始数据'!C873-0.685*'03_原始数据'!B873-OtherCost</f>
        <v/>
      </c>
      <c r="AE873" s="37">
        <f>'03_原始数据'!C873-0.69*'03_原始数据'!B873-OtherCost</f>
        <v/>
      </c>
      <c r="AF873" s="37">
        <f>'03_原始数据'!C873-0.695*'03_原始数据'!B873-OtherCost</f>
        <v/>
      </c>
      <c r="AG873" s="37">
        <f>'03_原始数据'!C873-0.7*'03_原始数据'!B873-OtherCost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G8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8" customWidth="1" min="5" max="5"/>
    <col width="15" customWidth="1" min="6" max="6"/>
    <col width="16" customWidth="1" min="7" max="7"/>
  </cols>
  <sheetData>
    <row r="1" ht="30" customHeight="1">
      <c r="A1" s="1" t="inlineStr">
        <is>
          <t>理论加工价差与分位</t>
        </is>
      </c>
    </row>
    <row r="2" ht="20" customHeight="1">
      <c r="A2" s="2" t="inlineStr">
        <is>
          <t>价差 = PTA − λ×PX − 其他成本。分位用 PERCENTRANK.INC（与报告一致）。</t>
        </is>
      </c>
    </row>
    <row r="4" ht="26" customHeight="1">
      <c r="A4" s="5" t="inlineStr">
        <is>
          <t>日期</t>
        </is>
      </c>
      <c r="B4" s="5" t="inlineStr">
        <is>
          <t>PX</t>
        </is>
      </c>
      <c r="C4" s="5" t="inlineStr">
        <is>
          <t>PTA</t>
        </is>
      </c>
      <c r="D4" s="5" t="inlineStr">
        <is>
          <t>加工价差</t>
        </is>
      </c>
      <c r="E4" s="5" t="inlineStr">
        <is>
          <t>历史分位（全样本）</t>
        </is>
      </c>
      <c r="F4" s="5" t="inlineStr">
        <is>
          <t>滚动60日均值</t>
        </is>
      </c>
      <c r="G4" s="5" t="inlineStr">
        <is>
          <t>滚动60日标准差</t>
        </is>
      </c>
    </row>
    <row r="5" ht="17" customHeight="1">
      <c r="A5" s="38">
        <f>'03_原始数据'!A5</f>
        <v/>
      </c>
      <c r="B5" s="16">
        <f>'03_原始数据'!B5</f>
        <v/>
      </c>
      <c r="C5" s="16">
        <f>'03_原始数据'!C5</f>
        <v/>
      </c>
      <c r="D5" s="16">
        <f>'03_原始数据'!E5</f>
        <v/>
      </c>
      <c r="E5" s="39">
        <f>_xlfn.PERCENTRANK.INC('03_原始数据'!$E$5:$E$873,'03_原始数据'!E5)</f>
        <v/>
      </c>
      <c r="F5" s="16">
        <f>IF(False,AVERAGE('03_原始数据'!$E$5:$E$5),"")</f>
        <v/>
      </c>
      <c r="G5" s="16">
        <f>IF(False,STDEV('03_原始数据'!$E$5:$E$5),"")</f>
        <v/>
      </c>
    </row>
    <row r="6" ht="17" customHeight="1">
      <c r="A6" s="40">
        <f>'03_原始数据'!A6</f>
        <v/>
      </c>
      <c r="B6" s="21">
        <f>'03_原始数据'!B6</f>
        <v/>
      </c>
      <c r="C6" s="21">
        <f>'03_原始数据'!C6</f>
        <v/>
      </c>
      <c r="D6" s="21">
        <f>'03_原始数据'!E6</f>
        <v/>
      </c>
      <c r="E6" s="41">
        <f>_xlfn.PERCENTRANK.INC('03_原始数据'!$E$5:$E$873,'03_原始数据'!E6)</f>
        <v/>
      </c>
      <c r="F6" s="21">
        <f>IF(False,AVERAGE('03_原始数据'!$E$5:$E$6),"")</f>
        <v/>
      </c>
      <c r="G6" s="21">
        <f>IF(False,STDEV('03_原始数据'!$E$5:$E$6),"")</f>
        <v/>
      </c>
    </row>
    <row r="7" ht="17" customHeight="1">
      <c r="A7" s="38">
        <f>'03_原始数据'!A7</f>
        <v/>
      </c>
      <c r="B7" s="16">
        <f>'03_原始数据'!B7</f>
        <v/>
      </c>
      <c r="C7" s="16">
        <f>'03_原始数据'!C7</f>
        <v/>
      </c>
      <c r="D7" s="16">
        <f>'03_原始数据'!E7</f>
        <v/>
      </c>
      <c r="E7" s="39">
        <f>_xlfn.PERCENTRANK.INC('03_原始数据'!$E$5:$E$873,'03_原始数据'!E7)</f>
        <v/>
      </c>
      <c r="F7" s="16">
        <f>IF(False,AVERAGE('03_原始数据'!$E$5:$E$7),"")</f>
        <v/>
      </c>
      <c r="G7" s="16">
        <f>IF(False,STDEV('03_原始数据'!$E$5:$E$7),"")</f>
        <v/>
      </c>
    </row>
    <row r="8" ht="17" customHeight="1">
      <c r="A8" s="40">
        <f>'03_原始数据'!A8</f>
        <v/>
      </c>
      <c r="B8" s="21">
        <f>'03_原始数据'!B8</f>
        <v/>
      </c>
      <c r="C8" s="21">
        <f>'03_原始数据'!C8</f>
        <v/>
      </c>
      <c r="D8" s="21">
        <f>'03_原始数据'!E8</f>
        <v/>
      </c>
      <c r="E8" s="41">
        <f>_xlfn.PERCENTRANK.INC('03_原始数据'!$E$5:$E$873,'03_原始数据'!E8)</f>
        <v/>
      </c>
      <c r="F8" s="21">
        <f>IF(False,AVERAGE('03_原始数据'!$E$5:$E$8),"")</f>
        <v/>
      </c>
      <c r="G8" s="21">
        <f>IF(False,STDEV('03_原始数据'!$E$5:$E$8),"")</f>
        <v/>
      </c>
    </row>
    <row r="9" ht="17" customHeight="1">
      <c r="A9" s="38">
        <f>'03_原始数据'!A9</f>
        <v/>
      </c>
      <c r="B9" s="16">
        <f>'03_原始数据'!B9</f>
        <v/>
      </c>
      <c r="C9" s="16">
        <f>'03_原始数据'!C9</f>
        <v/>
      </c>
      <c r="D9" s="16">
        <f>'03_原始数据'!E9</f>
        <v/>
      </c>
      <c r="E9" s="39">
        <f>_xlfn.PERCENTRANK.INC('03_原始数据'!$E$5:$E$873,'03_原始数据'!E9)</f>
        <v/>
      </c>
      <c r="F9" s="16">
        <f>IF(False,AVERAGE('03_原始数据'!$E$5:$E$9),"")</f>
        <v/>
      </c>
      <c r="G9" s="16">
        <f>IF(False,STDEV('03_原始数据'!$E$5:$E$9),"")</f>
        <v/>
      </c>
    </row>
    <row r="10" ht="17" customHeight="1">
      <c r="A10" s="40">
        <f>'03_原始数据'!A10</f>
        <v/>
      </c>
      <c r="B10" s="21">
        <f>'03_原始数据'!B10</f>
        <v/>
      </c>
      <c r="C10" s="21">
        <f>'03_原始数据'!C10</f>
        <v/>
      </c>
      <c r="D10" s="21">
        <f>'03_原始数据'!E10</f>
        <v/>
      </c>
      <c r="E10" s="41">
        <f>_xlfn.PERCENTRANK.INC('03_原始数据'!$E$5:$E$873,'03_原始数据'!E10)</f>
        <v/>
      </c>
      <c r="F10" s="21">
        <f>IF(False,AVERAGE('03_原始数据'!$E$5:$E$10),"")</f>
        <v/>
      </c>
      <c r="G10" s="21">
        <f>IF(False,STDEV('03_原始数据'!$E$5:$E$10),"")</f>
        <v/>
      </c>
    </row>
    <row r="11" ht="17" customHeight="1">
      <c r="A11" s="38">
        <f>'03_原始数据'!A11</f>
        <v/>
      </c>
      <c r="B11" s="16">
        <f>'03_原始数据'!B11</f>
        <v/>
      </c>
      <c r="C11" s="16">
        <f>'03_原始数据'!C11</f>
        <v/>
      </c>
      <c r="D11" s="16">
        <f>'03_原始数据'!E11</f>
        <v/>
      </c>
      <c r="E11" s="39">
        <f>_xlfn.PERCENTRANK.INC('03_原始数据'!$E$5:$E$873,'03_原始数据'!E11)</f>
        <v/>
      </c>
      <c r="F11" s="16">
        <f>IF(False,AVERAGE('03_原始数据'!$E$5:$E$11),"")</f>
        <v/>
      </c>
      <c r="G11" s="16">
        <f>IF(False,STDEV('03_原始数据'!$E$5:$E$11),"")</f>
        <v/>
      </c>
    </row>
    <row r="12" ht="17" customHeight="1">
      <c r="A12" s="40">
        <f>'03_原始数据'!A12</f>
        <v/>
      </c>
      <c r="B12" s="21">
        <f>'03_原始数据'!B12</f>
        <v/>
      </c>
      <c r="C12" s="21">
        <f>'03_原始数据'!C12</f>
        <v/>
      </c>
      <c r="D12" s="21">
        <f>'03_原始数据'!E12</f>
        <v/>
      </c>
      <c r="E12" s="41">
        <f>_xlfn.PERCENTRANK.INC('03_原始数据'!$E$5:$E$873,'03_原始数据'!E12)</f>
        <v/>
      </c>
      <c r="F12" s="21">
        <f>IF(False,AVERAGE('03_原始数据'!$E$5:$E$12),"")</f>
        <v/>
      </c>
      <c r="G12" s="21">
        <f>IF(False,STDEV('03_原始数据'!$E$5:$E$12),"")</f>
        <v/>
      </c>
    </row>
    <row r="13" ht="17" customHeight="1">
      <c r="A13" s="38">
        <f>'03_原始数据'!A13</f>
        <v/>
      </c>
      <c r="B13" s="16">
        <f>'03_原始数据'!B13</f>
        <v/>
      </c>
      <c r="C13" s="16">
        <f>'03_原始数据'!C13</f>
        <v/>
      </c>
      <c r="D13" s="16">
        <f>'03_原始数据'!E13</f>
        <v/>
      </c>
      <c r="E13" s="39">
        <f>_xlfn.PERCENTRANK.INC('03_原始数据'!$E$5:$E$873,'03_原始数据'!E13)</f>
        <v/>
      </c>
      <c r="F13" s="16">
        <f>IF(False,AVERAGE('03_原始数据'!$E$5:$E$13),"")</f>
        <v/>
      </c>
      <c r="G13" s="16">
        <f>IF(False,STDEV('03_原始数据'!$E$5:$E$13),"")</f>
        <v/>
      </c>
    </row>
    <row r="14" ht="17" customHeight="1">
      <c r="A14" s="40">
        <f>'03_原始数据'!A14</f>
        <v/>
      </c>
      <c r="B14" s="21">
        <f>'03_原始数据'!B14</f>
        <v/>
      </c>
      <c r="C14" s="21">
        <f>'03_原始数据'!C14</f>
        <v/>
      </c>
      <c r="D14" s="21">
        <f>'03_原始数据'!E14</f>
        <v/>
      </c>
      <c r="E14" s="41">
        <f>_xlfn.PERCENTRANK.INC('03_原始数据'!$E$5:$E$873,'03_原始数据'!E14)</f>
        <v/>
      </c>
      <c r="F14" s="21">
        <f>IF(False,AVERAGE('03_原始数据'!$E$5:$E$14),"")</f>
        <v/>
      </c>
      <c r="G14" s="21">
        <f>IF(False,STDEV('03_原始数据'!$E$5:$E$14),"")</f>
        <v/>
      </c>
    </row>
    <row r="15" ht="17" customHeight="1">
      <c r="A15" s="38">
        <f>'03_原始数据'!A15</f>
        <v/>
      </c>
      <c r="B15" s="16">
        <f>'03_原始数据'!B15</f>
        <v/>
      </c>
      <c r="C15" s="16">
        <f>'03_原始数据'!C15</f>
        <v/>
      </c>
      <c r="D15" s="16">
        <f>'03_原始数据'!E15</f>
        <v/>
      </c>
      <c r="E15" s="39">
        <f>_xlfn.PERCENTRANK.INC('03_原始数据'!$E$5:$E$873,'03_原始数据'!E15)</f>
        <v/>
      </c>
      <c r="F15" s="16">
        <f>IF(False,AVERAGE('03_原始数据'!$E$5:$E$15),"")</f>
        <v/>
      </c>
      <c r="G15" s="16">
        <f>IF(False,STDEV('03_原始数据'!$E$5:$E$15),"")</f>
        <v/>
      </c>
    </row>
    <row r="16" ht="17" customHeight="1">
      <c r="A16" s="40">
        <f>'03_原始数据'!A16</f>
        <v/>
      </c>
      <c r="B16" s="21">
        <f>'03_原始数据'!B16</f>
        <v/>
      </c>
      <c r="C16" s="21">
        <f>'03_原始数据'!C16</f>
        <v/>
      </c>
      <c r="D16" s="21">
        <f>'03_原始数据'!E16</f>
        <v/>
      </c>
      <c r="E16" s="41">
        <f>_xlfn.PERCENTRANK.INC('03_原始数据'!$E$5:$E$873,'03_原始数据'!E16)</f>
        <v/>
      </c>
      <c r="F16" s="21">
        <f>IF(False,AVERAGE('03_原始数据'!$E$5:$E$16),"")</f>
        <v/>
      </c>
      <c r="G16" s="21">
        <f>IF(False,STDEV('03_原始数据'!$E$5:$E$16),"")</f>
        <v/>
      </c>
    </row>
    <row r="17" ht="17" customHeight="1">
      <c r="A17" s="38">
        <f>'03_原始数据'!A17</f>
        <v/>
      </c>
      <c r="B17" s="16">
        <f>'03_原始数据'!B17</f>
        <v/>
      </c>
      <c r="C17" s="16">
        <f>'03_原始数据'!C17</f>
        <v/>
      </c>
      <c r="D17" s="16">
        <f>'03_原始数据'!E17</f>
        <v/>
      </c>
      <c r="E17" s="39">
        <f>_xlfn.PERCENTRANK.INC('03_原始数据'!$E$5:$E$873,'03_原始数据'!E17)</f>
        <v/>
      </c>
      <c r="F17" s="16">
        <f>IF(False,AVERAGE('03_原始数据'!$E$5:$E$17),"")</f>
        <v/>
      </c>
      <c r="G17" s="16">
        <f>IF(False,STDEV('03_原始数据'!$E$5:$E$17),"")</f>
        <v/>
      </c>
    </row>
    <row r="18" ht="17" customHeight="1">
      <c r="A18" s="40">
        <f>'03_原始数据'!A18</f>
        <v/>
      </c>
      <c r="B18" s="21">
        <f>'03_原始数据'!B18</f>
        <v/>
      </c>
      <c r="C18" s="21">
        <f>'03_原始数据'!C18</f>
        <v/>
      </c>
      <c r="D18" s="21">
        <f>'03_原始数据'!E18</f>
        <v/>
      </c>
      <c r="E18" s="41">
        <f>_xlfn.PERCENTRANK.INC('03_原始数据'!$E$5:$E$873,'03_原始数据'!E18)</f>
        <v/>
      </c>
      <c r="F18" s="21">
        <f>IF(False,AVERAGE('03_原始数据'!$E$5:$E$18),"")</f>
        <v/>
      </c>
      <c r="G18" s="21">
        <f>IF(False,STDEV('03_原始数据'!$E$5:$E$18),"")</f>
        <v/>
      </c>
    </row>
    <row r="19" ht="17" customHeight="1">
      <c r="A19" s="38">
        <f>'03_原始数据'!A19</f>
        <v/>
      </c>
      <c r="B19" s="16">
        <f>'03_原始数据'!B19</f>
        <v/>
      </c>
      <c r="C19" s="16">
        <f>'03_原始数据'!C19</f>
        <v/>
      </c>
      <c r="D19" s="16">
        <f>'03_原始数据'!E19</f>
        <v/>
      </c>
      <c r="E19" s="39">
        <f>_xlfn.PERCENTRANK.INC('03_原始数据'!$E$5:$E$873,'03_原始数据'!E19)</f>
        <v/>
      </c>
      <c r="F19" s="16">
        <f>IF(False,AVERAGE('03_原始数据'!$E$5:$E$19),"")</f>
        <v/>
      </c>
      <c r="G19" s="16">
        <f>IF(False,STDEV('03_原始数据'!$E$5:$E$19),"")</f>
        <v/>
      </c>
    </row>
    <row r="20" ht="17" customHeight="1">
      <c r="A20" s="40">
        <f>'03_原始数据'!A20</f>
        <v/>
      </c>
      <c r="B20" s="21">
        <f>'03_原始数据'!B20</f>
        <v/>
      </c>
      <c r="C20" s="21">
        <f>'03_原始数据'!C20</f>
        <v/>
      </c>
      <c r="D20" s="21">
        <f>'03_原始数据'!E20</f>
        <v/>
      </c>
      <c r="E20" s="41">
        <f>_xlfn.PERCENTRANK.INC('03_原始数据'!$E$5:$E$873,'03_原始数据'!E20)</f>
        <v/>
      </c>
      <c r="F20" s="21">
        <f>IF(False,AVERAGE('03_原始数据'!$E$5:$E$20),"")</f>
        <v/>
      </c>
      <c r="G20" s="21">
        <f>IF(False,STDEV('03_原始数据'!$E$5:$E$20),"")</f>
        <v/>
      </c>
    </row>
    <row r="21" ht="17" customHeight="1">
      <c r="A21" s="38">
        <f>'03_原始数据'!A21</f>
        <v/>
      </c>
      <c r="B21" s="16">
        <f>'03_原始数据'!B21</f>
        <v/>
      </c>
      <c r="C21" s="16">
        <f>'03_原始数据'!C21</f>
        <v/>
      </c>
      <c r="D21" s="16">
        <f>'03_原始数据'!E21</f>
        <v/>
      </c>
      <c r="E21" s="39">
        <f>_xlfn.PERCENTRANK.INC('03_原始数据'!$E$5:$E$873,'03_原始数据'!E21)</f>
        <v/>
      </c>
      <c r="F21" s="16">
        <f>IF(False,AVERAGE('03_原始数据'!$E$5:$E$21),"")</f>
        <v/>
      </c>
      <c r="G21" s="16">
        <f>IF(False,STDEV('03_原始数据'!$E$5:$E$21),"")</f>
        <v/>
      </c>
    </row>
    <row r="22" ht="17" customHeight="1">
      <c r="A22" s="40">
        <f>'03_原始数据'!A22</f>
        <v/>
      </c>
      <c r="B22" s="21">
        <f>'03_原始数据'!B22</f>
        <v/>
      </c>
      <c r="C22" s="21">
        <f>'03_原始数据'!C22</f>
        <v/>
      </c>
      <c r="D22" s="21">
        <f>'03_原始数据'!E22</f>
        <v/>
      </c>
      <c r="E22" s="41">
        <f>_xlfn.PERCENTRANK.INC('03_原始数据'!$E$5:$E$873,'03_原始数据'!E22)</f>
        <v/>
      </c>
      <c r="F22" s="21">
        <f>IF(False,AVERAGE('03_原始数据'!$E$5:$E$22),"")</f>
        <v/>
      </c>
      <c r="G22" s="21">
        <f>IF(False,STDEV('03_原始数据'!$E$5:$E$22),"")</f>
        <v/>
      </c>
    </row>
    <row r="23" ht="17" customHeight="1">
      <c r="A23" s="38">
        <f>'03_原始数据'!A23</f>
        <v/>
      </c>
      <c r="B23" s="16">
        <f>'03_原始数据'!B23</f>
        <v/>
      </c>
      <c r="C23" s="16">
        <f>'03_原始数据'!C23</f>
        <v/>
      </c>
      <c r="D23" s="16">
        <f>'03_原始数据'!E23</f>
        <v/>
      </c>
      <c r="E23" s="39">
        <f>_xlfn.PERCENTRANK.INC('03_原始数据'!$E$5:$E$873,'03_原始数据'!E23)</f>
        <v/>
      </c>
      <c r="F23" s="16">
        <f>IF(False,AVERAGE('03_原始数据'!$E$5:$E$23),"")</f>
        <v/>
      </c>
      <c r="G23" s="16">
        <f>IF(False,STDEV('03_原始数据'!$E$5:$E$23),"")</f>
        <v/>
      </c>
    </row>
    <row r="24" ht="17" customHeight="1">
      <c r="A24" s="40">
        <f>'03_原始数据'!A24</f>
        <v/>
      </c>
      <c r="B24" s="21">
        <f>'03_原始数据'!B24</f>
        <v/>
      </c>
      <c r="C24" s="21">
        <f>'03_原始数据'!C24</f>
        <v/>
      </c>
      <c r="D24" s="21">
        <f>'03_原始数据'!E24</f>
        <v/>
      </c>
      <c r="E24" s="41">
        <f>_xlfn.PERCENTRANK.INC('03_原始数据'!$E$5:$E$873,'03_原始数据'!E24)</f>
        <v/>
      </c>
      <c r="F24" s="21">
        <f>IF(False,AVERAGE('03_原始数据'!$E$5:$E$24),"")</f>
        <v/>
      </c>
      <c r="G24" s="21">
        <f>IF(False,STDEV('03_原始数据'!$E$5:$E$24),"")</f>
        <v/>
      </c>
    </row>
    <row r="25" ht="17" customHeight="1">
      <c r="A25" s="38">
        <f>'03_原始数据'!A25</f>
        <v/>
      </c>
      <c r="B25" s="16">
        <f>'03_原始数据'!B25</f>
        <v/>
      </c>
      <c r="C25" s="16">
        <f>'03_原始数据'!C25</f>
        <v/>
      </c>
      <c r="D25" s="16">
        <f>'03_原始数据'!E25</f>
        <v/>
      </c>
      <c r="E25" s="39">
        <f>_xlfn.PERCENTRANK.INC('03_原始数据'!$E$5:$E$873,'03_原始数据'!E25)</f>
        <v/>
      </c>
      <c r="F25" s="16">
        <f>IF(False,AVERAGE('03_原始数据'!$E$5:$E$25),"")</f>
        <v/>
      </c>
      <c r="G25" s="16">
        <f>IF(False,STDEV('03_原始数据'!$E$5:$E$25),"")</f>
        <v/>
      </c>
    </row>
    <row r="26" ht="17" customHeight="1">
      <c r="A26" s="40">
        <f>'03_原始数据'!A26</f>
        <v/>
      </c>
      <c r="B26" s="21">
        <f>'03_原始数据'!B26</f>
        <v/>
      </c>
      <c r="C26" s="21">
        <f>'03_原始数据'!C26</f>
        <v/>
      </c>
      <c r="D26" s="21">
        <f>'03_原始数据'!E26</f>
        <v/>
      </c>
      <c r="E26" s="41">
        <f>_xlfn.PERCENTRANK.INC('03_原始数据'!$E$5:$E$873,'03_原始数据'!E26)</f>
        <v/>
      </c>
      <c r="F26" s="21">
        <f>IF(False,AVERAGE('03_原始数据'!$E$5:$E$26),"")</f>
        <v/>
      </c>
      <c r="G26" s="21">
        <f>IF(False,STDEV('03_原始数据'!$E$5:$E$26),"")</f>
        <v/>
      </c>
    </row>
    <row r="27" ht="17" customHeight="1">
      <c r="A27" s="38">
        <f>'03_原始数据'!A27</f>
        <v/>
      </c>
      <c r="B27" s="16">
        <f>'03_原始数据'!B27</f>
        <v/>
      </c>
      <c r="C27" s="16">
        <f>'03_原始数据'!C27</f>
        <v/>
      </c>
      <c r="D27" s="16">
        <f>'03_原始数据'!E27</f>
        <v/>
      </c>
      <c r="E27" s="39">
        <f>_xlfn.PERCENTRANK.INC('03_原始数据'!$E$5:$E$873,'03_原始数据'!E27)</f>
        <v/>
      </c>
      <c r="F27" s="16">
        <f>IF(False,AVERAGE('03_原始数据'!$E$5:$E$27),"")</f>
        <v/>
      </c>
      <c r="G27" s="16">
        <f>IF(False,STDEV('03_原始数据'!$E$5:$E$27),"")</f>
        <v/>
      </c>
    </row>
    <row r="28" ht="17" customHeight="1">
      <c r="A28" s="40">
        <f>'03_原始数据'!A28</f>
        <v/>
      </c>
      <c r="B28" s="21">
        <f>'03_原始数据'!B28</f>
        <v/>
      </c>
      <c r="C28" s="21">
        <f>'03_原始数据'!C28</f>
        <v/>
      </c>
      <c r="D28" s="21">
        <f>'03_原始数据'!E28</f>
        <v/>
      </c>
      <c r="E28" s="41">
        <f>_xlfn.PERCENTRANK.INC('03_原始数据'!$E$5:$E$873,'03_原始数据'!E28)</f>
        <v/>
      </c>
      <c r="F28" s="21">
        <f>IF(False,AVERAGE('03_原始数据'!$E$5:$E$28),"")</f>
        <v/>
      </c>
      <c r="G28" s="21">
        <f>IF(False,STDEV('03_原始数据'!$E$5:$E$28),"")</f>
        <v/>
      </c>
    </row>
    <row r="29" ht="17" customHeight="1">
      <c r="A29" s="38">
        <f>'03_原始数据'!A29</f>
        <v/>
      </c>
      <c r="B29" s="16">
        <f>'03_原始数据'!B29</f>
        <v/>
      </c>
      <c r="C29" s="16">
        <f>'03_原始数据'!C29</f>
        <v/>
      </c>
      <c r="D29" s="16">
        <f>'03_原始数据'!E29</f>
        <v/>
      </c>
      <c r="E29" s="39">
        <f>_xlfn.PERCENTRANK.INC('03_原始数据'!$E$5:$E$873,'03_原始数据'!E29)</f>
        <v/>
      </c>
      <c r="F29" s="16">
        <f>IF(False,AVERAGE('03_原始数据'!$E$5:$E$29),"")</f>
        <v/>
      </c>
      <c r="G29" s="16">
        <f>IF(False,STDEV('03_原始数据'!$E$5:$E$29),"")</f>
        <v/>
      </c>
    </row>
    <row r="30" ht="17" customHeight="1">
      <c r="A30" s="40">
        <f>'03_原始数据'!A30</f>
        <v/>
      </c>
      <c r="B30" s="21">
        <f>'03_原始数据'!B30</f>
        <v/>
      </c>
      <c r="C30" s="21">
        <f>'03_原始数据'!C30</f>
        <v/>
      </c>
      <c r="D30" s="21">
        <f>'03_原始数据'!E30</f>
        <v/>
      </c>
      <c r="E30" s="41">
        <f>_xlfn.PERCENTRANK.INC('03_原始数据'!$E$5:$E$873,'03_原始数据'!E30)</f>
        <v/>
      </c>
      <c r="F30" s="21">
        <f>IF(False,AVERAGE('03_原始数据'!$E$5:$E$30),"")</f>
        <v/>
      </c>
      <c r="G30" s="21">
        <f>IF(False,STDEV('03_原始数据'!$E$5:$E$30),"")</f>
        <v/>
      </c>
    </row>
    <row r="31" ht="17" customHeight="1">
      <c r="A31" s="38">
        <f>'03_原始数据'!A31</f>
        <v/>
      </c>
      <c r="B31" s="16">
        <f>'03_原始数据'!B31</f>
        <v/>
      </c>
      <c r="C31" s="16">
        <f>'03_原始数据'!C31</f>
        <v/>
      </c>
      <c r="D31" s="16">
        <f>'03_原始数据'!E31</f>
        <v/>
      </c>
      <c r="E31" s="39">
        <f>_xlfn.PERCENTRANK.INC('03_原始数据'!$E$5:$E$873,'03_原始数据'!E31)</f>
        <v/>
      </c>
      <c r="F31" s="16">
        <f>IF(False,AVERAGE('03_原始数据'!$E$5:$E$31),"")</f>
        <v/>
      </c>
      <c r="G31" s="16">
        <f>IF(False,STDEV('03_原始数据'!$E$5:$E$31),"")</f>
        <v/>
      </c>
    </row>
    <row r="32" ht="17" customHeight="1">
      <c r="A32" s="40">
        <f>'03_原始数据'!A32</f>
        <v/>
      </c>
      <c r="B32" s="21">
        <f>'03_原始数据'!B32</f>
        <v/>
      </c>
      <c r="C32" s="21">
        <f>'03_原始数据'!C32</f>
        <v/>
      </c>
      <c r="D32" s="21">
        <f>'03_原始数据'!E32</f>
        <v/>
      </c>
      <c r="E32" s="41">
        <f>_xlfn.PERCENTRANK.INC('03_原始数据'!$E$5:$E$873,'03_原始数据'!E32)</f>
        <v/>
      </c>
      <c r="F32" s="21">
        <f>IF(False,AVERAGE('03_原始数据'!$E$5:$E$32),"")</f>
        <v/>
      </c>
      <c r="G32" s="21">
        <f>IF(False,STDEV('03_原始数据'!$E$5:$E$32),"")</f>
        <v/>
      </c>
    </row>
    <row r="33" ht="17" customHeight="1">
      <c r="A33" s="38">
        <f>'03_原始数据'!A33</f>
        <v/>
      </c>
      <c r="B33" s="16">
        <f>'03_原始数据'!B33</f>
        <v/>
      </c>
      <c r="C33" s="16">
        <f>'03_原始数据'!C33</f>
        <v/>
      </c>
      <c r="D33" s="16">
        <f>'03_原始数据'!E33</f>
        <v/>
      </c>
      <c r="E33" s="39">
        <f>_xlfn.PERCENTRANK.INC('03_原始数据'!$E$5:$E$873,'03_原始数据'!E33)</f>
        <v/>
      </c>
      <c r="F33" s="16">
        <f>IF(False,AVERAGE('03_原始数据'!$E$5:$E$33),"")</f>
        <v/>
      </c>
      <c r="G33" s="16">
        <f>IF(False,STDEV('03_原始数据'!$E$5:$E$33),"")</f>
        <v/>
      </c>
    </row>
    <row r="34" ht="17" customHeight="1">
      <c r="A34" s="40">
        <f>'03_原始数据'!A34</f>
        <v/>
      </c>
      <c r="B34" s="21">
        <f>'03_原始数据'!B34</f>
        <v/>
      </c>
      <c r="C34" s="21">
        <f>'03_原始数据'!C34</f>
        <v/>
      </c>
      <c r="D34" s="21">
        <f>'03_原始数据'!E34</f>
        <v/>
      </c>
      <c r="E34" s="41">
        <f>_xlfn.PERCENTRANK.INC('03_原始数据'!$E$5:$E$873,'03_原始数据'!E34)</f>
        <v/>
      </c>
      <c r="F34" s="21">
        <f>IF(False,AVERAGE('03_原始数据'!$E$5:$E$34),"")</f>
        <v/>
      </c>
      <c r="G34" s="21">
        <f>IF(False,STDEV('03_原始数据'!$E$5:$E$34),"")</f>
        <v/>
      </c>
    </row>
    <row r="35" ht="17" customHeight="1">
      <c r="A35" s="38">
        <f>'03_原始数据'!A35</f>
        <v/>
      </c>
      <c r="B35" s="16">
        <f>'03_原始数据'!B35</f>
        <v/>
      </c>
      <c r="C35" s="16">
        <f>'03_原始数据'!C35</f>
        <v/>
      </c>
      <c r="D35" s="16">
        <f>'03_原始数据'!E35</f>
        <v/>
      </c>
      <c r="E35" s="39">
        <f>_xlfn.PERCENTRANK.INC('03_原始数据'!$E$5:$E$873,'03_原始数据'!E35)</f>
        <v/>
      </c>
      <c r="F35" s="16">
        <f>IF(False,AVERAGE('03_原始数据'!$E$5:$E$35),"")</f>
        <v/>
      </c>
      <c r="G35" s="16">
        <f>IF(False,STDEV('03_原始数据'!$E$5:$E$35),"")</f>
        <v/>
      </c>
    </row>
    <row r="36" ht="17" customHeight="1">
      <c r="A36" s="40">
        <f>'03_原始数据'!A36</f>
        <v/>
      </c>
      <c r="B36" s="21">
        <f>'03_原始数据'!B36</f>
        <v/>
      </c>
      <c r="C36" s="21">
        <f>'03_原始数据'!C36</f>
        <v/>
      </c>
      <c r="D36" s="21">
        <f>'03_原始数据'!E36</f>
        <v/>
      </c>
      <c r="E36" s="41">
        <f>_xlfn.PERCENTRANK.INC('03_原始数据'!$E$5:$E$873,'03_原始数据'!E36)</f>
        <v/>
      </c>
      <c r="F36" s="21">
        <f>IF(False,AVERAGE('03_原始数据'!$E$5:$E$36),"")</f>
        <v/>
      </c>
      <c r="G36" s="21">
        <f>IF(False,STDEV('03_原始数据'!$E$5:$E$36),"")</f>
        <v/>
      </c>
    </row>
    <row r="37" ht="17" customHeight="1">
      <c r="A37" s="38">
        <f>'03_原始数据'!A37</f>
        <v/>
      </c>
      <c r="B37" s="16">
        <f>'03_原始数据'!B37</f>
        <v/>
      </c>
      <c r="C37" s="16">
        <f>'03_原始数据'!C37</f>
        <v/>
      </c>
      <c r="D37" s="16">
        <f>'03_原始数据'!E37</f>
        <v/>
      </c>
      <c r="E37" s="39">
        <f>_xlfn.PERCENTRANK.INC('03_原始数据'!$E$5:$E$873,'03_原始数据'!E37)</f>
        <v/>
      </c>
      <c r="F37" s="16">
        <f>IF(False,AVERAGE('03_原始数据'!$E$5:$E$37),"")</f>
        <v/>
      </c>
      <c r="G37" s="16">
        <f>IF(False,STDEV('03_原始数据'!$E$5:$E$37),"")</f>
        <v/>
      </c>
    </row>
    <row r="38" ht="17" customHeight="1">
      <c r="A38" s="40">
        <f>'03_原始数据'!A38</f>
        <v/>
      </c>
      <c r="B38" s="21">
        <f>'03_原始数据'!B38</f>
        <v/>
      </c>
      <c r="C38" s="21">
        <f>'03_原始数据'!C38</f>
        <v/>
      </c>
      <c r="D38" s="21">
        <f>'03_原始数据'!E38</f>
        <v/>
      </c>
      <c r="E38" s="41">
        <f>_xlfn.PERCENTRANK.INC('03_原始数据'!$E$5:$E$873,'03_原始数据'!E38)</f>
        <v/>
      </c>
      <c r="F38" s="21">
        <f>IF(False,AVERAGE('03_原始数据'!$E$5:$E$38),"")</f>
        <v/>
      </c>
      <c r="G38" s="21">
        <f>IF(False,STDEV('03_原始数据'!$E$5:$E$38),"")</f>
        <v/>
      </c>
    </row>
    <row r="39" ht="17" customHeight="1">
      <c r="A39" s="38">
        <f>'03_原始数据'!A39</f>
        <v/>
      </c>
      <c r="B39" s="16">
        <f>'03_原始数据'!B39</f>
        <v/>
      </c>
      <c r="C39" s="16">
        <f>'03_原始数据'!C39</f>
        <v/>
      </c>
      <c r="D39" s="16">
        <f>'03_原始数据'!E39</f>
        <v/>
      </c>
      <c r="E39" s="39">
        <f>_xlfn.PERCENTRANK.INC('03_原始数据'!$E$5:$E$873,'03_原始数据'!E39)</f>
        <v/>
      </c>
      <c r="F39" s="16">
        <f>IF(False,AVERAGE('03_原始数据'!$E$5:$E$39),"")</f>
        <v/>
      </c>
      <c r="G39" s="16">
        <f>IF(False,STDEV('03_原始数据'!$E$5:$E$39),"")</f>
        <v/>
      </c>
    </row>
    <row r="40" ht="17" customHeight="1">
      <c r="A40" s="40">
        <f>'03_原始数据'!A40</f>
        <v/>
      </c>
      <c r="B40" s="21">
        <f>'03_原始数据'!B40</f>
        <v/>
      </c>
      <c r="C40" s="21">
        <f>'03_原始数据'!C40</f>
        <v/>
      </c>
      <c r="D40" s="21">
        <f>'03_原始数据'!E40</f>
        <v/>
      </c>
      <c r="E40" s="41">
        <f>_xlfn.PERCENTRANK.INC('03_原始数据'!$E$5:$E$873,'03_原始数据'!E40)</f>
        <v/>
      </c>
      <c r="F40" s="21">
        <f>IF(False,AVERAGE('03_原始数据'!$E$5:$E$40),"")</f>
        <v/>
      </c>
      <c r="G40" s="21">
        <f>IF(False,STDEV('03_原始数据'!$E$5:$E$40),"")</f>
        <v/>
      </c>
    </row>
    <row r="41" ht="17" customHeight="1">
      <c r="A41" s="38">
        <f>'03_原始数据'!A41</f>
        <v/>
      </c>
      <c r="B41" s="16">
        <f>'03_原始数据'!B41</f>
        <v/>
      </c>
      <c r="C41" s="16">
        <f>'03_原始数据'!C41</f>
        <v/>
      </c>
      <c r="D41" s="16">
        <f>'03_原始数据'!E41</f>
        <v/>
      </c>
      <c r="E41" s="39">
        <f>_xlfn.PERCENTRANK.INC('03_原始数据'!$E$5:$E$873,'03_原始数据'!E41)</f>
        <v/>
      </c>
      <c r="F41" s="16">
        <f>IF(False,AVERAGE('03_原始数据'!$E$5:$E$41),"")</f>
        <v/>
      </c>
      <c r="G41" s="16">
        <f>IF(False,STDEV('03_原始数据'!$E$5:$E$41),"")</f>
        <v/>
      </c>
    </row>
    <row r="42" ht="17" customHeight="1">
      <c r="A42" s="40">
        <f>'03_原始数据'!A42</f>
        <v/>
      </c>
      <c r="B42" s="21">
        <f>'03_原始数据'!B42</f>
        <v/>
      </c>
      <c r="C42" s="21">
        <f>'03_原始数据'!C42</f>
        <v/>
      </c>
      <c r="D42" s="21">
        <f>'03_原始数据'!E42</f>
        <v/>
      </c>
      <c r="E42" s="41">
        <f>_xlfn.PERCENTRANK.INC('03_原始数据'!$E$5:$E$873,'03_原始数据'!E42)</f>
        <v/>
      </c>
      <c r="F42" s="21">
        <f>IF(False,AVERAGE('03_原始数据'!$E$5:$E$42),"")</f>
        <v/>
      </c>
      <c r="G42" s="21">
        <f>IF(False,STDEV('03_原始数据'!$E$5:$E$42),"")</f>
        <v/>
      </c>
    </row>
    <row r="43" ht="17" customHeight="1">
      <c r="A43" s="38">
        <f>'03_原始数据'!A43</f>
        <v/>
      </c>
      <c r="B43" s="16">
        <f>'03_原始数据'!B43</f>
        <v/>
      </c>
      <c r="C43" s="16">
        <f>'03_原始数据'!C43</f>
        <v/>
      </c>
      <c r="D43" s="16">
        <f>'03_原始数据'!E43</f>
        <v/>
      </c>
      <c r="E43" s="39">
        <f>_xlfn.PERCENTRANK.INC('03_原始数据'!$E$5:$E$873,'03_原始数据'!E43)</f>
        <v/>
      </c>
      <c r="F43" s="16">
        <f>IF(False,AVERAGE('03_原始数据'!$E$5:$E$43),"")</f>
        <v/>
      </c>
      <c r="G43" s="16">
        <f>IF(False,STDEV('03_原始数据'!$E$5:$E$43),"")</f>
        <v/>
      </c>
    </row>
    <row r="44" ht="17" customHeight="1">
      <c r="A44" s="40">
        <f>'03_原始数据'!A44</f>
        <v/>
      </c>
      <c r="B44" s="21">
        <f>'03_原始数据'!B44</f>
        <v/>
      </c>
      <c r="C44" s="21">
        <f>'03_原始数据'!C44</f>
        <v/>
      </c>
      <c r="D44" s="21">
        <f>'03_原始数据'!E44</f>
        <v/>
      </c>
      <c r="E44" s="41">
        <f>_xlfn.PERCENTRANK.INC('03_原始数据'!$E$5:$E$873,'03_原始数据'!E44)</f>
        <v/>
      </c>
      <c r="F44" s="21">
        <f>IF(False,AVERAGE('03_原始数据'!$E$5:$E$44),"")</f>
        <v/>
      </c>
      <c r="G44" s="21">
        <f>IF(False,STDEV('03_原始数据'!$E$5:$E$44),"")</f>
        <v/>
      </c>
    </row>
    <row r="45" ht="17" customHeight="1">
      <c r="A45" s="38">
        <f>'03_原始数据'!A45</f>
        <v/>
      </c>
      <c r="B45" s="16">
        <f>'03_原始数据'!B45</f>
        <v/>
      </c>
      <c r="C45" s="16">
        <f>'03_原始数据'!C45</f>
        <v/>
      </c>
      <c r="D45" s="16">
        <f>'03_原始数据'!E45</f>
        <v/>
      </c>
      <c r="E45" s="39">
        <f>_xlfn.PERCENTRANK.INC('03_原始数据'!$E$5:$E$873,'03_原始数据'!E45)</f>
        <v/>
      </c>
      <c r="F45" s="16">
        <f>IF(False,AVERAGE('03_原始数据'!$E$5:$E$45),"")</f>
        <v/>
      </c>
      <c r="G45" s="16">
        <f>IF(False,STDEV('03_原始数据'!$E$5:$E$45),"")</f>
        <v/>
      </c>
    </row>
    <row r="46" ht="17" customHeight="1">
      <c r="A46" s="40">
        <f>'03_原始数据'!A46</f>
        <v/>
      </c>
      <c r="B46" s="21">
        <f>'03_原始数据'!B46</f>
        <v/>
      </c>
      <c r="C46" s="21">
        <f>'03_原始数据'!C46</f>
        <v/>
      </c>
      <c r="D46" s="21">
        <f>'03_原始数据'!E46</f>
        <v/>
      </c>
      <c r="E46" s="41">
        <f>_xlfn.PERCENTRANK.INC('03_原始数据'!$E$5:$E$873,'03_原始数据'!E46)</f>
        <v/>
      </c>
      <c r="F46" s="21">
        <f>IF(False,AVERAGE('03_原始数据'!$E$5:$E$46),"")</f>
        <v/>
      </c>
      <c r="G46" s="21">
        <f>IF(False,STDEV('03_原始数据'!$E$5:$E$46),"")</f>
        <v/>
      </c>
    </row>
    <row r="47" ht="17" customHeight="1">
      <c r="A47" s="38">
        <f>'03_原始数据'!A47</f>
        <v/>
      </c>
      <c r="B47" s="16">
        <f>'03_原始数据'!B47</f>
        <v/>
      </c>
      <c r="C47" s="16">
        <f>'03_原始数据'!C47</f>
        <v/>
      </c>
      <c r="D47" s="16">
        <f>'03_原始数据'!E47</f>
        <v/>
      </c>
      <c r="E47" s="39">
        <f>_xlfn.PERCENTRANK.INC('03_原始数据'!$E$5:$E$873,'03_原始数据'!E47)</f>
        <v/>
      </c>
      <c r="F47" s="16">
        <f>IF(False,AVERAGE('03_原始数据'!$E$5:$E$47),"")</f>
        <v/>
      </c>
      <c r="G47" s="16">
        <f>IF(False,STDEV('03_原始数据'!$E$5:$E$47),"")</f>
        <v/>
      </c>
    </row>
    <row r="48" ht="17" customHeight="1">
      <c r="A48" s="40">
        <f>'03_原始数据'!A48</f>
        <v/>
      </c>
      <c r="B48" s="21">
        <f>'03_原始数据'!B48</f>
        <v/>
      </c>
      <c r="C48" s="21">
        <f>'03_原始数据'!C48</f>
        <v/>
      </c>
      <c r="D48" s="21">
        <f>'03_原始数据'!E48</f>
        <v/>
      </c>
      <c r="E48" s="41">
        <f>_xlfn.PERCENTRANK.INC('03_原始数据'!$E$5:$E$873,'03_原始数据'!E48)</f>
        <v/>
      </c>
      <c r="F48" s="21">
        <f>IF(False,AVERAGE('03_原始数据'!$E$5:$E$48),"")</f>
        <v/>
      </c>
      <c r="G48" s="21">
        <f>IF(False,STDEV('03_原始数据'!$E$5:$E$48),"")</f>
        <v/>
      </c>
    </row>
    <row r="49" ht="17" customHeight="1">
      <c r="A49" s="38">
        <f>'03_原始数据'!A49</f>
        <v/>
      </c>
      <c r="B49" s="16">
        <f>'03_原始数据'!B49</f>
        <v/>
      </c>
      <c r="C49" s="16">
        <f>'03_原始数据'!C49</f>
        <v/>
      </c>
      <c r="D49" s="16">
        <f>'03_原始数据'!E49</f>
        <v/>
      </c>
      <c r="E49" s="39">
        <f>_xlfn.PERCENTRANK.INC('03_原始数据'!$E$5:$E$873,'03_原始数据'!E49)</f>
        <v/>
      </c>
      <c r="F49" s="16">
        <f>IF(False,AVERAGE('03_原始数据'!$E$5:$E$49),"")</f>
        <v/>
      </c>
      <c r="G49" s="16">
        <f>IF(False,STDEV('03_原始数据'!$E$5:$E$49),"")</f>
        <v/>
      </c>
    </row>
    <row r="50" ht="17" customHeight="1">
      <c r="A50" s="40">
        <f>'03_原始数据'!A50</f>
        <v/>
      </c>
      <c r="B50" s="21">
        <f>'03_原始数据'!B50</f>
        <v/>
      </c>
      <c r="C50" s="21">
        <f>'03_原始数据'!C50</f>
        <v/>
      </c>
      <c r="D50" s="21">
        <f>'03_原始数据'!E50</f>
        <v/>
      </c>
      <c r="E50" s="41">
        <f>_xlfn.PERCENTRANK.INC('03_原始数据'!$E$5:$E$873,'03_原始数据'!E50)</f>
        <v/>
      </c>
      <c r="F50" s="21">
        <f>IF(False,AVERAGE('03_原始数据'!$E$5:$E$50),"")</f>
        <v/>
      </c>
      <c r="G50" s="21">
        <f>IF(False,STDEV('03_原始数据'!$E$5:$E$50),"")</f>
        <v/>
      </c>
    </row>
    <row r="51" ht="17" customHeight="1">
      <c r="A51" s="38">
        <f>'03_原始数据'!A51</f>
        <v/>
      </c>
      <c r="B51" s="16">
        <f>'03_原始数据'!B51</f>
        <v/>
      </c>
      <c r="C51" s="16">
        <f>'03_原始数据'!C51</f>
        <v/>
      </c>
      <c r="D51" s="16">
        <f>'03_原始数据'!E51</f>
        <v/>
      </c>
      <c r="E51" s="39">
        <f>_xlfn.PERCENTRANK.INC('03_原始数据'!$E$5:$E$873,'03_原始数据'!E51)</f>
        <v/>
      </c>
      <c r="F51" s="16">
        <f>IF(False,AVERAGE('03_原始数据'!$E$5:$E$51),"")</f>
        <v/>
      </c>
      <c r="G51" s="16">
        <f>IF(False,STDEV('03_原始数据'!$E$5:$E$51),"")</f>
        <v/>
      </c>
    </row>
    <row r="52" ht="17" customHeight="1">
      <c r="A52" s="40">
        <f>'03_原始数据'!A52</f>
        <v/>
      </c>
      <c r="B52" s="21">
        <f>'03_原始数据'!B52</f>
        <v/>
      </c>
      <c r="C52" s="21">
        <f>'03_原始数据'!C52</f>
        <v/>
      </c>
      <c r="D52" s="21">
        <f>'03_原始数据'!E52</f>
        <v/>
      </c>
      <c r="E52" s="41">
        <f>_xlfn.PERCENTRANK.INC('03_原始数据'!$E$5:$E$873,'03_原始数据'!E52)</f>
        <v/>
      </c>
      <c r="F52" s="21">
        <f>IF(False,AVERAGE('03_原始数据'!$E$5:$E$52),"")</f>
        <v/>
      </c>
      <c r="G52" s="21">
        <f>IF(False,STDEV('03_原始数据'!$E$5:$E$52),"")</f>
        <v/>
      </c>
    </row>
    <row r="53" ht="17" customHeight="1">
      <c r="A53" s="38">
        <f>'03_原始数据'!A53</f>
        <v/>
      </c>
      <c r="B53" s="16">
        <f>'03_原始数据'!B53</f>
        <v/>
      </c>
      <c r="C53" s="16">
        <f>'03_原始数据'!C53</f>
        <v/>
      </c>
      <c r="D53" s="16">
        <f>'03_原始数据'!E53</f>
        <v/>
      </c>
      <c r="E53" s="39">
        <f>_xlfn.PERCENTRANK.INC('03_原始数据'!$E$5:$E$873,'03_原始数据'!E53)</f>
        <v/>
      </c>
      <c r="F53" s="16">
        <f>IF(False,AVERAGE('03_原始数据'!$E$5:$E$53),"")</f>
        <v/>
      </c>
      <c r="G53" s="16">
        <f>IF(False,STDEV('03_原始数据'!$E$5:$E$53),"")</f>
        <v/>
      </c>
    </row>
    <row r="54" ht="17" customHeight="1">
      <c r="A54" s="40">
        <f>'03_原始数据'!A54</f>
        <v/>
      </c>
      <c r="B54" s="21">
        <f>'03_原始数据'!B54</f>
        <v/>
      </c>
      <c r="C54" s="21">
        <f>'03_原始数据'!C54</f>
        <v/>
      </c>
      <c r="D54" s="21">
        <f>'03_原始数据'!E54</f>
        <v/>
      </c>
      <c r="E54" s="41">
        <f>_xlfn.PERCENTRANK.INC('03_原始数据'!$E$5:$E$873,'03_原始数据'!E54)</f>
        <v/>
      </c>
      <c r="F54" s="21">
        <f>IF(False,AVERAGE('03_原始数据'!$E$5:$E$54),"")</f>
        <v/>
      </c>
      <c r="G54" s="21">
        <f>IF(False,STDEV('03_原始数据'!$E$5:$E$54),"")</f>
        <v/>
      </c>
    </row>
    <row r="55" ht="17" customHeight="1">
      <c r="A55" s="38">
        <f>'03_原始数据'!A55</f>
        <v/>
      </c>
      <c r="B55" s="16">
        <f>'03_原始数据'!B55</f>
        <v/>
      </c>
      <c r="C55" s="16">
        <f>'03_原始数据'!C55</f>
        <v/>
      </c>
      <c r="D55" s="16">
        <f>'03_原始数据'!E55</f>
        <v/>
      </c>
      <c r="E55" s="39">
        <f>_xlfn.PERCENTRANK.INC('03_原始数据'!$E$5:$E$873,'03_原始数据'!E55)</f>
        <v/>
      </c>
      <c r="F55" s="16">
        <f>IF(False,AVERAGE('03_原始数据'!$E$5:$E$55),"")</f>
        <v/>
      </c>
      <c r="G55" s="16">
        <f>IF(False,STDEV('03_原始数据'!$E$5:$E$55),"")</f>
        <v/>
      </c>
    </row>
    <row r="56" ht="17" customHeight="1">
      <c r="A56" s="40">
        <f>'03_原始数据'!A56</f>
        <v/>
      </c>
      <c r="B56" s="21">
        <f>'03_原始数据'!B56</f>
        <v/>
      </c>
      <c r="C56" s="21">
        <f>'03_原始数据'!C56</f>
        <v/>
      </c>
      <c r="D56" s="21">
        <f>'03_原始数据'!E56</f>
        <v/>
      </c>
      <c r="E56" s="41">
        <f>_xlfn.PERCENTRANK.INC('03_原始数据'!$E$5:$E$873,'03_原始数据'!E56)</f>
        <v/>
      </c>
      <c r="F56" s="21">
        <f>IF(False,AVERAGE('03_原始数据'!$E$5:$E$56),"")</f>
        <v/>
      </c>
      <c r="G56" s="21">
        <f>IF(False,STDEV('03_原始数据'!$E$5:$E$56),"")</f>
        <v/>
      </c>
    </row>
    <row r="57" ht="17" customHeight="1">
      <c r="A57" s="38">
        <f>'03_原始数据'!A57</f>
        <v/>
      </c>
      <c r="B57" s="16">
        <f>'03_原始数据'!B57</f>
        <v/>
      </c>
      <c r="C57" s="16">
        <f>'03_原始数据'!C57</f>
        <v/>
      </c>
      <c r="D57" s="16">
        <f>'03_原始数据'!E57</f>
        <v/>
      </c>
      <c r="E57" s="39">
        <f>_xlfn.PERCENTRANK.INC('03_原始数据'!$E$5:$E$873,'03_原始数据'!E57)</f>
        <v/>
      </c>
      <c r="F57" s="16">
        <f>IF(False,AVERAGE('03_原始数据'!$E$5:$E$57),"")</f>
        <v/>
      </c>
      <c r="G57" s="16">
        <f>IF(False,STDEV('03_原始数据'!$E$5:$E$57),"")</f>
        <v/>
      </c>
    </row>
    <row r="58" ht="17" customHeight="1">
      <c r="A58" s="40">
        <f>'03_原始数据'!A58</f>
        <v/>
      </c>
      <c r="B58" s="21">
        <f>'03_原始数据'!B58</f>
        <v/>
      </c>
      <c r="C58" s="21">
        <f>'03_原始数据'!C58</f>
        <v/>
      </c>
      <c r="D58" s="21">
        <f>'03_原始数据'!E58</f>
        <v/>
      </c>
      <c r="E58" s="41">
        <f>_xlfn.PERCENTRANK.INC('03_原始数据'!$E$5:$E$873,'03_原始数据'!E58)</f>
        <v/>
      </c>
      <c r="F58" s="21">
        <f>IF(False,AVERAGE('03_原始数据'!$E$5:$E$58),"")</f>
        <v/>
      </c>
      <c r="G58" s="21">
        <f>IF(False,STDEV('03_原始数据'!$E$5:$E$58),"")</f>
        <v/>
      </c>
    </row>
    <row r="59" ht="17" customHeight="1">
      <c r="A59" s="38">
        <f>'03_原始数据'!A59</f>
        <v/>
      </c>
      <c r="B59" s="16">
        <f>'03_原始数据'!B59</f>
        <v/>
      </c>
      <c r="C59" s="16">
        <f>'03_原始数据'!C59</f>
        <v/>
      </c>
      <c r="D59" s="16">
        <f>'03_原始数据'!E59</f>
        <v/>
      </c>
      <c r="E59" s="39">
        <f>_xlfn.PERCENTRANK.INC('03_原始数据'!$E$5:$E$873,'03_原始数据'!E59)</f>
        <v/>
      </c>
      <c r="F59" s="16">
        <f>IF(False,AVERAGE('03_原始数据'!$E$5:$E$59),"")</f>
        <v/>
      </c>
      <c r="G59" s="16">
        <f>IF(False,STDEV('03_原始数据'!$E$5:$E$59),"")</f>
        <v/>
      </c>
    </row>
    <row r="60" ht="17" customHeight="1">
      <c r="A60" s="40">
        <f>'03_原始数据'!A60</f>
        <v/>
      </c>
      <c r="B60" s="21">
        <f>'03_原始数据'!B60</f>
        <v/>
      </c>
      <c r="C60" s="21">
        <f>'03_原始数据'!C60</f>
        <v/>
      </c>
      <c r="D60" s="21">
        <f>'03_原始数据'!E60</f>
        <v/>
      </c>
      <c r="E60" s="41">
        <f>_xlfn.PERCENTRANK.INC('03_原始数据'!$E$5:$E$873,'03_原始数据'!E60)</f>
        <v/>
      </c>
      <c r="F60" s="21">
        <f>IF(False,AVERAGE('03_原始数据'!$E$5:$E$60),"")</f>
        <v/>
      </c>
      <c r="G60" s="21">
        <f>IF(False,STDEV('03_原始数据'!$E$5:$E$60),"")</f>
        <v/>
      </c>
    </row>
    <row r="61" ht="17" customHeight="1">
      <c r="A61" s="38">
        <f>'03_原始数据'!A61</f>
        <v/>
      </c>
      <c r="B61" s="16">
        <f>'03_原始数据'!B61</f>
        <v/>
      </c>
      <c r="C61" s="16">
        <f>'03_原始数据'!C61</f>
        <v/>
      </c>
      <c r="D61" s="16">
        <f>'03_原始数据'!E61</f>
        <v/>
      </c>
      <c r="E61" s="39">
        <f>_xlfn.PERCENTRANK.INC('03_原始数据'!$E$5:$E$873,'03_原始数据'!E61)</f>
        <v/>
      </c>
      <c r="F61" s="16">
        <f>IF(False,AVERAGE('03_原始数据'!$E$5:$E$61),"")</f>
        <v/>
      </c>
      <c r="G61" s="16">
        <f>IF(False,STDEV('03_原始数据'!$E$5:$E$61),"")</f>
        <v/>
      </c>
    </row>
    <row r="62" ht="17" customHeight="1">
      <c r="A62" s="40">
        <f>'03_原始数据'!A62</f>
        <v/>
      </c>
      <c r="B62" s="21">
        <f>'03_原始数据'!B62</f>
        <v/>
      </c>
      <c r="C62" s="21">
        <f>'03_原始数据'!C62</f>
        <v/>
      </c>
      <c r="D62" s="21">
        <f>'03_原始数据'!E62</f>
        <v/>
      </c>
      <c r="E62" s="41">
        <f>_xlfn.PERCENTRANK.INC('03_原始数据'!$E$5:$E$873,'03_原始数据'!E62)</f>
        <v/>
      </c>
      <c r="F62" s="21">
        <f>IF(False,AVERAGE('03_原始数据'!$E$5:$E$62),"")</f>
        <v/>
      </c>
      <c r="G62" s="21">
        <f>IF(False,STDEV('03_原始数据'!$E$5:$E$62),"")</f>
        <v/>
      </c>
    </row>
    <row r="63" ht="17" customHeight="1">
      <c r="A63" s="38">
        <f>'03_原始数据'!A63</f>
        <v/>
      </c>
      <c r="B63" s="16">
        <f>'03_原始数据'!B63</f>
        <v/>
      </c>
      <c r="C63" s="16">
        <f>'03_原始数据'!C63</f>
        <v/>
      </c>
      <c r="D63" s="16">
        <f>'03_原始数据'!E63</f>
        <v/>
      </c>
      <c r="E63" s="39">
        <f>_xlfn.PERCENTRANK.INC('03_原始数据'!$E$5:$E$873,'03_原始数据'!E63)</f>
        <v/>
      </c>
      <c r="F63" s="16">
        <f>IF(False,AVERAGE('03_原始数据'!$E$5:$E$63),"")</f>
        <v/>
      </c>
      <c r="G63" s="16">
        <f>IF(False,STDEV('03_原始数据'!$E$5:$E$63),"")</f>
        <v/>
      </c>
    </row>
    <row r="64" ht="17" customHeight="1">
      <c r="A64" s="40">
        <f>'03_原始数据'!A64</f>
        <v/>
      </c>
      <c r="B64" s="21">
        <f>'03_原始数据'!B64</f>
        <v/>
      </c>
      <c r="C64" s="21">
        <f>'03_原始数据'!C64</f>
        <v/>
      </c>
      <c r="D64" s="21">
        <f>'03_原始数据'!E64</f>
        <v/>
      </c>
      <c r="E64" s="41">
        <f>_xlfn.PERCENTRANK.INC('03_原始数据'!$E$5:$E$873,'03_原始数据'!E64)</f>
        <v/>
      </c>
      <c r="F64" s="21">
        <f>IF(True,AVERAGE('03_原始数据'!$E$5:$E$64),"")</f>
        <v/>
      </c>
      <c r="G64" s="21">
        <f>IF(True,STDEV('03_原始数据'!$E$5:$E$64),"")</f>
        <v/>
      </c>
    </row>
    <row r="65" ht="17" customHeight="1">
      <c r="A65" s="38">
        <f>'03_原始数据'!A65</f>
        <v/>
      </c>
      <c r="B65" s="16">
        <f>'03_原始数据'!B65</f>
        <v/>
      </c>
      <c r="C65" s="16">
        <f>'03_原始数据'!C65</f>
        <v/>
      </c>
      <c r="D65" s="16">
        <f>'03_原始数据'!E65</f>
        <v/>
      </c>
      <c r="E65" s="39">
        <f>_xlfn.PERCENTRANK.INC('03_原始数据'!$E$5:$E$873,'03_原始数据'!E65)</f>
        <v/>
      </c>
      <c r="F65" s="16">
        <f>IF(True,AVERAGE('03_原始数据'!$E$6:$E$65),"")</f>
        <v/>
      </c>
      <c r="G65" s="16">
        <f>IF(True,STDEV('03_原始数据'!$E$6:$E$65),"")</f>
        <v/>
      </c>
    </row>
    <row r="66" ht="17" customHeight="1">
      <c r="A66" s="40">
        <f>'03_原始数据'!A66</f>
        <v/>
      </c>
      <c r="B66" s="21">
        <f>'03_原始数据'!B66</f>
        <v/>
      </c>
      <c r="C66" s="21">
        <f>'03_原始数据'!C66</f>
        <v/>
      </c>
      <c r="D66" s="21">
        <f>'03_原始数据'!E66</f>
        <v/>
      </c>
      <c r="E66" s="41">
        <f>_xlfn.PERCENTRANK.INC('03_原始数据'!$E$5:$E$873,'03_原始数据'!E66)</f>
        <v/>
      </c>
      <c r="F66" s="21">
        <f>IF(True,AVERAGE('03_原始数据'!$E$7:$E$66),"")</f>
        <v/>
      </c>
      <c r="G66" s="21">
        <f>IF(True,STDEV('03_原始数据'!$E$7:$E$66),"")</f>
        <v/>
      </c>
    </row>
    <row r="67" ht="17" customHeight="1">
      <c r="A67" s="38">
        <f>'03_原始数据'!A67</f>
        <v/>
      </c>
      <c r="B67" s="16">
        <f>'03_原始数据'!B67</f>
        <v/>
      </c>
      <c r="C67" s="16">
        <f>'03_原始数据'!C67</f>
        <v/>
      </c>
      <c r="D67" s="16">
        <f>'03_原始数据'!E67</f>
        <v/>
      </c>
      <c r="E67" s="39">
        <f>_xlfn.PERCENTRANK.INC('03_原始数据'!$E$5:$E$873,'03_原始数据'!E67)</f>
        <v/>
      </c>
      <c r="F67" s="16">
        <f>IF(True,AVERAGE('03_原始数据'!$E$8:$E$67),"")</f>
        <v/>
      </c>
      <c r="G67" s="16">
        <f>IF(True,STDEV('03_原始数据'!$E$8:$E$67),"")</f>
        <v/>
      </c>
    </row>
    <row r="68" ht="17" customHeight="1">
      <c r="A68" s="40">
        <f>'03_原始数据'!A68</f>
        <v/>
      </c>
      <c r="B68" s="21">
        <f>'03_原始数据'!B68</f>
        <v/>
      </c>
      <c r="C68" s="21">
        <f>'03_原始数据'!C68</f>
        <v/>
      </c>
      <c r="D68" s="21">
        <f>'03_原始数据'!E68</f>
        <v/>
      </c>
      <c r="E68" s="41">
        <f>_xlfn.PERCENTRANK.INC('03_原始数据'!$E$5:$E$873,'03_原始数据'!E68)</f>
        <v/>
      </c>
      <c r="F68" s="21">
        <f>IF(True,AVERAGE('03_原始数据'!$E$9:$E$68),"")</f>
        <v/>
      </c>
      <c r="G68" s="21">
        <f>IF(True,STDEV('03_原始数据'!$E$9:$E$68),"")</f>
        <v/>
      </c>
    </row>
    <row r="69" ht="17" customHeight="1">
      <c r="A69" s="38">
        <f>'03_原始数据'!A69</f>
        <v/>
      </c>
      <c r="B69" s="16">
        <f>'03_原始数据'!B69</f>
        <v/>
      </c>
      <c r="C69" s="16">
        <f>'03_原始数据'!C69</f>
        <v/>
      </c>
      <c r="D69" s="16">
        <f>'03_原始数据'!E69</f>
        <v/>
      </c>
      <c r="E69" s="39">
        <f>_xlfn.PERCENTRANK.INC('03_原始数据'!$E$5:$E$873,'03_原始数据'!E69)</f>
        <v/>
      </c>
      <c r="F69" s="16">
        <f>IF(True,AVERAGE('03_原始数据'!$E$10:$E$69),"")</f>
        <v/>
      </c>
      <c r="G69" s="16">
        <f>IF(True,STDEV('03_原始数据'!$E$10:$E$69),"")</f>
        <v/>
      </c>
    </row>
    <row r="70" ht="17" customHeight="1">
      <c r="A70" s="40">
        <f>'03_原始数据'!A70</f>
        <v/>
      </c>
      <c r="B70" s="21">
        <f>'03_原始数据'!B70</f>
        <v/>
      </c>
      <c r="C70" s="21">
        <f>'03_原始数据'!C70</f>
        <v/>
      </c>
      <c r="D70" s="21">
        <f>'03_原始数据'!E70</f>
        <v/>
      </c>
      <c r="E70" s="41">
        <f>_xlfn.PERCENTRANK.INC('03_原始数据'!$E$5:$E$873,'03_原始数据'!E70)</f>
        <v/>
      </c>
      <c r="F70" s="21">
        <f>IF(True,AVERAGE('03_原始数据'!$E$11:$E$70),"")</f>
        <v/>
      </c>
      <c r="G70" s="21">
        <f>IF(True,STDEV('03_原始数据'!$E$11:$E$70),"")</f>
        <v/>
      </c>
    </row>
    <row r="71" ht="17" customHeight="1">
      <c r="A71" s="38">
        <f>'03_原始数据'!A71</f>
        <v/>
      </c>
      <c r="B71" s="16">
        <f>'03_原始数据'!B71</f>
        <v/>
      </c>
      <c r="C71" s="16">
        <f>'03_原始数据'!C71</f>
        <v/>
      </c>
      <c r="D71" s="16">
        <f>'03_原始数据'!E71</f>
        <v/>
      </c>
      <c r="E71" s="39">
        <f>_xlfn.PERCENTRANK.INC('03_原始数据'!$E$5:$E$873,'03_原始数据'!E71)</f>
        <v/>
      </c>
      <c r="F71" s="16">
        <f>IF(True,AVERAGE('03_原始数据'!$E$12:$E$71),"")</f>
        <v/>
      </c>
      <c r="G71" s="16">
        <f>IF(True,STDEV('03_原始数据'!$E$12:$E$71),"")</f>
        <v/>
      </c>
    </row>
    <row r="72" ht="17" customHeight="1">
      <c r="A72" s="40">
        <f>'03_原始数据'!A72</f>
        <v/>
      </c>
      <c r="B72" s="21">
        <f>'03_原始数据'!B72</f>
        <v/>
      </c>
      <c r="C72" s="21">
        <f>'03_原始数据'!C72</f>
        <v/>
      </c>
      <c r="D72" s="21">
        <f>'03_原始数据'!E72</f>
        <v/>
      </c>
      <c r="E72" s="41">
        <f>_xlfn.PERCENTRANK.INC('03_原始数据'!$E$5:$E$873,'03_原始数据'!E72)</f>
        <v/>
      </c>
      <c r="F72" s="21">
        <f>IF(True,AVERAGE('03_原始数据'!$E$13:$E$72),"")</f>
        <v/>
      </c>
      <c r="G72" s="21">
        <f>IF(True,STDEV('03_原始数据'!$E$13:$E$72),"")</f>
        <v/>
      </c>
    </row>
    <row r="73" ht="17" customHeight="1">
      <c r="A73" s="38">
        <f>'03_原始数据'!A73</f>
        <v/>
      </c>
      <c r="B73" s="16">
        <f>'03_原始数据'!B73</f>
        <v/>
      </c>
      <c r="C73" s="16">
        <f>'03_原始数据'!C73</f>
        <v/>
      </c>
      <c r="D73" s="16">
        <f>'03_原始数据'!E73</f>
        <v/>
      </c>
      <c r="E73" s="39">
        <f>_xlfn.PERCENTRANK.INC('03_原始数据'!$E$5:$E$873,'03_原始数据'!E73)</f>
        <v/>
      </c>
      <c r="F73" s="16">
        <f>IF(True,AVERAGE('03_原始数据'!$E$14:$E$73),"")</f>
        <v/>
      </c>
      <c r="G73" s="16">
        <f>IF(True,STDEV('03_原始数据'!$E$14:$E$73),"")</f>
        <v/>
      </c>
    </row>
    <row r="74" ht="17" customHeight="1">
      <c r="A74" s="40">
        <f>'03_原始数据'!A74</f>
        <v/>
      </c>
      <c r="B74" s="21">
        <f>'03_原始数据'!B74</f>
        <v/>
      </c>
      <c r="C74" s="21">
        <f>'03_原始数据'!C74</f>
        <v/>
      </c>
      <c r="D74" s="21">
        <f>'03_原始数据'!E74</f>
        <v/>
      </c>
      <c r="E74" s="41">
        <f>_xlfn.PERCENTRANK.INC('03_原始数据'!$E$5:$E$873,'03_原始数据'!E74)</f>
        <v/>
      </c>
      <c r="F74" s="21">
        <f>IF(True,AVERAGE('03_原始数据'!$E$15:$E$74),"")</f>
        <v/>
      </c>
      <c r="G74" s="21">
        <f>IF(True,STDEV('03_原始数据'!$E$15:$E$74),"")</f>
        <v/>
      </c>
    </row>
    <row r="75" ht="17" customHeight="1">
      <c r="A75" s="38">
        <f>'03_原始数据'!A75</f>
        <v/>
      </c>
      <c r="B75" s="16">
        <f>'03_原始数据'!B75</f>
        <v/>
      </c>
      <c r="C75" s="16">
        <f>'03_原始数据'!C75</f>
        <v/>
      </c>
      <c r="D75" s="16">
        <f>'03_原始数据'!E75</f>
        <v/>
      </c>
      <c r="E75" s="39">
        <f>_xlfn.PERCENTRANK.INC('03_原始数据'!$E$5:$E$873,'03_原始数据'!E75)</f>
        <v/>
      </c>
      <c r="F75" s="16">
        <f>IF(True,AVERAGE('03_原始数据'!$E$16:$E$75),"")</f>
        <v/>
      </c>
      <c r="G75" s="16">
        <f>IF(True,STDEV('03_原始数据'!$E$16:$E$75),"")</f>
        <v/>
      </c>
    </row>
    <row r="76" ht="17" customHeight="1">
      <c r="A76" s="40">
        <f>'03_原始数据'!A76</f>
        <v/>
      </c>
      <c r="B76" s="21">
        <f>'03_原始数据'!B76</f>
        <v/>
      </c>
      <c r="C76" s="21">
        <f>'03_原始数据'!C76</f>
        <v/>
      </c>
      <c r="D76" s="21">
        <f>'03_原始数据'!E76</f>
        <v/>
      </c>
      <c r="E76" s="41">
        <f>_xlfn.PERCENTRANK.INC('03_原始数据'!$E$5:$E$873,'03_原始数据'!E76)</f>
        <v/>
      </c>
      <c r="F76" s="21">
        <f>IF(True,AVERAGE('03_原始数据'!$E$17:$E$76),"")</f>
        <v/>
      </c>
      <c r="G76" s="21">
        <f>IF(True,STDEV('03_原始数据'!$E$17:$E$76),"")</f>
        <v/>
      </c>
    </row>
    <row r="77" ht="17" customHeight="1">
      <c r="A77" s="38">
        <f>'03_原始数据'!A77</f>
        <v/>
      </c>
      <c r="B77" s="16">
        <f>'03_原始数据'!B77</f>
        <v/>
      </c>
      <c r="C77" s="16">
        <f>'03_原始数据'!C77</f>
        <v/>
      </c>
      <c r="D77" s="16">
        <f>'03_原始数据'!E77</f>
        <v/>
      </c>
      <c r="E77" s="39">
        <f>_xlfn.PERCENTRANK.INC('03_原始数据'!$E$5:$E$873,'03_原始数据'!E77)</f>
        <v/>
      </c>
      <c r="F77" s="16">
        <f>IF(True,AVERAGE('03_原始数据'!$E$18:$E$77),"")</f>
        <v/>
      </c>
      <c r="G77" s="16">
        <f>IF(True,STDEV('03_原始数据'!$E$18:$E$77),"")</f>
        <v/>
      </c>
    </row>
    <row r="78" ht="17" customHeight="1">
      <c r="A78" s="40">
        <f>'03_原始数据'!A78</f>
        <v/>
      </c>
      <c r="B78" s="21">
        <f>'03_原始数据'!B78</f>
        <v/>
      </c>
      <c r="C78" s="21">
        <f>'03_原始数据'!C78</f>
        <v/>
      </c>
      <c r="D78" s="21">
        <f>'03_原始数据'!E78</f>
        <v/>
      </c>
      <c r="E78" s="41">
        <f>_xlfn.PERCENTRANK.INC('03_原始数据'!$E$5:$E$873,'03_原始数据'!E78)</f>
        <v/>
      </c>
      <c r="F78" s="21">
        <f>IF(True,AVERAGE('03_原始数据'!$E$19:$E$78),"")</f>
        <v/>
      </c>
      <c r="G78" s="21">
        <f>IF(True,STDEV('03_原始数据'!$E$19:$E$78),"")</f>
        <v/>
      </c>
    </row>
    <row r="79" ht="17" customHeight="1">
      <c r="A79" s="38">
        <f>'03_原始数据'!A79</f>
        <v/>
      </c>
      <c r="B79" s="16">
        <f>'03_原始数据'!B79</f>
        <v/>
      </c>
      <c r="C79" s="16">
        <f>'03_原始数据'!C79</f>
        <v/>
      </c>
      <c r="D79" s="16">
        <f>'03_原始数据'!E79</f>
        <v/>
      </c>
      <c r="E79" s="39">
        <f>_xlfn.PERCENTRANK.INC('03_原始数据'!$E$5:$E$873,'03_原始数据'!E79)</f>
        <v/>
      </c>
      <c r="F79" s="16">
        <f>IF(True,AVERAGE('03_原始数据'!$E$20:$E$79),"")</f>
        <v/>
      </c>
      <c r="G79" s="16">
        <f>IF(True,STDEV('03_原始数据'!$E$20:$E$79),"")</f>
        <v/>
      </c>
    </row>
    <row r="80" ht="17" customHeight="1">
      <c r="A80" s="40">
        <f>'03_原始数据'!A80</f>
        <v/>
      </c>
      <c r="B80" s="21">
        <f>'03_原始数据'!B80</f>
        <v/>
      </c>
      <c r="C80" s="21">
        <f>'03_原始数据'!C80</f>
        <v/>
      </c>
      <c r="D80" s="21">
        <f>'03_原始数据'!E80</f>
        <v/>
      </c>
      <c r="E80" s="41">
        <f>_xlfn.PERCENTRANK.INC('03_原始数据'!$E$5:$E$873,'03_原始数据'!E80)</f>
        <v/>
      </c>
      <c r="F80" s="21">
        <f>IF(True,AVERAGE('03_原始数据'!$E$21:$E$80),"")</f>
        <v/>
      </c>
      <c r="G80" s="21">
        <f>IF(True,STDEV('03_原始数据'!$E$21:$E$80),"")</f>
        <v/>
      </c>
    </row>
    <row r="81" ht="17" customHeight="1">
      <c r="A81" s="38">
        <f>'03_原始数据'!A81</f>
        <v/>
      </c>
      <c r="B81" s="16">
        <f>'03_原始数据'!B81</f>
        <v/>
      </c>
      <c r="C81" s="16">
        <f>'03_原始数据'!C81</f>
        <v/>
      </c>
      <c r="D81" s="16">
        <f>'03_原始数据'!E81</f>
        <v/>
      </c>
      <c r="E81" s="39">
        <f>_xlfn.PERCENTRANK.INC('03_原始数据'!$E$5:$E$873,'03_原始数据'!E81)</f>
        <v/>
      </c>
      <c r="F81" s="16">
        <f>IF(True,AVERAGE('03_原始数据'!$E$22:$E$81),"")</f>
        <v/>
      </c>
      <c r="G81" s="16">
        <f>IF(True,STDEV('03_原始数据'!$E$22:$E$81),"")</f>
        <v/>
      </c>
    </row>
    <row r="82" ht="17" customHeight="1">
      <c r="A82" s="40">
        <f>'03_原始数据'!A82</f>
        <v/>
      </c>
      <c r="B82" s="21">
        <f>'03_原始数据'!B82</f>
        <v/>
      </c>
      <c r="C82" s="21">
        <f>'03_原始数据'!C82</f>
        <v/>
      </c>
      <c r="D82" s="21">
        <f>'03_原始数据'!E82</f>
        <v/>
      </c>
      <c r="E82" s="41">
        <f>_xlfn.PERCENTRANK.INC('03_原始数据'!$E$5:$E$873,'03_原始数据'!E82)</f>
        <v/>
      </c>
      <c r="F82" s="21">
        <f>IF(True,AVERAGE('03_原始数据'!$E$23:$E$82),"")</f>
        <v/>
      </c>
      <c r="G82" s="21">
        <f>IF(True,STDEV('03_原始数据'!$E$23:$E$82),"")</f>
        <v/>
      </c>
    </row>
    <row r="83" ht="17" customHeight="1">
      <c r="A83" s="38">
        <f>'03_原始数据'!A83</f>
        <v/>
      </c>
      <c r="B83" s="16">
        <f>'03_原始数据'!B83</f>
        <v/>
      </c>
      <c r="C83" s="16">
        <f>'03_原始数据'!C83</f>
        <v/>
      </c>
      <c r="D83" s="16">
        <f>'03_原始数据'!E83</f>
        <v/>
      </c>
      <c r="E83" s="39">
        <f>_xlfn.PERCENTRANK.INC('03_原始数据'!$E$5:$E$873,'03_原始数据'!E83)</f>
        <v/>
      </c>
      <c r="F83" s="16">
        <f>IF(True,AVERAGE('03_原始数据'!$E$24:$E$83),"")</f>
        <v/>
      </c>
      <c r="G83" s="16">
        <f>IF(True,STDEV('03_原始数据'!$E$24:$E$83),"")</f>
        <v/>
      </c>
    </row>
    <row r="84" ht="17" customHeight="1">
      <c r="A84" s="40">
        <f>'03_原始数据'!A84</f>
        <v/>
      </c>
      <c r="B84" s="21">
        <f>'03_原始数据'!B84</f>
        <v/>
      </c>
      <c r="C84" s="21">
        <f>'03_原始数据'!C84</f>
        <v/>
      </c>
      <c r="D84" s="21">
        <f>'03_原始数据'!E84</f>
        <v/>
      </c>
      <c r="E84" s="41">
        <f>_xlfn.PERCENTRANK.INC('03_原始数据'!$E$5:$E$873,'03_原始数据'!E84)</f>
        <v/>
      </c>
      <c r="F84" s="21">
        <f>IF(True,AVERAGE('03_原始数据'!$E$25:$E$84),"")</f>
        <v/>
      </c>
      <c r="G84" s="21">
        <f>IF(True,STDEV('03_原始数据'!$E$25:$E$84),"")</f>
        <v/>
      </c>
    </row>
    <row r="85" ht="17" customHeight="1">
      <c r="A85" s="38">
        <f>'03_原始数据'!A85</f>
        <v/>
      </c>
      <c r="B85" s="16">
        <f>'03_原始数据'!B85</f>
        <v/>
      </c>
      <c r="C85" s="16">
        <f>'03_原始数据'!C85</f>
        <v/>
      </c>
      <c r="D85" s="16">
        <f>'03_原始数据'!E85</f>
        <v/>
      </c>
      <c r="E85" s="39">
        <f>_xlfn.PERCENTRANK.INC('03_原始数据'!$E$5:$E$873,'03_原始数据'!E85)</f>
        <v/>
      </c>
      <c r="F85" s="16">
        <f>IF(True,AVERAGE('03_原始数据'!$E$26:$E$85),"")</f>
        <v/>
      </c>
      <c r="G85" s="16">
        <f>IF(True,STDEV('03_原始数据'!$E$26:$E$85),"")</f>
        <v/>
      </c>
    </row>
    <row r="86" ht="17" customHeight="1">
      <c r="A86" s="40">
        <f>'03_原始数据'!A86</f>
        <v/>
      </c>
      <c r="B86" s="21">
        <f>'03_原始数据'!B86</f>
        <v/>
      </c>
      <c r="C86" s="21">
        <f>'03_原始数据'!C86</f>
        <v/>
      </c>
      <c r="D86" s="21">
        <f>'03_原始数据'!E86</f>
        <v/>
      </c>
      <c r="E86" s="41">
        <f>_xlfn.PERCENTRANK.INC('03_原始数据'!$E$5:$E$873,'03_原始数据'!E86)</f>
        <v/>
      </c>
      <c r="F86" s="21">
        <f>IF(True,AVERAGE('03_原始数据'!$E$27:$E$86),"")</f>
        <v/>
      </c>
      <c r="G86" s="21">
        <f>IF(True,STDEV('03_原始数据'!$E$27:$E$86),"")</f>
        <v/>
      </c>
    </row>
    <row r="87" ht="17" customHeight="1">
      <c r="A87" s="38">
        <f>'03_原始数据'!A87</f>
        <v/>
      </c>
      <c r="B87" s="16">
        <f>'03_原始数据'!B87</f>
        <v/>
      </c>
      <c r="C87" s="16">
        <f>'03_原始数据'!C87</f>
        <v/>
      </c>
      <c r="D87" s="16">
        <f>'03_原始数据'!E87</f>
        <v/>
      </c>
      <c r="E87" s="39">
        <f>_xlfn.PERCENTRANK.INC('03_原始数据'!$E$5:$E$873,'03_原始数据'!E87)</f>
        <v/>
      </c>
      <c r="F87" s="16">
        <f>IF(True,AVERAGE('03_原始数据'!$E$28:$E$87),"")</f>
        <v/>
      </c>
      <c r="G87" s="16">
        <f>IF(True,STDEV('03_原始数据'!$E$28:$E$87),"")</f>
        <v/>
      </c>
    </row>
    <row r="88" ht="17" customHeight="1">
      <c r="A88" s="40">
        <f>'03_原始数据'!A88</f>
        <v/>
      </c>
      <c r="B88" s="21">
        <f>'03_原始数据'!B88</f>
        <v/>
      </c>
      <c r="C88" s="21">
        <f>'03_原始数据'!C88</f>
        <v/>
      </c>
      <c r="D88" s="21">
        <f>'03_原始数据'!E88</f>
        <v/>
      </c>
      <c r="E88" s="41">
        <f>_xlfn.PERCENTRANK.INC('03_原始数据'!$E$5:$E$873,'03_原始数据'!E88)</f>
        <v/>
      </c>
      <c r="F88" s="21">
        <f>IF(True,AVERAGE('03_原始数据'!$E$29:$E$88),"")</f>
        <v/>
      </c>
      <c r="G88" s="21">
        <f>IF(True,STDEV('03_原始数据'!$E$29:$E$88),"")</f>
        <v/>
      </c>
    </row>
    <row r="89" ht="17" customHeight="1">
      <c r="A89" s="38">
        <f>'03_原始数据'!A89</f>
        <v/>
      </c>
      <c r="B89" s="16">
        <f>'03_原始数据'!B89</f>
        <v/>
      </c>
      <c r="C89" s="16">
        <f>'03_原始数据'!C89</f>
        <v/>
      </c>
      <c r="D89" s="16">
        <f>'03_原始数据'!E89</f>
        <v/>
      </c>
      <c r="E89" s="39">
        <f>_xlfn.PERCENTRANK.INC('03_原始数据'!$E$5:$E$873,'03_原始数据'!E89)</f>
        <v/>
      </c>
      <c r="F89" s="16">
        <f>IF(True,AVERAGE('03_原始数据'!$E$30:$E$89),"")</f>
        <v/>
      </c>
      <c r="G89" s="16">
        <f>IF(True,STDEV('03_原始数据'!$E$30:$E$89),"")</f>
        <v/>
      </c>
    </row>
    <row r="90" ht="17" customHeight="1">
      <c r="A90" s="40">
        <f>'03_原始数据'!A90</f>
        <v/>
      </c>
      <c r="B90" s="21">
        <f>'03_原始数据'!B90</f>
        <v/>
      </c>
      <c r="C90" s="21">
        <f>'03_原始数据'!C90</f>
        <v/>
      </c>
      <c r="D90" s="21">
        <f>'03_原始数据'!E90</f>
        <v/>
      </c>
      <c r="E90" s="41">
        <f>_xlfn.PERCENTRANK.INC('03_原始数据'!$E$5:$E$873,'03_原始数据'!E90)</f>
        <v/>
      </c>
      <c r="F90" s="21">
        <f>IF(True,AVERAGE('03_原始数据'!$E$31:$E$90),"")</f>
        <v/>
      </c>
      <c r="G90" s="21">
        <f>IF(True,STDEV('03_原始数据'!$E$31:$E$90),"")</f>
        <v/>
      </c>
    </row>
    <row r="91" ht="17" customHeight="1">
      <c r="A91" s="38">
        <f>'03_原始数据'!A91</f>
        <v/>
      </c>
      <c r="B91" s="16">
        <f>'03_原始数据'!B91</f>
        <v/>
      </c>
      <c r="C91" s="16">
        <f>'03_原始数据'!C91</f>
        <v/>
      </c>
      <c r="D91" s="16">
        <f>'03_原始数据'!E91</f>
        <v/>
      </c>
      <c r="E91" s="39">
        <f>_xlfn.PERCENTRANK.INC('03_原始数据'!$E$5:$E$873,'03_原始数据'!E91)</f>
        <v/>
      </c>
      <c r="F91" s="16">
        <f>IF(True,AVERAGE('03_原始数据'!$E$32:$E$91),"")</f>
        <v/>
      </c>
      <c r="G91" s="16">
        <f>IF(True,STDEV('03_原始数据'!$E$32:$E$91),"")</f>
        <v/>
      </c>
    </row>
    <row r="92" ht="17" customHeight="1">
      <c r="A92" s="40">
        <f>'03_原始数据'!A92</f>
        <v/>
      </c>
      <c r="B92" s="21">
        <f>'03_原始数据'!B92</f>
        <v/>
      </c>
      <c r="C92" s="21">
        <f>'03_原始数据'!C92</f>
        <v/>
      </c>
      <c r="D92" s="21">
        <f>'03_原始数据'!E92</f>
        <v/>
      </c>
      <c r="E92" s="41">
        <f>_xlfn.PERCENTRANK.INC('03_原始数据'!$E$5:$E$873,'03_原始数据'!E92)</f>
        <v/>
      </c>
      <c r="F92" s="21">
        <f>IF(True,AVERAGE('03_原始数据'!$E$33:$E$92),"")</f>
        <v/>
      </c>
      <c r="G92" s="21">
        <f>IF(True,STDEV('03_原始数据'!$E$33:$E$92),"")</f>
        <v/>
      </c>
    </row>
    <row r="93" ht="17" customHeight="1">
      <c r="A93" s="38">
        <f>'03_原始数据'!A93</f>
        <v/>
      </c>
      <c r="B93" s="16">
        <f>'03_原始数据'!B93</f>
        <v/>
      </c>
      <c r="C93" s="16">
        <f>'03_原始数据'!C93</f>
        <v/>
      </c>
      <c r="D93" s="16">
        <f>'03_原始数据'!E93</f>
        <v/>
      </c>
      <c r="E93" s="39">
        <f>_xlfn.PERCENTRANK.INC('03_原始数据'!$E$5:$E$873,'03_原始数据'!E93)</f>
        <v/>
      </c>
      <c r="F93" s="16">
        <f>IF(True,AVERAGE('03_原始数据'!$E$34:$E$93),"")</f>
        <v/>
      </c>
      <c r="G93" s="16">
        <f>IF(True,STDEV('03_原始数据'!$E$34:$E$93),"")</f>
        <v/>
      </c>
    </row>
    <row r="94" ht="17" customHeight="1">
      <c r="A94" s="40">
        <f>'03_原始数据'!A94</f>
        <v/>
      </c>
      <c r="B94" s="21">
        <f>'03_原始数据'!B94</f>
        <v/>
      </c>
      <c r="C94" s="21">
        <f>'03_原始数据'!C94</f>
        <v/>
      </c>
      <c r="D94" s="21">
        <f>'03_原始数据'!E94</f>
        <v/>
      </c>
      <c r="E94" s="41">
        <f>_xlfn.PERCENTRANK.INC('03_原始数据'!$E$5:$E$873,'03_原始数据'!E94)</f>
        <v/>
      </c>
      <c r="F94" s="21">
        <f>IF(True,AVERAGE('03_原始数据'!$E$35:$E$94),"")</f>
        <v/>
      </c>
      <c r="G94" s="21">
        <f>IF(True,STDEV('03_原始数据'!$E$35:$E$94),"")</f>
        <v/>
      </c>
    </row>
    <row r="95" ht="17" customHeight="1">
      <c r="A95" s="38">
        <f>'03_原始数据'!A95</f>
        <v/>
      </c>
      <c r="B95" s="16">
        <f>'03_原始数据'!B95</f>
        <v/>
      </c>
      <c r="C95" s="16">
        <f>'03_原始数据'!C95</f>
        <v/>
      </c>
      <c r="D95" s="16">
        <f>'03_原始数据'!E95</f>
        <v/>
      </c>
      <c r="E95" s="39">
        <f>_xlfn.PERCENTRANK.INC('03_原始数据'!$E$5:$E$873,'03_原始数据'!E95)</f>
        <v/>
      </c>
      <c r="F95" s="16">
        <f>IF(True,AVERAGE('03_原始数据'!$E$36:$E$95),"")</f>
        <v/>
      </c>
      <c r="G95" s="16">
        <f>IF(True,STDEV('03_原始数据'!$E$36:$E$95),"")</f>
        <v/>
      </c>
    </row>
    <row r="96" ht="17" customHeight="1">
      <c r="A96" s="40">
        <f>'03_原始数据'!A96</f>
        <v/>
      </c>
      <c r="B96" s="21">
        <f>'03_原始数据'!B96</f>
        <v/>
      </c>
      <c r="C96" s="21">
        <f>'03_原始数据'!C96</f>
        <v/>
      </c>
      <c r="D96" s="21">
        <f>'03_原始数据'!E96</f>
        <v/>
      </c>
      <c r="E96" s="41">
        <f>_xlfn.PERCENTRANK.INC('03_原始数据'!$E$5:$E$873,'03_原始数据'!E96)</f>
        <v/>
      </c>
      <c r="F96" s="21">
        <f>IF(True,AVERAGE('03_原始数据'!$E$37:$E$96),"")</f>
        <v/>
      </c>
      <c r="G96" s="21">
        <f>IF(True,STDEV('03_原始数据'!$E$37:$E$96),"")</f>
        <v/>
      </c>
    </row>
    <row r="97" ht="17" customHeight="1">
      <c r="A97" s="38">
        <f>'03_原始数据'!A97</f>
        <v/>
      </c>
      <c r="B97" s="16">
        <f>'03_原始数据'!B97</f>
        <v/>
      </c>
      <c r="C97" s="16">
        <f>'03_原始数据'!C97</f>
        <v/>
      </c>
      <c r="D97" s="16">
        <f>'03_原始数据'!E97</f>
        <v/>
      </c>
      <c r="E97" s="39">
        <f>_xlfn.PERCENTRANK.INC('03_原始数据'!$E$5:$E$873,'03_原始数据'!E97)</f>
        <v/>
      </c>
      <c r="F97" s="16">
        <f>IF(True,AVERAGE('03_原始数据'!$E$38:$E$97),"")</f>
        <v/>
      </c>
      <c r="G97" s="16">
        <f>IF(True,STDEV('03_原始数据'!$E$38:$E$97),"")</f>
        <v/>
      </c>
    </row>
    <row r="98" ht="17" customHeight="1">
      <c r="A98" s="40">
        <f>'03_原始数据'!A98</f>
        <v/>
      </c>
      <c r="B98" s="21">
        <f>'03_原始数据'!B98</f>
        <v/>
      </c>
      <c r="C98" s="21">
        <f>'03_原始数据'!C98</f>
        <v/>
      </c>
      <c r="D98" s="21">
        <f>'03_原始数据'!E98</f>
        <v/>
      </c>
      <c r="E98" s="41">
        <f>_xlfn.PERCENTRANK.INC('03_原始数据'!$E$5:$E$873,'03_原始数据'!E98)</f>
        <v/>
      </c>
      <c r="F98" s="21">
        <f>IF(True,AVERAGE('03_原始数据'!$E$39:$E$98),"")</f>
        <v/>
      </c>
      <c r="G98" s="21">
        <f>IF(True,STDEV('03_原始数据'!$E$39:$E$98),"")</f>
        <v/>
      </c>
    </row>
    <row r="99" ht="17" customHeight="1">
      <c r="A99" s="38">
        <f>'03_原始数据'!A99</f>
        <v/>
      </c>
      <c r="B99" s="16">
        <f>'03_原始数据'!B99</f>
        <v/>
      </c>
      <c r="C99" s="16">
        <f>'03_原始数据'!C99</f>
        <v/>
      </c>
      <c r="D99" s="16">
        <f>'03_原始数据'!E99</f>
        <v/>
      </c>
      <c r="E99" s="39">
        <f>_xlfn.PERCENTRANK.INC('03_原始数据'!$E$5:$E$873,'03_原始数据'!E99)</f>
        <v/>
      </c>
      <c r="F99" s="16">
        <f>IF(True,AVERAGE('03_原始数据'!$E$40:$E$99),"")</f>
        <v/>
      </c>
      <c r="G99" s="16">
        <f>IF(True,STDEV('03_原始数据'!$E$40:$E$99),"")</f>
        <v/>
      </c>
    </row>
    <row r="100" ht="17" customHeight="1">
      <c r="A100" s="40">
        <f>'03_原始数据'!A100</f>
        <v/>
      </c>
      <c r="B100" s="21">
        <f>'03_原始数据'!B100</f>
        <v/>
      </c>
      <c r="C100" s="21">
        <f>'03_原始数据'!C100</f>
        <v/>
      </c>
      <c r="D100" s="21">
        <f>'03_原始数据'!E100</f>
        <v/>
      </c>
      <c r="E100" s="41">
        <f>_xlfn.PERCENTRANK.INC('03_原始数据'!$E$5:$E$873,'03_原始数据'!E100)</f>
        <v/>
      </c>
      <c r="F100" s="21">
        <f>IF(True,AVERAGE('03_原始数据'!$E$41:$E$100),"")</f>
        <v/>
      </c>
      <c r="G100" s="21">
        <f>IF(True,STDEV('03_原始数据'!$E$41:$E$100),"")</f>
        <v/>
      </c>
    </row>
    <row r="101" ht="17" customHeight="1">
      <c r="A101" s="38">
        <f>'03_原始数据'!A101</f>
        <v/>
      </c>
      <c r="B101" s="16">
        <f>'03_原始数据'!B101</f>
        <v/>
      </c>
      <c r="C101" s="16">
        <f>'03_原始数据'!C101</f>
        <v/>
      </c>
      <c r="D101" s="16">
        <f>'03_原始数据'!E101</f>
        <v/>
      </c>
      <c r="E101" s="39">
        <f>_xlfn.PERCENTRANK.INC('03_原始数据'!$E$5:$E$873,'03_原始数据'!E101)</f>
        <v/>
      </c>
      <c r="F101" s="16">
        <f>IF(True,AVERAGE('03_原始数据'!$E$42:$E$101),"")</f>
        <v/>
      </c>
      <c r="G101" s="16">
        <f>IF(True,STDEV('03_原始数据'!$E$42:$E$101),"")</f>
        <v/>
      </c>
    </row>
    <row r="102" ht="17" customHeight="1">
      <c r="A102" s="40">
        <f>'03_原始数据'!A102</f>
        <v/>
      </c>
      <c r="B102" s="21">
        <f>'03_原始数据'!B102</f>
        <v/>
      </c>
      <c r="C102" s="21">
        <f>'03_原始数据'!C102</f>
        <v/>
      </c>
      <c r="D102" s="21">
        <f>'03_原始数据'!E102</f>
        <v/>
      </c>
      <c r="E102" s="41">
        <f>_xlfn.PERCENTRANK.INC('03_原始数据'!$E$5:$E$873,'03_原始数据'!E102)</f>
        <v/>
      </c>
      <c r="F102" s="21">
        <f>IF(True,AVERAGE('03_原始数据'!$E$43:$E$102),"")</f>
        <v/>
      </c>
      <c r="G102" s="21">
        <f>IF(True,STDEV('03_原始数据'!$E$43:$E$102),"")</f>
        <v/>
      </c>
    </row>
    <row r="103" ht="17" customHeight="1">
      <c r="A103" s="38">
        <f>'03_原始数据'!A103</f>
        <v/>
      </c>
      <c r="B103" s="16">
        <f>'03_原始数据'!B103</f>
        <v/>
      </c>
      <c r="C103" s="16">
        <f>'03_原始数据'!C103</f>
        <v/>
      </c>
      <c r="D103" s="16">
        <f>'03_原始数据'!E103</f>
        <v/>
      </c>
      <c r="E103" s="39">
        <f>_xlfn.PERCENTRANK.INC('03_原始数据'!$E$5:$E$873,'03_原始数据'!E103)</f>
        <v/>
      </c>
      <c r="F103" s="16">
        <f>IF(True,AVERAGE('03_原始数据'!$E$44:$E$103),"")</f>
        <v/>
      </c>
      <c r="G103" s="16">
        <f>IF(True,STDEV('03_原始数据'!$E$44:$E$103),"")</f>
        <v/>
      </c>
    </row>
    <row r="104" ht="17" customHeight="1">
      <c r="A104" s="40">
        <f>'03_原始数据'!A104</f>
        <v/>
      </c>
      <c r="B104" s="21">
        <f>'03_原始数据'!B104</f>
        <v/>
      </c>
      <c r="C104" s="21">
        <f>'03_原始数据'!C104</f>
        <v/>
      </c>
      <c r="D104" s="21">
        <f>'03_原始数据'!E104</f>
        <v/>
      </c>
      <c r="E104" s="41">
        <f>_xlfn.PERCENTRANK.INC('03_原始数据'!$E$5:$E$873,'03_原始数据'!E104)</f>
        <v/>
      </c>
      <c r="F104" s="21">
        <f>IF(True,AVERAGE('03_原始数据'!$E$45:$E$104),"")</f>
        <v/>
      </c>
      <c r="G104" s="21">
        <f>IF(True,STDEV('03_原始数据'!$E$45:$E$104),"")</f>
        <v/>
      </c>
    </row>
    <row r="105" ht="17" customHeight="1">
      <c r="A105" s="38">
        <f>'03_原始数据'!A105</f>
        <v/>
      </c>
      <c r="B105" s="16">
        <f>'03_原始数据'!B105</f>
        <v/>
      </c>
      <c r="C105" s="16">
        <f>'03_原始数据'!C105</f>
        <v/>
      </c>
      <c r="D105" s="16">
        <f>'03_原始数据'!E105</f>
        <v/>
      </c>
      <c r="E105" s="39">
        <f>_xlfn.PERCENTRANK.INC('03_原始数据'!$E$5:$E$873,'03_原始数据'!E105)</f>
        <v/>
      </c>
      <c r="F105" s="16">
        <f>IF(True,AVERAGE('03_原始数据'!$E$46:$E$105),"")</f>
        <v/>
      </c>
      <c r="G105" s="16">
        <f>IF(True,STDEV('03_原始数据'!$E$46:$E$105),"")</f>
        <v/>
      </c>
    </row>
    <row r="106" ht="17" customHeight="1">
      <c r="A106" s="40">
        <f>'03_原始数据'!A106</f>
        <v/>
      </c>
      <c r="B106" s="21">
        <f>'03_原始数据'!B106</f>
        <v/>
      </c>
      <c r="C106" s="21">
        <f>'03_原始数据'!C106</f>
        <v/>
      </c>
      <c r="D106" s="21">
        <f>'03_原始数据'!E106</f>
        <v/>
      </c>
      <c r="E106" s="41">
        <f>_xlfn.PERCENTRANK.INC('03_原始数据'!$E$5:$E$873,'03_原始数据'!E106)</f>
        <v/>
      </c>
      <c r="F106" s="21">
        <f>IF(True,AVERAGE('03_原始数据'!$E$47:$E$106),"")</f>
        <v/>
      </c>
      <c r="G106" s="21">
        <f>IF(True,STDEV('03_原始数据'!$E$47:$E$106),"")</f>
        <v/>
      </c>
    </row>
    <row r="107" ht="17" customHeight="1">
      <c r="A107" s="38">
        <f>'03_原始数据'!A107</f>
        <v/>
      </c>
      <c r="B107" s="16">
        <f>'03_原始数据'!B107</f>
        <v/>
      </c>
      <c r="C107" s="16">
        <f>'03_原始数据'!C107</f>
        <v/>
      </c>
      <c r="D107" s="16">
        <f>'03_原始数据'!E107</f>
        <v/>
      </c>
      <c r="E107" s="39">
        <f>_xlfn.PERCENTRANK.INC('03_原始数据'!$E$5:$E$873,'03_原始数据'!E107)</f>
        <v/>
      </c>
      <c r="F107" s="16">
        <f>IF(True,AVERAGE('03_原始数据'!$E$48:$E$107),"")</f>
        <v/>
      </c>
      <c r="G107" s="16">
        <f>IF(True,STDEV('03_原始数据'!$E$48:$E$107),"")</f>
        <v/>
      </c>
    </row>
    <row r="108" ht="17" customHeight="1">
      <c r="A108" s="40">
        <f>'03_原始数据'!A108</f>
        <v/>
      </c>
      <c r="B108" s="21">
        <f>'03_原始数据'!B108</f>
        <v/>
      </c>
      <c r="C108" s="21">
        <f>'03_原始数据'!C108</f>
        <v/>
      </c>
      <c r="D108" s="21">
        <f>'03_原始数据'!E108</f>
        <v/>
      </c>
      <c r="E108" s="41">
        <f>_xlfn.PERCENTRANK.INC('03_原始数据'!$E$5:$E$873,'03_原始数据'!E108)</f>
        <v/>
      </c>
      <c r="F108" s="21">
        <f>IF(True,AVERAGE('03_原始数据'!$E$49:$E$108),"")</f>
        <v/>
      </c>
      <c r="G108" s="21">
        <f>IF(True,STDEV('03_原始数据'!$E$49:$E$108),"")</f>
        <v/>
      </c>
    </row>
    <row r="109" ht="17" customHeight="1">
      <c r="A109" s="38">
        <f>'03_原始数据'!A109</f>
        <v/>
      </c>
      <c r="B109" s="16">
        <f>'03_原始数据'!B109</f>
        <v/>
      </c>
      <c r="C109" s="16">
        <f>'03_原始数据'!C109</f>
        <v/>
      </c>
      <c r="D109" s="16">
        <f>'03_原始数据'!E109</f>
        <v/>
      </c>
      <c r="E109" s="39">
        <f>_xlfn.PERCENTRANK.INC('03_原始数据'!$E$5:$E$873,'03_原始数据'!E109)</f>
        <v/>
      </c>
      <c r="F109" s="16">
        <f>IF(True,AVERAGE('03_原始数据'!$E$50:$E$109),"")</f>
        <v/>
      </c>
      <c r="G109" s="16">
        <f>IF(True,STDEV('03_原始数据'!$E$50:$E$109),"")</f>
        <v/>
      </c>
    </row>
    <row r="110" ht="17" customHeight="1">
      <c r="A110" s="40">
        <f>'03_原始数据'!A110</f>
        <v/>
      </c>
      <c r="B110" s="21">
        <f>'03_原始数据'!B110</f>
        <v/>
      </c>
      <c r="C110" s="21">
        <f>'03_原始数据'!C110</f>
        <v/>
      </c>
      <c r="D110" s="21">
        <f>'03_原始数据'!E110</f>
        <v/>
      </c>
      <c r="E110" s="41">
        <f>_xlfn.PERCENTRANK.INC('03_原始数据'!$E$5:$E$873,'03_原始数据'!E110)</f>
        <v/>
      </c>
      <c r="F110" s="21">
        <f>IF(True,AVERAGE('03_原始数据'!$E$51:$E$110),"")</f>
        <v/>
      </c>
      <c r="G110" s="21">
        <f>IF(True,STDEV('03_原始数据'!$E$51:$E$110),"")</f>
        <v/>
      </c>
    </row>
    <row r="111" ht="17" customHeight="1">
      <c r="A111" s="38">
        <f>'03_原始数据'!A111</f>
        <v/>
      </c>
      <c r="B111" s="16">
        <f>'03_原始数据'!B111</f>
        <v/>
      </c>
      <c r="C111" s="16">
        <f>'03_原始数据'!C111</f>
        <v/>
      </c>
      <c r="D111" s="16">
        <f>'03_原始数据'!E111</f>
        <v/>
      </c>
      <c r="E111" s="39">
        <f>_xlfn.PERCENTRANK.INC('03_原始数据'!$E$5:$E$873,'03_原始数据'!E111)</f>
        <v/>
      </c>
      <c r="F111" s="16">
        <f>IF(True,AVERAGE('03_原始数据'!$E$52:$E$111),"")</f>
        <v/>
      </c>
      <c r="G111" s="16">
        <f>IF(True,STDEV('03_原始数据'!$E$52:$E$111),"")</f>
        <v/>
      </c>
    </row>
    <row r="112" ht="17" customHeight="1">
      <c r="A112" s="40">
        <f>'03_原始数据'!A112</f>
        <v/>
      </c>
      <c r="B112" s="21">
        <f>'03_原始数据'!B112</f>
        <v/>
      </c>
      <c r="C112" s="21">
        <f>'03_原始数据'!C112</f>
        <v/>
      </c>
      <c r="D112" s="21">
        <f>'03_原始数据'!E112</f>
        <v/>
      </c>
      <c r="E112" s="41">
        <f>_xlfn.PERCENTRANK.INC('03_原始数据'!$E$5:$E$873,'03_原始数据'!E112)</f>
        <v/>
      </c>
      <c r="F112" s="21">
        <f>IF(True,AVERAGE('03_原始数据'!$E$53:$E$112),"")</f>
        <v/>
      </c>
      <c r="G112" s="21">
        <f>IF(True,STDEV('03_原始数据'!$E$53:$E$112),"")</f>
        <v/>
      </c>
    </row>
    <row r="113" ht="17" customHeight="1">
      <c r="A113" s="38">
        <f>'03_原始数据'!A113</f>
        <v/>
      </c>
      <c r="B113" s="16">
        <f>'03_原始数据'!B113</f>
        <v/>
      </c>
      <c r="C113" s="16">
        <f>'03_原始数据'!C113</f>
        <v/>
      </c>
      <c r="D113" s="16">
        <f>'03_原始数据'!E113</f>
        <v/>
      </c>
      <c r="E113" s="39">
        <f>_xlfn.PERCENTRANK.INC('03_原始数据'!$E$5:$E$873,'03_原始数据'!E113)</f>
        <v/>
      </c>
      <c r="F113" s="16">
        <f>IF(True,AVERAGE('03_原始数据'!$E$54:$E$113),"")</f>
        <v/>
      </c>
      <c r="G113" s="16">
        <f>IF(True,STDEV('03_原始数据'!$E$54:$E$113),"")</f>
        <v/>
      </c>
    </row>
    <row r="114" ht="17" customHeight="1">
      <c r="A114" s="40">
        <f>'03_原始数据'!A114</f>
        <v/>
      </c>
      <c r="B114" s="21">
        <f>'03_原始数据'!B114</f>
        <v/>
      </c>
      <c r="C114" s="21">
        <f>'03_原始数据'!C114</f>
        <v/>
      </c>
      <c r="D114" s="21">
        <f>'03_原始数据'!E114</f>
        <v/>
      </c>
      <c r="E114" s="41">
        <f>_xlfn.PERCENTRANK.INC('03_原始数据'!$E$5:$E$873,'03_原始数据'!E114)</f>
        <v/>
      </c>
      <c r="F114" s="21">
        <f>IF(True,AVERAGE('03_原始数据'!$E$55:$E$114),"")</f>
        <v/>
      </c>
      <c r="G114" s="21">
        <f>IF(True,STDEV('03_原始数据'!$E$55:$E$114),"")</f>
        <v/>
      </c>
    </row>
    <row r="115" ht="17" customHeight="1">
      <c r="A115" s="38">
        <f>'03_原始数据'!A115</f>
        <v/>
      </c>
      <c r="B115" s="16">
        <f>'03_原始数据'!B115</f>
        <v/>
      </c>
      <c r="C115" s="16">
        <f>'03_原始数据'!C115</f>
        <v/>
      </c>
      <c r="D115" s="16">
        <f>'03_原始数据'!E115</f>
        <v/>
      </c>
      <c r="E115" s="39">
        <f>_xlfn.PERCENTRANK.INC('03_原始数据'!$E$5:$E$873,'03_原始数据'!E115)</f>
        <v/>
      </c>
      <c r="F115" s="16">
        <f>IF(True,AVERAGE('03_原始数据'!$E$56:$E$115),"")</f>
        <v/>
      </c>
      <c r="G115" s="16">
        <f>IF(True,STDEV('03_原始数据'!$E$56:$E$115),"")</f>
        <v/>
      </c>
    </row>
    <row r="116" ht="17" customHeight="1">
      <c r="A116" s="40">
        <f>'03_原始数据'!A116</f>
        <v/>
      </c>
      <c r="B116" s="21">
        <f>'03_原始数据'!B116</f>
        <v/>
      </c>
      <c r="C116" s="21">
        <f>'03_原始数据'!C116</f>
        <v/>
      </c>
      <c r="D116" s="21">
        <f>'03_原始数据'!E116</f>
        <v/>
      </c>
      <c r="E116" s="41">
        <f>_xlfn.PERCENTRANK.INC('03_原始数据'!$E$5:$E$873,'03_原始数据'!E116)</f>
        <v/>
      </c>
      <c r="F116" s="21">
        <f>IF(True,AVERAGE('03_原始数据'!$E$57:$E$116),"")</f>
        <v/>
      </c>
      <c r="G116" s="21">
        <f>IF(True,STDEV('03_原始数据'!$E$57:$E$116),"")</f>
        <v/>
      </c>
    </row>
    <row r="117" ht="17" customHeight="1">
      <c r="A117" s="38">
        <f>'03_原始数据'!A117</f>
        <v/>
      </c>
      <c r="B117" s="16">
        <f>'03_原始数据'!B117</f>
        <v/>
      </c>
      <c r="C117" s="16">
        <f>'03_原始数据'!C117</f>
        <v/>
      </c>
      <c r="D117" s="16">
        <f>'03_原始数据'!E117</f>
        <v/>
      </c>
      <c r="E117" s="39">
        <f>_xlfn.PERCENTRANK.INC('03_原始数据'!$E$5:$E$873,'03_原始数据'!E117)</f>
        <v/>
      </c>
      <c r="F117" s="16">
        <f>IF(True,AVERAGE('03_原始数据'!$E$58:$E$117),"")</f>
        <v/>
      </c>
      <c r="G117" s="16">
        <f>IF(True,STDEV('03_原始数据'!$E$58:$E$117),"")</f>
        <v/>
      </c>
    </row>
    <row r="118" ht="17" customHeight="1">
      <c r="A118" s="40">
        <f>'03_原始数据'!A118</f>
        <v/>
      </c>
      <c r="B118" s="21">
        <f>'03_原始数据'!B118</f>
        <v/>
      </c>
      <c r="C118" s="21">
        <f>'03_原始数据'!C118</f>
        <v/>
      </c>
      <c r="D118" s="21">
        <f>'03_原始数据'!E118</f>
        <v/>
      </c>
      <c r="E118" s="41">
        <f>_xlfn.PERCENTRANK.INC('03_原始数据'!$E$5:$E$873,'03_原始数据'!E118)</f>
        <v/>
      </c>
      <c r="F118" s="21">
        <f>IF(True,AVERAGE('03_原始数据'!$E$59:$E$118),"")</f>
        <v/>
      </c>
      <c r="G118" s="21">
        <f>IF(True,STDEV('03_原始数据'!$E$59:$E$118),"")</f>
        <v/>
      </c>
    </row>
    <row r="119" ht="17" customHeight="1">
      <c r="A119" s="38">
        <f>'03_原始数据'!A119</f>
        <v/>
      </c>
      <c r="B119" s="16">
        <f>'03_原始数据'!B119</f>
        <v/>
      </c>
      <c r="C119" s="16">
        <f>'03_原始数据'!C119</f>
        <v/>
      </c>
      <c r="D119" s="16">
        <f>'03_原始数据'!E119</f>
        <v/>
      </c>
      <c r="E119" s="39">
        <f>_xlfn.PERCENTRANK.INC('03_原始数据'!$E$5:$E$873,'03_原始数据'!E119)</f>
        <v/>
      </c>
      <c r="F119" s="16">
        <f>IF(True,AVERAGE('03_原始数据'!$E$60:$E$119),"")</f>
        <v/>
      </c>
      <c r="G119" s="16">
        <f>IF(True,STDEV('03_原始数据'!$E$60:$E$119),"")</f>
        <v/>
      </c>
    </row>
    <row r="120" ht="17" customHeight="1">
      <c r="A120" s="40">
        <f>'03_原始数据'!A120</f>
        <v/>
      </c>
      <c r="B120" s="21">
        <f>'03_原始数据'!B120</f>
        <v/>
      </c>
      <c r="C120" s="21">
        <f>'03_原始数据'!C120</f>
        <v/>
      </c>
      <c r="D120" s="21">
        <f>'03_原始数据'!E120</f>
        <v/>
      </c>
      <c r="E120" s="41">
        <f>_xlfn.PERCENTRANK.INC('03_原始数据'!$E$5:$E$873,'03_原始数据'!E120)</f>
        <v/>
      </c>
      <c r="F120" s="21">
        <f>IF(True,AVERAGE('03_原始数据'!$E$61:$E$120),"")</f>
        <v/>
      </c>
      <c r="G120" s="21">
        <f>IF(True,STDEV('03_原始数据'!$E$61:$E$120),"")</f>
        <v/>
      </c>
    </row>
    <row r="121" ht="17" customHeight="1">
      <c r="A121" s="38">
        <f>'03_原始数据'!A121</f>
        <v/>
      </c>
      <c r="B121" s="16">
        <f>'03_原始数据'!B121</f>
        <v/>
      </c>
      <c r="C121" s="16">
        <f>'03_原始数据'!C121</f>
        <v/>
      </c>
      <c r="D121" s="16">
        <f>'03_原始数据'!E121</f>
        <v/>
      </c>
      <c r="E121" s="39">
        <f>_xlfn.PERCENTRANK.INC('03_原始数据'!$E$5:$E$873,'03_原始数据'!E121)</f>
        <v/>
      </c>
      <c r="F121" s="16">
        <f>IF(True,AVERAGE('03_原始数据'!$E$62:$E$121),"")</f>
        <v/>
      </c>
      <c r="G121" s="16">
        <f>IF(True,STDEV('03_原始数据'!$E$62:$E$121),"")</f>
        <v/>
      </c>
    </row>
    <row r="122" ht="17" customHeight="1">
      <c r="A122" s="40">
        <f>'03_原始数据'!A122</f>
        <v/>
      </c>
      <c r="B122" s="21">
        <f>'03_原始数据'!B122</f>
        <v/>
      </c>
      <c r="C122" s="21">
        <f>'03_原始数据'!C122</f>
        <v/>
      </c>
      <c r="D122" s="21">
        <f>'03_原始数据'!E122</f>
        <v/>
      </c>
      <c r="E122" s="41">
        <f>_xlfn.PERCENTRANK.INC('03_原始数据'!$E$5:$E$873,'03_原始数据'!E122)</f>
        <v/>
      </c>
      <c r="F122" s="21">
        <f>IF(True,AVERAGE('03_原始数据'!$E$63:$E$122),"")</f>
        <v/>
      </c>
      <c r="G122" s="21">
        <f>IF(True,STDEV('03_原始数据'!$E$63:$E$122),"")</f>
        <v/>
      </c>
    </row>
    <row r="123" ht="17" customHeight="1">
      <c r="A123" s="38">
        <f>'03_原始数据'!A123</f>
        <v/>
      </c>
      <c r="B123" s="16">
        <f>'03_原始数据'!B123</f>
        <v/>
      </c>
      <c r="C123" s="16">
        <f>'03_原始数据'!C123</f>
        <v/>
      </c>
      <c r="D123" s="16">
        <f>'03_原始数据'!E123</f>
        <v/>
      </c>
      <c r="E123" s="39">
        <f>_xlfn.PERCENTRANK.INC('03_原始数据'!$E$5:$E$873,'03_原始数据'!E123)</f>
        <v/>
      </c>
      <c r="F123" s="16">
        <f>IF(True,AVERAGE('03_原始数据'!$E$64:$E$123),"")</f>
        <v/>
      </c>
      <c r="G123" s="16">
        <f>IF(True,STDEV('03_原始数据'!$E$64:$E$123),"")</f>
        <v/>
      </c>
    </row>
    <row r="124" ht="17" customHeight="1">
      <c r="A124" s="40">
        <f>'03_原始数据'!A124</f>
        <v/>
      </c>
      <c r="B124" s="21">
        <f>'03_原始数据'!B124</f>
        <v/>
      </c>
      <c r="C124" s="21">
        <f>'03_原始数据'!C124</f>
        <v/>
      </c>
      <c r="D124" s="21">
        <f>'03_原始数据'!E124</f>
        <v/>
      </c>
      <c r="E124" s="41">
        <f>_xlfn.PERCENTRANK.INC('03_原始数据'!$E$5:$E$873,'03_原始数据'!E124)</f>
        <v/>
      </c>
      <c r="F124" s="21">
        <f>IF(True,AVERAGE('03_原始数据'!$E$65:$E$124),"")</f>
        <v/>
      </c>
      <c r="G124" s="21">
        <f>IF(True,STDEV('03_原始数据'!$E$65:$E$124),"")</f>
        <v/>
      </c>
    </row>
    <row r="125" ht="17" customHeight="1">
      <c r="A125" s="38">
        <f>'03_原始数据'!A125</f>
        <v/>
      </c>
      <c r="B125" s="16">
        <f>'03_原始数据'!B125</f>
        <v/>
      </c>
      <c r="C125" s="16">
        <f>'03_原始数据'!C125</f>
        <v/>
      </c>
      <c r="D125" s="16">
        <f>'03_原始数据'!E125</f>
        <v/>
      </c>
      <c r="E125" s="39">
        <f>_xlfn.PERCENTRANK.INC('03_原始数据'!$E$5:$E$873,'03_原始数据'!E125)</f>
        <v/>
      </c>
      <c r="F125" s="16">
        <f>IF(True,AVERAGE('03_原始数据'!$E$66:$E$125),"")</f>
        <v/>
      </c>
      <c r="G125" s="16">
        <f>IF(True,STDEV('03_原始数据'!$E$66:$E$125),"")</f>
        <v/>
      </c>
    </row>
    <row r="126" ht="17" customHeight="1">
      <c r="A126" s="40">
        <f>'03_原始数据'!A126</f>
        <v/>
      </c>
      <c r="B126" s="21">
        <f>'03_原始数据'!B126</f>
        <v/>
      </c>
      <c r="C126" s="21">
        <f>'03_原始数据'!C126</f>
        <v/>
      </c>
      <c r="D126" s="21">
        <f>'03_原始数据'!E126</f>
        <v/>
      </c>
      <c r="E126" s="41">
        <f>_xlfn.PERCENTRANK.INC('03_原始数据'!$E$5:$E$873,'03_原始数据'!E126)</f>
        <v/>
      </c>
      <c r="F126" s="21">
        <f>IF(True,AVERAGE('03_原始数据'!$E$67:$E$126),"")</f>
        <v/>
      </c>
      <c r="G126" s="21">
        <f>IF(True,STDEV('03_原始数据'!$E$67:$E$126),"")</f>
        <v/>
      </c>
    </row>
    <row r="127" ht="17" customHeight="1">
      <c r="A127" s="38">
        <f>'03_原始数据'!A127</f>
        <v/>
      </c>
      <c r="B127" s="16">
        <f>'03_原始数据'!B127</f>
        <v/>
      </c>
      <c r="C127" s="16">
        <f>'03_原始数据'!C127</f>
        <v/>
      </c>
      <c r="D127" s="16">
        <f>'03_原始数据'!E127</f>
        <v/>
      </c>
      <c r="E127" s="39">
        <f>_xlfn.PERCENTRANK.INC('03_原始数据'!$E$5:$E$873,'03_原始数据'!E127)</f>
        <v/>
      </c>
      <c r="F127" s="16">
        <f>IF(True,AVERAGE('03_原始数据'!$E$68:$E$127),"")</f>
        <v/>
      </c>
      <c r="G127" s="16">
        <f>IF(True,STDEV('03_原始数据'!$E$68:$E$127),"")</f>
        <v/>
      </c>
    </row>
    <row r="128" ht="17" customHeight="1">
      <c r="A128" s="40">
        <f>'03_原始数据'!A128</f>
        <v/>
      </c>
      <c r="B128" s="21">
        <f>'03_原始数据'!B128</f>
        <v/>
      </c>
      <c r="C128" s="21">
        <f>'03_原始数据'!C128</f>
        <v/>
      </c>
      <c r="D128" s="21">
        <f>'03_原始数据'!E128</f>
        <v/>
      </c>
      <c r="E128" s="41">
        <f>_xlfn.PERCENTRANK.INC('03_原始数据'!$E$5:$E$873,'03_原始数据'!E128)</f>
        <v/>
      </c>
      <c r="F128" s="21">
        <f>IF(True,AVERAGE('03_原始数据'!$E$69:$E$128),"")</f>
        <v/>
      </c>
      <c r="G128" s="21">
        <f>IF(True,STDEV('03_原始数据'!$E$69:$E$128),"")</f>
        <v/>
      </c>
    </row>
    <row r="129" ht="17" customHeight="1">
      <c r="A129" s="38">
        <f>'03_原始数据'!A129</f>
        <v/>
      </c>
      <c r="B129" s="16">
        <f>'03_原始数据'!B129</f>
        <v/>
      </c>
      <c r="C129" s="16">
        <f>'03_原始数据'!C129</f>
        <v/>
      </c>
      <c r="D129" s="16">
        <f>'03_原始数据'!E129</f>
        <v/>
      </c>
      <c r="E129" s="39">
        <f>_xlfn.PERCENTRANK.INC('03_原始数据'!$E$5:$E$873,'03_原始数据'!E129)</f>
        <v/>
      </c>
      <c r="F129" s="16">
        <f>IF(True,AVERAGE('03_原始数据'!$E$70:$E$129),"")</f>
        <v/>
      </c>
      <c r="G129" s="16">
        <f>IF(True,STDEV('03_原始数据'!$E$70:$E$129),"")</f>
        <v/>
      </c>
    </row>
    <row r="130" ht="17" customHeight="1">
      <c r="A130" s="40">
        <f>'03_原始数据'!A130</f>
        <v/>
      </c>
      <c r="B130" s="21">
        <f>'03_原始数据'!B130</f>
        <v/>
      </c>
      <c r="C130" s="21">
        <f>'03_原始数据'!C130</f>
        <v/>
      </c>
      <c r="D130" s="21">
        <f>'03_原始数据'!E130</f>
        <v/>
      </c>
      <c r="E130" s="41">
        <f>_xlfn.PERCENTRANK.INC('03_原始数据'!$E$5:$E$873,'03_原始数据'!E130)</f>
        <v/>
      </c>
      <c r="F130" s="21">
        <f>IF(True,AVERAGE('03_原始数据'!$E$71:$E$130),"")</f>
        <v/>
      </c>
      <c r="G130" s="21">
        <f>IF(True,STDEV('03_原始数据'!$E$71:$E$130),"")</f>
        <v/>
      </c>
    </row>
    <row r="131" ht="17" customHeight="1">
      <c r="A131" s="38">
        <f>'03_原始数据'!A131</f>
        <v/>
      </c>
      <c r="B131" s="16">
        <f>'03_原始数据'!B131</f>
        <v/>
      </c>
      <c r="C131" s="16">
        <f>'03_原始数据'!C131</f>
        <v/>
      </c>
      <c r="D131" s="16">
        <f>'03_原始数据'!E131</f>
        <v/>
      </c>
      <c r="E131" s="39">
        <f>_xlfn.PERCENTRANK.INC('03_原始数据'!$E$5:$E$873,'03_原始数据'!E131)</f>
        <v/>
      </c>
      <c r="F131" s="16">
        <f>IF(True,AVERAGE('03_原始数据'!$E$72:$E$131),"")</f>
        <v/>
      </c>
      <c r="G131" s="16">
        <f>IF(True,STDEV('03_原始数据'!$E$72:$E$131),"")</f>
        <v/>
      </c>
    </row>
    <row r="132" ht="17" customHeight="1">
      <c r="A132" s="40">
        <f>'03_原始数据'!A132</f>
        <v/>
      </c>
      <c r="B132" s="21">
        <f>'03_原始数据'!B132</f>
        <v/>
      </c>
      <c r="C132" s="21">
        <f>'03_原始数据'!C132</f>
        <v/>
      </c>
      <c r="D132" s="21">
        <f>'03_原始数据'!E132</f>
        <v/>
      </c>
      <c r="E132" s="41">
        <f>_xlfn.PERCENTRANK.INC('03_原始数据'!$E$5:$E$873,'03_原始数据'!E132)</f>
        <v/>
      </c>
      <c r="F132" s="21">
        <f>IF(True,AVERAGE('03_原始数据'!$E$73:$E$132),"")</f>
        <v/>
      </c>
      <c r="G132" s="21">
        <f>IF(True,STDEV('03_原始数据'!$E$73:$E$132),"")</f>
        <v/>
      </c>
    </row>
    <row r="133" ht="17" customHeight="1">
      <c r="A133" s="38">
        <f>'03_原始数据'!A133</f>
        <v/>
      </c>
      <c r="B133" s="16">
        <f>'03_原始数据'!B133</f>
        <v/>
      </c>
      <c r="C133" s="16">
        <f>'03_原始数据'!C133</f>
        <v/>
      </c>
      <c r="D133" s="16">
        <f>'03_原始数据'!E133</f>
        <v/>
      </c>
      <c r="E133" s="39">
        <f>_xlfn.PERCENTRANK.INC('03_原始数据'!$E$5:$E$873,'03_原始数据'!E133)</f>
        <v/>
      </c>
      <c r="F133" s="16">
        <f>IF(True,AVERAGE('03_原始数据'!$E$74:$E$133),"")</f>
        <v/>
      </c>
      <c r="G133" s="16">
        <f>IF(True,STDEV('03_原始数据'!$E$74:$E$133),"")</f>
        <v/>
      </c>
    </row>
    <row r="134" ht="17" customHeight="1">
      <c r="A134" s="40">
        <f>'03_原始数据'!A134</f>
        <v/>
      </c>
      <c r="B134" s="21">
        <f>'03_原始数据'!B134</f>
        <v/>
      </c>
      <c r="C134" s="21">
        <f>'03_原始数据'!C134</f>
        <v/>
      </c>
      <c r="D134" s="21">
        <f>'03_原始数据'!E134</f>
        <v/>
      </c>
      <c r="E134" s="41">
        <f>_xlfn.PERCENTRANK.INC('03_原始数据'!$E$5:$E$873,'03_原始数据'!E134)</f>
        <v/>
      </c>
      <c r="F134" s="21">
        <f>IF(True,AVERAGE('03_原始数据'!$E$75:$E$134),"")</f>
        <v/>
      </c>
      <c r="G134" s="21">
        <f>IF(True,STDEV('03_原始数据'!$E$75:$E$134),"")</f>
        <v/>
      </c>
    </row>
    <row r="135" ht="17" customHeight="1">
      <c r="A135" s="38">
        <f>'03_原始数据'!A135</f>
        <v/>
      </c>
      <c r="B135" s="16">
        <f>'03_原始数据'!B135</f>
        <v/>
      </c>
      <c r="C135" s="16">
        <f>'03_原始数据'!C135</f>
        <v/>
      </c>
      <c r="D135" s="16">
        <f>'03_原始数据'!E135</f>
        <v/>
      </c>
      <c r="E135" s="39">
        <f>_xlfn.PERCENTRANK.INC('03_原始数据'!$E$5:$E$873,'03_原始数据'!E135)</f>
        <v/>
      </c>
      <c r="F135" s="16">
        <f>IF(True,AVERAGE('03_原始数据'!$E$76:$E$135),"")</f>
        <v/>
      </c>
      <c r="G135" s="16">
        <f>IF(True,STDEV('03_原始数据'!$E$76:$E$135),"")</f>
        <v/>
      </c>
    </row>
    <row r="136" ht="17" customHeight="1">
      <c r="A136" s="40">
        <f>'03_原始数据'!A136</f>
        <v/>
      </c>
      <c r="B136" s="21">
        <f>'03_原始数据'!B136</f>
        <v/>
      </c>
      <c r="C136" s="21">
        <f>'03_原始数据'!C136</f>
        <v/>
      </c>
      <c r="D136" s="21">
        <f>'03_原始数据'!E136</f>
        <v/>
      </c>
      <c r="E136" s="41">
        <f>_xlfn.PERCENTRANK.INC('03_原始数据'!$E$5:$E$873,'03_原始数据'!E136)</f>
        <v/>
      </c>
      <c r="F136" s="21">
        <f>IF(True,AVERAGE('03_原始数据'!$E$77:$E$136),"")</f>
        <v/>
      </c>
      <c r="G136" s="21">
        <f>IF(True,STDEV('03_原始数据'!$E$77:$E$136),"")</f>
        <v/>
      </c>
    </row>
    <row r="137" ht="17" customHeight="1">
      <c r="A137" s="38">
        <f>'03_原始数据'!A137</f>
        <v/>
      </c>
      <c r="B137" s="16">
        <f>'03_原始数据'!B137</f>
        <v/>
      </c>
      <c r="C137" s="16">
        <f>'03_原始数据'!C137</f>
        <v/>
      </c>
      <c r="D137" s="16">
        <f>'03_原始数据'!E137</f>
        <v/>
      </c>
      <c r="E137" s="39">
        <f>_xlfn.PERCENTRANK.INC('03_原始数据'!$E$5:$E$873,'03_原始数据'!E137)</f>
        <v/>
      </c>
      <c r="F137" s="16">
        <f>IF(True,AVERAGE('03_原始数据'!$E$78:$E$137),"")</f>
        <v/>
      </c>
      <c r="G137" s="16">
        <f>IF(True,STDEV('03_原始数据'!$E$78:$E$137),"")</f>
        <v/>
      </c>
    </row>
    <row r="138" ht="17" customHeight="1">
      <c r="A138" s="40">
        <f>'03_原始数据'!A138</f>
        <v/>
      </c>
      <c r="B138" s="21">
        <f>'03_原始数据'!B138</f>
        <v/>
      </c>
      <c r="C138" s="21">
        <f>'03_原始数据'!C138</f>
        <v/>
      </c>
      <c r="D138" s="21">
        <f>'03_原始数据'!E138</f>
        <v/>
      </c>
      <c r="E138" s="41">
        <f>_xlfn.PERCENTRANK.INC('03_原始数据'!$E$5:$E$873,'03_原始数据'!E138)</f>
        <v/>
      </c>
      <c r="F138" s="21">
        <f>IF(True,AVERAGE('03_原始数据'!$E$79:$E$138),"")</f>
        <v/>
      </c>
      <c r="G138" s="21">
        <f>IF(True,STDEV('03_原始数据'!$E$79:$E$138),"")</f>
        <v/>
      </c>
    </row>
    <row r="139" ht="17" customHeight="1">
      <c r="A139" s="38">
        <f>'03_原始数据'!A139</f>
        <v/>
      </c>
      <c r="B139" s="16">
        <f>'03_原始数据'!B139</f>
        <v/>
      </c>
      <c r="C139" s="16">
        <f>'03_原始数据'!C139</f>
        <v/>
      </c>
      <c r="D139" s="16">
        <f>'03_原始数据'!E139</f>
        <v/>
      </c>
      <c r="E139" s="39">
        <f>_xlfn.PERCENTRANK.INC('03_原始数据'!$E$5:$E$873,'03_原始数据'!E139)</f>
        <v/>
      </c>
      <c r="F139" s="16">
        <f>IF(True,AVERAGE('03_原始数据'!$E$80:$E$139),"")</f>
        <v/>
      </c>
      <c r="G139" s="16">
        <f>IF(True,STDEV('03_原始数据'!$E$80:$E$139),"")</f>
        <v/>
      </c>
    </row>
    <row r="140" ht="17" customHeight="1">
      <c r="A140" s="40">
        <f>'03_原始数据'!A140</f>
        <v/>
      </c>
      <c r="B140" s="21">
        <f>'03_原始数据'!B140</f>
        <v/>
      </c>
      <c r="C140" s="21">
        <f>'03_原始数据'!C140</f>
        <v/>
      </c>
      <c r="D140" s="21">
        <f>'03_原始数据'!E140</f>
        <v/>
      </c>
      <c r="E140" s="41">
        <f>_xlfn.PERCENTRANK.INC('03_原始数据'!$E$5:$E$873,'03_原始数据'!E140)</f>
        <v/>
      </c>
      <c r="F140" s="21">
        <f>IF(True,AVERAGE('03_原始数据'!$E$81:$E$140),"")</f>
        <v/>
      </c>
      <c r="G140" s="21">
        <f>IF(True,STDEV('03_原始数据'!$E$81:$E$140),"")</f>
        <v/>
      </c>
    </row>
    <row r="141" ht="17" customHeight="1">
      <c r="A141" s="38">
        <f>'03_原始数据'!A141</f>
        <v/>
      </c>
      <c r="B141" s="16">
        <f>'03_原始数据'!B141</f>
        <v/>
      </c>
      <c r="C141" s="16">
        <f>'03_原始数据'!C141</f>
        <v/>
      </c>
      <c r="D141" s="16">
        <f>'03_原始数据'!E141</f>
        <v/>
      </c>
      <c r="E141" s="39">
        <f>_xlfn.PERCENTRANK.INC('03_原始数据'!$E$5:$E$873,'03_原始数据'!E141)</f>
        <v/>
      </c>
      <c r="F141" s="16">
        <f>IF(True,AVERAGE('03_原始数据'!$E$82:$E$141),"")</f>
        <v/>
      </c>
      <c r="G141" s="16">
        <f>IF(True,STDEV('03_原始数据'!$E$82:$E$141),"")</f>
        <v/>
      </c>
    </row>
    <row r="142" ht="17" customHeight="1">
      <c r="A142" s="40">
        <f>'03_原始数据'!A142</f>
        <v/>
      </c>
      <c r="B142" s="21">
        <f>'03_原始数据'!B142</f>
        <v/>
      </c>
      <c r="C142" s="21">
        <f>'03_原始数据'!C142</f>
        <v/>
      </c>
      <c r="D142" s="21">
        <f>'03_原始数据'!E142</f>
        <v/>
      </c>
      <c r="E142" s="41">
        <f>_xlfn.PERCENTRANK.INC('03_原始数据'!$E$5:$E$873,'03_原始数据'!E142)</f>
        <v/>
      </c>
      <c r="F142" s="21">
        <f>IF(True,AVERAGE('03_原始数据'!$E$83:$E$142),"")</f>
        <v/>
      </c>
      <c r="G142" s="21">
        <f>IF(True,STDEV('03_原始数据'!$E$83:$E$142),"")</f>
        <v/>
      </c>
    </row>
    <row r="143" ht="17" customHeight="1">
      <c r="A143" s="38">
        <f>'03_原始数据'!A143</f>
        <v/>
      </c>
      <c r="B143" s="16">
        <f>'03_原始数据'!B143</f>
        <v/>
      </c>
      <c r="C143" s="16">
        <f>'03_原始数据'!C143</f>
        <v/>
      </c>
      <c r="D143" s="16">
        <f>'03_原始数据'!E143</f>
        <v/>
      </c>
      <c r="E143" s="39">
        <f>_xlfn.PERCENTRANK.INC('03_原始数据'!$E$5:$E$873,'03_原始数据'!E143)</f>
        <v/>
      </c>
      <c r="F143" s="16">
        <f>IF(True,AVERAGE('03_原始数据'!$E$84:$E$143),"")</f>
        <v/>
      </c>
      <c r="G143" s="16">
        <f>IF(True,STDEV('03_原始数据'!$E$84:$E$143),"")</f>
        <v/>
      </c>
    </row>
    <row r="144" ht="17" customHeight="1">
      <c r="A144" s="40">
        <f>'03_原始数据'!A144</f>
        <v/>
      </c>
      <c r="B144" s="21">
        <f>'03_原始数据'!B144</f>
        <v/>
      </c>
      <c r="C144" s="21">
        <f>'03_原始数据'!C144</f>
        <v/>
      </c>
      <c r="D144" s="21">
        <f>'03_原始数据'!E144</f>
        <v/>
      </c>
      <c r="E144" s="41">
        <f>_xlfn.PERCENTRANK.INC('03_原始数据'!$E$5:$E$873,'03_原始数据'!E144)</f>
        <v/>
      </c>
      <c r="F144" s="21">
        <f>IF(True,AVERAGE('03_原始数据'!$E$85:$E$144),"")</f>
        <v/>
      </c>
      <c r="G144" s="21">
        <f>IF(True,STDEV('03_原始数据'!$E$85:$E$144),"")</f>
        <v/>
      </c>
    </row>
    <row r="145" ht="17" customHeight="1">
      <c r="A145" s="38">
        <f>'03_原始数据'!A145</f>
        <v/>
      </c>
      <c r="B145" s="16">
        <f>'03_原始数据'!B145</f>
        <v/>
      </c>
      <c r="C145" s="16">
        <f>'03_原始数据'!C145</f>
        <v/>
      </c>
      <c r="D145" s="16">
        <f>'03_原始数据'!E145</f>
        <v/>
      </c>
      <c r="E145" s="39">
        <f>_xlfn.PERCENTRANK.INC('03_原始数据'!$E$5:$E$873,'03_原始数据'!E145)</f>
        <v/>
      </c>
      <c r="F145" s="16">
        <f>IF(True,AVERAGE('03_原始数据'!$E$86:$E$145),"")</f>
        <v/>
      </c>
      <c r="G145" s="16">
        <f>IF(True,STDEV('03_原始数据'!$E$86:$E$145),"")</f>
        <v/>
      </c>
    </row>
    <row r="146" ht="17" customHeight="1">
      <c r="A146" s="40">
        <f>'03_原始数据'!A146</f>
        <v/>
      </c>
      <c r="B146" s="21">
        <f>'03_原始数据'!B146</f>
        <v/>
      </c>
      <c r="C146" s="21">
        <f>'03_原始数据'!C146</f>
        <v/>
      </c>
      <c r="D146" s="21">
        <f>'03_原始数据'!E146</f>
        <v/>
      </c>
      <c r="E146" s="41">
        <f>_xlfn.PERCENTRANK.INC('03_原始数据'!$E$5:$E$873,'03_原始数据'!E146)</f>
        <v/>
      </c>
      <c r="F146" s="21">
        <f>IF(True,AVERAGE('03_原始数据'!$E$87:$E$146),"")</f>
        <v/>
      </c>
      <c r="G146" s="21">
        <f>IF(True,STDEV('03_原始数据'!$E$87:$E$146),"")</f>
        <v/>
      </c>
    </row>
    <row r="147" ht="17" customHeight="1">
      <c r="A147" s="38">
        <f>'03_原始数据'!A147</f>
        <v/>
      </c>
      <c r="B147" s="16">
        <f>'03_原始数据'!B147</f>
        <v/>
      </c>
      <c r="C147" s="16">
        <f>'03_原始数据'!C147</f>
        <v/>
      </c>
      <c r="D147" s="16">
        <f>'03_原始数据'!E147</f>
        <v/>
      </c>
      <c r="E147" s="39">
        <f>_xlfn.PERCENTRANK.INC('03_原始数据'!$E$5:$E$873,'03_原始数据'!E147)</f>
        <v/>
      </c>
      <c r="F147" s="16">
        <f>IF(True,AVERAGE('03_原始数据'!$E$88:$E$147),"")</f>
        <v/>
      </c>
      <c r="G147" s="16">
        <f>IF(True,STDEV('03_原始数据'!$E$88:$E$147),"")</f>
        <v/>
      </c>
    </row>
    <row r="148" ht="17" customHeight="1">
      <c r="A148" s="40">
        <f>'03_原始数据'!A148</f>
        <v/>
      </c>
      <c r="B148" s="21">
        <f>'03_原始数据'!B148</f>
        <v/>
      </c>
      <c r="C148" s="21">
        <f>'03_原始数据'!C148</f>
        <v/>
      </c>
      <c r="D148" s="21">
        <f>'03_原始数据'!E148</f>
        <v/>
      </c>
      <c r="E148" s="41">
        <f>_xlfn.PERCENTRANK.INC('03_原始数据'!$E$5:$E$873,'03_原始数据'!E148)</f>
        <v/>
      </c>
      <c r="F148" s="21">
        <f>IF(True,AVERAGE('03_原始数据'!$E$89:$E$148),"")</f>
        <v/>
      </c>
      <c r="G148" s="21">
        <f>IF(True,STDEV('03_原始数据'!$E$89:$E$148),"")</f>
        <v/>
      </c>
    </row>
    <row r="149" ht="17" customHeight="1">
      <c r="A149" s="38">
        <f>'03_原始数据'!A149</f>
        <v/>
      </c>
      <c r="B149" s="16">
        <f>'03_原始数据'!B149</f>
        <v/>
      </c>
      <c r="C149" s="16">
        <f>'03_原始数据'!C149</f>
        <v/>
      </c>
      <c r="D149" s="16">
        <f>'03_原始数据'!E149</f>
        <v/>
      </c>
      <c r="E149" s="39">
        <f>_xlfn.PERCENTRANK.INC('03_原始数据'!$E$5:$E$873,'03_原始数据'!E149)</f>
        <v/>
      </c>
      <c r="F149" s="16">
        <f>IF(True,AVERAGE('03_原始数据'!$E$90:$E$149),"")</f>
        <v/>
      </c>
      <c r="G149" s="16">
        <f>IF(True,STDEV('03_原始数据'!$E$90:$E$149),"")</f>
        <v/>
      </c>
    </row>
    <row r="150" ht="17" customHeight="1">
      <c r="A150" s="40">
        <f>'03_原始数据'!A150</f>
        <v/>
      </c>
      <c r="B150" s="21">
        <f>'03_原始数据'!B150</f>
        <v/>
      </c>
      <c r="C150" s="21">
        <f>'03_原始数据'!C150</f>
        <v/>
      </c>
      <c r="D150" s="21">
        <f>'03_原始数据'!E150</f>
        <v/>
      </c>
      <c r="E150" s="41">
        <f>_xlfn.PERCENTRANK.INC('03_原始数据'!$E$5:$E$873,'03_原始数据'!E150)</f>
        <v/>
      </c>
      <c r="F150" s="21">
        <f>IF(True,AVERAGE('03_原始数据'!$E$91:$E$150),"")</f>
        <v/>
      </c>
      <c r="G150" s="21">
        <f>IF(True,STDEV('03_原始数据'!$E$91:$E$150),"")</f>
        <v/>
      </c>
    </row>
    <row r="151" ht="17" customHeight="1">
      <c r="A151" s="38">
        <f>'03_原始数据'!A151</f>
        <v/>
      </c>
      <c r="B151" s="16">
        <f>'03_原始数据'!B151</f>
        <v/>
      </c>
      <c r="C151" s="16">
        <f>'03_原始数据'!C151</f>
        <v/>
      </c>
      <c r="D151" s="16">
        <f>'03_原始数据'!E151</f>
        <v/>
      </c>
      <c r="E151" s="39">
        <f>_xlfn.PERCENTRANK.INC('03_原始数据'!$E$5:$E$873,'03_原始数据'!E151)</f>
        <v/>
      </c>
      <c r="F151" s="16">
        <f>IF(True,AVERAGE('03_原始数据'!$E$92:$E$151),"")</f>
        <v/>
      </c>
      <c r="G151" s="16">
        <f>IF(True,STDEV('03_原始数据'!$E$92:$E$151),"")</f>
        <v/>
      </c>
    </row>
    <row r="152" ht="17" customHeight="1">
      <c r="A152" s="40">
        <f>'03_原始数据'!A152</f>
        <v/>
      </c>
      <c r="B152" s="21">
        <f>'03_原始数据'!B152</f>
        <v/>
      </c>
      <c r="C152" s="21">
        <f>'03_原始数据'!C152</f>
        <v/>
      </c>
      <c r="D152" s="21">
        <f>'03_原始数据'!E152</f>
        <v/>
      </c>
      <c r="E152" s="41">
        <f>_xlfn.PERCENTRANK.INC('03_原始数据'!$E$5:$E$873,'03_原始数据'!E152)</f>
        <v/>
      </c>
      <c r="F152" s="21">
        <f>IF(True,AVERAGE('03_原始数据'!$E$93:$E$152),"")</f>
        <v/>
      </c>
      <c r="G152" s="21">
        <f>IF(True,STDEV('03_原始数据'!$E$93:$E$152),"")</f>
        <v/>
      </c>
    </row>
    <row r="153" ht="17" customHeight="1">
      <c r="A153" s="38">
        <f>'03_原始数据'!A153</f>
        <v/>
      </c>
      <c r="B153" s="16">
        <f>'03_原始数据'!B153</f>
        <v/>
      </c>
      <c r="C153" s="16">
        <f>'03_原始数据'!C153</f>
        <v/>
      </c>
      <c r="D153" s="16">
        <f>'03_原始数据'!E153</f>
        <v/>
      </c>
      <c r="E153" s="39">
        <f>_xlfn.PERCENTRANK.INC('03_原始数据'!$E$5:$E$873,'03_原始数据'!E153)</f>
        <v/>
      </c>
      <c r="F153" s="16">
        <f>IF(True,AVERAGE('03_原始数据'!$E$94:$E$153),"")</f>
        <v/>
      </c>
      <c r="G153" s="16">
        <f>IF(True,STDEV('03_原始数据'!$E$94:$E$153),"")</f>
        <v/>
      </c>
    </row>
    <row r="154" ht="17" customHeight="1">
      <c r="A154" s="40">
        <f>'03_原始数据'!A154</f>
        <v/>
      </c>
      <c r="B154" s="21">
        <f>'03_原始数据'!B154</f>
        <v/>
      </c>
      <c r="C154" s="21">
        <f>'03_原始数据'!C154</f>
        <v/>
      </c>
      <c r="D154" s="21">
        <f>'03_原始数据'!E154</f>
        <v/>
      </c>
      <c r="E154" s="41">
        <f>_xlfn.PERCENTRANK.INC('03_原始数据'!$E$5:$E$873,'03_原始数据'!E154)</f>
        <v/>
      </c>
      <c r="F154" s="21">
        <f>IF(True,AVERAGE('03_原始数据'!$E$95:$E$154),"")</f>
        <v/>
      </c>
      <c r="G154" s="21">
        <f>IF(True,STDEV('03_原始数据'!$E$95:$E$154),"")</f>
        <v/>
      </c>
    </row>
    <row r="155" ht="17" customHeight="1">
      <c r="A155" s="38">
        <f>'03_原始数据'!A155</f>
        <v/>
      </c>
      <c r="B155" s="16">
        <f>'03_原始数据'!B155</f>
        <v/>
      </c>
      <c r="C155" s="16">
        <f>'03_原始数据'!C155</f>
        <v/>
      </c>
      <c r="D155" s="16">
        <f>'03_原始数据'!E155</f>
        <v/>
      </c>
      <c r="E155" s="39">
        <f>_xlfn.PERCENTRANK.INC('03_原始数据'!$E$5:$E$873,'03_原始数据'!E155)</f>
        <v/>
      </c>
      <c r="F155" s="16">
        <f>IF(True,AVERAGE('03_原始数据'!$E$96:$E$155),"")</f>
        <v/>
      </c>
      <c r="G155" s="16">
        <f>IF(True,STDEV('03_原始数据'!$E$96:$E$155),"")</f>
        <v/>
      </c>
    </row>
    <row r="156" ht="17" customHeight="1">
      <c r="A156" s="40">
        <f>'03_原始数据'!A156</f>
        <v/>
      </c>
      <c r="B156" s="21">
        <f>'03_原始数据'!B156</f>
        <v/>
      </c>
      <c r="C156" s="21">
        <f>'03_原始数据'!C156</f>
        <v/>
      </c>
      <c r="D156" s="21">
        <f>'03_原始数据'!E156</f>
        <v/>
      </c>
      <c r="E156" s="41">
        <f>_xlfn.PERCENTRANK.INC('03_原始数据'!$E$5:$E$873,'03_原始数据'!E156)</f>
        <v/>
      </c>
      <c r="F156" s="21">
        <f>IF(True,AVERAGE('03_原始数据'!$E$97:$E$156),"")</f>
        <v/>
      </c>
      <c r="G156" s="21">
        <f>IF(True,STDEV('03_原始数据'!$E$97:$E$156),"")</f>
        <v/>
      </c>
    </row>
    <row r="157" ht="17" customHeight="1">
      <c r="A157" s="38">
        <f>'03_原始数据'!A157</f>
        <v/>
      </c>
      <c r="B157" s="16">
        <f>'03_原始数据'!B157</f>
        <v/>
      </c>
      <c r="C157" s="16">
        <f>'03_原始数据'!C157</f>
        <v/>
      </c>
      <c r="D157" s="16">
        <f>'03_原始数据'!E157</f>
        <v/>
      </c>
      <c r="E157" s="39">
        <f>_xlfn.PERCENTRANK.INC('03_原始数据'!$E$5:$E$873,'03_原始数据'!E157)</f>
        <v/>
      </c>
      <c r="F157" s="16">
        <f>IF(True,AVERAGE('03_原始数据'!$E$98:$E$157),"")</f>
        <v/>
      </c>
      <c r="G157" s="16">
        <f>IF(True,STDEV('03_原始数据'!$E$98:$E$157),"")</f>
        <v/>
      </c>
    </row>
    <row r="158" ht="17" customHeight="1">
      <c r="A158" s="40">
        <f>'03_原始数据'!A158</f>
        <v/>
      </c>
      <c r="B158" s="21">
        <f>'03_原始数据'!B158</f>
        <v/>
      </c>
      <c r="C158" s="21">
        <f>'03_原始数据'!C158</f>
        <v/>
      </c>
      <c r="D158" s="21">
        <f>'03_原始数据'!E158</f>
        <v/>
      </c>
      <c r="E158" s="41">
        <f>_xlfn.PERCENTRANK.INC('03_原始数据'!$E$5:$E$873,'03_原始数据'!E158)</f>
        <v/>
      </c>
      <c r="F158" s="21">
        <f>IF(True,AVERAGE('03_原始数据'!$E$99:$E$158),"")</f>
        <v/>
      </c>
      <c r="G158" s="21">
        <f>IF(True,STDEV('03_原始数据'!$E$99:$E$158),"")</f>
        <v/>
      </c>
    </row>
    <row r="159" ht="17" customHeight="1">
      <c r="A159" s="38">
        <f>'03_原始数据'!A159</f>
        <v/>
      </c>
      <c r="B159" s="16">
        <f>'03_原始数据'!B159</f>
        <v/>
      </c>
      <c r="C159" s="16">
        <f>'03_原始数据'!C159</f>
        <v/>
      </c>
      <c r="D159" s="16">
        <f>'03_原始数据'!E159</f>
        <v/>
      </c>
      <c r="E159" s="39">
        <f>_xlfn.PERCENTRANK.INC('03_原始数据'!$E$5:$E$873,'03_原始数据'!E159)</f>
        <v/>
      </c>
      <c r="F159" s="16">
        <f>IF(True,AVERAGE('03_原始数据'!$E$100:$E$159),"")</f>
        <v/>
      </c>
      <c r="G159" s="16">
        <f>IF(True,STDEV('03_原始数据'!$E$100:$E$159),"")</f>
        <v/>
      </c>
    </row>
    <row r="160" ht="17" customHeight="1">
      <c r="A160" s="40">
        <f>'03_原始数据'!A160</f>
        <v/>
      </c>
      <c r="B160" s="21">
        <f>'03_原始数据'!B160</f>
        <v/>
      </c>
      <c r="C160" s="21">
        <f>'03_原始数据'!C160</f>
        <v/>
      </c>
      <c r="D160" s="21">
        <f>'03_原始数据'!E160</f>
        <v/>
      </c>
      <c r="E160" s="41">
        <f>_xlfn.PERCENTRANK.INC('03_原始数据'!$E$5:$E$873,'03_原始数据'!E160)</f>
        <v/>
      </c>
      <c r="F160" s="21">
        <f>IF(True,AVERAGE('03_原始数据'!$E$101:$E$160),"")</f>
        <v/>
      </c>
      <c r="G160" s="21">
        <f>IF(True,STDEV('03_原始数据'!$E$101:$E$160),"")</f>
        <v/>
      </c>
    </row>
    <row r="161" ht="17" customHeight="1">
      <c r="A161" s="38">
        <f>'03_原始数据'!A161</f>
        <v/>
      </c>
      <c r="B161" s="16">
        <f>'03_原始数据'!B161</f>
        <v/>
      </c>
      <c r="C161" s="16">
        <f>'03_原始数据'!C161</f>
        <v/>
      </c>
      <c r="D161" s="16">
        <f>'03_原始数据'!E161</f>
        <v/>
      </c>
      <c r="E161" s="39">
        <f>_xlfn.PERCENTRANK.INC('03_原始数据'!$E$5:$E$873,'03_原始数据'!E161)</f>
        <v/>
      </c>
      <c r="F161" s="16">
        <f>IF(True,AVERAGE('03_原始数据'!$E$102:$E$161),"")</f>
        <v/>
      </c>
      <c r="G161" s="16">
        <f>IF(True,STDEV('03_原始数据'!$E$102:$E$161),"")</f>
        <v/>
      </c>
    </row>
    <row r="162" ht="17" customHeight="1">
      <c r="A162" s="40">
        <f>'03_原始数据'!A162</f>
        <v/>
      </c>
      <c r="B162" s="21">
        <f>'03_原始数据'!B162</f>
        <v/>
      </c>
      <c r="C162" s="21">
        <f>'03_原始数据'!C162</f>
        <v/>
      </c>
      <c r="D162" s="21">
        <f>'03_原始数据'!E162</f>
        <v/>
      </c>
      <c r="E162" s="41">
        <f>_xlfn.PERCENTRANK.INC('03_原始数据'!$E$5:$E$873,'03_原始数据'!E162)</f>
        <v/>
      </c>
      <c r="F162" s="21">
        <f>IF(True,AVERAGE('03_原始数据'!$E$103:$E$162),"")</f>
        <v/>
      </c>
      <c r="G162" s="21">
        <f>IF(True,STDEV('03_原始数据'!$E$103:$E$162),"")</f>
        <v/>
      </c>
    </row>
    <row r="163" ht="17" customHeight="1">
      <c r="A163" s="38">
        <f>'03_原始数据'!A163</f>
        <v/>
      </c>
      <c r="B163" s="16">
        <f>'03_原始数据'!B163</f>
        <v/>
      </c>
      <c r="C163" s="16">
        <f>'03_原始数据'!C163</f>
        <v/>
      </c>
      <c r="D163" s="16">
        <f>'03_原始数据'!E163</f>
        <v/>
      </c>
      <c r="E163" s="39">
        <f>_xlfn.PERCENTRANK.INC('03_原始数据'!$E$5:$E$873,'03_原始数据'!E163)</f>
        <v/>
      </c>
      <c r="F163" s="16">
        <f>IF(True,AVERAGE('03_原始数据'!$E$104:$E$163),"")</f>
        <v/>
      </c>
      <c r="G163" s="16">
        <f>IF(True,STDEV('03_原始数据'!$E$104:$E$163),"")</f>
        <v/>
      </c>
    </row>
    <row r="164" ht="17" customHeight="1">
      <c r="A164" s="40">
        <f>'03_原始数据'!A164</f>
        <v/>
      </c>
      <c r="B164" s="21">
        <f>'03_原始数据'!B164</f>
        <v/>
      </c>
      <c r="C164" s="21">
        <f>'03_原始数据'!C164</f>
        <v/>
      </c>
      <c r="D164" s="21">
        <f>'03_原始数据'!E164</f>
        <v/>
      </c>
      <c r="E164" s="41">
        <f>_xlfn.PERCENTRANK.INC('03_原始数据'!$E$5:$E$873,'03_原始数据'!E164)</f>
        <v/>
      </c>
      <c r="F164" s="21">
        <f>IF(True,AVERAGE('03_原始数据'!$E$105:$E$164),"")</f>
        <v/>
      </c>
      <c r="G164" s="21">
        <f>IF(True,STDEV('03_原始数据'!$E$105:$E$164),"")</f>
        <v/>
      </c>
    </row>
    <row r="165" ht="17" customHeight="1">
      <c r="A165" s="38">
        <f>'03_原始数据'!A165</f>
        <v/>
      </c>
      <c r="B165" s="16">
        <f>'03_原始数据'!B165</f>
        <v/>
      </c>
      <c r="C165" s="16">
        <f>'03_原始数据'!C165</f>
        <v/>
      </c>
      <c r="D165" s="16">
        <f>'03_原始数据'!E165</f>
        <v/>
      </c>
      <c r="E165" s="39">
        <f>_xlfn.PERCENTRANK.INC('03_原始数据'!$E$5:$E$873,'03_原始数据'!E165)</f>
        <v/>
      </c>
      <c r="F165" s="16">
        <f>IF(True,AVERAGE('03_原始数据'!$E$106:$E$165),"")</f>
        <v/>
      </c>
      <c r="G165" s="16">
        <f>IF(True,STDEV('03_原始数据'!$E$106:$E$165),"")</f>
        <v/>
      </c>
    </row>
    <row r="166" ht="17" customHeight="1">
      <c r="A166" s="40">
        <f>'03_原始数据'!A166</f>
        <v/>
      </c>
      <c r="B166" s="21">
        <f>'03_原始数据'!B166</f>
        <v/>
      </c>
      <c r="C166" s="21">
        <f>'03_原始数据'!C166</f>
        <v/>
      </c>
      <c r="D166" s="21">
        <f>'03_原始数据'!E166</f>
        <v/>
      </c>
      <c r="E166" s="41">
        <f>_xlfn.PERCENTRANK.INC('03_原始数据'!$E$5:$E$873,'03_原始数据'!E166)</f>
        <v/>
      </c>
      <c r="F166" s="21">
        <f>IF(True,AVERAGE('03_原始数据'!$E$107:$E$166),"")</f>
        <v/>
      </c>
      <c r="G166" s="21">
        <f>IF(True,STDEV('03_原始数据'!$E$107:$E$166),"")</f>
        <v/>
      </c>
    </row>
    <row r="167" ht="17" customHeight="1">
      <c r="A167" s="38">
        <f>'03_原始数据'!A167</f>
        <v/>
      </c>
      <c r="B167" s="16">
        <f>'03_原始数据'!B167</f>
        <v/>
      </c>
      <c r="C167" s="16">
        <f>'03_原始数据'!C167</f>
        <v/>
      </c>
      <c r="D167" s="16">
        <f>'03_原始数据'!E167</f>
        <v/>
      </c>
      <c r="E167" s="39">
        <f>_xlfn.PERCENTRANK.INC('03_原始数据'!$E$5:$E$873,'03_原始数据'!E167)</f>
        <v/>
      </c>
      <c r="F167" s="16">
        <f>IF(True,AVERAGE('03_原始数据'!$E$108:$E$167),"")</f>
        <v/>
      </c>
      <c r="G167" s="16">
        <f>IF(True,STDEV('03_原始数据'!$E$108:$E$167),"")</f>
        <v/>
      </c>
    </row>
    <row r="168" ht="17" customHeight="1">
      <c r="A168" s="40">
        <f>'03_原始数据'!A168</f>
        <v/>
      </c>
      <c r="B168" s="21">
        <f>'03_原始数据'!B168</f>
        <v/>
      </c>
      <c r="C168" s="21">
        <f>'03_原始数据'!C168</f>
        <v/>
      </c>
      <c r="D168" s="21">
        <f>'03_原始数据'!E168</f>
        <v/>
      </c>
      <c r="E168" s="41">
        <f>_xlfn.PERCENTRANK.INC('03_原始数据'!$E$5:$E$873,'03_原始数据'!E168)</f>
        <v/>
      </c>
      <c r="F168" s="21">
        <f>IF(True,AVERAGE('03_原始数据'!$E$109:$E$168),"")</f>
        <v/>
      </c>
      <c r="G168" s="21">
        <f>IF(True,STDEV('03_原始数据'!$E$109:$E$168),"")</f>
        <v/>
      </c>
    </row>
    <row r="169" ht="17" customHeight="1">
      <c r="A169" s="38">
        <f>'03_原始数据'!A169</f>
        <v/>
      </c>
      <c r="B169" s="16">
        <f>'03_原始数据'!B169</f>
        <v/>
      </c>
      <c r="C169" s="16">
        <f>'03_原始数据'!C169</f>
        <v/>
      </c>
      <c r="D169" s="16">
        <f>'03_原始数据'!E169</f>
        <v/>
      </c>
      <c r="E169" s="39">
        <f>_xlfn.PERCENTRANK.INC('03_原始数据'!$E$5:$E$873,'03_原始数据'!E169)</f>
        <v/>
      </c>
      <c r="F169" s="16">
        <f>IF(True,AVERAGE('03_原始数据'!$E$110:$E$169),"")</f>
        <v/>
      </c>
      <c r="G169" s="16">
        <f>IF(True,STDEV('03_原始数据'!$E$110:$E$169),"")</f>
        <v/>
      </c>
    </row>
    <row r="170" ht="17" customHeight="1">
      <c r="A170" s="40">
        <f>'03_原始数据'!A170</f>
        <v/>
      </c>
      <c r="B170" s="21">
        <f>'03_原始数据'!B170</f>
        <v/>
      </c>
      <c r="C170" s="21">
        <f>'03_原始数据'!C170</f>
        <v/>
      </c>
      <c r="D170" s="21">
        <f>'03_原始数据'!E170</f>
        <v/>
      </c>
      <c r="E170" s="41">
        <f>_xlfn.PERCENTRANK.INC('03_原始数据'!$E$5:$E$873,'03_原始数据'!E170)</f>
        <v/>
      </c>
      <c r="F170" s="21">
        <f>IF(True,AVERAGE('03_原始数据'!$E$111:$E$170),"")</f>
        <v/>
      </c>
      <c r="G170" s="21">
        <f>IF(True,STDEV('03_原始数据'!$E$111:$E$170),"")</f>
        <v/>
      </c>
    </row>
    <row r="171" ht="17" customHeight="1">
      <c r="A171" s="38">
        <f>'03_原始数据'!A171</f>
        <v/>
      </c>
      <c r="B171" s="16">
        <f>'03_原始数据'!B171</f>
        <v/>
      </c>
      <c r="C171" s="16">
        <f>'03_原始数据'!C171</f>
        <v/>
      </c>
      <c r="D171" s="16">
        <f>'03_原始数据'!E171</f>
        <v/>
      </c>
      <c r="E171" s="39">
        <f>_xlfn.PERCENTRANK.INC('03_原始数据'!$E$5:$E$873,'03_原始数据'!E171)</f>
        <v/>
      </c>
      <c r="F171" s="16">
        <f>IF(True,AVERAGE('03_原始数据'!$E$112:$E$171),"")</f>
        <v/>
      </c>
      <c r="G171" s="16">
        <f>IF(True,STDEV('03_原始数据'!$E$112:$E$171),"")</f>
        <v/>
      </c>
    </row>
    <row r="172" ht="17" customHeight="1">
      <c r="A172" s="40">
        <f>'03_原始数据'!A172</f>
        <v/>
      </c>
      <c r="B172" s="21">
        <f>'03_原始数据'!B172</f>
        <v/>
      </c>
      <c r="C172" s="21">
        <f>'03_原始数据'!C172</f>
        <v/>
      </c>
      <c r="D172" s="21">
        <f>'03_原始数据'!E172</f>
        <v/>
      </c>
      <c r="E172" s="41">
        <f>_xlfn.PERCENTRANK.INC('03_原始数据'!$E$5:$E$873,'03_原始数据'!E172)</f>
        <v/>
      </c>
      <c r="F172" s="21">
        <f>IF(True,AVERAGE('03_原始数据'!$E$113:$E$172),"")</f>
        <v/>
      </c>
      <c r="G172" s="21">
        <f>IF(True,STDEV('03_原始数据'!$E$113:$E$172),"")</f>
        <v/>
      </c>
    </row>
    <row r="173" ht="17" customHeight="1">
      <c r="A173" s="38">
        <f>'03_原始数据'!A173</f>
        <v/>
      </c>
      <c r="B173" s="16">
        <f>'03_原始数据'!B173</f>
        <v/>
      </c>
      <c r="C173" s="16">
        <f>'03_原始数据'!C173</f>
        <v/>
      </c>
      <c r="D173" s="16">
        <f>'03_原始数据'!E173</f>
        <v/>
      </c>
      <c r="E173" s="39">
        <f>_xlfn.PERCENTRANK.INC('03_原始数据'!$E$5:$E$873,'03_原始数据'!E173)</f>
        <v/>
      </c>
      <c r="F173" s="16">
        <f>IF(True,AVERAGE('03_原始数据'!$E$114:$E$173),"")</f>
        <v/>
      </c>
      <c r="G173" s="16">
        <f>IF(True,STDEV('03_原始数据'!$E$114:$E$173),"")</f>
        <v/>
      </c>
    </row>
    <row r="174" ht="17" customHeight="1">
      <c r="A174" s="40">
        <f>'03_原始数据'!A174</f>
        <v/>
      </c>
      <c r="B174" s="21">
        <f>'03_原始数据'!B174</f>
        <v/>
      </c>
      <c r="C174" s="21">
        <f>'03_原始数据'!C174</f>
        <v/>
      </c>
      <c r="D174" s="21">
        <f>'03_原始数据'!E174</f>
        <v/>
      </c>
      <c r="E174" s="41">
        <f>_xlfn.PERCENTRANK.INC('03_原始数据'!$E$5:$E$873,'03_原始数据'!E174)</f>
        <v/>
      </c>
      <c r="F174" s="21">
        <f>IF(True,AVERAGE('03_原始数据'!$E$115:$E$174),"")</f>
        <v/>
      </c>
      <c r="G174" s="21">
        <f>IF(True,STDEV('03_原始数据'!$E$115:$E$174),"")</f>
        <v/>
      </c>
    </row>
    <row r="175" ht="17" customHeight="1">
      <c r="A175" s="38">
        <f>'03_原始数据'!A175</f>
        <v/>
      </c>
      <c r="B175" s="16">
        <f>'03_原始数据'!B175</f>
        <v/>
      </c>
      <c r="C175" s="16">
        <f>'03_原始数据'!C175</f>
        <v/>
      </c>
      <c r="D175" s="16">
        <f>'03_原始数据'!E175</f>
        <v/>
      </c>
      <c r="E175" s="39">
        <f>_xlfn.PERCENTRANK.INC('03_原始数据'!$E$5:$E$873,'03_原始数据'!E175)</f>
        <v/>
      </c>
      <c r="F175" s="16">
        <f>IF(True,AVERAGE('03_原始数据'!$E$116:$E$175),"")</f>
        <v/>
      </c>
      <c r="G175" s="16">
        <f>IF(True,STDEV('03_原始数据'!$E$116:$E$175),"")</f>
        <v/>
      </c>
    </row>
    <row r="176" ht="17" customHeight="1">
      <c r="A176" s="40">
        <f>'03_原始数据'!A176</f>
        <v/>
      </c>
      <c r="B176" s="21">
        <f>'03_原始数据'!B176</f>
        <v/>
      </c>
      <c r="C176" s="21">
        <f>'03_原始数据'!C176</f>
        <v/>
      </c>
      <c r="D176" s="21">
        <f>'03_原始数据'!E176</f>
        <v/>
      </c>
      <c r="E176" s="41">
        <f>_xlfn.PERCENTRANK.INC('03_原始数据'!$E$5:$E$873,'03_原始数据'!E176)</f>
        <v/>
      </c>
      <c r="F176" s="21">
        <f>IF(True,AVERAGE('03_原始数据'!$E$117:$E$176),"")</f>
        <v/>
      </c>
      <c r="G176" s="21">
        <f>IF(True,STDEV('03_原始数据'!$E$117:$E$176),"")</f>
        <v/>
      </c>
    </row>
    <row r="177" ht="17" customHeight="1">
      <c r="A177" s="38">
        <f>'03_原始数据'!A177</f>
        <v/>
      </c>
      <c r="B177" s="16">
        <f>'03_原始数据'!B177</f>
        <v/>
      </c>
      <c r="C177" s="16">
        <f>'03_原始数据'!C177</f>
        <v/>
      </c>
      <c r="D177" s="16">
        <f>'03_原始数据'!E177</f>
        <v/>
      </c>
      <c r="E177" s="39">
        <f>_xlfn.PERCENTRANK.INC('03_原始数据'!$E$5:$E$873,'03_原始数据'!E177)</f>
        <v/>
      </c>
      <c r="F177" s="16">
        <f>IF(True,AVERAGE('03_原始数据'!$E$118:$E$177),"")</f>
        <v/>
      </c>
      <c r="G177" s="16">
        <f>IF(True,STDEV('03_原始数据'!$E$118:$E$177),"")</f>
        <v/>
      </c>
    </row>
    <row r="178" ht="17" customHeight="1">
      <c r="A178" s="40">
        <f>'03_原始数据'!A178</f>
        <v/>
      </c>
      <c r="B178" s="21">
        <f>'03_原始数据'!B178</f>
        <v/>
      </c>
      <c r="C178" s="21">
        <f>'03_原始数据'!C178</f>
        <v/>
      </c>
      <c r="D178" s="21">
        <f>'03_原始数据'!E178</f>
        <v/>
      </c>
      <c r="E178" s="41">
        <f>_xlfn.PERCENTRANK.INC('03_原始数据'!$E$5:$E$873,'03_原始数据'!E178)</f>
        <v/>
      </c>
      <c r="F178" s="21">
        <f>IF(True,AVERAGE('03_原始数据'!$E$119:$E$178),"")</f>
        <v/>
      </c>
      <c r="G178" s="21">
        <f>IF(True,STDEV('03_原始数据'!$E$119:$E$178),"")</f>
        <v/>
      </c>
    </row>
    <row r="179" ht="17" customHeight="1">
      <c r="A179" s="38">
        <f>'03_原始数据'!A179</f>
        <v/>
      </c>
      <c r="B179" s="16">
        <f>'03_原始数据'!B179</f>
        <v/>
      </c>
      <c r="C179" s="16">
        <f>'03_原始数据'!C179</f>
        <v/>
      </c>
      <c r="D179" s="16">
        <f>'03_原始数据'!E179</f>
        <v/>
      </c>
      <c r="E179" s="39">
        <f>_xlfn.PERCENTRANK.INC('03_原始数据'!$E$5:$E$873,'03_原始数据'!E179)</f>
        <v/>
      </c>
      <c r="F179" s="16">
        <f>IF(True,AVERAGE('03_原始数据'!$E$120:$E$179),"")</f>
        <v/>
      </c>
      <c r="G179" s="16">
        <f>IF(True,STDEV('03_原始数据'!$E$120:$E$179),"")</f>
        <v/>
      </c>
    </row>
    <row r="180" ht="17" customHeight="1">
      <c r="A180" s="40">
        <f>'03_原始数据'!A180</f>
        <v/>
      </c>
      <c r="B180" s="21">
        <f>'03_原始数据'!B180</f>
        <v/>
      </c>
      <c r="C180" s="21">
        <f>'03_原始数据'!C180</f>
        <v/>
      </c>
      <c r="D180" s="21">
        <f>'03_原始数据'!E180</f>
        <v/>
      </c>
      <c r="E180" s="41">
        <f>_xlfn.PERCENTRANK.INC('03_原始数据'!$E$5:$E$873,'03_原始数据'!E180)</f>
        <v/>
      </c>
      <c r="F180" s="21">
        <f>IF(True,AVERAGE('03_原始数据'!$E$121:$E$180),"")</f>
        <v/>
      </c>
      <c r="G180" s="21">
        <f>IF(True,STDEV('03_原始数据'!$E$121:$E$180),"")</f>
        <v/>
      </c>
    </row>
    <row r="181" ht="17" customHeight="1">
      <c r="A181" s="38">
        <f>'03_原始数据'!A181</f>
        <v/>
      </c>
      <c r="B181" s="16">
        <f>'03_原始数据'!B181</f>
        <v/>
      </c>
      <c r="C181" s="16">
        <f>'03_原始数据'!C181</f>
        <v/>
      </c>
      <c r="D181" s="16">
        <f>'03_原始数据'!E181</f>
        <v/>
      </c>
      <c r="E181" s="39">
        <f>_xlfn.PERCENTRANK.INC('03_原始数据'!$E$5:$E$873,'03_原始数据'!E181)</f>
        <v/>
      </c>
      <c r="F181" s="16">
        <f>IF(True,AVERAGE('03_原始数据'!$E$122:$E$181),"")</f>
        <v/>
      </c>
      <c r="G181" s="16">
        <f>IF(True,STDEV('03_原始数据'!$E$122:$E$181),"")</f>
        <v/>
      </c>
    </row>
    <row r="182" ht="17" customHeight="1">
      <c r="A182" s="40">
        <f>'03_原始数据'!A182</f>
        <v/>
      </c>
      <c r="B182" s="21">
        <f>'03_原始数据'!B182</f>
        <v/>
      </c>
      <c r="C182" s="21">
        <f>'03_原始数据'!C182</f>
        <v/>
      </c>
      <c r="D182" s="21">
        <f>'03_原始数据'!E182</f>
        <v/>
      </c>
      <c r="E182" s="41">
        <f>_xlfn.PERCENTRANK.INC('03_原始数据'!$E$5:$E$873,'03_原始数据'!E182)</f>
        <v/>
      </c>
      <c r="F182" s="21">
        <f>IF(True,AVERAGE('03_原始数据'!$E$123:$E$182),"")</f>
        <v/>
      </c>
      <c r="G182" s="21">
        <f>IF(True,STDEV('03_原始数据'!$E$123:$E$182),"")</f>
        <v/>
      </c>
    </row>
    <row r="183" ht="17" customHeight="1">
      <c r="A183" s="38">
        <f>'03_原始数据'!A183</f>
        <v/>
      </c>
      <c r="B183" s="16">
        <f>'03_原始数据'!B183</f>
        <v/>
      </c>
      <c r="C183" s="16">
        <f>'03_原始数据'!C183</f>
        <v/>
      </c>
      <c r="D183" s="16">
        <f>'03_原始数据'!E183</f>
        <v/>
      </c>
      <c r="E183" s="39">
        <f>_xlfn.PERCENTRANK.INC('03_原始数据'!$E$5:$E$873,'03_原始数据'!E183)</f>
        <v/>
      </c>
      <c r="F183" s="16">
        <f>IF(True,AVERAGE('03_原始数据'!$E$124:$E$183),"")</f>
        <v/>
      </c>
      <c r="G183" s="16">
        <f>IF(True,STDEV('03_原始数据'!$E$124:$E$183),"")</f>
        <v/>
      </c>
    </row>
    <row r="184" ht="17" customHeight="1">
      <c r="A184" s="40">
        <f>'03_原始数据'!A184</f>
        <v/>
      </c>
      <c r="B184" s="21">
        <f>'03_原始数据'!B184</f>
        <v/>
      </c>
      <c r="C184" s="21">
        <f>'03_原始数据'!C184</f>
        <v/>
      </c>
      <c r="D184" s="21">
        <f>'03_原始数据'!E184</f>
        <v/>
      </c>
      <c r="E184" s="41">
        <f>_xlfn.PERCENTRANK.INC('03_原始数据'!$E$5:$E$873,'03_原始数据'!E184)</f>
        <v/>
      </c>
      <c r="F184" s="21">
        <f>IF(True,AVERAGE('03_原始数据'!$E$125:$E$184),"")</f>
        <v/>
      </c>
      <c r="G184" s="21">
        <f>IF(True,STDEV('03_原始数据'!$E$125:$E$184),"")</f>
        <v/>
      </c>
    </row>
    <row r="185" ht="17" customHeight="1">
      <c r="A185" s="38">
        <f>'03_原始数据'!A185</f>
        <v/>
      </c>
      <c r="B185" s="16">
        <f>'03_原始数据'!B185</f>
        <v/>
      </c>
      <c r="C185" s="16">
        <f>'03_原始数据'!C185</f>
        <v/>
      </c>
      <c r="D185" s="16">
        <f>'03_原始数据'!E185</f>
        <v/>
      </c>
      <c r="E185" s="39">
        <f>_xlfn.PERCENTRANK.INC('03_原始数据'!$E$5:$E$873,'03_原始数据'!E185)</f>
        <v/>
      </c>
      <c r="F185" s="16">
        <f>IF(True,AVERAGE('03_原始数据'!$E$126:$E$185),"")</f>
        <v/>
      </c>
      <c r="G185" s="16">
        <f>IF(True,STDEV('03_原始数据'!$E$126:$E$185),"")</f>
        <v/>
      </c>
    </row>
    <row r="186" ht="17" customHeight="1">
      <c r="A186" s="40">
        <f>'03_原始数据'!A186</f>
        <v/>
      </c>
      <c r="B186" s="21">
        <f>'03_原始数据'!B186</f>
        <v/>
      </c>
      <c r="C186" s="21">
        <f>'03_原始数据'!C186</f>
        <v/>
      </c>
      <c r="D186" s="21">
        <f>'03_原始数据'!E186</f>
        <v/>
      </c>
      <c r="E186" s="41">
        <f>_xlfn.PERCENTRANK.INC('03_原始数据'!$E$5:$E$873,'03_原始数据'!E186)</f>
        <v/>
      </c>
      <c r="F186" s="21">
        <f>IF(True,AVERAGE('03_原始数据'!$E$127:$E$186),"")</f>
        <v/>
      </c>
      <c r="G186" s="21">
        <f>IF(True,STDEV('03_原始数据'!$E$127:$E$186),"")</f>
        <v/>
      </c>
    </row>
    <row r="187" ht="17" customHeight="1">
      <c r="A187" s="38">
        <f>'03_原始数据'!A187</f>
        <v/>
      </c>
      <c r="B187" s="16">
        <f>'03_原始数据'!B187</f>
        <v/>
      </c>
      <c r="C187" s="16">
        <f>'03_原始数据'!C187</f>
        <v/>
      </c>
      <c r="D187" s="16">
        <f>'03_原始数据'!E187</f>
        <v/>
      </c>
      <c r="E187" s="39">
        <f>_xlfn.PERCENTRANK.INC('03_原始数据'!$E$5:$E$873,'03_原始数据'!E187)</f>
        <v/>
      </c>
      <c r="F187" s="16">
        <f>IF(True,AVERAGE('03_原始数据'!$E$128:$E$187),"")</f>
        <v/>
      </c>
      <c r="G187" s="16">
        <f>IF(True,STDEV('03_原始数据'!$E$128:$E$187),"")</f>
        <v/>
      </c>
    </row>
    <row r="188" ht="17" customHeight="1">
      <c r="A188" s="40">
        <f>'03_原始数据'!A188</f>
        <v/>
      </c>
      <c r="B188" s="21">
        <f>'03_原始数据'!B188</f>
        <v/>
      </c>
      <c r="C188" s="21">
        <f>'03_原始数据'!C188</f>
        <v/>
      </c>
      <c r="D188" s="21">
        <f>'03_原始数据'!E188</f>
        <v/>
      </c>
      <c r="E188" s="41">
        <f>_xlfn.PERCENTRANK.INC('03_原始数据'!$E$5:$E$873,'03_原始数据'!E188)</f>
        <v/>
      </c>
      <c r="F188" s="21">
        <f>IF(True,AVERAGE('03_原始数据'!$E$129:$E$188),"")</f>
        <v/>
      </c>
      <c r="G188" s="21">
        <f>IF(True,STDEV('03_原始数据'!$E$129:$E$188),"")</f>
        <v/>
      </c>
    </row>
    <row r="189" ht="17" customHeight="1">
      <c r="A189" s="38">
        <f>'03_原始数据'!A189</f>
        <v/>
      </c>
      <c r="B189" s="16">
        <f>'03_原始数据'!B189</f>
        <v/>
      </c>
      <c r="C189" s="16">
        <f>'03_原始数据'!C189</f>
        <v/>
      </c>
      <c r="D189" s="16">
        <f>'03_原始数据'!E189</f>
        <v/>
      </c>
      <c r="E189" s="39">
        <f>_xlfn.PERCENTRANK.INC('03_原始数据'!$E$5:$E$873,'03_原始数据'!E189)</f>
        <v/>
      </c>
      <c r="F189" s="16">
        <f>IF(True,AVERAGE('03_原始数据'!$E$130:$E$189),"")</f>
        <v/>
      </c>
      <c r="G189" s="16">
        <f>IF(True,STDEV('03_原始数据'!$E$130:$E$189),"")</f>
        <v/>
      </c>
    </row>
    <row r="190" ht="17" customHeight="1">
      <c r="A190" s="40">
        <f>'03_原始数据'!A190</f>
        <v/>
      </c>
      <c r="B190" s="21">
        <f>'03_原始数据'!B190</f>
        <v/>
      </c>
      <c r="C190" s="21">
        <f>'03_原始数据'!C190</f>
        <v/>
      </c>
      <c r="D190" s="21">
        <f>'03_原始数据'!E190</f>
        <v/>
      </c>
      <c r="E190" s="41">
        <f>_xlfn.PERCENTRANK.INC('03_原始数据'!$E$5:$E$873,'03_原始数据'!E190)</f>
        <v/>
      </c>
      <c r="F190" s="21">
        <f>IF(True,AVERAGE('03_原始数据'!$E$131:$E$190),"")</f>
        <v/>
      </c>
      <c r="G190" s="21">
        <f>IF(True,STDEV('03_原始数据'!$E$131:$E$190),"")</f>
        <v/>
      </c>
    </row>
    <row r="191" ht="17" customHeight="1">
      <c r="A191" s="38">
        <f>'03_原始数据'!A191</f>
        <v/>
      </c>
      <c r="B191" s="16">
        <f>'03_原始数据'!B191</f>
        <v/>
      </c>
      <c r="C191" s="16">
        <f>'03_原始数据'!C191</f>
        <v/>
      </c>
      <c r="D191" s="16">
        <f>'03_原始数据'!E191</f>
        <v/>
      </c>
      <c r="E191" s="39">
        <f>_xlfn.PERCENTRANK.INC('03_原始数据'!$E$5:$E$873,'03_原始数据'!E191)</f>
        <v/>
      </c>
      <c r="F191" s="16">
        <f>IF(True,AVERAGE('03_原始数据'!$E$132:$E$191),"")</f>
        <v/>
      </c>
      <c r="G191" s="16">
        <f>IF(True,STDEV('03_原始数据'!$E$132:$E$191),"")</f>
        <v/>
      </c>
    </row>
    <row r="192" ht="17" customHeight="1">
      <c r="A192" s="40">
        <f>'03_原始数据'!A192</f>
        <v/>
      </c>
      <c r="B192" s="21">
        <f>'03_原始数据'!B192</f>
        <v/>
      </c>
      <c r="C192" s="21">
        <f>'03_原始数据'!C192</f>
        <v/>
      </c>
      <c r="D192" s="21">
        <f>'03_原始数据'!E192</f>
        <v/>
      </c>
      <c r="E192" s="41">
        <f>_xlfn.PERCENTRANK.INC('03_原始数据'!$E$5:$E$873,'03_原始数据'!E192)</f>
        <v/>
      </c>
      <c r="F192" s="21">
        <f>IF(True,AVERAGE('03_原始数据'!$E$133:$E$192),"")</f>
        <v/>
      </c>
      <c r="G192" s="21">
        <f>IF(True,STDEV('03_原始数据'!$E$133:$E$192),"")</f>
        <v/>
      </c>
    </row>
    <row r="193" ht="17" customHeight="1">
      <c r="A193" s="38">
        <f>'03_原始数据'!A193</f>
        <v/>
      </c>
      <c r="B193" s="16">
        <f>'03_原始数据'!B193</f>
        <v/>
      </c>
      <c r="C193" s="16">
        <f>'03_原始数据'!C193</f>
        <v/>
      </c>
      <c r="D193" s="16">
        <f>'03_原始数据'!E193</f>
        <v/>
      </c>
      <c r="E193" s="39">
        <f>_xlfn.PERCENTRANK.INC('03_原始数据'!$E$5:$E$873,'03_原始数据'!E193)</f>
        <v/>
      </c>
      <c r="F193" s="16">
        <f>IF(True,AVERAGE('03_原始数据'!$E$134:$E$193),"")</f>
        <v/>
      </c>
      <c r="G193" s="16">
        <f>IF(True,STDEV('03_原始数据'!$E$134:$E$193),"")</f>
        <v/>
      </c>
    </row>
    <row r="194" ht="17" customHeight="1">
      <c r="A194" s="40">
        <f>'03_原始数据'!A194</f>
        <v/>
      </c>
      <c r="B194" s="21">
        <f>'03_原始数据'!B194</f>
        <v/>
      </c>
      <c r="C194" s="21">
        <f>'03_原始数据'!C194</f>
        <v/>
      </c>
      <c r="D194" s="21">
        <f>'03_原始数据'!E194</f>
        <v/>
      </c>
      <c r="E194" s="41">
        <f>_xlfn.PERCENTRANK.INC('03_原始数据'!$E$5:$E$873,'03_原始数据'!E194)</f>
        <v/>
      </c>
      <c r="F194" s="21">
        <f>IF(True,AVERAGE('03_原始数据'!$E$135:$E$194),"")</f>
        <v/>
      </c>
      <c r="G194" s="21">
        <f>IF(True,STDEV('03_原始数据'!$E$135:$E$194),"")</f>
        <v/>
      </c>
    </row>
    <row r="195" ht="17" customHeight="1">
      <c r="A195" s="38">
        <f>'03_原始数据'!A195</f>
        <v/>
      </c>
      <c r="B195" s="16">
        <f>'03_原始数据'!B195</f>
        <v/>
      </c>
      <c r="C195" s="16">
        <f>'03_原始数据'!C195</f>
        <v/>
      </c>
      <c r="D195" s="16">
        <f>'03_原始数据'!E195</f>
        <v/>
      </c>
      <c r="E195" s="39">
        <f>_xlfn.PERCENTRANK.INC('03_原始数据'!$E$5:$E$873,'03_原始数据'!E195)</f>
        <v/>
      </c>
      <c r="F195" s="16">
        <f>IF(True,AVERAGE('03_原始数据'!$E$136:$E$195),"")</f>
        <v/>
      </c>
      <c r="G195" s="16">
        <f>IF(True,STDEV('03_原始数据'!$E$136:$E$195),"")</f>
        <v/>
      </c>
    </row>
    <row r="196" ht="17" customHeight="1">
      <c r="A196" s="40">
        <f>'03_原始数据'!A196</f>
        <v/>
      </c>
      <c r="B196" s="21">
        <f>'03_原始数据'!B196</f>
        <v/>
      </c>
      <c r="C196" s="21">
        <f>'03_原始数据'!C196</f>
        <v/>
      </c>
      <c r="D196" s="21">
        <f>'03_原始数据'!E196</f>
        <v/>
      </c>
      <c r="E196" s="41">
        <f>_xlfn.PERCENTRANK.INC('03_原始数据'!$E$5:$E$873,'03_原始数据'!E196)</f>
        <v/>
      </c>
      <c r="F196" s="21">
        <f>IF(True,AVERAGE('03_原始数据'!$E$137:$E$196),"")</f>
        <v/>
      </c>
      <c r="G196" s="21">
        <f>IF(True,STDEV('03_原始数据'!$E$137:$E$196),"")</f>
        <v/>
      </c>
    </row>
    <row r="197" ht="17" customHeight="1">
      <c r="A197" s="38">
        <f>'03_原始数据'!A197</f>
        <v/>
      </c>
      <c r="B197" s="16">
        <f>'03_原始数据'!B197</f>
        <v/>
      </c>
      <c r="C197" s="16">
        <f>'03_原始数据'!C197</f>
        <v/>
      </c>
      <c r="D197" s="16">
        <f>'03_原始数据'!E197</f>
        <v/>
      </c>
      <c r="E197" s="39">
        <f>_xlfn.PERCENTRANK.INC('03_原始数据'!$E$5:$E$873,'03_原始数据'!E197)</f>
        <v/>
      </c>
      <c r="F197" s="16">
        <f>IF(True,AVERAGE('03_原始数据'!$E$138:$E$197),"")</f>
        <v/>
      </c>
      <c r="G197" s="16">
        <f>IF(True,STDEV('03_原始数据'!$E$138:$E$197),"")</f>
        <v/>
      </c>
    </row>
    <row r="198" ht="17" customHeight="1">
      <c r="A198" s="40">
        <f>'03_原始数据'!A198</f>
        <v/>
      </c>
      <c r="B198" s="21">
        <f>'03_原始数据'!B198</f>
        <v/>
      </c>
      <c r="C198" s="21">
        <f>'03_原始数据'!C198</f>
        <v/>
      </c>
      <c r="D198" s="21">
        <f>'03_原始数据'!E198</f>
        <v/>
      </c>
      <c r="E198" s="41">
        <f>_xlfn.PERCENTRANK.INC('03_原始数据'!$E$5:$E$873,'03_原始数据'!E198)</f>
        <v/>
      </c>
      <c r="F198" s="21">
        <f>IF(True,AVERAGE('03_原始数据'!$E$139:$E$198),"")</f>
        <v/>
      </c>
      <c r="G198" s="21">
        <f>IF(True,STDEV('03_原始数据'!$E$139:$E$198),"")</f>
        <v/>
      </c>
    </row>
    <row r="199" ht="17" customHeight="1">
      <c r="A199" s="38">
        <f>'03_原始数据'!A199</f>
        <v/>
      </c>
      <c r="B199" s="16">
        <f>'03_原始数据'!B199</f>
        <v/>
      </c>
      <c r="C199" s="16">
        <f>'03_原始数据'!C199</f>
        <v/>
      </c>
      <c r="D199" s="16">
        <f>'03_原始数据'!E199</f>
        <v/>
      </c>
      <c r="E199" s="39">
        <f>_xlfn.PERCENTRANK.INC('03_原始数据'!$E$5:$E$873,'03_原始数据'!E199)</f>
        <v/>
      </c>
      <c r="F199" s="16">
        <f>IF(True,AVERAGE('03_原始数据'!$E$140:$E$199),"")</f>
        <v/>
      </c>
      <c r="G199" s="16">
        <f>IF(True,STDEV('03_原始数据'!$E$140:$E$199),"")</f>
        <v/>
      </c>
    </row>
    <row r="200" ht="17" customHeight="1">
      <c r="A200" s="40">
        <f>'03_原始数据'!A200</f>
        <v/>
      </c>
      <c r="B200" s="21">
        <f>'03_原始数据'!B200</f>
        <v/>
      </c>
      <c r="C200" s="21">
        <f>'03_原始数据'!C200</f>
        <v/>
      </c>
      <c r="D200" s="21">
        <f>'03_原始数据'!E200</f>
        <v/>
      </c>
      <c r="E200" s="41">
        <f>_xlfn.PERCENTRANK.INC('03_原始数据'!$E$5:$E$873,'03_原始数据'!E200)</f>
        <v/>
      </c>
      <c r="F200" s="21">
        <f>IF(True,AVERAGE('03_原始数据'!$E$141:$E$200),"")</f>
        <v/>
      </c>
      <c r="G200" s="21">
        <f>IF(True,STDEV('03_原始数据'!$E$141:$E$200),"")</f>
        <v/>
      </c>
    </row>
    <row r="201" ht="17" customHeight="1">
      <c r="A201" s="38">
        <f>'03_原始数据'!A201</f>
        <v/>
      </c>
      <c r="B201" s="16">
        <f>'03_原始数据'!B201</f>
        <v/>
      </c>
      <c r="C201" s="16">
        <f>'03_原始数据'!C201</f>
        <v/>
      </c>
      <c r="D201" s="16">
        <f>'03_原始数据'!E201</f>
        <v/>
      </c>
      <c r="E201" s="39">
        <f>_xlfn.PERCENTRANK.INC('03_原始数据'!$E$5:$E$873,'03_原始数据'!E201)</f>
        <v/>
      </c>
      <c r="F201" s="16">
        <f>IF(True,AVERAGE('03_原始数据'!$E$142:$E$201),"")</f>
        <v/>
      </c>
      <c r="G201" s="16">
        <f>IF(True,STDEV('03_原始数据'!$E$142:$E$201),"")</f>
        <v/>
      </c>
    </row>
    <row r="202" ht="17" customHeight="1">
      <c r="A202" s="40">
        <f>'03_原始数据'!A202</f>
        <v/>
      </c>
      <c r="B202" s="21">
        <f>'03_原始数据'!B202</f>
        <v/>
      </c>
      <c r="C202" s="21">
        <f>'03_原始数据'!C202</f>
        <v/>
      </c>
      <c r="D202" s="21">
        <f>'03_原始数据'!E202</f>
        <v/>
      </c>
      <c r="E202" s="41">
        <f>_xlfn.PERCENTRANK.INC('03_原始数据'!$E$5:$E$873,'03_原始数据'!E202)</f>
        <v/>
      </c>
      <c r="F202" s="21">
        <f>IF(True,AVERAGE('03_原始数据'!$E$143:$E$202),"")</f>
        <v/>
      </c>
      <c r="G202" s="21">
        <f>IF(True,STDEV('03_原始数据'!$E$143:$E$202),"")</f>
        <v/>
      </c>
    </row>
    <row r="203" ht="17" customHeight="1">
      <c r="A203" s="38">
        <f>'03_原始数据'!A203</f>
        <v/>
      </c>
      <c r="B203" s="16">
        <f>'03_原始数据'!B203</f>
        <v/>
      </c>
      <c r="C203" s="16">
        <f>'03_原始数据'!C203</f>
        <v/>
      </c>
      <c r="D203" s="16">
        <f>'03_原始数据'!E203</f>
        <v/>
      </c>
      <c r="E203" s="39">
        <f>_xlfn.PERCENTRANK.INC('03_原始数据'!$E$5:$E$873,'03_原始数据'!E203)</f>
        <v/>
      </c>
      <c r="F203" s="16">
        <f>IF(True,AVERAGE('03_原始数据'!$E$144:$E$203),"")</f>
        <v/>
      </c>
      <c r="G203" s="16">
        <f>IF(True,STDEV('03_原始数据'!$E$144:$E$203),"")</f>
        <v/>
      </c>
    </row>
    <row r="204" ht="17" customHeight="1">
      <c r="A204" s="40">
        <f>'03_原始数据'!A204</f>
        <v/>
      </c>
      <c r="B204" s="21">
        <f>'03_原始数据'!B204</f>
        <v/>
      </c>
      <c r="C204" s="21">
        <f>'03_原始数据'!C204</f>
        <v/>
      </c>
      <c r="D204" s="21">
        <f>'03_原始数据'!E204</f>
        <v/>
      </c>
      <c r="E204" s="41">
        <f>_xlfn.PERCENTRANK.INC('03_原始数据'!$E$5:$E$873,'03_原始数据'!E204)</f>
        <v/>
      </c>
      <c r="F204" s="21">
        <f>IF(True,AVERAGE('03_原始数据'!$E$145:$E$204),"")</f>
        <v/>
      </c>
      <c r="G204" s="21">
        <f>IF(True,STDEV('03_原始数据'!$E$145:$E$204),"")</f>
        <v/>
      </c>
    </row>
    <row r="205" ht="17" customHeight="1">
      <c r="A205" s="38">
        <f>'03_原始数据'!A205</f>
        <v/>
      </c>
      <c r="B205" s="16">
        <f>'03_原始数据'!B205</f>
        <v/>
      </c>
      <c r="C205" s="16">
        <f>'03_原始数据'!C205</f>
        <v/>
      </c>
      <c r="D205" s="16">
        <f>'03_原始数据'!E205</f>
        <v/>
      </c>
      <c r="E205" s="39">
        <f>_xlfn.PERCENTRANK.INC('03_原始数据'!$E$5:$E$873,'03_原始数据'!E205)</f>
        <v/>
      </c>
      <c r="F205" s="16">
        <f>IF(True,AVERAGE('03_原始数据'!$E$146:$E$205),"")</f>
        <v/>
      </c>
      <c r="G205" s="16">
        <f>IF(True,STDEV('03_原始数据'!$E$146:$E$205),"")</f>
        <v/>
      </c>
    </row>
    <row r="206" ht="17" customHeight="1">
      <c r="A206" s="40">
        <f>'03_原始数据'!A206</f>
        <v/>
      </c>
      <c r="B206" s="21">
        <f>'03_原始数据'!B206</f>
        <v/>
      </c>
      <c r="C206" s="21">
        <f>'03_原始数据'!C206</f>
        <v/>
      </c>
      <c r="D206" s="21">
        <f>'03_原始数据'!E206</f>
        <v/>
      </c>
      <c r="E206" s="41">
        <f>_xlfn.PERCENTRANK.INC('03_原始数据'!$E$5:$E$873,'03_原始数据'!E206)</f>
        <v/>
      </c>
      <c r="F206" s="21">
        <f>IF(True,AVERAGE('03_原始数据'!$E$147:$E$206),"")</f>
        <v/>
      </c>
      <c r="G206" s="21">
        <f>IF(True,STDEV('03_原始数据'!$E$147:$E$206),"")</f>
        <v/>
      </c>
    </row>
    <row r="207" ht="17" customHeight="1">
      <c r="A207" s="38">
        <f>'03_原始数据'!A207</f>
        <v/>
      </c>
      <c r="B207" s="16">
        <f>'03_原始数据'!B207</f>
        <v/>
      </c>
      <c r="C207" s="16">
        <f>'03_原始数据'!C207</f>
        <v/>
      </c>
      <c r="D207" s="16">
        <f>'03_原始数据'!E207</f>
        <v/>
      </c>
      <c r="E207" s="39">
        <f>_xlfn.PERCENTRANK.INC('03_原始数据'!$E$5:$E$873,'03_原始数据'!E207)</f>
        <v/>
      </c>
      <c r="F207" s="16">
        <f>IF(True,AVERAGE('03_原始数据'!$E$148:$E$207),"")</f>
        <v/>
      </c>
      <c r="G207" s="16">
        <f>IF(True,STDEV('03_原始数据'!$E$148:$E$207),"")</f>
        <v/>
      </c>
    </row>
    <row r="208" ht="17" customHeight="1">
      <c r="A208" s="40">
        <f>'03_原始数据'!A208</f>
        <v/>
      </c>
      <c r="B208" s="21">
        <f>'03_原始数据'!B208</f>
        <v/>
      </c>
      <c r="C208" s="21">
        <f>'03_原始数据'!C208</f>
        <v/>
      </c>
      <c r="D208" s="21">
        <f>'03_原始数据'!E208</f>
        <v/>
      </c>
      <c r="E208" s="41">
        <f>_xlfn.PERCENTRANK.INC('03_原始数据'!$E$5:$E$873,'03_原始数据'!E208)</f>
        <v/>
      </c>
      <c r="F208" s="21">
        <f>IF(True,AVERAGE('03_原始数据'!$E$149:$E$208),"")</f>
        <v/>
      </c>
      <c r="G208" s="21">
        <f>IF(True,STDEV('03_原始数据'!$E$149:$E$208),"")</f>
        <v/>
      </c>
    </row>
    <row r="209" ht="17" customHeight="1">
      <c r="A209" s="38">
        <f>'03_原始数据'!A209</f>
        <v/>
      </c>
      <c r="B209" s="16">
        <f>'03_原始数据'!B209</f>
        <v/>
      </c>
      <c r="C209" s="16">
        <f>'03_原始数据'!C209</f>
        <v/>
      </c>
      <c r="D209" s="16">
        <f>'03_原始数据'!E209</f>
        <v/>
      </c>
      <c r="E209" s="39">
        <f>_xlfn.PERCENTRANK.INC('03_原始数据'!$E$5:$E$873,'03_原始数据'!E209)</f>
        <v/>
      </c>
      <c r="F209" s="16">
        <f>IF(True,AVERAGE('03_原始数据'!$E$150:$E$209),"")</f>
        <v/>
      </c>
      <c r="G209" s="16">
        <f>IF(True,STDEV('03_原始数据'!$E$150:$E$209),"")</f>
        <v/>
      </c>
    </row>
    <row r="210" ht="17" customHeight="1">
      <c r="A210" s="40">
        <f>'03_原始数据'!A210</f>
        <v/>
      </c>
      <c r="B210" s="21">
        <f>'03_原始数据'!B210</f>
        <v/>
      </c>
      <c r="C210" s="21">
        <f>'03_原始数据'!C210</f>
        <v/>
      </c>
      <c r="D210" s="21">
        <f>'03_原始数据'!E210</f>
        <v/>
      </c>
      <c r="E210" s="41">
        <f>_xlfn.PERCENTRANK.INC('03_原始数据'!$E$5:$E$873,'03_原始数据'!E210)</f>
        <v/>
      </c>
      <c r="F210" s="21">
        <f>IF(True,AVERAGE('03_原始数据'!$E$151:$E$210),"")</f>
        <v/>
      </c>
      <c r="G210" s="21">
        <f>IF(True,STDEV('03_原始数据'!$E$151:$E$210),"")</f>
        <v/>
      </c>
    </row>
    <row r="211" ht="17" customHeight="1">
      <c r="A211" s="38">
        <f>'03_原始数据'!A211</f>
        <v/>
      </c>
      <c r="B211" s="16">
        <f>'03_原始数据'!B211</f>
        <v/>
      </c>
      <c r="C211" s="16">
        <f>'03_原始数据'!C211</f>
        <v/>
      </c>
      <c r="D211" s="16">
        <f>'03_原始数据'!E211</f>
        <v/>
      </c>
      <c r="E211" s="39">
        <f>_xlfn.PERCENTRANK.INC('03_原始数据'!$E$5:$E$873,'03_原始数据'!E211)</f>
        <v/>
      </c>
      <c r="F211" s="16">
        <f>IF(True,AVERAGE('03_原始数据'!$E$152:$E$211),"")</f>
        <v/>
      </c>
      <c r="G211" s="16">
        <f>IF(True,STDEV('03_原始数据'!$E$152:$E$211),"")</f>
        <v/>
      </c>
    </row>
    <row r="212" ht="17" customHeight="1">
      <c r="A212" s="40">
        <f>'03_原始数据'!A212</f>
        <v/>
      </c>
      <c r="B212" s="21">
        <f>'03_原始数据'!B212</f>
        <v/>
      </c>
      <c r="C212" s="21">
        <f>'03_原始数据'!C212</f>
        <v/>
      </c>
      <c r="D212" s="21">
        <f>'03_原始数据'!E212</f>
        <v/>
      </c>
      <c r="E212" s="41">
        <f>_xlfn.PERCENTRANK.INC('03_原始数据'!$E$5:$E$873,'03_原始数据'!E212)</f>
        <v/>
      </c>
      <c r="F212" s="21">
        <f>IF(True,AVERAGE('03_原始数据'!$E$153:$E$212),"")</f>
        <v/>
      </c>
      <c r="G212" s="21">
        <f>IF(True,STDEV('03_原始数据'!$E$153:$E$212),"")</f>
        <v/>
      </c>
    </row>
    <row r="213" ht="17" customHeight="1">
      <c r="A213" s="38">
        <f>'03_原始数据'!A213</f>
        <v/>
      </c>
      <c r="B213" s="16">
        <f>'03_原始数据'!B213</f>
        <v/>
      </c>
      <c r="C213" s="16">
        <f>'03_原始数据'!C213</f>
        <v/>
      </c>
      <c r="D213" s="16">
        <f>'03_原始数据'!E213</f>
        <v/>
      </c>
      <c r="E213" s="39">
        <f>_xlfn.PERCENTRANK.INC('03_原始数据'!$E$5:$E$873,'03_原始数据'!E213)</f>
        <v/>
      </c>
      <c r="F213" s="16">
        <f>IF(True,AVERAGE('03_原始数据'!$E$154:$E$213),"")</f>
        <v/>
      </c>
      <c r="G213" s="16">
        <f>IF(True,STDEV('03_原始数据'!$E$154:$E$213),"")</f>
        <v/>
      </c>
    </row>
    <row r="214" ht="17" customHeight="1">
      <c r="A214" s="40">
        <f>'03_原始数据'!A214</f>
        <v/>
      </c>
      <c r="B214" s="21">
        <f>'03_原始数据'!B214</f>
        <v/>
      </c>
      <c r="C214" s="21">
        <f>'03_原始数据'!C214</f>
        <v/>
      </c>
      <c r="D214" s="21">
        <f>'03_原始数据'!E214</f>
        <v/>
      </c>
      <c r="E214" s="41">
        <f>_xlfn.PERCENTRANK.INC('03_原始数据'!$E$5:$E$873,'03_原始数据'!E214)</f>
        <v/>
      </c>
      <c r="F214" s="21">
        <f>IF(True,AVERAGE('03_原始数据'!$E$155:$E$214),"")</f>
        <v/>
      </c>
      <c r="G214" s="21">
        <f>IF(True,STDEV('03_原始数据'!$E$155:$E$214),"")</f>
        <v/>
      </c>
    </row>
    <row r="215" ht="17" customHeight="1">
      <c r="A215" s="38">
        <f>'03_原始数据'!A215</f>
        <v/>
      </c>
      <c r="B215" s="16">
        <f>'03_原始数据'!B215</f>
        <v/>
      </c>
      <c r="C215" s="16">
        <f>'03_原始数据'!C215</f>
        <v/>
      </c>
      <c r="D215" s="16">
        <f>'03_原始数据'!E215</f>
        <v/>
      </c>
      <c r="E215" s="39">
        <f>_xlfn.PERCENTRANK.INC('03_原始数据'!$E$5:$E$873,'03_原始数据'!E215)</f>
        <v/>
      </c>
      <c r="F215" s="16">
        <f>IF(True,AVERAGE('03_原始数据'!$E$156:$E$215),"")</f>
        <v/>
      </c>
      <c r="G215" s="16">
        <f>IF(True,STDEV('03_原始数据'!$E$156:$E$215),"")</f>
        <v/>
      </c>
    </row>
    <row r="216" ht="17" customHeight="1">
      <c r="A216" s="40">
        <f>'03_原始数据'!A216</f>
        <v/>
      </c>
      <c r="B216" s="21">
        <f>'03_原始数据'!B216</f>
        <v/>
      </c>
      <c r="C216" s="21">
        <f>'03_原始数据'!C216</f>
        <v/>
      </c>
      <c r="D216" s="21">
        <f>'03_原始数据'!E216</f>
        <v/>
      </c>
      <c r="E216" s="41">
        <f>_xlfn.PERCENTRANK.INC('03_原始数据'!$E$5:$E$873,'03_原始数据'!E216)</f>
        <v/>
      </c>
      <c r="F216" s="21">
        <f>IF(True,AVERAGE('03_原始数据'!$E$157:$E$216),"")</f>
        <v/>
      </c>
      <c r="G216" s="21">
        <f>IF(True,STDEV('03_原始数据'!$E$157:$E$216),"")</f>
        <v/>
      </c>
    </row>
    <row r="217" ht="17" customHeight="1">
      <c r="A217" s="38">
        <f>'03_原始数据'!A217</f>
        <v/>
      </c>
      <c r="B217" s="16">
        <f>'03_原始数据'!B217</f>
        <v/>
      </c>
      <c r="C217" s="16">
        <f>'03_原始数据'!C217</f>
        <v/>
      </c>
      <c r="D217" s="16">
        <f>'03_原始数据'!E217</f>
        <v/>
      </c>
      <c r="E217" s="39">
        <f>_xlfn.PERCENTRANK.INC('03_原始数据'!$E$5:$E$873,'03_原始数据'!E217)</f>
        <v/>
      </c>
      <c r="F217" s="16">
        <f>IF(True,AVERAGE('03_原始数据'!$E$158:$E$217),"")</f>
        <v/>
      </c>
      <c r="G217" s="16">
        <f>IF(True,STDEV('03_原始数据'!$E$158:$E$217),"")</f>
        <v/>
      </c>
    </row>
    <row r="218" ht="17" customHeight="1">
      <c r="A218" s="40">
        <f>'03_原始数据'!A218</f>
        <v/>
      </c>
      <c r="B218" s="21">
        <f>'03_原始数据'!B218</f>
        <v/>
      </c>
      <c r="C218" s="21">
        <f>'03_原始数据'!C218</f>
        <v/>
      </c>
      <c r="D218" s="21">
        <f>'03_原始数据'!E218</f>
        <v/>
      </c>
      <c r="E218" s="41">
        <f>_xlfn.PERCENTRANK.INC('03_原始数据'!$E$5:$E$873,'03_原始数据'!E218)</f>
        <v/>
      </c>
      <c r="F218" s="21">
        <f>IF(True,AVERAGE('03_原始数据'!$E$159:$E$218),"")</f>
        <v/>
      </c>
      <c r="G218" s="21">
        <f>IF(True,STDEV('03_原始数据'!$E$159:$E$218),"")</f>
        <v/>
      </c>
    </row>
    <row r="219" ht="17" customHeight="1">
      <c r="A219" s="38">
        <f>'03_原始数据'!A219</f>
        <v/>
      </c>
      <c r="B219" s="16">
        <f>'03_原始数据'!B219</f>
        <v/>
      </c>
      <c r="C219" s="16">
        <f>'03_原始数据'!C219</f>
        <v/>
      </c>
      <c r="D219" s="16">
        <f>'03_原始数据'!E219</f>
        <v/>
      </c>
      <c r="E219" s="39">
        <f>_xlfn.PERCENTRANK.INC('03_原始数据'!$E$5:$E$873,'03_原始数据'!E219)</f>
        <v/>
      </c>
      <c r="F219" s="16">
        <f>IF(True,AVERAGE('03_原始数据'!$E$160:$E$219),"")</f>
        <v/>
      </c>
      <c r="G219" s="16">
        <f>IF(True,STDEV('03_原始数据'!$E$160:$E$219),"")</f>
        <v/>
      </c>
    </row>
    <row r="220" ht="17" customHeight="1">
      <c r="A220" s="40">
        <f>'03_原始数据'!A220</f>
        <v/>
      </c>
      <c r="B220" s="21">
        <f>'03_原始数据'!B220</f>
        <v/>
      </c>
      <c r="C220" s="21">
        <f>'03_原始数据'!C220</f>
        <v/>
      </c>
      <c r="D220" s="21">
        <f>'03_原始数据'!E220</f>
        <v/>
      </c>
      <c r="E220" s="41">
        <f>_xlfn.PERCENTRANK.INC('03_原始数据'!$E$5:$E$873,'03_原始数据'!E220)</f>
        <v/>
      </c>
      <c r="F220" s="21">
        <f>IF(True,AVERAGE('03_原始数据'!$E$161:$E$220),"")</f>
        <v/>
      </c>
      <c r="G220" s="21">
        <f>IF(True,STDEV('03_原始数据'!$E$161:$E$220),"")</f>
        <v/>
      </c>
    </row>
    <row r="221" ht="17" customHeight="1">
      <c r="A221" s="38">
        <f>'03_原始数据'!A221</f>
        <v/>
      </c>
      <c r="B221" s="16">
        <f>'03_原始数据'!B221</f>
        <v/>
      </c>
      <c r="C221" s="16">
        <f>'03_原始数据'!C221</f>
        <v/>
      </c>
      <c r="D221" s="16">
        <f>'03_原始数据'!E221</f>
        <v/>
      </c>
      <c r="E221" s="39">
        <f>_xlfn.PERCENTRANK.INC('03_原始数据'!$E$5:$E$873,'03_原始数据'!E221)</f>
        <v/>
      </c>
      <c r="F221" s="16">
        <f>IF(True,AVERAGE('03_原始数据'!$E$162:$E$221),"")</f>
        <v/>
      </c>
      <c r="G221" s="16">
        <f>IF(True,STDEV('03_原始数据'!$E$162:$E$221),"")</f>
        <v/>
      </c>
    </row>
    <row r="222" ht="17" customHeight="1">
      <c r="A222" s="40">
        <f>'03_原始数据'!A222</f>
        <v/>
      </c>
      <c r="B222" s="21">
        <f>'03_原始数据'!B222</f>
        <v/>
      </c>
      <c r="C222" s="21">
        <f>'03_原始数据'!C222</f>
        <v/>
      </c>
      <c r="D222" s="21">
        <f>'03_原始数据'!E222</f>
        <v/>
      </c>
      <c r="E222" s="41">
        <f>_xlfn.PERCENTRANK.INC('03_原始数据'!$E$5:$E$873,'03_原始数据'!E222)</f>
        <v/>
      </c>
      <c r="F222" s="21">
        <f>IF(True,AVERAGE('03_原始数据'!$E$163:$E$222),"")</f>
        <v/>
      </c>
      <c r="G222" s="21">
        <f>IF(True,STDEV('03_原始数据'!$E$163:$E$222),"")</f>
        <v/>
      </c>
    </row>
    <row r="223" ht="17" customHeight="1">
      <c r="A223" s="38">
        <f>'03_原始数据'!A223</f>
        <v/>
      </c>
      <c r="B223" s="16">
        <f>'03_原始数据'!B223</f>
        <v/>
      </c>
      <c r="C223" s="16">
        <f>'03_原始数据'!C223</f>
        <v/>
      </c>
      <c r="D223" s="16">
        <f>'03_原始数据'!E223</f>
        <v/>
      </c>
      <c r="E223" s="39">
        <f>_xlfn.PERCENTRANK.INC('03_原始数据'!$E$5:$E$873,'03_原始数据'!E223)</f>
        <v/>
      </c>
      <c r="F223" s="16">
        <f>IF(True,AVERAGE('03_原始数据'!$E$164:$E$223),"")</f>
        <v/>
      </c>
      <c r="G223" s="16">
        <f>IF(True,STDEV('03_原始数据'!$E$164:$E$223),"")</f>
        <v/>
      </c>
    </row>
    <row r="224" ht="17" customHeight="1">
      <c r="A224" s="40">
        <f>'03_原始数据'!A224</f>
        <v/>
      </c>
      <c r="B224" s="21">
        <f>'03_原始数据'!B224</f>
        <v/>
      </c>
      <c r="C224" s="21">
        <f>'03_原始数据'!C224</f>
        <v/>
      </c>
      <c r="D224" s="21">
        <f>'03_原始数据'!E224</f>
        <v/>
      </c>
      <c r="E224" s="41">
        <f>_xlfn.PERCENTRANK.INC('03_原始数据'!$E$5:$E$873,'03_原始数据'!E224)</f>
        <v/>
      </c>
      <c r="F224" s="21">
        <f>IF(True,AVERAGE('03_原始数据'!$E$165:$E$224),"")</f>
        <v/>
      </c>
      <c r="G224" s="21">
        <f>IF(True,STDEV('03_原始数据'!$E$165:$E$224),"")</f>
        <v/>
      </c>
    </row>
    <row r="225" ht="17" customHeight="1">
      <c r="A225" s="38">
        <f>'03_原始数据'!A225</f>
        <v/>
      </c>
      <c r="B225" s="16">
        <f>'03_原始数据'!B225</f>
        <v/>
      </c>
      <c r="C225" s="16">
        <f>'03_原始数据'!C225</f>
        <v/>
      </c>
      <c r="D225" s="16">
        <f>'03_原始数据'!E225</f>
        <v/>
      </c>
      <c r="E225" s="39">
        <f>_xlfn.PERCENTRANK.INC('03_原始数据'!$E$5:$E$873,'03_原始数据'!E225)</f>
        <v/>
      </c>
      <c r="F225" s="16">
        <f>IF(True,AVERAGE('03_原始数据'!$E$166:$E$225),"")</f>
        <v/>
      </c>
      <c r="G225" s="16">
        <f>IF(True,STDEV('03_原始数据'!$E$166:$E$225),"")</f>
        <v/>
      </c>
    </row>
    <row r="226" ht="17" customHeight="1">
      <c r="A226" s="40">
        <f>'03_原始数据'!A226</f>
        <v/>
      </c>
      <c r="B226" s="21">
        <f>'03_原始数据'!B226</f>
        <v/>
      </c>
      <c r="C226" s="21">
        <f>'03_原始数据'!C226</f>
        <v/>
      </c>
      <c r="D226" s="21">
        <f>'03_原始数据'!E226</f>
        <v/>
      </c>
      <c r="E226" s="41">
        <f>_xlfn.PERCENTRANK.INC('03_原始数据'!$E$5:$E$873,'03_原始数据'!E226)</f>
        <v/>
      </c>
      <c r="F226" s="21">
        <f>IF(True,AVERAGE('03_原始数据'!$E$167:$E$226),"")</f>
        <v/>
      </c>
      <c r="G226" s="21">
        <f>IF(True,STDEV('03_原始数据'!$E$167:$E$226),"")</f>
        <v/>
      </c>
    </row>
    <row r="227" ht="17" customHeight="1">
      <c r="A227" s="38">
        <f>'03_原始数据'!A227</f>
        <v/>
      </c>
      <c r="B227" s="16">
        <f>'03_原始数据'!B227</f>
        <v/>
      </c>
      <c r="C227" s="16">
        <f>'03_原始数据'!C227</f>
        <v/>
      </c>
      <c r="D227" s="16">
        <f>'03_原始数据'!E227</f>
        <v/>
      </c>
      <c r="E227" s="39">
        <f>_xlfn.PERCENTRANK.INC('03_原始数据'!$E$5:$E$873,'03_原始数据'!E227)</f>
        <v/>
      </c>
      <c r="F227" s="16">
        <f>IF(True,AVERAGE('03_原始数据'!$E$168:$E$227),"")</f>
        <v/>
      </c>
      <c r="G227" s="16">
        <f>IF(True,STDEV('03_原始数据'!$E$168:$E$227),"")</f>
        <v/>
      </c>
    </row>
    <row r="228" ht="17" customHeight="1">
      <c r="A228" s="40">
        <f>'03_原始数据'!A228</f>
        <v/>
      </c>
      <c r="B228" s="21">
        <f>'03_原始数据'!B228</f>
        <v/>
      </c>
      <c r="C228" s="21">
        <f>'03_原始数据'!C228</f>
        <v/>
      </c>
      <c r="D228" s="21">
        <f>'03_原始数据'!E228</f>
        <v/>
      </c>
      <c r="E228" s="41">
        <f>_xlfn.PERCENTRANK.INC('03_原始数据'!$E$5:$E$873,'03_原始数据'!E228)</f>
        <v/>
      </c>
      <c r="F228" s="21">
        <f>IF(True,AVERAGE('03_原始数据'!$E$169:$E$228),"")</f>
        <v/>
      </c>
      <c r="G228" s="21">
        <f>IF(True,STDEV('03_原始数据'!$E$169:$E$228),"")</f>
        <v/>
      </c>
    </row>
    <row r="229" ht="17" customHeight="1">
      <c r="A229" s="38">
        <f>'03_原始数据'!A229</f>
        <v/>
      </c>
      <c r="B229" s="16">
        <f>'03_原始数据'!B229</f>
        <v/>
      </c>
      <c r="C229" s="16">
        <f>'03_原始数据'!C229</f>
        <v/>
      </c>
      <c r="D229" s="16">
        <f>'03_原始数据'!E229</f>
        <v/>
      </c>
      <c r="E229" s="39">
        <f>_xlfn.PERCENTRANK.INC('03_原始数据'!$E$5:$E$873,'03_原始数据'!E229)</f>
        <v/>
      </c>
      <c r="F229" s="16">
        <f>IF(True,AVERAGE('03_原始数据'!$E$170:$E$229),"")</f>
        <v/>
      </c>
      <c r="G229" s="16">
        <f>IF(True,STDEV('03_原始数据'!$E$170:$E$229),"")</f>
        <v/>
      </c>
    </row>
    <row r="230" ht="17" customHeight="1">
      <c r="A230" s="40">
        <f>'03_原始数据'!A230</f>
        <v/>
      </c>
      <c r="B230" s="21">
        <f>'03_原始数据'!B230</f>
        <v/>
      </c>
      <c r="C230" s="21">
        <f>'03_原始数据'!C230</f>
        <v/>
      </c>
      <c r="D230" s="21">
        <f>'03_原始数据'!E230</f>
        <v/>
      </c>
      <c r="E230" s="41">
        <f>_xlfn.PERCENTRANK.INC('03_原始数据'!$E$5:$E$873,'03_原始数据'!E230)</f>
        <v/>
      </c>
      <c r="F230" s="21">
        <f>IF(True,AVERAGE('03_原始数据'!$E$171:$E$230),"")</f>
        <v/>
      </c>
      <c r="G230" s="21">
        <f>IF(True,STDEV('03_原始数据'!$E$171:$E$230),"")</f>
        <v/>
      </c>
    </row>
    <row r="231" ht="17" customHeight="1">
      <c r="A231" s="38">
        <f>'03_原始数据'!A231</f>
        <v/>
      </c>
      <c r="B231" s="16">
        <f>'03_原始数据'!B231</f>
        <v/>
      </c>
      <c r="C231" s="16">
        <f>'03_原始数据'!C231</f>
        <v/>
      </c>
      <c r="D231" s="16">
        <f>'03_原始数据'!E231</f>
        <v/>
      </c>
      <c r="E231" s="39">
        <f>_xlfn.PERCENTRANK.INC('03_原始数据'!$E$5:$E$873,'03_原始数据'!E231)</f>
        <v/>
      </c>
      <c r="F231" s="16">
        <f>IF(True,AVERAGE('03_原始数据'!$E$172:$E$231),"")</f>
        <v/>
      </c>
      <c r="G231" s="16">
        <f>IF(True,STDEV('03_原始数据'!$E$172:$E$231),"")</f>
        <v/>
      </c>
    </row>
    <row r="232" ht="17" customHeight="1">
      <c r="A232" s="40">
        <f>'03_原始数据'!A232</f>
        <v/>
      </c>
      <c r="B232" s="21">
        <f>'03_原始数据'!B232</f>
        <v/>
      </c>
      <c r="C232" s="21">
        <f>'03_原始数据'!C232</f>
        <v/>
      </c>
      <c r="D232" s="21">
        <f>'03_原始数据'!E232</f>
        <v/>
      </c>
      <c r="E232" s="41">
        <f>_xlfn.PERCENTRANK.INC('03_原始数据'!$E$5:$E$873,'03_原始数据'!E232)</f>
        <v/>
      </c>
      <c r="F232" s="21">
        <f>IF(True,AVERAGE('03_原始数据'!$E$173:$E$232),"")</f>
        <v/>
      </c>
      <c r="G232" s="21">
        <f>IF(True,STDEV('03_原始数据'!$E$173:$E$232),"")</f>
        <v/>
      </c>
    </row>
    <row r="233" ht="17" customHeight="1">
      <c r="A233" s="38">
        <f>'03_原始数据'!A233</f>
        <v/>
      </c>
      <c r="B233" s="16">
        <f>'03_原始数据'!B233</f>
        <v/>
      </c>
      <c r="C233" s="16">
        <f>'03_原始数据'!C233</f>
        <v/>
      </c>
      <c r="D233" s="16">
        <f>'03_原始数据'!E233</f>
        <v/>
      </c>
      <c r="E233" s="39">
        <f>_xlfn.PERCENTRANK.INC('03_原始数据'!$E$5:$E$873,'03_原始数据'!E233)</f>
        <v/>
      </c>
      <c r="F233" s="16">
        <f>IF(True,AVERAGE('03_原始数据'!$E$174:$E$233),"")</f>
        <v/>
      </c>
      <c r="G233" s="16">
        <f>IF(True,STDEV('03_原始数据'!$E$174:$E$233),"")</f>
        <v/>
      </c>
    </row>
    <row r="234" ht="17" customHeight="1">
      <c r="A234" s="40">
        <f>'03_原始数据'!A234</f>
        <v/>
      </c>
      <c r="B234" s="21">
        <f>'03_原始数据'!B234</f>
        <v/>
      </c>
      <c r="C234" s="21">
        <f>'03_原始数据'!C234</f>
        <v/>
      </c>
      <c r="D234" s="21">
        <f>'03_原始数据'!E234</f>
        <v/>
      </c>
      <c r="E234" s="41">
        <f>_xlfn.PERCENTRANK.INC('03_原始数据'!$E$5:$E$873,'03_原始数据'!E234)</f>
        <v/>
      </c>
      <c r="F234" s="21">
        <f>IF(True,AVERAGE('03_原始数据'!$E$175:$E$234),"")</f>
        <v/>
      </c>
      <c r="G234" s="21">
        <f>IF(True,STDEV('03_原始数据'!$E$175:$E$234),"")</f>
        <v/>
      </c>
    </row>
    <row r="235" ht="17" customHeight="1">
      <c r="A235" s="38">
        <f>'03_原始数据'!A235</f>
        <v/>
      </c>
      <c r="B235" s="16">
        <f>'03_原始数据'!B235</f>
        <v/>
      </c>
      <c r="C235" s="16">
        <f>'03_原始数据'!C235</f>
        <v/>
      </c>
      <c r="D235" s="16">
        <f>'03_原始数据'!E235</f>
        <v/>
      </c>
      <c r="E235" s="39">
        <f>_xlfn.PERCENTRANK.INC('03_原始数据'!$E$5:$E$873,'03_原始数据'!E235)</f>
        <v/>
      </c>
      <c r="F235" s="16">
        <f>IF(True,AVERAGE('03_原始数据'!$E$176:$E$235),"")</f>
        <v/>
      </c>
      <c r="G235" s="16">
        <f>IF(True,STDEV('03_原始数据'!$E$176:$E$235),"")</f>
        <v/>
      </c>
    </row>
    <row r="236" ht="17" customHeight="1">
      <c r="A236" s="40">
        <f>'03_原始数据'!A236</f>
        <v/>
      </c>
      <c r="B236" s="21">
        <f>'03_原始数据'!B236</f>
        <v/>
      </c>
      <c r="C236" s="21">
        <f>'03_原始数据'!C236</f>
        <v/>
      </c>
      <c r="D236" s="21">
        <f>'03_原始数据'!E236</f>
        <v/>
      </c>
      <c r="E236" s="41">
        <f>_xlfn.PERCENTRANK.INC('03_原始数据'!$E$5:$E$873,'03_原始数据'!E236)</f>
        <v/>
      </c>
      <c r="F236" s="21">
        <f>IF(True,AVERAGE('03_原始数据'!$E$177:$E$236),"")</f>
        <v/>
      </c>
      <c r="G236" s="21">
        <f>IF(True,STDEV('03_原始数据'!$E$177:$E$236),"")</f>
        <v/>
      </c>
    </row>
    <row r="237" ht="17" customHeight="1">
      <c r="A237" s="38">
        <f>'03_原始数据'!A237</f>
        <v/>
      </c>
      <c r="B237" s="16">
        <f>'03_原始数据'!B237</f>
        <v/>
      </c>
      <c r="C237" s="16">
        <f>'03_原始数据'!C237</f>
        <v/>
      </c>
      <c r="D237" s="16">
        <f>'03_原始数据'!E237</f>
        <v/>
      </c>
      <c r="E237" s="39">
        <f>_xlfn.PERCENTRANK.INC('03_原始数据'!$E$5:$E$873,'03_原始数据'!E237)</f>
        <v/>
      </c>
      <c r="F237" s="16">
        <f>IF(True,AVERAGE('03_原始数据'!$E$178:$E$237),"")</f>
        <v/>
      </c>
      <c r="G237" s="16">
        <f>IF(True,STDEV('03_原始数据'!$E$178:$E$237),"")</f>
        <v/>
      </c>
    </row>
    <row r="238" ht="17" customHeight="1">
      <c r="A238" s="40">
        <f>'03_原始数据'!A238</f>
        <v/>
      </c>
      <c r="B238" s="21">
        <f>'03_原始数据'!B238</f>
        <v/>
      </c>
      <c r="C238" s="21">
        <f>'03_原始数据'!C238</f>
        <v/>
      </c>
      <c r="D238" s="21">
        <f>'03_原始数据'!E238</f>
        <v/>
      </c>
      <c r="E238" s="41">
        <f>_xlfn.PERCENTRANK.INC('03_原始数据'!$E$5:$E$873,'03_原始数据'!E238)</f>
        <v/>
      </c>
      <c r="F238" s="21">
        <f>IF(True,AVERAGE('03_原始数据'!$E$179:$E$238),"")</f>
        <v/>
      </c>
      <c r="G238" s="21">
        <f>IF(True,STDEV('03_原始数据'!$E$179:$E$238),"")</f>
        <v/>
      </c>
    </row>
    <row r="239" ht="17" customHeight="1">
      <c r="A239" s="38">
        <f>'03_原始数据'!A239</f>
        <v/>
      </c>
      <c r="B239" s="16">
        <f>'03_原始数据'!B239</f>
        <v/>
      </c>
      <c r="C239" s="16">
        <f>'03_原始数据'!C239</f>
        <v/>
      </c>
      <c r="D239" s="16">
        <f>'03_原始数据'!E239</f>
        <v/>
      </c>
      <c r="E239" s="39">
        <f>_xlfn.PERCENTRANK.INC('03_原始数据'!$E$5:$E$873,'03_原始数据'!E239)</f>
        <v/>
      </c>
      <c r="F239" s="16">
        <f>IF(True,AVERAGE('03_原始数据'!$E$180:$E$239),"")</f>
        <v/>
      </c>
      <c r="G239" s="16">
        <f>IF(True,STDEV('03_原始数据'!$E$180:$E$239),"")</f>
        <v/>
      </c>
    </row>
    <row r="240" ht="17" customHeight="1">
      <c r="A240" s="40">
        <f>'03_原始数据'!A240</f>
        <v/>
      </c>
      <c r="B240" s="21">
        <f>'03_原始数据'!B240</f>
        <v/>
      </c>
      <c r="C240" s="21">
        <f>'03_原始数据'!C240</f>
        <v/>
      </c>
      <c r="D240" s="21">
        <f>'03_原始数据'!E240</f>
        <v/>
      </c>
      <c r="E240" s="41">
        <f>_xlfn.PERCENTRANK.INC('03_原始数据'!$E$5:$E$873,'03_原始数据'!E240)</f>
        <v/>
      </c>
      <c r="F240" s="21">
        <f>IF(True,AVERAGE('03_原始数据'!$E$181:$E$240),"")</f>
        <v/>
      </c>
      <c r="G240" s="21">
        <f>IF(True,STDEV('03_原始数据'!$E$181:$E$240),"")</f>
        <v/>
      </c>
    </row>
    <row r="241" ht="17" customHeight="1">
      <c r="A241" s="38">
        <f>'03_原始数据'!A241</f>
        <v/>
      </c>
      <c r="B241" s="16">
        <f>'03_原始数据'!B241</f>
        <v/>
      </c>
      <c r="C241" s="16">
        <f>'03_原始数据'!C241</f>
        <v/>
      </c>
      <c r="D241" s="16">
        <f>'03_原始数据'!E241</f>
        <v/>
      </c>
      <c r="E241" s="39">
        <f>_xlfn.PERCENTRANK.INC('03_原始数据'!$E$5:$E$873,'03_原始数据'!E241)</f>
        <v/>
      </c>
      <c r="F241" s="16">
        <f>IF(True,AVERAGE('03_原始数据'!$E$182:$E$241),"")</f>
        <v/>
      </c>
      <c r="G241" s="16">
        <f>IF(True,STDEV('03_原始数据'!$E$182:$E$241),"")</f>
        <v/>
      </c>
    </row>
    <row r="242" ht="17" customHeight="1">
      <c r="A242" s="40">
        <f>'03_原始数据'!A242</f>
        <v/>
      </c>
      <c r="B242" s="21">
        <f>'03_原始数据'!B242</f>
        <v/>
      </c>
      <c r="C242" s="21">
        <f>'03_原始数据'!C242</f>
        <v/>
      </c>
      <c r="D242" s="21">
        <f>'03_原始数据'!E242</f>
        <v/>
      </c>
      <c r="E242" s="41">
        <f>_xlfn.PERCENTRANK.INC('03_原始数据'!$E$5:$E$873,'03_原始数据'!E242)</f>
        <v/>
      </c>
      <c r="F242" s="21">
        <f>IF(True,AVERAGE('03_原始数据'!$E$183:$E$242),"")</f>
        <v/>
      </c>
      <c r="G242" s="21">
        <f>IF(True,STDEV('03_原始数据'!$E$183:$E$242),"")</f>
        <v/>
      </c>
    </row>
    <row r="243" ht="17" customHeight="1">
      <c r="A243" s="38">
        <f>'03_原始数据'!A243</f>
        <v/>
      </c>
      <c r="B243" s="16">
        <f>'03_原始数据'!B243</f>
        <v/>
      </c>
      <c r="C243" s="16">
        <f>'03_原始数据'!C243</f>
        <v/>
      </c>
      <c r="D243" s="16">
        <f>'03_原始数据'!E243</f>
        <v/>
      </c>
      <c r="E243" s="39">
        <f>_xlfn.PERCENTRANK.INC('03_原始数据'!$E$5:$E$873,'03_原始数据'!E243)</f>
        <v/>
      </c>
      <c r="F243" s="16">
        <f>IF(True,AVERAGE('03_原始数据'!$E$184:$E$243),"")</f>
        <v/>
      </c>
      <c r="G243" s="16">
        <f>IF(True,STDEV('03_原始数据'!$E$184:$E$243),"")</f>
        <v/>
      </c>
    </row>
    <row r="244" ht="17" customHeight="1">
      <c r="A244" s="40">
        <f>'03_原始数据'!A244</f>
        <v/>
      </c>
      <c r="B244" s="21">
        <f>'03_原始数据'!B244</f>
        <v/>
      </c>
      <c r="C244" s="21">
        <f>'03_原始数据'!C244</f>
        <v/>
      </c>
      <c r="D244" s="21">
        <f>'03_原始数据'!E244</f>
        <v/>
      </c>
      <c r="E244" s="41">
        <f>_xlfn.PERCENTRANK.INC('03_原始数据'!$E$5:$E$873,'03_原始数据'!E244)</f>
        <v/>
      </c>
      <c r="F244" s="21">
        <f>IF(True,AVERAGE('03_原始数据'!$E$185:$E$244),"")</f>
        <v/>
      </c>
      <c r="G244" s="21">
        <f>IF(True,STDEV('03_原始数据'!$E$185:$E$244),"")</f>
        <v/>
      </c>
    </row>
    <row r="245" ht="17" customHeight="1">
      <c r="A245" s="38">
        <f>'03_原始数据'!A245</f>
        <v/>
      </c>
      <c r="B245" s="16">
        <f>'03_原始数据'!B245</f>
        <v/>
      </c>
      <c r="C245" s="16">
        <f>'03_原始数据'!C245</f>
        <v/>
      </c>
      <c r="D245" s="16">
        <f>'03_原始数据'!E245</f>
        <v/>
      </c>
      <c r="E245" s="39">
        <f>_xlfn.PERCENTRANK.INC('03_原始数据'!$E$5:$E$873,'03_原始数据'!E245)</f>
        <v/>
      </c>
      <c r="F245" s="16">
        <f>IF(True,AVERAGE('03_原始数据'!$E$186:$E$245),"")</f>
        <v/>
      </c>
      <c r="G245" s="16">
        <f>IF(True,STDEV('03_原始数据'!$E$186:$E$245),"")</f>
        <v/>
      </c>
    </row>
    <row r="246" ht="17" customHeight="1">
      <c r="A246" s="40">
        <f>'03_原始数据'!A246</f>
        <v/>
      </c>
      <c r="B246" s="21">
        <f>'03_原始数据'!B246</f>
        <v/>
      </c>
      <c r="C246" s="21">
        <f>'03_原始数据'!C246</f>
        <v/>
      </c>
      <c r="D246" s="21">
        <f>'03_原始数据'!E246</f>
        <v/>
      </c>
      <c r="E246" s="41">
        <f>_xlfn.PERCENTRANK.INC('03_原始数据'!$E$5:$E$873,'03_原始数据'!E246)</f>
        <v/>
      </c>
      <c r="F246" s="21">
        <f>IF(True,AVERAGE('03_原始数据'!$E$187:$E$246),"")</f>
        <v/>
      </c>
      <c r="G246" s="21">
        <f>IF(True,STDEV('03_原始数据'!$E$187:$E$246),"")</f>
        <v/>
      </c>
    </row>
    <row r="247" ht="17" customHeight="1">
      <c r="A247" s="38">
        <f>'03_原始数据'!A247</f>
        <v/>
      </c>
      <c r="B247" s="16">
        <f>'03_原始数据'!B247</f>
        <v/>
      </c>
      <c r="C247" s="16">
        <f>'03_原始数据'!C247</f>
        <v/>
      </c>
      <c r="D247" s="16">
        <f>'03_原始数据'!E247</f>
        <v/>
      </c>
      <c r="E247" s="39">
        <f>_xlfn.PERCENTRANK.INC('03_原始数据'!$E$5:$E$873,'03_原始数据'!E247)</f>
        <v/>
      </c>
      <c r="F247" s="16">
        <f>IF(True,AVERAGE('03_原始数据'!$E$188:$E$247),"")</f>
        <v/>
      </c>
      <c r="G247" s="16">
        <f>IF(True,STDEV('03_原始数据'!$E$188:$E$247),"")</f>
        <v/>
      </c>
    </row>
    <row r="248" ht="17" customHeight="1">
      <c r="A248" s="40">
        <f>'03_原始数据'!A248</f>
        <v/>
      </c>
      <c r="B248" s="21">
        <f>'03_原始数据'!B248</f>
        <v/>
      </c>
      <c r="C248" s="21">
        <f>'03_原始数据'!C248</f>
        <v/>
      </c>
      <c r="D248" s="21">
        <f>'03_原始数据'!E248</f>
        <v/>
      </c>
      <c r="E248" s="41">
        <f>_xlfn.PERCENTRANK.INC('03_原始数据'!$E$5:$E$873,'03_原始数据'!E248)</f>
        <v/>
      </c>
      <c r="F248" s="21">
        <f>IF(True,AVERAGE('03_原始数据'!$E$189:$E$248),"")</f>
        <v/>
      </c>
      <c r="G248" s="21">
        <f>IF(True,STDEV('03_原始数据'!$E$189:$E$248),"")</f>
        <v/>
      </c>
    </row>
    <row r="249" ht="17" customHeight="1">
      <c r="A249" s="38">
        <f>'03_原始数据'!A249</f>
        <v/>
      </c>
      <c r="B249" s="16">
        <f>'03_原始数据'!B249</f>
        <v/>
      </c>
      <c r="C249" s="16">
        <f>'03_原始数据'!C249</f>
        <v/>
      </c>
      <c r="D249" s="16">
        <f>'03_原始数据'!E249</f>
        <v/>
      </c>
      <c r="E249" s="39">
        <f>_xlfn.PERCENTRANK.INC('03_原始数据'!$E$5:$E$873,'03_原始数据'!E249)</f>
        <v/>
      </c>
      <c r="F249" s="16">
        <f>IF(True,AVERAGE('03_原始数据'!$E$190:$E$249),"")</f>
        <v/>
      </c>
      <c r="G249" s="16">
        <f>IF(True,STDEV('03_原始数据'!$E$190:$E$249),"")</f>
        <v/>
      </c>
    </row>
    <row r="250" ht="17" customHeight="1">
      <c r="A250" s="40">
        <f>'03_原始数据'!A250</f>
        <v/>
      </c>
      <c r="B250" s="21">
        <f>'03_原始数据'!B250</f>
        <v/>
      </c>
      <c r="C250" s="21">
        <f>'03_原始数据'!C250</f>
        <v/>
      </c>
      <c r="D250" s="21">
        <f>'03_原始数据'!E250</f>
        <v/>
      </c>
      <c r="E250" s="41">
        <f>_xlfn.PERCENTRANK.INC('03_原始数据'!$E$5:$E$873,'03_原始数据'!E250)</f>
        <v/>
      </c>
      <c r="F250" s="21">
        <f>IF(True,AVERAGE('03_原始数据'!$E$191:$E$250),"")</f>
        <v/>
      </c>
      <c r="G250" s="21">
        <f>IF(True,STDEV('03_原始数据'!$E$191:$E$250),"")</f>
        <v/>
      </c>
    </row>
    <row r="251" ht="17" customHeight="1">
      <c r="A251" s="38">
        <f>'03_原始数据'!A251</f>
        <v/>
      </c>
      <c r="B251" s="16">
        <f>'03_原始数据'!B251</f>
        <v/>
      </c>
      <c r="C251" s="16">
        <f>'03_原始数据'!C251</f>
        <v/>
      </c>
      <c r="D251" s="16">
        <f>'03_原始数据'!E251</f>
        <v/>
      </c>
      <c r="E251" s="39">
        <f>_xlfn.PERCENTRANK.INC('03_原始数据'!$E$5:$E$873,'03_原始数据'!E251)</f>
        <v/>
      </c>
      <c r="F251" s="16">
        <f>IF(True,AVERAGE('03_原始数据'!$E$192:$E$251),"")</f>
        <v/>
      </c>
      <c r="G251" s="16">
        <f>IF(True,STDEV('03_原始数据'!$E$192:$E$251),"")</f>
        <v/>
      </c>
    </row>
    <row r="252" ht="17" customHeight="1">
      <c r="A252" s="40">
        <f>'03_原始数据'!A252</f>
        <v/>
      </c>
      <c r="B252" s="21">
        <f>'03_原始数据'!B252</f>
        <v/>
      </c>
      <c r="C252" s="21">
        <f>'03_原始数据'!C252</f>
        <v/>
      </c>
      <c r="D252" s="21">
        <f>'03_原始数据'!E252</f>
        <v/>
      </c>
      <c r="E252" s="41">
        <f>_xlfn.PERCENTRANK.INC('03_原始数据'!$E$5:$E$873,'03_原始数据'!E252)</f>
        <v/>
      </c>
      <c r="F252" s="21">
        <f>IF(True,AVERAGE('03_原始数据'!$E$193:$E$252),"")</f>
        <v/>
      </c>
      <c r="G252" s="21">
        <f>IF(True,STDEV('03_原始数据'!$E$193:$E$252),"")</f>
        <v/>
      </c>
    </row>
    <row r="253" ht="17" customHeight="1">
      <c r="A253" s="38">
        <f>'03_原始数据'!A253</f>
        <v/>
      </c>
      <c r="B253" s="16">
        <f>'03_原始数据'!B253</f>
        <v/>
      </c>
      <c r="C253" s="16">
        <f>'03_原始数据'!C253</f>
        <v/>
      </c>
      <c r="D253" s="16">
        <f>'03_原始数据'!E253</f>
        <v/>
      </c>
      <c r="E253" s="39">
        <f>_xlfn.PERCENTRANK.INC('03_原始数据'!$E$5:$E$873,'03_原始数据'!E253)</f>
        <v/>
      </c>
      <c r="F253" s="16">
        <f>IF(True,AVERAGE('03_原始数据'!$E$194:$E$253),"")</f>
        <v/>
      </c>
      <c r="G253" s="16">
        <f>IF(True,STDEV('03_原始数据'!$E$194:$E$253),"")</f>
        <v/>
      </c>
    </row>
    <row r="254" ht="17" customHeight="1">
      <c r="A254" s="40">
        <f>'03_原始数据'!A254</f>
        <v/>
      </c>
      <c r="B254" s="21">
        <f>'03_原始数据'!B254</f>
        <v/>
      </c>
      <c r="C254" s="21">
        <f>'03_原始数据'!C254</f>
        <v/>
      </c>
      <c r="D254" s="21">
        <f>'03_原始数据'!E254</f>
        <v/>
      </c>
      <c r="E254" s="41">
        <f>_xlfn.PERCENTRANK.INC('03_原始数据'!$E$5:$E$873,'03_原始数据'!E254)</f>
        <v/>
      </c>
      <c r="F254" s="21">
        <f>IF(True,AVERAGE('03_原始数据'!$E$195:$E$254),"")</f>
        <v/>
      </c>
      <c r="G254" s="21">
        <f>IF(True,STDEV('03_原始数据'!$E$195:$E$254),"")</f>
        <v/>
      </c>
    </row>
    <row r="255" ht="17" customHeight="1">
      <c r="A255" s="38">
        <f>'03_原始数据'!A255</f>
        <v/>
      </c>
      <c r="B255" s="16">
        <f>'03_原始数据'!B255</f>
        <v/>
      </c>
      <c r="C255" s="16">
        <f>'03_原始数据'!C255</f>
        <v/>
      </c>
      <c r="D255" s="16">
        <f>'03_原始数据'!E255</f>
        <v/>
      </c>
      <c r="E255" s="39">
        <f>_xlfn.PERCENTRANK.INC('03_原始数据'!$E$5:$E$873,'03_原始数据'!E255)</f>
        <v/>
      </c>
      <c r="F255" s="16">
        <f>IF(True,AVERAGE('03_原始数据'!$E$196:$E$255),"")</f>
        <v/>
      </c>
      <c r="G255" s="16">
        <f>IF(True,STDEV('03_原始数据'!$E$196:$E$255),"")</f>
        <v/>
      </c>
    </row>
    <row r="256" ht="17" customHeight="1">
      <c r="A256" s="40">
        <f>'03_原始数据'!A256</f>
        <v/>
      </c>
      <c r="B256" s="21">
        <f>'03_原始数据'!B256</f>
        <v/>
      </c>
      <c r="C256" s="21">
        <f>'03_原始数据'!C256</f>
        <v/>
      </c>
      <c r="D256" s="21">
        <f>'03_原始数据'!E256</f>
        <v/>
      </c>
      <c r="E256" s="41">
        <f>_xlfn.PERCENTRANK.INC('03_原始数据'!$E$5:$E$873,'03_原始数据'!E256)</f>
        <v/>
      </c>
      <c r="F256" s="21">
        <f>IF(True,AVERAGE('03_原始数据'!$E$197:$E$256),"")</f>
        <v/>
      </c>
      <c r="G256" s="21">
        <f>IF(True,STDEV('03_原始数据'!$E$197:$E$256),"")</f>
        <v/>
      </c>
    </row>
    <row r="257" ht="17" customHeight="1">
      <c r="A257" s="38">
        <f>'03_原始数据'!A257</f>
        <v/>
      </c>
      <c r="B257" s="16">
        <f>'03_原始数据'!B257</f>
        <v/>
      </c>
      <c r="C257" s="16">
        <f>'03_原始数据'!C257</f>
        <v/>
      </c>
      <c r="D257" s="16">
        <f>'03_原始数据'!E257</f>
        <v/>
      </c>
      <c r="E257" s="39">
        <f>_xlfn.PERCENTRANK.INC('03_原始数据'!$E$5:$E$873,'03_原始数据'!E257)</f>
        <v/>
      </c>
      <c r="F257" s="16">
        <f>IF(True,AVERAGE('03_原始数据'!$E$198:$E$257),"")</f>
        <v/>
      </c>
      <c r="G257" s="16">
        <f>IF(True,STDEV('03_原始数据'!$E$198:$E$257),"")</f>
        <v/>
      </c>
    </row>
    <row r="258" ht="17" customHeight="1">
      <c r="A258" s="40">
        <f>'03_原始数据'!A258</f>
        <v/>
      </c>
      <c r="B258" s="21">
        <f>'03_原始数据'!B258</f>
        <v/>
      </c>
      <c r="C258" s="21">
        <f>'03_原始数据'!C258</f>
        <v/>
      </c>
      <c r="D258" s="21">
        <f>'03_原始数据'!E258</f>
        <v/>
      </c>
      <c r="E258" s="41">
        <f>_xlfn.PERCENTRANK.INC('03_原始数据'!$E$5:$E$873,'03_原始数据'!E258)</f>
        <v/>
      </c>
      <c r="F258" s="21">
        <f>IF(True,AVERAGE('03_原始数据'!$E$199:$E$258),"")</f>
        <v/>
      </c>
      <c r="G258" s="21">
        <f>IF(True,STDEV('03_原始数据'!$E$199:$E$258),"")</f>
        <v/>
      </c>
    </row>
    <row r="259" ht="17" customHeight="1">
      <c r="A259" s="38">
        <f>'03_原始数据'!A259</f>
        <v/>
      </c>
      <c r="B259" s="16">
        <f>'03_原始数据'!B259</f>
        <v/>
      </c>
      <c r="C259" s="16">
        <f>'03_原始数据'!C259</f>
        <v/>
      </c>
      <c r="D259" s="16">
        <f>'03_原始数据'!E259</f>
        <v/>
      </c>
      <c r="E259" s="39">
        <f>_xlfn.PERCENTRANK.INC('03_原始数据'!$E$5:$E$873,'03_原始数据'!E259)</f>
        <v/>
      </c>
      <c r="F259" s="16">
        <f>IF(True,AVERAGE('03_原始数据'!$E$200:$E$259),"")</f>
        <v/>
      </c>
      <c r="G259" s="16">
        <f>IF(True,STDEV('03_原始数据'!$E$200:$E$259),"")</f>
        <v/>
      </c>
    </row>
    <row r="260" ht="17" customHeight="1">
      <c r="A260" s="40">
        <f>'03_原始数据'!A260</f>
        <v/>
      </c>
      <c r="B260" s="21">
        <f>'03_原始数据'!B260</f>
        <v/>
      </c>
      <c r="C260" s="21">
        <f>'03_原始数据'!C260</f>
        <v/>
      </c>
      <c r="D260" s="21">
        <f>'03_原始数据'!E260</f>
        <v/>
      </c>
      <c r="E260" s="41">
        <f>_xlfn.PERCENTRANK.INC('03_原始数据'!$E$5:$E$873,'03_原始数据'!E260)</f>
        <v/>
      </c>
      <c r="F260" s="21">
        <f>IF(True,AVERAGE('03_原始数据'!$E$201:$E$260),"")</f>
        <v/>
      </c>
      <c r="G260" s="21">
        <f>IF(True,STDEV('03_原始数据'!$E$201:$E$260),"")</f>
        <v/>
      </c>
    </row>
    <row r="261" ht="17" customHeight="1">
      <c r="A261" s="38">
        <f>'03_原始数据'!A261</f>
        <v/>
      </c>
      <c r="B261" s="16">
        <f>'03_原始数据'!B261</f>
        <v/>
      </c>
      <c r="C261" s="16">
        <f>'03_原始数据'!C261</f>
        <v/>
      </c>
      <c r="D261" s="16">
        <f>'03_原始数据'!E261</f>
        <v/>
      </c>
      <c r="E261" s="39">
        <f>_xlfn.PERCENTRANK.INC('03_原始数据'!$E$5:$E$873,'03_原始数据'!E261)</f>
        <v/>
      </c>
      <c r="F261" s="16">
        <f>IF(True,AVERAGE('03_原始数据'!$E$202:$E$261),"")</f>
        <v/>
      </c>
      <c r="G261" s="16">
        <f>IF(True,STDEV('03_原始数据'!$E$202:$E$261),"")</f>
        <v/>
      </c>
    </row>
    <row r="262" ht="17" customHeight="1">
      <c r="A262" s="40">
        <f>'03_原始数据'!A262</f>
        <v/>
      </c>
      <c r="B262" s="21">
        <f>'03_原始数据'!B262</f>
        <v/>
      </c>
      <c r="C262" s="21">
        <f>'03_原始数据'!C262</f>
        <v/>
      </c>
      <c r="D262" s="21">
        <f>'03_原始数据'!E262</f>
        <v/>
      </c>
      <c r="E262" s="41">
        <f>_xlfn.PERCENTRANK.INC('03_原始数据'!$E$5:$E$873,'03_原始数据'!E262)</f>
        <v/>
      </c>
      <c r="F262" s="21">
        <f>IF(True,AVERAGE('03_原始数据'!$E$203:$E$262),"")</f>
        <v/>
      </c>
      <c r="G262" s="21">
        <f>IF(True,STDEV('03_原始数据'!$E$203:$E$262),"")</f>
        <v/>
      </c>
    </row>
    <row r="263" ht="17" customHeight="1">
      <c r="A263" s="38">
        <f>'03_原始数据'!A263</f>
        <v/>
      </c>
      <c r="B263" s="16">
        <f>'03_原始数据'!B263</f>
        <v/>
      </c>
      <c r="C263" s="16">
        <f>'03_原始数据'!C263</f>
        <v/>
      </c>
      <c r="D263" s="16">
        <f>'03_原始数据'!E263</f>
        <v/>
      </c>
      <c r="E263" s="39">
        <f>_xlfn.PERCENTRANK.INC('03_原始数据'!$E$5:$E$873,'03_原始数据'!E263)</f>
        <v/>
      </c>
      <c r="F263" s="16">
        <f>IF(True,AVERAGE('03_原始数据'!$E$204:$E$263),"")</f>
        <v/>
      </c>
      <c r="G263" s="16">
        <f>IF(True,STDEV('03_原始数据'!$E$204:$E$263),"")</f>
        <v/>
      </c>
    </row>
    <row r="264" ht="17" customHeight="1">
      <c r="A264" s="40">
        <f>'03_原始数据'!A264</f>
        <v/>
      </c>
      <c r="B264" s="21">
        <f>'03_原始数据'!B264</f>
        <v/>
      </c>
      <c r="C264" s="21">
        <f>'03_原始数据'!C264</f>
        <v/>
      </c>
      <c r="D264" s="21">
        <f>'03_原始数据'!E264</f>
        <v/>
      </c>
      <c r="E264" s="41">
        <f>_xlfn.PERCENTRANK.INC('03_原始数据'!$E$5:$E$873,'03_原始数据'!E264)</f>
        <v/>
      </c>
      <c r="F264" s="21">
        <f>IF(True,AVERAGE('03_原始数据'!$E$205:$E$264),"")</f>
        <v/>
      </c>
      <c r="G264" s="21">
        <f>IF(True,STDEV('03_原始数据'!$E$205:$E$264),"")</f>
        <v/>
      </c>
    </row>
    <row r="265" ht="17" customHeight="1">
      <c r="A265" s="38">
        <f>'03_原始数据'!A265</f>
        <v/>
      </c>
      <c r="B265" s="16">
        <f>'03_原始数据'!B265</f>
        <v/>
      </c>
      <c r="C265" s="16">
        <f>'03_原始数据'!C265</f>
        <v/>
      </c>
      <c r="D265" s="16">
        <f>'03_原始数据'!E265</f>
        <v/>
      </c>
      <c r="E265" s="39">
        <f>_xlfn.PERCENTRANK.INC('03_原始数据'!$E$5:$E$873,'03_原始数据'!E265)</f>
        <v/>
      </c>
      <c r="F265" s="16">
        <f>IF(True,AVERAGE('03_原始数据'!$E$206:$E$265),"")</f>
        <v/>
      </c>
      <c r="G265" s="16">
        <f>IF(True,STDEV('03_原始数据'!$E$206:$E$265),"")</f>
        <v/>
      </c>
    </row>
    <row r="266" ht="17" customHeight="1">
      <c r="A266" s="40">
        <f>'03_原始数据'!A266</f>
        <v/>
      </c>
      <c r="B266" s="21">
        <f>'03_原始数据'!B266</f>
        <v/>
      </c>
      <c r="C266" s="21">
        <f>'03_原始数据'!C266</f>
        <v/>
      </c>
      <c r="D266" s="21">
        <f>'03_原始数据'!E266</f>
        <v/>
      </c>
      <c r="E266" s="41">
        <f>_xlfn.PERCENTRANK.INC('03_原始数据'!$E$5:$E$873,'03_原始数据'!E266)</f>
        <v/>
      </c>
      <c r="F266" s="21">
        <f>IF(True,AVERAGE('03_原始数据'!$E$207:$E$266),"")</f>
        <v/>
      </c>
      <c r="G266" s="21">
        <f>IF(True,STDEV('03_原始数据'!$E$207:$E$266),"")</f>
        <v/>
      </c>
    </row>
    <row r="267" ht="17" customHeight="1">
      <c r="A267" s="38">
        <f>'03_原始数据'!A267</f>
        <v/>
      </c>
      <c r="B267" s="16">
        <f>'03_原始数据'!B267</f>
        <v/>
      </c>
      <c r="C267" s="16">
        <f>'03_原始数据'!C267</f>
        <v/>
      </c>
      <c r="D267" s="16">
        <f>'03_原始数据'!E267</f>
        <v/>
      </c>
      <c r="E267" s="39">
        <f>_xlfn.PERCENTRANK.INC('03_原始数据'!$E$5:$E$873,'03_原始数据'!E267)</f>
        <v/>
      </c>
      <c r="F267" s="16">
        <f>IF(True,AVERAGE('03_原始数据'!$E$208:$E$267),"")</f>
        <v/>
      </c>
      <c r="G267" s="16">
        <f>IF(True,STDEV('03_原始数据'!$E$208:$E$267),"")</f>
        <v/>
      </c>
    </row>
    <row r="268" ht="17" customHeight="1">
      <c r="A268" s="40">
        <f>'03_原始数据'!A268</f>
        <v/>
      </c>
      <c r="B268" s="21">
        <f>'03_原始数据'!B268</f>
        <v/>
      </c>
      <c r="C268" s="21">
        <f>'03_原始数据'!C268</f>
        <v/>
      </c>
      <c r="D268" s="21">
        <f>'03_原始数据'!E268</f>
        <v/>
      </c>
      <c r="E268" s="41">
        <f>_xlfn.PERCENTRANK.INC('03_原始数据'!$E$5:$E$873,'03_原始数据'!E268)</f>
        <v/>
      </c>
      <c r="F268" s="21">
        <f>IF(True,AVERAGE('03_原始数据'!$E$209:$E$268),"")</f>
        <v/>
      </c>
      <c r="G268" s="21">
        <f>IF(True,STDEV('03_原始数据'!$E$209:$E$268),"")</f>
        <v/>
      </c>
    </row>
    <row r="269" ht="17" customHeight="1">
      <c r="A269" s="38">
        <f>'03_原始数据'!A269</f>
        <v/>
      </c>
      <c r="B269" s="16">
        <f>'03_原始数据'!B269</f>
        <v/>
      </c>
      <c r="C269" s="16">
        <f>'03_原始数据'!C269</f>
        <v/>
      </c>
      <c r="D269" s="16">
        <f>'03_原始数据'!E269</f>
        <v/>
      </c>
      <c r="E269" s="39">
        <f>_xlfn.PERCENTRANK.INC('03_原始数据'!$E$5:$E$873,'03_原始数据'!E269)</f>
        <v/>
      </c>
      <c r="F269" s="16">
        <f>IF(True,AVERAGE('03_原始数据'!$E$210:$E$269),"")</f>
        <v/>
      </c>
      <c r="G269" s="16">
        <f>IF(True,STDEV('03_原始数据'!$E$210:$E$269),"")</f>
        <v/>
      </c>
    </row>
    <row r="270" ht="17" customHeight="1">
      <c r="A270" s="40">
        <f>'03_原始数据'!A270</f>
        <v/>
      </c>
      <c r="B270" s="21">
        <f>'03_原始数据'!B270</f>
        <v/>
      </c>
      <c r="C270" s="21">
        <f>'03_原始数据'!C270</f>
        <v/>
      </c>
      <c r="D270" s="21">
        <f>'03_原始数据'!E270</f>
        <v/>
      </c>
      <c r="E270" s="41">
        <f>_xlfn.PERCENTRANK.INC('03_原始数据'!$E$5:$E$873,'03_原始数据'!E270)</f>
        <v/>
      </c>
      <c r="F270" s="21">
        <f>IF(True,AVERAGE('03_原始数据'!$E$211:$E$270),"")</f>
        <v/>
      </c>
      <c r="G270" s="21">
        <f>IF(True,STDEV('03_原始数据'!$E$211:$E$270),"")</f>
        <v/>
      </c>
    </row>
    <row r="271" ht="17" customHeight="1">
      <c r="A271" s="38">
        <f>'03_原始数据'!A271</f>
        <v/>
      </c>
      <c r="B271" s="16">
        <f>'03_原始数据'!B271</f>
        <v/>
      </c>
      <c r="C271" s="16">
        <f>'03_原始数据'!C271</f>
        <v/>
      </c>
      <c r="D271" s="16">
        <f>'03_原始数据'!E271</f>
        <v/>
      </c>
      <c r="E271" s="39">
        <f>_xlfn.PERCENTRANK.INC('03_原始数据'!$E$5:$E$873,'03_原始数据'!E271)</f>
        <v/>
      </c>
      <c r="F271" s="16">
        <f>IF(True,AVERAGE('03_原始数据'!$E$212:$E$271),"")</f>
        <v/>
      </c>
      <c r="G271" s="16">
        <f>IF(True,STDEV('03_原始数据'!$E$212:$E$271),"")</f>
        <v/>
      </c>
    </row>
    <row r="272" ht="17" customHeight="1">
      <c r="A272" s="40">
        <f>'03_原始数据'!A272</f>
        <v/>
      </c>
      <c r="B272" s="21">
        <f>'03_原始数据'!B272</f>
        <v/>
      </c>
      <c r="C272" s="21">
        <f>'03_原始数据'!C272</f>
        <v/>
      </c>
      <c r="D272" s="21">
        <f>'03_原始数据'!E272</f>
        <v/>
      </c>
      <c r="E272" s="41">
        <f>_xlfn.PERCENTRANK.INC('03_原始数据'!$E$5:$E$873,'03_原始数据'!E272)</f>
        <v/>
      </c>
      <c r="F272" s="21">
        <f>IF(True,AVERAGE('03_原始数据'!$E$213:$E$272),"")</f>
        <v/>
      </c>
      <c r="G272" s="21">
        <f>IF(True,STDEV('03_原始数据'!$E$213:$E$272),"")</f>
        <v/>
      </c>
    </row>
    <row r="273" ht="17" customHeight="1">
      <c r="A273" s="38">
        <f>'03_原始数据'!A273</f>
        <v/>
      </c>
      <c r="B273" s="16">
        <f>'03_原始数据'!B273</f>
        <v/>
      </c>
      <c r="C273" s="16">
        <f>'03_原始数据'!C273</f>
        <v/>
      </c>
      <c r="D273" s="16">
        <f>'03_原始数据'!E273</f>
        <v/>
      </c>
      <c r="E273" s="39">
        <f>_xlfn.PERCENTRANK.INC('03_原始数据'!$E$5:$E$873,'03_原始数据'!E273)</f>
        <v/>
      </c>
      <c r="F273" s="16">
        <f>IF(True,AVERAGE('03_原始数据'!$E$214:$E$273),"")</f>
        <v/>
      </c>
      <c r="G273" s="16">
        <f>IF(True,STDEV('03_原始数据'!$E$214:$E$273),"")</f>
        <v/>
      </c>
    </row>
    <row r="274" ht="17" customHeight="1">
      <c r="A274" s="40">
        <f>'03_原始数据'!A274</f>
        <v/>
      </c>
      <c r="B274" s="21">
        <f>'03_原始数据'!B274</f>
        <v/>
      </c>
      <c r="C274" s="21">
        <f>'03_原始数据'!C274</f>
        <v/>
      </c>
      <c r="D274" s="21">
        <f>'03_原始数据'!E274</f>
        <v/>
      </c>
      <c r="E274" s="41">
        <f>_xlfn.PERCENTRANK.INC('03_原始数据'!$E$5:$E$873,'03_原始数据'!E274)</f>
        <v/>
      </c>
      <c r="F274" s="21">
        <f>IF(True,AVERAGE('03_原始数据'!$E$215:$E$274),"")</f>
        <v/>
      </c>
      <c r="G274" s="21">
        <f>IF(True,STDEV('03_原始数据'!$E$215:$E$274),"")</f>
        <v/>
      </c>
    </row>
    <row r="275" ht="17" customHeight="1">
      <c r="A275" s="38">
        <f>'03_原始数据'!A275</f>
        <v/>
      </c>
      <c r="B275" s="16">
        <f>'03_原始数据'!B275</f>
        <v/>
      </c>
      <c r="C275" s="16">
        <f>'03_原始数据'!C275</f>
        <v/>
      </c>
      <c r="D275" s="16">
        <f>'03_原始数据'!E275</f>
        <v/>
      </c>
      <c r="E275" s="39">
        <f>_xlfn.PERCENTRANK.INC('03_原始数据'!$E$5:$E$873,'03_原始数据'!E275)</f>
        <v/>
      </c>
      <c r="F275" s="16">
        <f>IF(True,AVERAGE('03_原始数据'!$E$216:$E$275),"")</f>
        <v/>
      </c>
      <c r="G275" s="16">
        <f>IF(True,STDEV('03_原始数据'!$E$216:$E$275),"")</f>
        <v/>
      </c>
    </row>
    <row r="276" ht="17" customHeight="1">
      <c r="A276" s="40">
        <f>'03_原始数据'!A276</f>
        <v/>
      </c>
      <c r="B276" s="21">
        <f>'03_原始数据'!B276</f>
        <v/>
      </c>
      <c r="C276" s="21">
        <f>'03_原始数据'!C276</f>
        <v/>
      </c>
      <c r="D276" s="21">
        <f>'03_原始数据'!E276</f>
        <v/>
      </c>
      <c r="E276" s="41">
        <f>_xlfn.PERCENTRANK.INC('03_原始数据'!$E$5:$E$873,'03_原始数据'!E276)</f>
        <v/>
      </c>
      <c r="F276" s="21">
        <f>IF(True,AVERAGE('03_原始数据'!$E$217:$E$276),"")</f>
        <v/>
      </c>
      <c r="G276" s="21">
        <f>IF(True,STDEV('03_原始数据'!$E$217:$E$276),"")</f>
        <v/>
      </c>
    </row>
    <row r="277" ht="17" customHeight="1">
      <c r="A277" s="38">
        <f>'03_原始数据'!A277</f>
        <v/>
      </c>
      <c r="B277" s="16">
        <f>'03_原始数据'!B277</f>
        <v/>
      </c>
      <c r="C277" s="16">
        <f>'03_原始数据'!C277</f>
        <v/>
      </c>
      <c r="D277" s="16">
        <f>'03_原始数据'!E277</f>
        <v/>
      </c>
      <c r="E277" s="39">
        <f>_xlfn.PERCENTRANK.INC('03_原始数据'!$E$5:$E$873,'03_原始数据'!E277)</f>
        <v/>
      </c>
      <c r="F277" s="16">
        <f>IF(True,AVERAGE('03_原始数据'!$E$218:$E$277),"")</f>
        <v/>
      </c>
      <c r="G277" s="16">
        <f>IF(True,STDEV('03_原始数据'!$E$218:$E$277),"")</f>
        <v/>
      </c>
    </row>
    <row r="278" ht="17" customHeight="1">
      <c r="A278" s="40">
        <f>'03_原始数据'!A278</f>
        <v/>
      </c>
      <c r="B278" s="21">
        <f>'03_原始数据'!B278</f>
        <v/>
      </c>
      <c r="C278" s="21">
        <f>'03_原始数据'!C278</f>
        <v/>
      </c>
      <c r="D278" s="21">
        <f>'03_原始数据'!E278</f>
        <v/>
      </c>
      <c r="E278" s="41">
        <f>_xlfn.PERCENTRANK.INC('03_原始数据'!$E$5:$E$873,'03_原始数据'!E278)</f>
        <v/>
      </c>
      <c r="F278" s="21">
        <f>IF(True,AVERAGE('03_原始数据'!$E$219:$E$278),"")</f>
        <v/>
      </c>
      <c r="G278" s="21">
        <f>IF(True,STDEV('03_原始数据'!$E$219:$E$278),"")</f>
        <v/>
      </c>
    </row>
    <row r="279" ht="17" customHeight="1">
      <c r="A279" s="38">
        <f>'03_原始数据'!A279</f>
        <v/>
      </c>
      <c r="B279" s="16">
        <f>'03_原始数据'!B279</f>
        <v/>
      </c>
      <c r="C279" s="16">
        <f>'03_原始数据'!C279</f>
        <v/>
      </c>
      <c r="D279" s="16">
        <f>'03_原始数据'!E279</f>
        <v/>
      </c>
      <c r="E279" s="39">
        <f>_xlfn.PERCENTRANK.INC('03_原始数据'!$E$5:$E$873,'03_原始数据'!E279)</f>
        <v/>
      </c>
      <c r="F279" s="16">
        <f>IF(True,AVERAGE('03_原始数据'!$E$220:$E$279),"")</f>
        <v/>
      </c>
      <c r="G279" s="16">
        <f>IF(True,STDEV('03_原始数据'!$E$220:$E$279),"")</f>
        <v/>
      </c>
    </row>
    <row r="280" ht="17" customHeight="1">
      <c r="A280" s="40">
        <f>'03_原始数据'!A280</f>
        <v/>
      </c>
      <c r="B280" s="21">
        <f>'03_原始数据'!B280</f>
        <v/>
      </c>
      <c r="C280" s="21">
        <f>'03_原始数据'!C280</f>
        <v/>
      </c>
      <c r="D280" s="21">
        <f>'03_原始数据'!E280</f>
        <v/>
      </c>
      <c r="E280" s="41">
        <f>_xlfn.PERCENTRANK.INC('03_原始数据'!$E$5:$E$873,'03_原始数据'!E280)</f>
        <v/>
      </c>
      <c r="F280" s="21">
        <f>IF(True,AVERAGE('03_原始数据'!$E$221:$E$280),"")</f>
        <v/>
      </c>
      <c r="G280" s="21">
        <f>IF(True,STDEV('03_原始数据'!$E$221:$E$280),"")</f>
        <v/>
      </c>
    </row>
    <row r="281" ht="17" customHeight="1">
      <c r="A281" s="38">
        <f>'03_原始数据'!A281</f>
        <v/>
      </c>
      <c r="B281" s="16">
        <f>'03_原始数据'!B281</f>
        <v/>
      </c>
      <c r="C281" s="16">
        <f>'03_原始数据'!C281</f>
        <v/>
      </c>
      <c r="D281" s="16">
        <f>'03_原始数据'!E281</f>
        <v/>
      </c>
      <c r="E281" s="39">
        <f>_xlfn.PERCENTRANK.INC('03_原始数据'!$E$5:$E$873,'03_原始数据'!E281)</f>
        <v/>
      </c>
      <c r="F281" s="16">
        <f>IF(True,AVERAGE('03_原始数据'!$E$222:$E$281),"")</f>
        <v/>
      </c>
      <c r="G281" s="16">
        <f>IF(True,STDEV('03_原始数据'!$E$222:$E$281),"")</f>
        <v/>
      </c>
    </row>
    <row r="282" ht="17" customHeight="1">
      <c r="A282" s="40">
        <f>'03_原始数据'!A282</f>
        <v/>
      </c>
      <c r="B282" s="21">
        <f>'03_原始数据'!B282</f>
        <v/>
      </c>
      <c r="C282" s="21">
        <f>'03_原始数据'!C282</f>
        <v/>
      </c>
      <c r="D282" s="21">
        <f>'03_原始数据'!E282</f>
        <v/>
      </c>
      <c r="E282" s="41">
        <f>_xlfn.PERCENTRANK.INC('03_原始数据'!$E$5:$E$873,'03_原始数据'!E282)</f>
        <v/>
      </c>
      <c r="F282" s="21">
        <f>IF(True,AVERAGE('03_原始数据'!$E$223:$E$282),"")</f>
        <v/>
      </c>
      <c r="G282" s="21">
        <f>IF(True,STDEV('03_原始数据'!$E$223:$E$282),"")</f>
        <v/>
      </c>
    </row>
    <row r="283" ht="17" customHeight="1">
      <c r="A283" s="38">
        <f>'03_原始数据'!A283</f>
        <v/>
      </c>
      <c r="B283" s="16">
        <f>'03_原始数据'!B283</f>
        <v/>
      </c>
      <c r="C283" s="16">
        <f>'03_原始数据'!C283</f>
        <v/>
      </c>
      <c r="D283" s="16">
        <f>'03_原始数据'!E283</f>
        <v/>
      </c>
      <c r="E283" s="39">
        <f>_xlfn.PERCENTRANK.INC('03_原始数据'!$E$5:$E$873,'03_原始数据'!E283)</f>
        <v/>
      </c>
      <c r="F283" s="16">
        <f>IF(True,AVERAGE('03_原始数据'!$E$224:$E$283),"")</f>
        <v/>
      </c>
      <c r="G283" s="16">
        <f>IF(True,STDEV('03_原始数据'!$E$224:$E$283),"")</f>
        <v/>
      </c>
    </row>
    <row r="284" ht="17" customHeight="1">
      <c r="A284" s="40">
        <f>'03_原始数据'!A284</f>
        <v/>
      </c>
      <c r="B284" s="21">
        <f>'03_原始数据'!B284</f>
        <v/>
      </c>
      <c r="C284" s="21">
        <f>'03_原始数据'!C284</f>
        <v/>
      </c>
      <c r="D284" s="21">
        <f>'03_原始数据'!E284</f>
        <v/>
      </c>
      <c r="E284" s="41">
        <f>_xlfn.PERCENTRANK.INC('03_原始数据'!$E$5:$E$873,'03_原始数据'!E284)</f>
        <v/>
      </c>
      <c r="F284" s="21">
        <f>IF(True,AVERAGE('03_原始数据'!$E$225:$E$284),"")</f>
        <v/>
      </c>
      <c r="G284" s="21">
        <f>IF(True,STDEV('03_原始数据'!$E$225:$E$284),"")</f>
        <v/>
      </c>
    </row>
    <row r="285" ht="17" customHeight="1">
      <c r="A285" s="38">
        <f>'03_原始数据'!A285</f>
        <v/>
      </c>
      <c r="B285" s="16">
        <f>'03_原始数据'!B285</f>
        <v/>
      </c>
      <c r="C285" s="16">
        <f>'03_原始数据'!C285</f>
        <v/>
      </c>
      <c r="D285" s="16">
        <f>'03_原始数据'!E285</f>
        <v/>
      </c>
      <c r="E285" s="39">
        <f>_xlfn.PERCENTRANK.INC('03_原始数据'!$E$5:$E$873,'03_原始数据'!E285)</f>
        <v/>
      </c>
      <c r="F285" s="16">
        <f>IF(True,AVERAGE('03_原始数据'!$E$226:$E$285),"")</f>
        <v/>
      </c>
      <c r="G285" s="16">
        <f>IF(True,STDEV('03_原始数据'!$E$226:$E$285),"")</f>
        <v/>
      </c>
    </row>
    <row r="286" ht="17" customHeight="1">
      <c r="A286" s="40">
        <f>'03_原始数据'!A286</f>
        <v/>
      </c>
      <c r="B286" s="21">
        <f>'03_原始数据'!B286</f>
        <v/>
      </c>
      <c r="C286" s="21">
        <f>'03_原始数据'!C286</f>
        <v/>
      </c>
      <c r="D286" s="21">
        <f>'03_原始数据'!E286</f>
        <v/>
      </c>
      <c r="E286" s="41">
        <f>_xlfn.PERCENTRANK.INC('03_原始数据'!$E$5:$E$873,'03_原始数据'!E286)</f>
        <v/>
      </c>
      <c r="F286" s="21">
        <f>IF(True,AVERAGE('03_原始数据'!$E$227:$E$286),"")</f>
        <v/>
      </c>
      <c r="G286" s="21">
        <f>IF(True,STDEV('03_原始数据'!$E$227:$E$286),"")</f>
        <v/>
      </c>
    </row>
    <row r="287" ht="17" customHeight="1">
      <c r="A287" s="38">
        <f>'03_原始数据'!A287</f>
        <v/>
      </c>
      <c r="B287" s="16">
        <f>'03_原始数据'!B287</f>
        <v/>
      </c>
      <c r="C287" s="16">
        <f>'03_原始数据'!C287</f>
        <v/>
      </c>
      <c r="D287" s="16">
        <f>'03_原始数据'!E287</f>
        <v/>
      </c>
      <c r="E287" s="39">
        <f>_xlfn.PERCENTRANK.INC('03_原始数据'!$E$5:$E$873,'03_原始数据'!E287)</f>
        <v/>
      </c>
      <c r="F287" s="16">
        <f>IF(True,AVERAGE('03_原始数据'!$E$228:$E$287),"")</f>
        <v/>
      </c>
      <c r="G287" s="16">
        <f>IF(True,STDEV('03_原始数据'!$E$228:$E$287),"")</f>
        <v/>
      </c>
    </row>
    <row r="288" ht="17" customHeight="1">
      <c r="A288" s="40">
        <f>'03_原始数据'!A288</f>
        <v/>
      </c>
      <c r="B288" s="21">
        <f>'03_原始数据'!B288</f>
        <v/>
      </c>
      <c r="C288" s="21">
        <f>'03_原始数据'!C288</f>
        <v/>
      </c>
      <c r="D288" s="21">
        <f>'03_原始数据'!E288</f>
        <v/>
      </c>
      <c r="E288" s="41">
        <f>_xlfn.PERCENTRANK.INC('03_原始数据'!$E$5:$E$873,'03_原始数据'!E288)</f>
        <v/>
      </c>
      <c r="F288" s="21">
        <f>IF(True,AVERAGE('03_原始数据'!$E$229:$E$288),"")</f>
        <v/>
      </c>
      <c r="G288" s="21">
        <f>IF(True,STDEV('03_原始数据'!$E$229:$E$288),"")</f>
        <v/>
      </c>
    </row>
    <row r="289" ht="17" customHeight="1">
      <c r="A289" s="38">
        <f>'03_原始数据'!A289</f>
        <v/>
      </c>
      <c r="B289" s="16">
        <f>'03_原始数据'!B289</f>
        <v/>
      </c>
      <c r="C289" s="16">
        <f>'03_原始数据'!C289</f>
        <v/>
      </c>
      <c r="D289" s="16">
        <f>'03_原始数据'!E289</f>
        <v/>
      </c>
      <c r="E289" s="39">
        <f>_xlfn.PERCENTRANK.INC('03_原始数据'!$E$5:$E$873,'03_原始数据'!E289)</f>
        <v/>
      </c>
      <c r="F289" s="16">
        <f>IF(True,AVERAGE('03_原始数据'!$E$230:$E$289),"")</f>
        <v/>
      </c>
      <c r="G289" s="16">
        <f>IF(True,STDEV('03_原始数据'!$E$230:$E$289),"")</f>
        <v/>
      </c>
    </row>
    <row r="290" ht="17" customHeight="1">
      <c r="A290" s="40">
        <f>'03_原始数据'!A290</f>
        <v/>
      </c>
      <c r="B290" s="21">
        <f>'03_原始数据'!B290</f>
        <v/>
      </c>
      <c r="C290" s="21">
        <f>'03_原始数据'!C290</f>
        <v/>
      </c>
      <c r="D290" s="21">
        <f>'03_原始数据'!E290</f>
        <v/>
      </c>
      <c r="E290" s="41">
        <f>_xlfn.PERCENTRANK.INC('03_原始数据'!$E$5:$E$873,'03_原始数据'!E290)</f>
        <v/>
      </c>
      <c r="F290" s="21">
        <f>IF(True,AVERAGE('03_原始数据'!$E$231:$E$290),"")</f>
        <v/>
      </c>
      <c r="G290" s="21">
        <f>IF(True,STDEV('03_原始数据'!$E$231:$E$290),"")</f>
        <v/>
      </c>
    </row>
    <row r="291" ht="17" customHeight="1">
      <c r="A291" s="38">
        <f>'03_原始数据'!A291</f>
        <v/>
      </c>
      <c r="B291" s="16">
        <f>'03_原始数据'!B291</f>
        <v/>
      </c>
      <c r="C291" s="16">
        <f>'03_原始数据'!C291</f>
        <v/>
      </c>
      <c r="D291" s="16">
        <f>'03_原始数据'!E291</f>
        <v/>
      </c>
      <c r="E291" s="39">
        <f>_xlfn.PERCENTRANK.INC('03_原始数据'!$E$5:$E$873,'03_原始数据'!E291)</f>
        <v/>
      </c>
      <c r="F291" s="16">
        <f>IF(True,AVERAGE('03_原始数据'!$E$232:$E$291),"")</f>
        <v/>
      </c>
      <c r="G291" s="16">
        <f>IF(True,STDEV('03_原始数据'!$E$232:$E$291),"")</f>
        <v/>
      </c>
    </row>
    <row r="292" ht="17" customHeight="1">
      <c r="A292" s="40">
        <f>'03_原始数据'!A292</f>
        <v/>
      </c>
      <c r="B292" s="21">
        <f>'03_原始数据'!B292</f>
        <v/>
      </c>
      <c r="C292" s="21">
        <f>'03_原始数据'!C292</f>
        <v/>
      </c>
      <c r="D292" s="21">
        <f>'03_原始数据'!E292</f>
        <v/>
      </c>
      <c r="E292" s="41">
        <f>_xlfn.PERCENTRANK.INC('03_原始数据'!$E$5:$E$873,'03_原始数据'!E292)</f>
        <v/>
      </c>
      <c r="F292" s="21">
        <f>IF(True,AVERAGE('03_原始数据'!$E$233:$E$292),"")</f>
        <v/>
      </c>
      <c r="G292" s="21">
        <f>IF(True,STDEV('03_原始数据'!$E$233:$E$292),"")</f>
        <v/>
      </c>
    </row>
    <row r="293" ht="17" customHeight="1">
      <c r="A293" s="38">
        <f>'03_原始数据'!A293</f>
        <v/>
      </c>
      <c r="B293" s="16">
        <f>'03_原始数据'!B293</f>
        <v/>
      </c>
      <c r="C293" s="16">
        <f>'03_原始数据'!C293</f>
        <v/>
      </c>
      <c r="D293" s="16">
        <f>'03_原始数据'!E293</f>
        <v/>
      </c>
      <c r="E293" s="39">
        <f>_xlfn.PERCENTRANK.INC('03_原始数据'!$E$5:$E$873,'03_原始数据'!E293)</f>
        <v/>
      </c>
      <c r="F293" s="16">
        <f>IF(True,AVERAGE('03_原始数据'!$E$234:$E$293),"")</f>
        <v/>
      </c>
      <c r="G293" s="16">
        <f>IF(True,STDEV('03_原始数据'!$E$234:$E$293),"")</f>
        <v/>
      </c>
    </row>
    <row r="294" ht="17" customHeight="1">
      <c r="A294" s="40">
        <f>'03_原始数据'!A294</f>
        <v/>
      </c>
      <c r="B294" s="21">
        <f>'03_原始数据'!B294</f>
        <v/>
      </c>
      <c r="C294" s="21">
        <f>'03_原始数据'!C294</f>
        <v/>
      </c>
      <c r="D294" s="21">
        <f>'03_原始数据'!E294</f>
        <v/>
      </c>
      <c r="E294" s="41">
        <f>_xlfn.PERCENTRANK.INC('03_原始数据'!$E$5:$E$873,'03_原始数据'!E294)</f>
        <v/>
      </c>
      <c r="F294" s="21">
        <f>IF(True,AVERAGE('03_原始数据'!$E$235:$E$294),"")</f>
        <v/>
      </c>
      <c r="G294" s="21">
        <f>IF(True,STDEV('03_原始数据'!$E$235:$E$294),"")</f>
        <v/>
      </c>
    </row>
    <row r="295" ht="17" customHeight="1">
      <c r="A295" s="38">
        <f>'03_原始数据'!A295</f>
        <v/>
      </c>
      <c r="B295" s="16">
        <f>'03_原始数据'!B295</f>
        <v/>
      </c>
      <c r="C295" s="16">
        <f>'03_原始数据'!C295</f>
        <v/>
      </c>
      <c r="D295" s="16">
        <f>'03_原始数据'!E295</f>
        <v/>
      </c>
      <c r="E295" s="39">
        <f>_xlfn.PERCENTRANK.INC('03_原始数据'!$E$5:$E$873,'03_原始数据'!E295)</f>
        <v/>
      </c>
      <c r="F295" s="16">
        <f>IF(True,AVERAGE('03_原始数据'!$E$236:$E$295),"")</f>
        <v/>
      </c>
      <c r="G295" s="16">
        <f>IF(True,STDEV('03_原始数据'!$E$236:$E$295),"")</f>
        <v/>
      </c>
    </row>
    <row r="296" ht="17" customHeight="1">
      <c r="A296" s="40">
        <f>'03_原始数据'!A296</f>
        <v/>
      </c>
      <c r="B296" s="21">
        <f>'03_原始数据'!B296</f>
        <v/>
      </c>
      <c r="C296" s="21">
        <f>'03_原始数据'!C296</f>
        <v/>
      </c>
      <c r="D296" s="21">
        <f>'03_原始数据'!E296</f>
        <v/>
      </c>
      <c r="E296" s="41">
        <f>_xlfn.PERCENTRANK.INC('03_原始数据'!$E$5:$E$873,'03_原始数据'!E296)</f>
        <v/>
      </c>
      <c r="F296" s="21">
        <f>IF(True,AVERAGE('03_原始数据'!$E$237:$E$296),"")</f>
        <v/>
      </c>
      <c r="G296" s="21">
        <f>IF(True,STDEV('03_原始数据'!$E$237:$E$296),"")</f>
        <v/>
      </c>
    </row>
    <row r="297" ht="17" customHeight="1">
      <c r="A297" s="38">
        <f>'03_原始数据'!A297</f>
        <v/>
      </c>
      <c r="B297" s="16">
        <f>'03_原始数据'!B297</f>
        <v/>
      </c>
      <c r="C297" s="16">
        <f>'03_原始数据'!C297</f>
        <v/>
      </c>
      <c r="D297" s="16">
        <f>'03_原始数据'!E297</f>
        <v/>
      </c>
      <c r="E297" s="39">
        <f>_xlfn.PERCENTRANK.INC('03_原始数据'!$E$5:$E$873,'03_原始数据'!E297)</f>
        <v/>
      </c>
      <c r="F297" s="16">
        <f>IF(True,AVERAGE('03_原始数据'!$E$238:$E$297),"")</f>
        <v/>
      </c>
      <c r="G297" s="16">
        <f>IF(True,STDEV('03_原始数据'!$E$238:$E$297),"")</f>
        <v/>
      </c>
    </row>
    <row r="298" ht="17" customHeight="1">
      <c r="A298" s="40">
        <f>'03_原始数据'!A298</f>
        <v/>
      </c>
      <c r="B298" s="21">
        <f>'03_原始数据'!B298</f>
        <v/>
      </c>
      <c r="C298" s="21">
        <f>'03_原始数据'!C298</f>
        <v/>
      </c>
      <c r="D298" s="21">
        <f>'03_原始数据'!E298</f>
        <v/>
      </c>
      <c r="E298" s="41">
        <f>_xlfn.PERCENTRANK.INC('03_原始数据'!$E$5:$E$873,'03_原始数据'!E298)</f>
        <v/>
      </c>
      <c r="F298" s="21">
        <f>IF(True,AVERAGE('03_原始数据'!$E$239:$E$298),"")</f>
        <v/>
      </c>
      <c r="G298" s="21">
        <f>IF(True,STDEV('03_原始数据'!$E$239:$E$298),"")</f>
        <v/>
      </c>
    </row>
    <row r="299" ht="17" customHeight="1">
      <c r="A299" s="38">
        <f>'03_原始数据'!A299</f>
        <v/>
      </c>
      <c r="B299" s="16">
        <f>'03_原始数据'!B299</f>
        <v/>
      </c>
      <c r="C299" s="16">
        <f>'03_原始数据'!C299</f>
        <v/>
      </c>
      <c r="D299" s="16">
        <f>'03_原始数据'!E299</f>
        <v/>
      </c>
      <c r="E299" s="39">
        <f>_xlfn.PERCENTRANK.INC('03_原始数据'!$E$5:$E$873,'03_原始数据'!E299)</f>
        <v/>
      </c>
      <c r="F299" s="16">
        <f>IF(True,AVERAGE('03_原始数据'!$E$240:$E$299),"")</f>
        <v/>
      </c>
      <c r="G299" s="16">
        <f>IF(True,STDEV('03_原始数据'!$E$240:$E$299),"")</f>
        <v/>
      </c>
    </row>
    <row r="300" ht="17" customHeight="1">
      <c r="A300" s="40">
        <f>'03_原始数据'!A300</f>
        <v/>
      </c>
      <c r="B300" s="21">
        <f>'03_原始数据'!B300</f>
        <v/>
      </c>
      <c r="C300" s="21">
        <f>'03_原始数据'!C300</f>
        <v/>
      </c>
      <c r="D300" s="21">
        <f>'03_原始数据'!E300</f>
        <v/>
      </c>
      <c r="E300" s="41">
        <f>_xlfn.PERCENTRANK.INC('03_原始数据'!$E$5:$E$873,'03_原始数据'!E300)</f>
        <v/>
      </c>
      <c r="F300" s="21">
        <f>IF(True,AVERAGE('03_原始数据'!$E$241:$E$300),"")</f>
        <v/>
      </c>
      <c r="G300" s="21">
        <f>IF(True,STDEV('03_原始数据'!$E$241:$E$300),"")</f>
        <v/>
      </c>
    </row>
    <row r="301" ht="17" customHeight="1">
      <c r="A301" s="38">
        <f>'03_原始数据'!A301</f>
        <v/>
      </c>
      <c r="B301" s="16">
        <f>'03_原始数据'!B301</f>
        <v/>
      </c>
      <c r="C301" s="16">
        <f>'03_原始数据'!C301</f>
        <v/>
      </c>
      <c r="D301" s="16">
        <f>'03_原始数据'!E301</f>
        <v/>
      </c>
      <c r="E301" s="39">
        <f>_xlfn.PERCENTRANK.INC('03_原始数据'!$E$5:$E$873,'03_原始数据'!E301)</f>
        <v/>
      </c>
      <c r="F301" s="16">
        <f>IF(True,AVERAGE('03_原始数据'!$E$242:$E$301),"")</f>
        <v/>
      </c>
      <c r="G301" s="16">
        <f>IF(True,STDEV('03_原始数据'!$E$242:$E$301),"")</f>
        <v/>
      </c>
    </row>
    <row r="302" ht="17" customHeight="1">
      <c r="A302" s="40">
        <f>'03_原始数据'!A302</f>
        <v/>
      </c>
      <c r="B302" s="21">
        <f>'03_原始数据'!B302</f>
        <v/>
      </c>
      <c r="C302" s="21">
        <f>'03_原始数据'!C302</f>
        <v/>
      </c>
      <c r="D302" s="21">
        <f>'03_原始数据'!E302</f>
        <v/>
      </c>
      <c r="E302" s="41">
        <f>_xlfn.PERCENTRANK.INC('03_原始数据'!$E$5:$E$873,'03_原始数据'!E302)</f>
        <v/>
      </c>
      <c r="F302" s="21">
        <f>IF(True,AVERAGE('03_原始数据'!$E$243:$E$302),"")</f>
        <v/>
      </c>
      <c r="G302" s="21">
        <f>IF(True,STDEV('03_原始数据'!$E$243:$E$302),"")</f>
        <v/>
      </c>
    </row>
    <row r="303" ht="17" customHeight="1">
      <c r="A303" s="38">
        <f>'03_原始数据'!A303</f>
        <v/>
      </c>
      <c r="B303" s="16">
        <f>'03_原始数据'!B303</f>
        <v/>
      </c>
      <c r="C303" s="16">
        <f>'03_原始数据'!C303</f>
        <v/>
      </c>
      <c r="D303" s="16">
        <f>'03_原始数据'!E303</f>
        <v/>
      </c>
      <c r="E303" s="39">
        <f>_xlfn.PERCENTRANK.INC('03_原始数据'!$E$5:$E$873,'03_原始数据'!E303)</f>
        <v/>
      </c>
      <c r="F303" s="16">
        <f>IF(True,AVERAGE('03_原始数据'!$E$244:$E$303),"")</f>
        <v/>
      </c>
      <c r="G303" s="16">
        <f>IF(True,STDEV('03_原始数据'!$E$244:$E$303),"")</f>
        <v/>
      </c>
    </row>
    <row r="304" ht="17" customHeight="1">
      <c r="A304" s="40">
        <f>'03_原始数据'!A304</f>
        <v/>
      </c>
      <c r="B304" s="21">
        <f>'03_原始数据'!B304</f>
        <v/>
      </c>
      <c r="C304" s="21">
        <f>'03_原始数据'!C304</f>
        <v/>
      </c>
      <c r="D304" s="21">
        <f>'03_原始数据'!E304</f>
        <v/>
      </c>
      <c r="E304" s="41">
        <f>_xlfn.PERCENTRANK.INC('03_原始数据'!$E$5:$E$873,'03_原始数据'!E304)</f>
        <v/>
      </c>
      <c r="F304" s="21">
        <f>IF(True,AVERAGE('03_原始数据'!$E$245:$E$304),"")</f>
        <v/>
      </c>
      <c r="G304" s="21">
        <f>IF(True,STDEV('03_原始数据'!$E$245:$E$304),"")</f>
        <v/>
      </c>
    </row>
    <row r="305" ht="17" customHeight="1">
      <c r="A305" s="38">
        <f>'03_原始数据'!A305</f>
        <v/>
      </c>
      <c r="B305" s="16">
        <f>'03_原始数据'!B305</f>
        <v/>
      </c>
      <c r="C305" s="16">
        <f>'03_原始数据'!C305</f>
        <v/>
      </c>
      <c r="D305" s="16">
        <f>'03_原始数据'!E305</f>
        <v/>
      </c>
      <c r="E305" s="39">
        <f>_xlfn.PERCENTRANK.INC('03_原始数据'!$E$5:$E$873,'03_原始数据'!E305)</f>
        <v/>
      </c>
      <c r="F305" s="16">
        <f>IF(True,AVERAGE('03_原始数据'!$E$246:$E$305),"")</f>
        <v/>
      </c>
      <c r="G305" s="16">
        <f>IF(True,STDEV('03_原始数据'!$E$246:$E$305),"")</f>
        <v/>
      </c>
    </row>
    <row r="306" ht="17" customHeight="1">
      <c r="A306" s="40">
        <f>'03_原始数据'!A306</f>
        <v/>
      </c>
      <c r="B306" s="21">
        <f>'03_原始数据'!B306</f>
        <v/>
      </c>
      <c r="C306" s="21">
        <f>'03_原始数据'!C306</f>
        <v/>
      </c>
      <c r="D306" s="21">
        <f>'03_原始数据'!E306</f>
        <v/>
      </c>
      <c r="E306" s="41">
        <f>_xlfn.PERCENTRANK.INC('03_原始数据'!$E$5:$E$873,'03_原始数据'!E306)</f>
        <v/>
      </c>
      <c r="F306" s="21">
        <f>IF(True,AVERAGE('03_原始数据'!$E$247:$E$306),"")</f>
        <v/>
      </c>
      <c r="G306" s="21">
        <f>IF(True,STDEV('03_原始数据'!$E$247:$E$306),"")</f>
        <v/>
      </c>
    </row>
    <row r="307" ht="17" customHeight="1">
      <c r="A307" s="38">
        <f>'03_原始数据'!A307</f>
        <v/>
      </c>
      <c r="B307" s="16">
        <f>'03_原始数据'!B307</f>
        <v/>
      </c>
      <c r="C307" s="16">
        <f>'03_原始数据'!C307</f>
        <v/>
      </c>
      <c r="D307" s="16">
        <f>'03_原始数据'!E307</f>
        <v/>
      </c>
      <c r="E307" s="39">
        <f>_xlfn.PERCENTRANK.INC('03_原始数据'!$E$5:$E$873,'03_原始数据'!E307)</f>
        <v/>
      </c>
      <c r="F307" s="16">
        <f>IF(True,AVERAGE('03_原始数据'!$E$248:$E$307),"")</f>
        <v/>
      </c>
      <c r="G307" s="16">
        <f>IF(True,STDEV('03_原始数据'!$E$248:$E$307),"")</f>
        <v/>
      </c>
    </row>
    <row r="308" ht="17" customHeight="1">
      <c r="A308" s="40">
        <f>'03_原始数据'!A308</f>
        <v/>
      </c>
      <c r="B308" s="21">
        <f>'03_原始数据'!B308</f>
        <v/>
      </c>
      <c r="C308" s="21">
        <f>'03_原始数据'!C308</f>
        <v/>
      </c>
      <c r="D308" s="21">
        <f>'03_原始数据'!E308</f>
        <v/>
      </c>
      <c r="E308" s="41">
        <f>_xlfn.PERCENTRANK.INC('03_原始数据'!$E$5:$E$873,'03_原始数据'!E308)</f>
        <v/>
      </c>
      <c r="F308" s="21">
        <f>IF(True,AVERAGE('03_原始数据'!$E$249:$E$308),"")</f>
        <v/>
      </c>
      <c r="G308" s="21">
        <f>IF(True,STDEV('03_原始数据'!$E$249:$E$308),"")</f>
        <v/>
      </c>
    </row>
    <row r="309" ht="17" customHeight="1">
      <c r="A309" s="38">
        <f>'03_原始数据'!A309</f>
        <v/>
      </c>
      <c r="B309" s="16">
        <f>'03_原始数据'!B309</f>
        <v/>
      </c>
      <c r="C309" s="16">
        <f>'03_原始数据'!C309</f>
        <v/>
      </c>
      <c r="D309" s="16">
        <f>'03_原始数据'!E309</f>
        <v/>
      </c>
      <c r="E309" s="39">
        <f>_xlfn.PERCENTRANK.INC('03_原始数据'!$E$5:$E$873,'03_原始数据'!E309)</f>
        <v/>
      </c>
      <c r="F309" s="16">
        <f>IF(True,AVERAGE('03_原始数据'!$E$250:$E$309),"")</f>
        <v/>
      </c>
      <c r="G309" s="16">
        <f>IF(True,STDEV('03_原始数据'!$E$250:$E$309),"")</f>
        <v/>
      </c>
    </row>
    <row r="310" ht="17" customHeight="1">
      <c r="A310" s="40">
        <f>'03_原始数据'!A310</f>
        <v/>
      </c>
      <c r="B310" s="21">
        <f>'03_原始数据'!B310</f>
        <v/>
      </c>
      <c r="C310" s="21">
        <f>'03_原始数据'!C310</f>
        <v/>
      </c>
      <c r="D310" s="21">
        <f>'03_原始数据'!E310</f>
        <v/>
      </c>
      <c r="E310" s="41">
        <f>_xlfn.PERCENTRANK.INC('03_原始数据'!$E$5:$E$873,'03_原始数据'!E310)</f>
        <v/>
      </c>
      <c r="F310" s="21">
        <f>IF(True,AVERAGE('03_原始数据'!$E$251:$E$310),"")</f>
        <v/>
      </c>
      <c r="G310" s="21">
        <f>IF(True,STDEV('03_原始数据'!$E$251:$E$310),"")</f>
        <v/>
      </c>
    </row>
    <row r="311" ht="17" customHeight="1">
      <c r="A311" s="38">
        <f>'03_原始数据'!A311</f>
        <v/>
      </c>
      <c r="B311" s="16">
        <f>'03_原始数据'!B311</f>
        <v/>
      </c>
      <c r="C311" s="16">
        <f>'03_原始数据'!C311</f>
        <v/>
      </c>
      <c r="D311" s="16">
        <f>'03_原始数据'!E311</f>
        <v/>
      </c>
      <c r="E311" s="39">
        <f>_xlfn.PERCENTRANK.INC('03_原始数据'!$E$5:$E$873,'03_原始数据'!E311)</f>
        <v/>
      </c>
      <c r="F311" s="16">
        <f>IF(True,AVERAGE('03_原始数据'!$E$252:$E$311),"")</f>
        <v/>
      </c>
      <c r="G311" s="16">
        <f>IF(True,STDEV('03_原始数据'!$E$252:$E$311),"")</f>
        <v/>
      </c>
    </row>
    <row r="312" ht="17" customHeight="1">
      <c r="A312" s="40">
        <f>'03_原始数据'!A312</f>
        <v/>
      </c>
      <c r="B312" s="21">
        <f>'03_原始数据'!B312</f>
        <v/>
      </c>
      <c r="C312" s="21">
        <f>'03_原始数据'!C312</f>
        <v/>
      </c>
      <c r="D312" s="21">
        <f>'03_原始数据'!E312</f>
        <v/>
      </c>
      <c r="E312" s="41">
        <f>_xlfn.PERCENTRANK.INC('03_原始数据'!$E$5:$E$873,'03_原始数据'!E312)</f>
        <v/>
      </c>
      <c r="F312" s="21">
        <f>IF(True,AVERAGE('03_原始数据'!$E$253:$E$312),"")</f>
        <v/>
      </c>
      <c r="G312" s="21">
        <f>IF(True,STDEV('03_原始数据'!$E$253:$E$312),"")</f>
        <v/>
      </c>
    </row>
    <row r="313" ht="17" customHeight="1">
      <c r="A313" s="38">
        <f>'03_原始数据'!A313</f>
        <v/>
      </c>
      <c r="B313" s="16">
        <f>'03_原始数据'!B313</f>
        <v/>
      </c>
      <c r="C313" s="16">
        <f>'03_原始数据'!C313</f>
        <v/>
      </c>
      <c r="D313" s="16">
        <f>'03_原始数据'!E313</f>
        <v/>
      </c>
      <c r="E313" s="39">
        <f>_xlfn.PERCENTRANK.INC('03_原始数据'!$E$5:$E$873,'03_原始数据'!E313)</f>
        <v/>
      </c>
      <c r="F313" s="16">
        <f>IF(True,AVERAGE('03_原始数据'!$E$254:$E$313),"")</f>
        <v/>
      </c>
      <c r="G313" s="16">
        <f>IF(True,STDEV('03_原始数据'!$E$254:$E$313),"")</f>
        <v/>
      </c>
    </row>
    <row r="314" ht="17" customHeight="1">
      <c r="A314" s="40">
        <f>'03_原始数据'!A314</f>
        <v/>
      </c>
      <c r="B314" s="21">
        <f>'03_原始数据'!B314</f>
        <v/>
      </c>
      <c r="C314" s="21">
        <f>'03_原始数据'!C314</f>
        <v/>
      </c>
      <c r="D314" s="21">
        <f>'03_原始数据'!E314</f>
        <v/>
      </c>
      <c r="E314" s="41">
        <f>_xlfn.PERCENTRANK.INC('03_原始数据'!$E$5:$E$873,'03_原始数据'!E314)</f>
        <v/>
      </c>
      <c r="F314" s="21">
        <f>IF(True,AVERAGE('03_原始数据'!$E$255:$E$314),"")</f>
        <v/>
      </c>
      <c r="G314" s="21">
        <f>IF(True,STDEV('03_原始数据'!$E$255:$E$314),"")</f>
        <v/>
      </c>
    </row>
    <row r="315" ht="17" customHeight="1">
      <c r="A315" s="38">
        <f>'03_原始数据'!A315</f>
        <v/>
      </c>
      <c r="B315" s="16">
        <f>'03_原始数据'!B315</f>
        <v/>
      </c>
      <c r="C315" s="16">
        <f>'03_原始数据'!C315</f>
        <v/>
      </c>
      <c r="D315" s="16">
        <f>'03_原始数据'!E315</f>
        <v/>
      </c>
      <c r="E315" s="39">
        <f>_xlfn.PERCENTRANK.INC('03_原始数据'!$E$5:$E$873,'03_原始数据'!E315)</f>
        <v/>
      </c>
      <c r="F315" s="16">
        <f>IF(True,AVERAGE('03_原始数据'!$E$256:$E$315),"")</f>
        <v/>
      </c>
      <c r="G315" s="16">
        <f>IF(True,STDEV('03_原始数据'!$E$256:$E$315),"")</f>
        <v/>
      </c>
    </row>
    <row r="316" ht="17" customHeight="1">
      <c r="A316" s="40">
        <f>'03_原始数据'!A316</f>
        <v/>
      </c>
      <c r="B316" s="21">
        <f>'03_原始数据'!B316</f>
        <v/>
      </c>
      <c r="C316" s="21">
        <f>'03_原始数据'!C316</f>
        <v/>
      </c>
      <c r="D316" s="21">
        <f>'03_原始数据'!E316</f>
        <v/>
      </c>
      <c r="E316" s="41">
        <f>_xlfn.PERCENTRANK.INC('03_原始数据'!$E$5:$E$873,'03_原始数据'!E316)</f>
        <v/>
      </c>
      <c r="F316" s="21">
        <f>IF(True,AVERAGE('03_原始数据'!$E$257:$E$316),"")</f>
        <v/>
      </c>
      <c r="G316" s="21">
        <f>IF(True,STDEV('03_原始数据'!$E$257:$E$316),"")</f>
        <v/>
      </c>
    </row>
    <row r="317" ht="17" customHeight="1">
      <c r="A317" s="38">
        <f>'03_原始数据'!A317</f>
        <v/>
      </c>
      <c r="B317" s="16">
        <f>'03_原始数据'!B317</f>
        <v/>
      </c>
      <c r="C317" s="16">
        <f>'03_原始数据'!C317</f>
        <v/>
      </c>
      <c r="D317" s="16">
        <f>'03_原始数据'!E317</f>
        <v/>
      </c>
      <c r="E317" s="39">
        <f>_xlfn.PERCENTRANK.INC('03_原始数据'!$E$5:$E$873,'03_原始数据'!E317)</f>
        <v/>
      </c>
      <c r="F317" s="16">
        <f>IF(True,AVERAGE('03_原始数据'!$E$258:$E$317),"")</f>
        <v/>
      </c>
      <c r="G317" s="16">
        <f>IF(True,STDEV('03_原始数据'!$E$258:$E$317),"")</f>
        <v/>
      </c>
    </row>
    <row r="318" ht="17" customHeight="1">
      <c r="A318" s="40">
        <f>'03_原始数据'!A318</f>
        <v/>
      </c>
      <c r="B318" s="21">
        <f>'03_原始数据'!B318</f>
        <v/>
      </c>
      <c r="C318" s="21">
        <f>'03_原始数据'!C318</f>
        <v/>
      </c>
      <c r="D318" s="21">
        <f>'03_原始数据'!E318</f>
        <v/>
      </c>
      <c r="E318" s="41">
        <f>_xlfn.PERCENTRANK.INC('03_原始数据'!$E$5:$E$873,'03_原始数据'!E318)</f>
        <v/>
      </c>
      <c r="F318" s="21">
        <f>IF(True,AVERAGE('03_原始数据'!$E$259:$E$318),"")</f>
        <v/>
      </c>
      <c r="G318" s="21">
        <f>IF(True,STDEV('03_原始数据'!$E$259:$E$318),"")</f>
        <v/>
      </c>
    </row>
    <row r="319" ht="17" customHeight="1">
      <c r="A319" s="38">
        <f>'03_原始数据'!A319</f>
        <v/>
      </c>
      <c r="B319" s="16">
        <f>'03_原始数据'!B319</f>
        <v/>
      </c>
      <c r="C319" s="16">
        <f>'03_原始数据'!C319</f>
        <v/>
      </c>
      <c r="D319" s="16">
        <f>'03_原始数据'!E319</f>
        <v/>
      </c>
      <c r="E319" s="39">
        <f>_xlfn.PERCENTRANK.INC('03_原始数据'!$E$5:$E$873,'03_原始数据'!E319)</f>
        <v/>
      </c>
      <c r="F319" s="16">
        <f>IF(True,AVERAGE('03_原始数据'!$E$260:$E$319),"")</f>
        <v/>
      </c>
      <c r="G319" s="16">
        <f>IF(True,STDEV('03_原始数据'!$E$260:$E$319),"")</f>
        <v/>
      </c>
    </row>
    <row r="320" ht="17" customHeight="1">
      <c r="A320" s="40">
        <f>'03_原始数据'!A320</f>
        <v/>
      </c>
      <c r="B320" s="21">
        <f>'03_原始数据'!B320</f>
        <v/>
      </c>
      <c r="C320" s="21">
        <f>'03_原始数据'!C320</f>
        <v/>
      </c>
      <c r="D320" s="21">
        <f>'03_原始数据'!E320</f>
        <v/>
      </c>
      <c r="E320" s="41">
        <f>_xlfn.PERCENTRANK.INC('03_原始数据'!$E$5:$E$873,'03_原始数据'!E320)</f>
        <v/>
      </c>
      <c r="F320" s="21">
        <f>IF(True,AVERAGE('03_原始数据'!$E$261:$E$320),"")</f>
        <v/>
      </c>
      <c r="G320" s="21">
        <f>IF(True,STDEV('03_原始数据'!$E$261:$E$320),"")</f>
        <v/>
      </c>
    </row>
    <row r="321" ht="17" customHeight="1">
      <c r="A321" s="38">
        <f>'03_原始数据'!A321</f>
        <v/>
      </c>
      <c r="B321" s="16">
        <f>'03_原始数据'!B321</f>
        <v/>
      </c>
      <c r="C321" s="16">
        <f>'03_原始数据'!C321</f>
        <v/>
      </c>
      <c r="D321" s="16">
        <f>'03_原始数据'!E321</f>
        <v/>
      </c>
      <c r="E321" s="39">
        <f>_xlfn.PERCENTRANK.INC('03_原始数据'!$E$5:$E$873,'03_原始数据'!E321)</f>
        <v/>
      </c>
      <c r="F321" s="16">
        <f>IF(True,AVERAGE('03_原始数据'!$E$262:$E$321),"")</f>
        <v/>
      </c>
      <c r="G321" s="16">
        <f>IF(True,STDEV('03_原始数据'!$E$262:$E$321),"")</f>
        <v/>
      </c>
    </row>
    <row r="322" ht="17" customHeight="1">
      <c r="A322" s="40">
        <f>'03_原始数据'!A322</f>
        <v/>
      </c>
      <c r="B322" s="21">
        <f>'03_原始数据'!B322</f>
        <v/>
      </c>
      <c r="C322" s="21">
        <f>'03_原始数据'!C322</f>
        <v/>
      </c>
      <c r="D322" s="21">
        <f>'03_原始数据'!E322</f>
        <v/>
      </c>
      <c r="E322" s="41">
        <f>_xlfn.PERCENTRANK.INC('03_原始数据'!$E$5:$E$873,'03_原始数据'!E322)</f>
        <v/>
      </c>
      <c r="F322" s="21">
        <f>IF(True,AVERAGE('03_原始数据'!$E$263:$E$322),"")</f>
        <v/>
      </c>
      <c r="G322" s="21">
        <f>IF(True,STDEV('03_原始数据'!$E$263:$E$322),"")</f>
        <v/>
      </c>
    </row>
    <row r="323" ht="17" customHeight="1">
      <c r="A323" s="38">
        <f>'03_原始数据'!A323</f>
        <v/>
      </c>
      <c r="B323" s="16">
        <f>'03_原始数据'!B323</f>
        <v/>
      </c>
      <c r="C323" s="16">
        <f>'03_原始数据'!C323</f>
        <v/>
      </c>
      <c r="D323" s="16">
        <f>'03_原始数据'!E323</f>
        <v/>
      </c>
      <c r="E323" s="39">
        <f>_xlfn.PERCENTRANK.INC('03_原始数据'!$E$5:$E$873,'03_原始数据'!E323)</f>
        <v/>
      </c>
      <c r="F323" s="16">
        <f>IF(True,AVERAGE('03_原始数据'!$E$264:$E$323),"")</f>
        <v/>
      </c>
      <c r="G323" s="16">
        <f>IF(True,STDEV('03_原始数据'!$E$264:$E$323),"")</f>
        <v/>
      </c>
    </row>
    <row r="324" ht="17" customHeight="1">
      <c r="A324" s="40">
        <f>'03_原始数据'!A324</f>
        <v/>
      </c>
      <c r="B324" s="21">
        <f>'03_原始数据'!B324</f>
        <v/>
      </c>
      <c r="C324" s="21">
        <f>'03_原始数据'!C324</f>
        <v/>
      </c>
      <c r="D324" s="21">
        <f>'03_原始数据'!E324</f>
        <v/>
      </c>
      <c r="E324" s="41">
        <f>_xlfn.PERCENTRANK.INC('03_原始数据'!$E$5:$E$873,'03_原始数据'!E324)</f>
        <v/>
      </c>
      <c r="F324" s="21">
        <f>IF(True,AVERAGE('03_原始数据'!$E$265:$E$324),"")</f>
        <v/>
      </c>
      <c r="G324" s="21">
        <f>IF(True,STDEV('03_原始数据'!$E$265:$E$324),"")</f>
        <v/>
      </c>
    </row>
    <row r="325" ht="17" customHeight="1">
      <c r="A325" s="38">
        <f>'03_原始数据'!A325</f>
        <v/>
      </c>
      <c r="B325" s="16">
        <f>'03_原始数据'!B325</f>
        <v/>
      </c>
      <c r="C325" s="16">
        <f>'03_原始数据'!C325</f>
        <v/>
      </c>
      <c r="D325" s="16">
        <f>'03_原始数据'!E325</f>
        <v/>
      </c>
      <c r="E325" s="39">
        <f>_xlfn.PERCENTRANK.INC('03_原始数据'!$E$5:$E$873,'03_原始数据'!E325)</f>
        <v/>
      </c>
      <c r="F325" s="16">
        <f>IF(True,AVERAGE('03_原始数据'!$E$266:$E$325),"")</f>
        <v/>
      </c>
      <c r="G325" s="16">
        <f>IF(True,STDEV('03_原始数据'!$E$266:$E$325),"")</f>
        <v/>
      </c>
    </row>
    <row r="326" ht="17" customHeight="1">
      <c r="A326" s="40">
        <f>'03_原始数据'!A326</f>
        <v/>
      </c>
      <c r="B326" s="21">
        <f>'03_原始数据'!B326</f>
        <v/>
      </c>
      <c r="C326" s="21">
        <f>'03_原始数据'!C326</f>
        <v/>
      </c>
      <c r="D326" s="21">
        <f>'03_原始数据'!E326</f>
        <v/>
      </c>
      <c r="E326" s="41">
        <f>_xlfn.PERCENTRANK.INC('03_原始数据'!$E$5:$E$873,'03_原始数据'!E326)</f>
        <v/>
      </c>
      <c r="F326" s="21">
        <f>IF(True,AVERAGE('03_原始数据'!$E$267:$E$326),"")</f>
        <v/>
      </c>
      <c r="G326" s="21">
        <f>IF(True,STDEV('03_原始数据'!$E$267:$E$326),"")</f>
        <v/>
      </c>
    </row>
    <row r="327" ht="17" customHeight="1">
      <c r="A327" s="38">
        <f>'03_原始数据'!A327</f>
        <v/>
      </c>
      <c r="B327" s="16">
        <f>'03_原始数据'!B327</f>
        <v/>
      </c>
      <c r="C327" s="16">
        <f>'03_原始数据'!C327</f>
        <v/>
      </c>
      <c r="D327" s="16">
        <f>'03_原始数据'!E327</f>
        <v/>
      </c>
      <c r="E327" s="39">
        <f>_xlfn.PERCENTRANK.INC('03_原始数据'!$E$5:$E$873,'03_原始数据'!E327)</f>
        <v/>
      </c>
      <c r="F327" s="16">
        <f>IF(True,AVERAGE('03_原始数据'!$E$268:$E$327),"")</f>
        <v/>
      </c>
      <c r="G327" s="16">
        <f>IF(True,STDEV('03_原始数据'!$E$268:$E$327),"")</f>
        <v/>
      </c>
    </row>
    <row r="328" ht="17" customHeight="1">
      <c r="A328" s="40">
        <f>'03_原始数据'!A328</f>
        <v/>
      </c>
      <c r="B328" s="21">
        <f>'03_原始数据'!B328</f>
        <v/>
      </c>
      <c r="C328" s="21">
        <f>'03_原始数据'!C328</f>
        <v/>
      </c>
      <c r="D328" s="21">
        <f>'03_原始数据'!E328</f>
        <v/>
      </c>
      <c r="E328" s="41">
        <f>_xlfn.PERCENTRANK.INC('03_原始数据'!$E$5:$E$873,'03_原始数据'!E328)</f>
        <v/>
      </c>
      <c r="F328" s="21">
        <f>IF(True,AVERAGE('03_原始数据'!$E$269:$E$328),"")</f>
        <v/>
      </c>
      <c r="G328" s="21">
        <f>IF(True,STDEV('03_原始数据'!$E$269:$E$328),"")</f>
        <v/>
      </c>
    </row>
    <row r="329" ht="17" customHeight="1">
      <c r="A329" s="38">
        <f>'03_原始数据'!A329</f>
        <v/>
      </c>
      <c r="B329" s="16">
        <f>'03_原始数据'!B329</f>
        <v/>
      </c>
      <c r="C329" s="16">
        <f>'03_原始数据'!C329</f>
        <v/>
      </c>
      <c r="D329" s="16">
        <f>'03_原始数据'!E329</f>
        <v/>
      </c>
      <c r="E329" s="39">
        <f>_xlfn.PERCENTRANK.INC('03_原始数据'!$E$5:$E$873,'03_原始数据'!E329)</f>
        <v/>
      </c>
      <c r="F329" s="16">
        <f>IF(True,AVERAGE('03_原始数据'!$E$270:$E$329),"")</f>
        <v/>
      </c>
      <c r="G329" s="16">
        <f>IF(True,STDEV('03_原始数据'!$E$270:$E$329),"")</f>
        <v/>
      </c>
    </row>
    <row r="330" ht="17" customHeight="1">
      <c r="A330" s="40">
        <f>'03_原始数据'!A330</f>
        <v/>
      </c>
      <c r="B330" s="21">
        <f>'03_原始数据'!B330</f>
        <v/>
      </c>
      <c r="C330" s="21">
        <f>'03_原始数据'!C330</f>
        <v/>
      </c>
      <c r="D330" s="21">
        <f>'03_原始数据'!E330</f>
        <v/>
      </c>
      <c r="E330" s="41">
        <f>_xlfn.PERCENTRANK.INC('03_原始数据'!$E$5:$E$873,'03_原始数据'!E330)</f>
        <v/>
      </c>
      <c r="F330" s="21">
        <f>IF(True,AVERAGE('03_原始数据'!$E$271:$E$330),"")</f>
        <v/>
      </c>
      <c r="G330" s="21">
        <f>IF(True,STDEV('03_原始数据'!$E$271:$E$330),"")</f>
        <v/>
      </c>
    </row>
    <row r="331" ht="17" customHeight="1">
      <c r="A331" s="38">
        <f>'03_原始数据'!A331</f>
        <v/>
      </c>
      <c r="B331" s="16">
        <f>'03_原始数据'!B331</f>
        <v/>
      </c>
      <c r="C331" s="16">
        <f>'03_原始数据'!C331</f>
        <v/>
      </c>
      <c r="D331" s="16">
        <f>'03_原始数据'!E331</f>
        <v/>
      </c>
      <c r="E331" s="39">
        <f>_xlfn.PERCENTRANK.INC('03_原始数据'!$E$5:$E$873,'03_原始数据'!E331)</f>
        <v/>
      </c>
      <c r="F331" s="16">
        <f>IF(True,AVERAGE('03_原始数据'!$E$272:$E$331),"")</f>
        <v/>
      </c>
      <c r="G331" s="16">
        <f>IF(True,STDEV('03_原始数据'!$E$272:$E$331),"")</f>
        <v/>
      </c>
    </row>
    <row r="332" ht="17" customHeight="1">
      <c r="A332" s="40">
        <f>'03_原始数据'!A332</f>
        <v/>
      </c>
      <c r="B332" s="21">
        <f>'03_原始数据'!B332</f>
        <v/>
      </c>
      <c r="C332" s="21">
        <f>'03_原始数据'!C332</f>
        <v/>
      </c>
      <c r="D332" s="21">
        <f>'03_原始数据'!E332</f>
        <v/>
      </c>
      <c r="E332" s="41">
        <f>_xlfn.PERCENTRANK.INC('03_原始数据'!$E$5:$E$873,'03_原始数据'!E332)</f>
        <v/>
      </c>
      <c r="F332" s="21">
        <f>IF(True,AVERAGE('03_原始数据'!$E$273:$E$332),"")</f>
        <v/>
      </c>
      <c r="G332" s="21">
        <f>IF(True,STDEV('03_原始数据'!$E$273:$E$332),"")</f>
        <v/>
      </c>
    </row>
    <row r="333" ht="17" customHeight="1">
      <c r="A333" s="38">
        <f>'03_原始数据'!A333</f>
        <v/>
      </c>
      <c r="B333" s="16">
        <f>'03_原始数据'!B333</f>
        <v/>
      </c>
      <c r="C333" s="16">
        <f>'03_原始数据'!C333</f>
        <v/>
      </c>
      <c r="D333" s="16">
        <f>'03_原始数据'!E333</f>
        <v/>
      </c>
      <c r="E333" s="39">
        <f>_xlfn.PERCENTRANK.INC('03_原始数据'!$E$5:$E$873,'03_原始数据'!E333)</f>
        <v/>
      </c>
      <c r="F333" s="16">
        <f>IF(True,AVERAGE('03_原始数据'!$E$274:$E$333),"")</f>
        <v/>
      </c>
      <c r="G333" s="16">
        <f>IF(True,STDEV('03_原始数据'!$E$274:$E$333),"")</f>
        <v/>
      </c>
    </row>
    <row r="334" ht="17" customHeight="1">
      <c r="A334" s="40">
        <f>'03_原始数据'!A334</f>
        <v/>
      </c>
      <c r="B334" s="21">
        <f>'03_原始数据'!B334</f>
        <v/>
      </c>
      <c r="C334" s="21">
        <f>'03_原始数据'!C334</f>
        <v/>
      </c>
      <c r="D334" s="21">
        <f>'03_原始数据'!E334</f>
        <v/>
      </c>
      <c r="E334" s="41">
        <f>_xlfn.PERCENTRANK.INC('03_原始数据'!$E$5:$E$873,'03_原始数据'!E334)</f>
        <v/>
      </c>
      <c r="F334" s="21">
        <f>IF(True,AVERAGE('03_原始数据'!$E$275:$E$334),"")</f>
        <v/>
      </c>
      <c r="G334" s="21">
        <f>IF(True,STDEV('03_原始数据'!$E$275:$E$334),"")</f>
        <v/>
      </c>
    </row>
    <row r="335" ht="17" customHeight="1">
      <c r="A335" s="38">
        <f>'03_原始数据'!A335</f>
        <v/>
      </c>
      <c r="B335" s="16">
        <f>'03_原始数据'!B335</f>
        <v/>
      </c>
      <c r="C335" s="16">
        <f>'03_原始数据'!C335</f>
        <v/>
      </c>
      <c r="D335" s="16">
        <f>'03_原始数据'!E335</f>
        <v/>
      </c>
      <c r="E335" s="39">
        <f>_xlfn.PERCENTRANK.INC('03_原始数据'!$E$5:$E$873,'03_原始数据'!E335)</f>
        <v/>
      </c>
      <c r="F335" s="16">
        <f>IF(True,AVERAGE('03_原始数据'!$E$276:$E$335),"")</f>
        <v/>
      </c>
      <c r="G335" s="16">
        <f>IF(True,STDEV('03_原始数据'!$E$276:$E$335),"")</f>
        <v/>
      </c>
    </row>
    <row r="336" ht="17" customHeight="1">
      <c r="A336" s="40">
        <f>'03_原始数据'!A336</f>
        <v/>
      </c>
      <c r="B336" s="21">
        <f>'03_原始数据'!B336</f>
        <v/>
      </c>
      <c r="C336" s="21">
        <f>'03_原始数据'!C336</f>
        <v/>
      </c>
      <c r="D336" s="21">
        <f>'03_原始数据'!E336</f>
        <v/>
      </c>
      <c r="E336" s="41">
        <f>_xlfn.PERCENTRANK.INC('03_原始数据'!$E$5:$E$873,'03_原始数据'!E336)</f>
        <v/>
      </c>
      <c r="F336" s="21">
        <f>IF(True,AVERAGE('03_原始数据'!$E$277:$E$336),"")</f>
        <v/>
      </c>
      <c r="G336" s="21">
        <f>IF(True,STDEV('03_原始数据'!$E$277:$E$336),"")</f>
        <v/>
      </c>
    </row>
    <row r="337" ht="17" customHeight="1">
      <c r="A337" s="38">
        <f>'03_原始数据'!A337</f>
        <v/>
      </c>
      <c r="B337" s="16">
        <f>'03_原始数据'!B337</f>
        <v/>
      </c>
      <c r="C337" s="16">
        <f>'03_原始数据'!C337</f>
        <v/>
      </c>
      <c r="D337" s="16">
        <f>'03_原始数据'!E337</f>
        <v/>
      </c>
      <c r="E337" s="39">
        <f>_xlfn.PERCENTRANK.INC('03_原始数据'!$E$5:$E$873,'03_原始数据'!E337)</f>
        <v/>
      </c>
      <c r="F337" s="16">
        <f>IF(True,AVERAGE('03_原始数据'!$E$278:$E$337),"")</f>
        <v/>
      </c>
      <c r="G337" s="16">
        <f>IF(True,STDEV('03_原始数据'!$E$278:$E$337),"")</f>
        <v/>
      </c>
    </row>
    <row r="338" ht="17" customHeight="1">
      <c r="A338" s="40">
        <f>'03_原始数据'!A338</f>
        <v/>
      </c>
      <c r="B338" s="21">
        <f>'03_原始数据'!B338</f>
        <v/>
      </c>
      <c r="C338" s="21">
        <f>'03_原始数据'!C338</f>
        <v/>
      </c>
      <c r="D338" s="21">
        <f>'03_原始数据'!E338</f>
        <v/>
      </c>
      <c r="E338" s="41">
        <f>_xlfn.PERCENTRANK.INC('03_原始数据'!$E$5:$E$873,'03_原始数据'!E338)</f>
        <v/>
      </c>
      <c r="F338" s="21">
        <f>IF(True,AVERAGE('03_原始数据'!$E$279:$E$338),"")</f>
        <v/>
      </c>
      <c r="G338" s="21">
        <f>IF(True,STDEV('03_原始数据'!$E$279:$E$338),"")</f>
        <v/>
      </c>
    </row>
    <row r="339" ht="17" customHeight="1">
      <c r="A339" s="38">
        <f>'03_原始数据'!A339</f>
        <v/>
      </c>
      <c r="B339" s="16">
        <f>'03_原始数据'!B339</f>
        <v/>
      </c>
      <c r="C339" s="16">
        <f>'03_原始数据'!C339</f>
        <v/>
      </c>
      <c r="D339" s="16">
        <f>'03_原始数据'!E339</f>
        <v/>
      </c>
      <c r="E339" s="39">
        <f>_xlfn.PERCENTRANK.INC('03_原始数据'!$E$5:$E$873,'03_原始数据'!E339)</f>
        <v/>
      </c>
      <c r="F339" s="16">
        <f>IF(True,AVERAGE('03_原始数据'!$E$280:$E$339),"")</f>
        <v/>
      </c>
      <c r="G339" s="16">
        <f>IF(True,STDEV('03_原始数据'!$E$280:$E$339),"")</f>
        <v/>
      </c>
    </row>
    <row r="340" ht="17" customHeight="1">
      <c r="A340" s="40">
        <f>'03_原始数据'!A340</f>
        <v/>
      </c>
      <c r="B340" s="21">
        <f>'03_原始数据'!B340</f>
        <v/>
      </c>
      <c r="C340" s="21">
        <f>'03_原始数据'!C340</f>
        <v/>
      </c>
      <c r="D340" s="21">
        <f>'03_原始数据'!E340</f>
        <v/>
      </c>
      <c r="E340" s="41">
        <f>_xlfn.PERCENTRANK.INC('03_原始数据'!$E$5:$E$873,'03_原始数据'!E340)</f>
        <v/>
      </c>
      <c r="F340" s="21">
        <f>IF(True,AVERAGE('03_原始数据'!$E$281:$E$340),"")</f>
        <v/>
      </c>
      <c r="G340" s="21">
        <f>IF(True,STDEV('03_原始数据'!$E$281:$E$340),"")</f>
        <v/>
      </c>
    </row>
    <row r="341" ht="17" customHeight="1">
      <c r="A341" s="38">
        <f>'03_原始数据'!A341</f>
        <v/>
      </c>
      <c r="B341" s="16">
        <f>'03_原始数据'!B341</f>
        <v/>
      </c>
      <c r="C341" s="16">
        <f>'03_原始数据'!C341</f>
        <v/>
      </c>
      <c r="D341" s="16">
        <f>'03_原始数据'!E341</f>
        <v/>
      </c>
      <c r="E341" s="39">
        <f>_xlfn.PERCENTRANK.INC('03_原始数据'!$E$5:$E$873,'03_原始数据'!E341)</f>
        <v/>
      </c>
      <c r="F341" s="16">
        <f>IF(True,AVERAGE('03_原始数据'!$E$282:$E$341),"")</f>
        <v/>
      </c>
      <c r="G341" s="16">
        <f>IF(True,STDEV('03_原始数据'!$E$282:$E$341),"")</f>
        <v/>
      </c>
    </row>
    <row r="342" ht="17" customHeight="1">
      <c r="A342" s="40">
        <f>'03_原始数据'!A342</f>
        <v/>
      </c>
      <c r="B342" s="21">
        <f>'03_原始数据'!B342</f>
        <v/>
      </c>
      <c r="C342" s="21">
        <f>'03_原始数据'!C342</f>
        <v/>
      </c>
      <c r="D342" s="21">
        <f>'03_原始数据'!E342</f>
        <v/>
      </c>
      <c r="E342" s="41">
        <f>_xlfn.PERCENTRANK.INC('03_原始数据'!$E$5:$E$873,'03_原始数据'!E342)</f>
        <v/>
      </c>
      <c r="F342" s="21">
        <f>IF(True,AVERAGE('03_原始数据'!$E$283:$E$342),"")</f>
        <v/>
      </c>
      <c r="G342" s="21">
        <f>IF(True,STDEV('03_原始数据'!$E$283:$E$342),"")</f>
        <v/>
      </c>
    </row>
    <row r="343" ht="17" customHeight="1">
      <c r="A343" s="38">
        <f>'03_原始数据'!A343</f>
        <v/>
      </c>
      <c r="B343" s="16">
        <f>'03_原始数据'!B343</f>
        <v/>
      </c>
      <c r="C343" s="16">
        <f>'03_原始数据'!C343</f>
        <v/>
      </c>
      <c r="D343" s="16">
        <f>'03_原始数据'!E343</f>
        <v/>
      </c>
      <c r="E343" s="39">
        <f>_xlfn.PERCENTRANK.INC('03_原始数据'!$E$5:$E$873,'03_原始数据'!E343)</f>
        <v/>
      </c>
      <c r="F343" s="16">
        <f>IF(True,AVERAGE('03_原始数据'!$E$284:$E$343),"")</f>
        <v/>
      </c>
      <c r="G343" s="16">
        <f>IF(True,STDEV('03_原始数据'!$E$284:$E$343),"")</f>
        <v/>
      </c>
    </row>
    <row r="344" ht="17" customHeight="1">
      <c r="A344" s="40">
        <f>'03_原始数据'!A344</f>
        <v/>
      </c>
      <c r="B344" s="21">
        <f>'03_原始数据'!B344</f>
        <v/>
      </c>
      <c r="C344" s="21">
        <f>'03_原始数据'!C344</f>
        <v/>
      </c>
      <c r="D344" s="21">
        <f>'03_原始数据'!E344</f>
        <v/>
      </c>
      <c r="E344" s="41">
        <f>_xlfn.PERCENTRANK.INC('03_原始数据'!$E$5:$E$873,'03_原始数据'!E344)</f>
        <v/>
      </c>
      <c r="F344" s="21">
        <f>IF(True,AVERAGE('03_原始数据'!$E$285:$E$344),"")</f>
        <v/>
      </c>
      <c r="G344" s="21">
        <f>IF(True,STDEV('03_原始数据'!$E$285:$E$344),"")</f>
        <v/>
      </c>
    </row>
    <row r="345" ht="17" customHeight="1">
      <c r="A345" s="38">
        <f>'03_原始数据'!A345</f>
        <v/>
      </c>
      <c r="B345" s="16">
        <f>'03_原始数据'!B345</f>
        <v/>
      </c>
      <c r="C345" s="16">
        <f>'03_原始数据'!C345</f>
        <v/>
      </c>
      <c r="D345" s="16">
        <f>'03_原始数据'!E345</f>
        <v/>
      </c>
      <c r="E345" s="39">
        <f>_xlfn.PERCENTRANK.INC('03_原始数据'!$E$5:$E$873,'03_原始数据'!E345)</f>
        <v/>
      </c>
      <c r="F345" s="16">
        <f>IF(True,AVERAGE('03_原始数据'!$E$286:$E$345),"")</f>
        <v/>
      </c>
      <c r="G345" s="16">
        <f>IF(True,STDEV('03_原始数据'!$E$286:$E$345),"")</f>
        <v/>
      </c>
    </row>
    <row r="346" ht="17" customHeight="1">
      <c r="A346" s="40">
        <f>'03_原始数据'!A346</f>
        <v/>
      </c>
      <c r="B346" s="21">
        <f>'03_原始数据'!B346</f>
        <v/>
      </c>
      <c r="C346" s="21">
        <f>'03_原始数据'!C346</f>
        <v/>
      </c>
      <c r="D346" s="21">
        <f>'03_原始数据'!E346</f>
        <v/>
      </c>
      <c r="E346" s="41">
        <f>_xlfn.PERCENTRANK.INC('03_原始数据'!$E$5:$E$873,'03_原始数据'!E346)</f>
        <v/>
      </c>
      <c r="F346" s="21">
        <f>IF(True,AVERAGE('03_原始数据'!$E$287:$E$346),"")</f>
        <v/>
      </c>
      <c r="G346" s="21">
        <f>IF(True,STDEV('03_原始数据'!$E$287:$E$346),"")</f>
        <v/>
      </c>
    </row>
    <row r="347" ht="17" customHeight="1">
      <c r="A347" s="38">
        <f>'03_原始数据'!A347</f>
        <v/>
      </c>
      <c r="B347" s="16">
        <f>'03_原始数据'!B347</f>
        <v/>
      </c>
      <c r="C347" s="16">
        <f>'03_原始数据'!C347</f>
        <v/>
      </c>
      <c r="D347" s="16">
        <f>'03_原始数据'!E347</f>
        <v/>
      </c>
      <c r="E347" s="39">
        <f>_xlfn.PERCENTRANK.INC('03_原始数据'!$E$5:$E$873,'03_原始数据'!E347)</f>
        <v/>
      </c>
      <c r="F347" s="16">
        <f>IF(True,AVERAGE('03_原始数据'!$E$288:$E$347),"")</f>
        <v/>
      </c>
      <c r="G347" s="16">
        <f>IF(True,STDEV('03_原始数据'!$E$288:$E$347),"")</f>
        <v/>
      </c>
    </row>
    <row r="348" ht="17" customHeight="1">
      <c r="A348" s="40">
        <f>'03_原始数据'!A348</f>
        <v/>
      </c>
      <c r="B348" s="21">
        <f>'03_原始数据'!B348</f>
        <v/>
      </c>
      <c r="C348" s="21">
        <f>'03_原始数据'!C348</f>
        <v/>
      </c>
      <c r="D348" s="21">
        <f>'03_原始数据'!E348</f>
        <v/>
      </c>
      <c r="E348" s="41">
        <f>_xlfn.PERCENTRANK.INC('03_原始数据'!$E$5:$E$873,'03_原始数据'!E348)</f>
        <v/>
      </c>
      <c r="F348" s="21">
        <f>IF(True,AVERAGE('03_原始数据'!$E$289:$E$348),"")</f>
        <v/>
      </c>
      <c r="G348" s="21">
        <f>IF(True,STDEV('03_原始数据'!$E$289:$E$348),"")</f>
        <v/>
      </c>
    </row>
    <row r="349" ht="17" customHeight="1">
      <c r="A349" s="38">
        <f>'03_原始数据'!A349</f>
        <v/>
      </c>
      <c r="B349" s="16">
        <f>'03_原始数据'!B349</f>
        <v/>
      </c>
      <c r="C349" s="16">
        <f>'03_原始数据'!C349</f>
        <v/>
      </c>
      <c r="D349" s="16">
        <f>'03_原始数据'!E349</f>
        <v/>
      </c>
      <c r="E349" s="39">
        <f>_xlfn.PERCENTRANK.INC('03_原始数据'!$E$5:$E$873,'03_原始数据'!E349)</f>
        <v/>
      </c>
      <c r="F349" s="16">
        <f>IF(True,AVERAGE('03_原始数据'!$E$290:$E$349),"")</f>
        <v/>
      </c>
      <c r="G349" s="16">
        <f>IF(True,STDEV('03_原始数据'!$E$290:$E$349),"")</f>
        <v/>
      </c>
    </row>
    <row r="350" ht="17" customHeight="1">
      <c r="A350" s="40">
        <f>'03_原始数据'!A350</f>
        <v/>
      </c>
      <c r="B350" s="21">
        <f>'03_原始数据'!B350</f>
        <v/>
      </c>
      <c r="C350" s="21">
        <f>'03_原始数据'!C350</f>
        <v/>
      </c>
      <c r="D350" s="21">
        <f>'03_原始数据'!E350</f>
        <v/>
      </c>
      <c r="E350" s="41">
        <f>_xlfn.PERCENTRANK.INC('03_原始数据'!$E$5:$E$873,'03_原始数据'!E350)</f>
        <v/>
      </c>
      <c r="F350" s="21">
        <f>IF(True,AVERAGE('03_原始数据'!$E$291:$E$350),"")</f>
        <v/>
      </c>
      <c r="G350" s="21">
        <f>IF(True,STDEV('03_原始数据'!$E$291:$E$350),"")</f>
        <v/>
      </c>
    </row>
    <row r="351" ht="17" customHeight="1">
      <c r="A351" s="38">
        <f>'03_原始数据'!A351</f>
        <v/>
      </c>
      <c r="B351" s="16">
        <f>'03_原始数据'!B351</f>
        <v/>
      </c>
      <c r="C351" s="16">
        <f>'03_原始数据'!C351</f>
        <v/>
      </c>
      <c r="D351" s="16">
        <f>'03_原始数据'!E351</f>
        <v/>
      </c>
      <c r="E351" s="39">
        <f>_xlfn.PERCENTRANK.INC('03_原始数据'!$E$5:$E$873,'03_原始数据'!E351)</f>
        <v/>
      </c>
      <c r="F351" s="16">
        <f>IF(True,AVERAGE('03_原始数据'!$E$292:$E$351),"")</f>
        <v/>
      </c>
      <c r="G351" s="16">
        <f>IF(True,STDEV('03_原始数据'!$E$292:$E$351),"")</f>
        <v/>
      </c>
    </row>
    <row r="352" ht="17" customHeight="1">
      <c r="A352" s="40">
        <f>'03_原始数据'!A352</f>
        <v/>
      </c>
      <c r="B352" s="21">
        <f>'03_原始数据'!B352</f>
        <v/>
      </c>
      <c r="C352" s="21">
        <f>'03_原始数据'!C352</f>
        <v/>
      </c>
      <c r="D352" s="21">
        <f>'03_原始数据'!E352</f>
        <v/>
      </c>
      <c r="E352" s="41">
        <f>_xlfn.PERCENTRANK.INC('03_原始数据'!$E$5:$E$873,'03_原始数据'!E352)</f>
        <v/>
      </c>
      <c r="F352" s="21">
        <f>IF(True,AVERAGE('03_原始数据'!$E$293:$E$352),"")</f>
        <v/>
      </c>
      <c r="G352" s="21">
        <f>IF(True,STDEV('03_原始数据'!$E$293:$E$352),"")</f>
        <v/>
      </c>
    </row>
    <row r="353" ht="17" customHeight="1">
      <c r="A353" s="38">
        <f>'03_原始数据'!A353</f>
        <v/>
      </c>
      <c r="B353" s="16">
        <f>'03_原始数据'!B353</f>
        <v/>
      </c>
      <c r="C353" s="16">
        <f>'03_原始数据'!C353</f>
        <v/>
      </c>
      <c r="D353" s="16">
        <f>'03_原始数据'!E353</f>
        <v/>
      </c>
      <c r="E353" s="39">
        <f>_xlfn.PERCENTRANK.INC('03_原始数据'!$E$5:$E$873,'03_原始数据'!E353)</f>
        <v/>
      </c>
      <c r="F353" s="16">
        <f>IF(True,AVERAGE('03_原始数据'!$E$294:$E$353),"")</f>
        <v/>
      </c>
      <c r="G353" s="16">
        <f>IF(True,STDEV('03_原始数据'!$E$294:$E$353),"")</f>
        <v/>
      </c>
    </row>
    <row r="354" ht="17" customHeight="1">
      <c r="A354" s="40">
        <f>'03_原始数据'!A354</f>
        <v/>
      </c>
      <c r="B354" s="21">
        <f>'03_原始数据'!B354</f>
        <v/>
      </c>
      <c r="C354" s="21">
        <f>'03_原始数据'!C354</f>
        <v/>
      </c>
      <c r="D354" s="21">
        <f>'03_原始数据'!E354</f>
        <v/>
      </c>
      <c r="E354" s="41">
        <f>_xlfn.PERCENTRANK.INC('03_原始数据'!$E$5:$E$873,'03_原始数据'!E354)</f>
        <v/>
      </c>
      <c r="F354" s="21">
        <f>IF(True,AVERAGE('03_原始数据'!$E$295:$E$354),"")</f>
        <v/>
      </c>
      <c r="G354" s="21">
        <f>IF(True,STDEV('03_原始数据'!$E$295:$E$354),"")</f>
        <v/>
      </c>
    </row>
    <row r="355" ht="17" customHeight="1">
      <c r="A355" s="38">
        <f>'03_原始数据'!A355</f>
        <v/>
      </c>
      <c r="B355" s="16">
        <f>'03_原始数据'!B355</f>
        <v/>
      </c>
      <c r="C355" s="16">
        <f>'03_原始数据'!C355</f>
        <v/>
      </c>
      <c r="D355" s="16">
        <f>'03_原始数据'!E355</f>
        <v/>
      </c>
      <c r="E355" s="39">
        <f>_xlfn.PERCENTRANK.INC('03_原始数据'!$E$5:$E$873,'03_原始数据'!E355)</f>
        <v/>
      </c>
      <c r="F355" s="16">
        <f>IF(True,AVERAGE('03_原始数据'!$E$296:$E$355),"")</f>
        <v/>
      </c>
      <c r="G355" s="16">
        <f>IF(True,STDEV('03_原始数据'!$E$296:$E$355),"")</f>
        <v/>
      </c>
    </row>
    <row r="356" ht="17" customHeight="1">
      <c r="A356" s="40">
        <f>'03_原始数据'!A356</f>
        <v/>
      </c>
      <c r="B356" s="21">
        <f>'03_原始数据'!B356</f>
        <v/>
      </c>
      <c r="C356" s="21">
        <f>'03_原始数据'!C356</f>
        <v/>
      </c>
      <c r="D356" s="21">
        <f>'03_原始数据'!E356</f>
        <v/>
      </c>
      <c r="E356" s="41">
        <f>_xlfn.PERCENTRANK.INC('03_原始数据'!$E$5:$E$873,'03_原始数据'!E356)</f>
        <v/>
      </c>
      <c r="F356" s="21">
        <f>IF(True,AVERAGE('03_原始数据'!$E$297:$E$356),"")</f>
        <v/>
      </c>
      <c r="G356" s="21">
        <f>IF(True,STDEV('03_原始数据'!$E$297:$E$356),"")</f>
        <v/>
      </c>
    </row>
    <row r="357" ht="17" customHeight="1">
      <c r="A357" s="38">
        <f>'03_原始数据'!A357</f>
        <v/>
      </c>
      <c r="B357" s="16">
        <f>'03_原始数据'!B357</f>
        <v/>
      </c>
      <c r="C357" s="16">
        <f>'03_原始数据'!C357</f>
        <v/>
      </c>
      <c r="D357" s="16">
        <f>'03_原始数据'!E357</f>
        <v/>
      </c>
      <c r="E357" s="39">
        <f>_xlfn.PERCENTRANK.INC('03_原始数据'!$E$5:$E$873,'03_原始数据'!E357)</f>
        <v/>
      </c>
      <c r="F357" s="16">
        <f>IF(True,AVERAGE('03_原始数据'!$E$298:$E$357),"")</f>
        <v/>
      </c>
      <c r="G357" s="16">
        <f>IF(True,STDEV('03_原始数据'!$E$298:$E$357),"")</f>
        <v/>
      </c>
    </row>
    <row r="358" ht="17" customHeight="1">
      <c r="A358" s="40">
        <f>'03_原始数据'!A358</f>
        <v/>
      </c>
      <c r="B358" s="21">
        <f>'03_原始数据'!B358</f>
        <v/>
      </c>
      <c r="C358" s="21">
        <f>'03_原始数据'!C358</f>
        <v/>
      </c>
      <c r="D358" s="21">
        <f>'03_原始数据'!E358</f>
        <v/>
      </c>
      <c r="E358" s="41">
        <f>_xlfn.PERCENTRANK.INC('03_原始数据'!$E$5:$E$873,'03_原始数据'!E358)</f>
        <v/>
      </c>
      <c r="F358" s="21">
        <f>IF(True,AVERAGE('03_原始数据'!$E$299:$E$358),"")</f>
        <v/>
      </c>
      <c r="G358" s="21">
        <f>IF(True,STDEV('03_原始数据'!$E$299:$E$358),"")</f>
        <v/>
      </c>
    </row>
    <row r="359" ht="17" customHeight="1">
      <c r="A359" s="38">
        <f>'03_原始数据'!A359</f>
        <v/>
      </c>
      <c r="B359" s="16">
        <f>'03_原始数据'!B359</f>
        <v/>
      </c>
      <c r="C359" s="16">
        <f>'03_原始数据'!C359</f>
        <v/>
      </c>
      <c r="D359" s="16">
        <f>'03_原始数据'!E359</f>
        <v/>
      </c>
      <c r="E359" s="39">
        <f>_xlfn.PERCENTRANK.INC('03_原始数据'!$E$5:$E$873,'03_原始数据'!E359)</f>
        <v/>
      </c>
      <c r="F359" s="16">
        <f>IF(True,AVERAGE('03_原始数据'!$E$300:$E$359),"")</f>
        <v/>
      </c>
      <c r="G359" s="16">
        <f>IF(True,STDEV('03_原始数据'!$E$300:$E$359),"")</f>
        <v/>
      </c>
    </row>
    <row r="360" ht="17" customHeight="1">
      <c r="A360" s="40">
        <f>'03_原始数据'!A360</f>
        <v/>
      </c>
      <c r="B360" s="21">
        <f>'03_原始数据'!B360</f>
        <v/>
      </c>
      <c r="C360" s="21">
        <f>'03_原始数据'!C360</f>
        <v/>
      </c>
      <c r="D360" s="21">
        <f>'03_原始数据'!E360</f>
        <v/>
      </c>
      <c r="E360" s="41">
        <f>_xlfn.PERCENTRANK.INC('03_原始数据'!$E$5:$E$873,'03_原始数据'!E360)</f>
        <v/>
      </c>
      <c r="F360" s="21">
        <f>IF(True,AVERAGE('03_原始数据'!$E$301:$E$360),"")</f>
        <v/>
      </c>
      <c r="G360" s="21">
        <f>IF(True,STDEV('03_原始数据'!$E$301:$E$360),"")</f>
        <v/>
      </c>
    </row>
    <row r="361" ht="17" customHeight="1">
      <c r="A361" s="38">
        <f>'03_原始数据'!A361</f>
        <v/>
      </c>
      <c r="B361" s="16">
        <f>'03_原始数据'!B361</f>
        <v/>
      </c>
      <c r="C361" s="16">
        <f>'03_原始数据'!C361</f>
        <v/>
      </c>
      <c r="D361" s="16">
        <f>'03_原始数据'!E361</f>
        <v/>
      </c>
      <c r="E361" s="39">
        <f>_xlfn.PERCENTRANK.INC('03_原始数据'!$E$5:$E$873,'03_原始数据'!E361)</f>
        <v/>
      </c>
      <c r="F361" s="16">
        <f>IF(True,AVERAGE('03_原始数据'!$E$302:$E$361),"")</f>
        <v/>
      </c>
      <c r="G361" s="16">
        <f>IF(True,STDEV('03_原始数据'!$E$302:$E$361),"")</f>
        <v/>
      </c>
    </row>
    <row r="362" ht="17" customHeight="1">
      <c r="A362" s="40">
        <f>'03_原始数据'!A362</f>
        <v/>
      </c>
      <c r="B362" s="21">
        <f>'03_原始数据'!B362</f>
        <v/>
      </c>
      <c r="C362" s="21">
        <f>'03_原始数据'!C362</f>
        <v/>
      </c>
      <c r="D362" s="21">
        <f>'03_原始数据'!E362</f>
        <v/>
      </c>
      <c r="E362" s="41">
        <f>_xlfn.PERCENTRANK.INC('03_原始数据'!$E$5:$E$873,'03_原始数据'!E362)</f>
        <v/>
      </c>
      <c r="F362" s="21">
        <f>IF(True,AVERAGE('03_原始数据'!$E$303:$E$362),"")</f>
        <v/>
      </c>
      <c r="G362" s="21">
        <f>IF(True,STDEV('03_原始数据'!$E$303:$E$362),"")</f>
        <v/>
      </c>
    </row>
    <row r="363" ht="17" customHeight="1">
      <c r="A363" s="38">
        <f>'03_原始数据'!A363</f>
        <v/>
      </c>
      <c r="B363" s="16">
        <f>'03_原始数据'!B363</f>
        <v/>
      </c>
      <c r="C363" s="16">
        <f>'03_原始数据'!C363</f>
        <v/>
      </c>
      <c r="D363" s="16">
        <f>'03_原始数据'!E363</f>
        <v/>
      </c>
      <c r="E363" s="39">
        <f>_xlfn.PERCENTRANK.INC('03_原始数据'!$E$5:$E$873,'03_原始数据'!E363)</f>
        <v/>
      </c>
      <c r="F363" s="16">
        <f>IF(True,AVERAGE('03_原始数据'!$E$304:$E$363),"")</f>
        <v/>
      </c>
      <c r="G363" s="16">
        <f>IF(True,STDEV('03_原始数据'!$E$304:$E$363),"")</f>
        <v/>
      </c>
    </row>
    <row r="364" ht="17" customHeight="1">
      <c r="A364" s="40">
        <f>'03_原始数据'!A364</f>
        <v/>
      </c>
      <c r="B364" s="21">
        <f>'03_原始数据'!B364</f>
        <v/>
      </c>
      <c r="C364" s="21">
        <f>'03_原始数据'!C364</f>
        <v/>
      </c>
      <c r="D364" s="21">
        <f>'03_原始数据'!E364</f>
        <v/>
      </c>
      <c r="E364" s="41">
        <f>_xlfn.PERCENTRANK.INC('03_原始数据'!$E$5:$E$873,'03_原始数据'!E364)</f>
        <v/>
      </c>
      <c r="F364" s="21">
        <f>IF(True,AVERAGE('03_原始数据'!$E$305:$E$364),"")</f>
        <v/>
      </c>
      <c r="G364" s="21">
        <f>IF(True,STDEV('03_原始数据'!$E$305:$E$364),"")</f>
        <v/>
      </c>
    </row>
    <row r="365" ht="17" customHeight="1">
      <c r="A365" s="38">
        <f>'03_原始数据'!A365</f>
        <v/>
      </c>
      <c r="B365" s="16">
        <f>'03_原始数据'!B365</f>
        <v/>
      </c>
      <c r="C365" s="16">
        <f>'03_原始数据'!C365</f>
        <v/>
      </c>
      <c r="D365" s="16">
        <f>'03_原始数据'!E365</f>
        <v/>
      </c>
      <c r="E365" s="39">
        <f>_xlfn.PERCENTRANK.INC('03_原始数据'!$E$5:$E$873,'03_原始数据'!E365)</f>
        <v/>
      </c>
      <c r="F365" s="16">
        <f>IF(True,AVERAGE('03_原始数据'!$E$306:$E$365),"")</f>
        <v/>
      </c>
      <c r="G365" s="16">
        <f>IF(True,STDEV('03_原始数据'!$E$306:$E$365),"")</f>
        <v/>
      </c>
    </row>
    <row r="366" ht="17" customHeight="1">
      <c r="A366" s="40">
        <f>'03_原始数据'!A366</f>
        <v/>
      </c>
      <c r="B366" s="21">
        <f>'03_原始数据'!B366</f>
        <v/>
      </c>
      <c r="C366" s="21">
        <f>'03_原始数据'!C366</f>
        <v/>
      </c>
      <c r="D366" s="21">
        <f>'03_原始数据'!E366</f>
        <v/>
      </c>
      <c r="E366" s="41">
        <f>_xlfn.PERCENTRANK.INC('03_原始数据'!$E$5:$E$873,'03_原始数据'!E366)</f>
        <v/>
      </c>
      <c r="F366" s="21">
        <f>IF(True,AVERAGE('03_原始数据'!$E$307:$E$366),"")</f>
        <v/>
      </c>
      <c r="G366" s="21">
        <f>IF(True,STDEV('03_原始数据'!$E$307:$E$366),"")</f>
        <v/>
      </c>
    </row>
    <row r="367" ht="17" customHeight="1">
      <c r="A367" s="38">
        <f>'03_原始数据'!A367</f>
        <v/>
      </c>
      <c r="B367" s="16">
        <f>'03_原始数据'!B367</f>
        <v/>
      </c>
      <c r="C367" s="16">
        <f>'03_原始数据'!C367</f>
        <v/>
      </c>
      <c r="D367" s="16">
        <f>'03_原始数据'!E367</f>
        <v/>
      </c>
      <c r="E367" s="39">
        <f>_xlfn.PERCENTRANK.INC('03_原始数据'!$E$5:$E$873,'03_原始数据'!E367)</f>
        <v/>
      </c>
      <c r="F367" s="16">
        <f>IF(True,AVERAGE('03_原始数据'!$E$308:$E$367),"")</f>
        <v/>
      </c>
      <c r="G367" s="16">
        <f>IF(True,STDEV('03_原始数据'!$E$308:$E$367),"")</f>
        <v/>
      </c>
    </row>
    <row r="368" ht="17" customHeight="1">
      <c r="A368" s="40">
        <f>'03_原始数据'!A368</f>
        <v/>
      </c>
      <c r="B368" s="21">
        <f>'03_原始数据'!B368</f>
        <v/>
      </c>
      <c r="C368" s="21">
        <f>'03_原始数据'!C368</f>
        <v/>
      </c>
      <c r="D368" s="21">
        <f>'03_原始数据'!E368</f>
        <v/>
      </c>
      <c r="E368" s="41">
        <f>_xlfn.PERCENTRANK.INC('03_原始数据'!$E$5:$E$873,'03_原始数据'!E368)</f>
        <v/>
      </c>
      <c r="F368" s="21">
        <f>IF(True,AVERAGE('03_原始数据'!$E$309:$E$368),"")</f>
        <v/>
      </c>
      <c r="G368" s="21">
        <f>IF(True,STDEV('03_原始数据'!$E$309:$E$368),"")</f>
        <v/>
      </c>
    </row>
    <row r="369" ht="17" customHeight="1">
      <c r="A369" s="38">
        <f>'03_原始数据'!A369</f>
        <v/>
      </c>
      <c r="B369" s="16">
        <f>'03_原始数据'!B369</f>
        <v/>
      </c>
      <c r="C369" s="16">
        <f>'03_原始数据'!C369</f>
        <v/>
      </c>
      <c r="D369" s="16">
        <f>'03_原始数据'!E369</f>
        <v/>
      </c>
      <c r="E369" s="39">
        <f>_xlfn.PERCENTRANK.INC('03_原始数据'!$E$5:$E$873,'03_原始数据'!E369)</f>
        <v/>
      </c>
      <c r="F369" s="16">
        <f>IF(True,AVERAGE('03_原始数据'!$E$310:$E$369),"")</f>
        <v/>
      </c>
      <c r="G369" s="16">
        <f>IF(True,STDEV('03_原始数据'!$E$310:$E$369),"")</f>
        <v/>
      </c>
    </row>
    <row r="370" ht="17" customHeight="1">
      <c r="A370" s="40">
        <f>'03_原始数据'!A370</f>
        <v/>
      </c>
      <c r="B370" s="21">
        <f>'03_原始数据'!B370</f>
        <v/>
      </c>
      <c r="C370" s="21">
        <f>'03_原始数据'!C370</f>
        <v/>
      </c>
      <c r="D370" s="21">
        <f>'03_原始数据'!E370</f>
        <v/>
      </c>
      <c r="E370" s="41">
        <f>_xlfn.PERCENTRANK.INC('03_原始数据'!$E$5:$E$873,'03_原始数据'!E370)</f>
        <v/>
      </c>
      <c r="F370" s="21">
        <f>IF(True,AVERAGE('03_原始数据'!$E$311:$E$370),"")</f>
        <v/>
      </c>
      <c r="G370" s="21">
        <f>IF(True,STDEV('03_原始数据'!$E$311:$E$370),"")</f>
        <v/>
      </c>
    </row>
    <row r="371" ht="17" customHeight="1">
      <c r="A371" s="38">
        <f>'03_原始数据'!A371</f>
        <v/>
      </c>
      <c r="B371" s="16">
        <f>'03_原始数据'!B371</f>
        <v/>
      </c>
      <c r="C371" s="16">
        <f>'03_原始数据'!C371</f>
        <v/>
      </c>
      <c r="D371" s="16">
        <f>'03_原始数据'!E371</f>
        <v/>
      </c>
      <c r="E371" s="39">
        <f>_xlfn.PERCENTRANK.INC('03_原始数据'!$E$5:$E$873,'03_原始数据'!E371)</f>
        <v/>
      </c>
      <c r="F371" s="16">
        <f>IF(True,AVERAGE('03_原始数据'!$E$312:$E$371),"")</f>
        <v/>
      </c>
      <c r="G371" s="16">
        <f>IF(True,STDEV('03_原始数据'!$E$312:$E$371),"")</f>
        <v/>
      </c>
    </row>
    <row r="372" ht="17" customHeight="1">
      <c r="A372" s="40">
        <f>'03_原始数据'!A372</f>
        <v/>
      </c>
      <c r="B372" s="21">
        <f>'03_原始数据'!B372</f>
        <v/>
      </c>
      <c r="C372" s="21">
        <f>'03_原始数据'!C372</f>
        <v/>
      </c>
      <c r="D372" s="21">
        <f>'03_原始数据'!E372</f>
        <v/>
      </c>
      <c r="E372" s="41">
        <f>_xlfn.PERCENTRANK.INC('03_原始数据'!$E$5:$E$873,'03_原始数据'!E372)</f>
        <v/>
      </c>
      <c r="F372" s="21">
        <f>IF(True,AVERAGE('03_原始数据'!$E$313:$E$372),"")</f>
        <v/>
      </c>
      <c r="G372" s="21">
        <f>IF(True,STDEV('03_原始数据'!$E$313:$E$372),"")</f>
        <v/>
      </c>
    </row>
    <row r="373" ht="17" customHeight="1">
      <c r="A373" s="38">
        <f>'03_原始数据'!A373</f>
        <v/>
      </c>
      <c r="B373" s="16">
        <f>'03_原始数据'!B373</f>
        <v/>
      </c>
      <c r="C373" s="16">
        <f>'03_原始数据'!C373</f>
        <v/>
      </c>
      <c r="D373" s="16">
        <f>'03_原始数据'!E373</f>
        <v/>
      </c>
      <c r="E373" s="39">
        <f>_xlfn.PERCENTRANK.INC('03_原始数据'!$E$5:$E$873,'03_原始数据'!E373)</f>
        <v/>
      </c>
      <c r="F373" s="16">
        <f>IF(True,AVERAGE('03_原始数据'!$E$314:$E$373),"")</f>
        <v/>
      </c>
      <c r="G373" s="16">
        <f>IF(True,STDEV('03_原始数据'!$E$314:$E$373),"")</f>
        <v/>
      </c>
    </row>
    <row r="374" ht="17" customHeight="1">
      <c r="A374" s="40">
        <f>'03_原始数据'!A374</f>
        <v/>
      </c>
      <c r="B374" s="21">
        <f>'03_原始数据'!B374</f>
        <v/>
      </c>
      <c r="C374" s="21">
        <f>'03_原始数据'!C374</f>
        <v/>
      </c>
      <c r="D374" s="21">
        <f>'03_原始数据'!E374</f>
        <v/>
      </c>
      <c r="E374" s="41">
        <f>_xlfn.PERCENTRANK.INC('03_原始数据'!$E$5:$E$873,'03_原始数据'!E374)</f>
        <v/>
      </c>
      <c r="F374" s="21">
        <f>IF(True,AVERAGE('03_原始数据'!$E$315:$E$374),"")</f>
        <v/>
      </c>
      <c r="G374" s="21">
        <f>IF(True,STDEV('03_原始数据'!$E$315:$E$374),"")</f>
        <v/>
      </c>
    </row>
    <row r="375" ht="17" customHeight="1">
      <c r="A375" s="38">
        <f>'03_原始数据'!A375</f>
        <v/>
      </c>
      <c r="B375" s="16">
        <f>'03_原始数据'!B375</f>
        <v/>
      </c>
      <c r="C375" s="16">
        <f>'03_原始数据'!C375</f>
        <v/>
      </c>
      <c r="D375" s="16">
        <f>'03_原始数据'!E375</f>
        <v/>
      </c>
      <c r="E375" s="39">
        <f>_xlfn.PERCENTRANK.INC('03_原始数据'!$E$5:$E$873,'03_原始数据'!E375)</f>
        <v/>
      </c>
      <c r="F375" s="16">
        <f>IF(True,AVERAGE('03_原始数据'!$E$316:$E$375),"")</f>
        <v/>
      </c>
      <c r="G375" s="16">
        <f>IF(True,STDEV('03_原始数据'!$E$316:$E$375),"")</f>
        <v/>
      </c>
    </row>
    <row r="376" ht="17" customHeight="1">
      <c r="A376" s="40">
        <f>'03_原始数据'!A376</f>
        <v/>
      </c>
      <c r="B376" s="21">
        <f>'03_原始数据'!B376</f>
        <v/>
      </c>
      <c r="C376" s="21">
        <f>'03_原始数据'!C376</f>
        <v/>
      </c>
      <c r="D376" s="21">
        <f>'03_原始数据'!E376</f>
        <v/>
      </c>
      <c r="E376" s="41">
        <f>_xlfn.PERCENTRANK.INC('03_原始数据'!$E$5:$E$873,'03_原始数据'!E376)</f>
        <v/>
      </c>
      <c r="F376" s="21">
        <f>IF(True,AVERAGE('03_原始数据'!$E$317:$E$376),"")</f>
        <v/>
      </c>
      <c r="G376" s="21">
        <f>IF(True,STDEV('03_原始数据'!$E$317:$E$376),"")</f>
        <v/>
      </c>
    </row>
    <row r="377" ht="17" customHeight="1">
      <c r="A377" s="38">
        <f>'03_原始数据'!A377</f>
        <v/>
      </c>
      <c r="B377" s="16">
        <f>'03_原始数据'!B377</f>
        <v/>
      </c>
      <c r="C377" s="16">
        <f>'03_原始数据'!C377</f>
        <v/>
      </c>
      <c r="D377" s="16">
        <f>'03_原始数据'!E377</f>
        <v/>
      </c>
      <c r="E377" s="39">
        <f>_xlfn.PERCENTRANK.INC('03_原始数据'!$E$5:$E$873,'03_原始数据'!E377)</f>
        <v/>
      </c>
      <c r="F377" s="16">
        <f>IF(True,AVERAGE('03_原始数据'!$E$318:$E$377),"")</f>
        <v/>
      </c>
      <c r="G377" s="16">
        <f>IF(True,STDEV('03_原始数据'!$E$318:$E$377),"")</f>
        <v/>
      </c>
    </row>
    <row r="378" ht="17" customHeight="1">
      <c r="A378" s="40">
        <f>'03_原始数据'!A378</f>
        <v/>
      </c>
      <c r="B378" s="21">
        <f>'03_原始数据'!B378</f>
        <v/>
      </c>
      <c r="C378" s="21">
        <f>'03_原始数据'!C378</f>
        <v/>
      </c>
      <c r="D378" s="21">
        <f>'03_原始数据'!E378</f>
        <v/>
      </c>
      <c r="E378" s="41">
        <f>_xlfn.PERCENTRANK.INC('03_原始数据'!$E$5:$E$873,'03_原始数据'!E378)</f>
        <v/>
      </c>
      <c r="F378" s="21">
        <f>IF(True,AVERAGE('03_原始数据'!$E$319:$E$378),"")</f>
        <v/>
      </c>
      <c r="G378" s="21">
        <f>IF(True,STDEV('03_原始数据'!$E$319:$E$378),"")</f>
        <v/>
      </c>
    </row>
    <row r="379" ht="17" customHeight="1">
      <c r="A379" s="38">
        <f>'03_原始数据'!A379</f>
        <v/>
      </c>
      <c r="B379" s="16">
        <f>'03_原始数据'!B379</f>
        <v/>
      </c>
      <c r="C379" s="16">
        <f>'03_原始数据'!C379</f>
        <v/>
      </c>
      <c r="D379" s="16">
        <f>'03_原始数据'!E379</f>
        <v/>
      </c>
      <c r="E379" s="39">
        <f>_xlfn.PERCENTRANK.INC('03_原始数据'!$E$5:$E$873,'03_原始数据'!E379)</f>
        <v/>
      </c>
      <c r="F379" s="16">
        <f>IF(True,AVERAGE('03_原始数据'!$E$320:$E$379),"")</f>
        <v/>
      </c>
      <c r="G379" s="16">
        <f>IF(True,STDEV('03_原始数据'!$E$320:$E$379),"")</f>
        <v/>
      </c>
    </row>
    <row r="380" ht="17" customHeight="1">
      <c r="A380" s="40">
        <f>'03_原始数据'!A380</f>
        <v/>
      </c>
      <c r="B380" s="21">
        <f>'03_原始数据'!B380</f>
        <v/>
      </c>
      <c r="C380" s="21">
        <f>'03_原始数据'!C380</f>
        <v/>
      </c>
      <c r="D380" s="21">
        <f>'03_原始数据'!E380</f>
        <v/>
      </c>
      <c r="E380" s="41">
        <f>_xlfn.PERCENTRANK.INC('03_原始数据'!$E$5:$E$873,'03_原始数据'!E380)</f>
        <v/>
      </c>
      <c r="F380" s="21">
        <f>IF(True,AVERAGE('03_原始数据'!$E$321:$E$380),"")</f>
        <v/>
      </c>
      <c r="G380" s="21">
        <f>IF(True,STDEV('03_原始数据'!$E$321:$E$380),"")</f>
        <v/>
      </c>
    </row>
    <row r="381" ht="17" customHeight="1">
      <c r="A381" s="38">
        <f>'03_原始数据'!A381</f>
        <v/>
      </c>
      <c r="B381" s="16">
        <f>'03_原始数据'!B381</f>
        <v/>
      </c>
      <c r="C381" s="16">
        <f>'03_原始数据'!C381</f>
        <v/>
      </c>
      <c r="D381" s="16">
        <f>'03_原始数据'!E381</f>
        <v/>
      </c>
      <c r="E381" s="39">
        <f>_xlfn.PERCENTRANK.INC('03_原始数据'!$E$5:$E$873,'03_原始数据'!E381)</f>
        <v/>
      </c>
      <c r="F381" s="16">
        <f>IF(True,AVERAGE('03_原始数据'!$E$322:$E$381),"")</f>
        <v/>
      </c>
      <c r="G381" s="16">
        <f>IF(True,STDEV('03_原始数据'!$E$322:$E$381),"")</f>
        <v/>
      </c>
    </row>
    <row r="382" ht="17" customHeight="1">
      <c r="A382" s="40">
        <f>'03_原始数据'!A382</f>
        <v/>
      </c>
      <c r="B382" s="21">
        <f>'03_原始数据'!B382</f>
        <v/>
      </c>
      <c r="C382" s="21">
        <f>'03_原始数据'!C382</f>
        <v/>
      </c>
      <c r="D382" s="21">
        <f>'03_原始数据'!E382</f>
        <v/>
      </c>
      <c r="E382" s="41">
        <f>_xlfn.PERCENTRANK.INC('03_原始数据'!$E$5:$E$873,'03_原始数据'!E382)</f>
        <v/>
      </c>
      <c r="F382" s="21">
        <f>IF(True,AVERAGE('03_原始数据'!$E$323:$E$382),"")</f>
        <v/>
      </c>
      <c r="G382" s="21">
        <f>IF(True,STDEV('03_原始数据'!$E$323:$E$382),"")</f>
        <v/>
      </c>
    </row>
    <row r="383" ht="17" customHeight="1">
      <c r="A383" s="38">
        <f>'03_原始数据'!A383</f>
        <v/>
      </c>
      <c r="B383" s="16">
        <f>'03_原始数据'!B383</f>
        <v/>
      </c>
      <c r="C383" s="16">
        <f>'03_原始数据'!C383</f>
        <v/>
      </c>
      <c r="D383" s="16">
        <f>'03_原始数据'!E383</f>
        <v/>
      </c>
      <c r="E383" s="39">
        <f>_xlfn.PERCENTRANK.INC('03_原始数据'!$E$5:$E$873,'03_原始数据'!E383)</f>
        <v/>
      </c>
      <c r="F383" s="16">
        <f>IF(True,AVERAGE('03_原始数据'!$E$324:$E$383),"")</f>
        <v/>
      </c>
      <c r="G383" s="16">
        <f>IF(True,STDEV('03_原始数据'!$E$324:$E$383),"")</f>
        <v/>
      </c>
    </row>
    <row r="384" ht="17" customHeight="1">
      <c r="A384" s="40">
        <f>'03_原始数据'!A384</f>
        <v/>
      </c>
      <c r="B384" s="21">
        <f>'03_原始数据'!B384</f>
        <v/>
      </c>
      <c r="C384" s="21">
        <f>'03_原始数据'!C384</f>
        <v/>
      </c>
      <c r="D384" s="21">
        <f>'03_原始数据'!E384</f>
        <v/>
      </c>
      <c r="E384" s="41">
        <f>_xlfn.PERCENTRANK.INC('03_原始数据'!$E$5:$E$873,'03_原始数据'!E384)</f>
        <v/>
      </c>
      <c r="F384" s="21">
        <f>IF(True,AVERAGE('03_原始数据'!$E$325:$E$384),"")</f>
        <v/>
      </c>
      <c r="G384" s="21">
        <f>IF(True,STDEV('03_原始数据'!$E$325:$E$384),"")</f>
        <v/>
      </c>
    </row>
    <row r="385" ht="17" customHeight="1">
      <c r="A385" s="38">
        <f>'03_原始数据'!A385</f>
        <v/>
      </c>
      <c r="B385" s="16">
        <f>'03_原始数据'!B385</f>
        <v/>
      </c>
      <c r="C385" s="16">
        <f>'03_原始数据'!C385</f>
        <v/>
      </c>
      <c r="D385" s="16">
        <f>'03_原始数据'!E385</f>
        <v/>
      </c>
      <c r="E385" s="39">
        <f>_xlfn.PERCENTRANK.INC('03_原始数据'!$E$5:$E$873,'03_原始数据'!E385)</f>
        <v/>
      </c>
      <c r="F385" s="16">
        <f>IF(True,AVERAGE('03_原始数据'!$E$326:$E$385),"")</f>
        <v/>
      </c>
      <c r="G385" s="16">
        <f>IF(True,STDEV('03_原始数据'!$E$326:$E$385),"")</f>
        <v/>
      </c>
    </row>
    <row r="386" ht="17" customHeight="1">
      <c r="A386" s="40">
        <f>'03_原始数据'!A386</f>
        <v/>
      </c>
      <c r="B386" s="21">
        <f>'03_原始数据'!B386</f>
        <v/>
      </c>
      <c r="C386" s="21">
        <f>'03_原始数据'!C386</f>
        <v/>
      </c>
      <c r="D386" s="21">
        <f>'03_原始数据'!E386</f>
        <v/>
      </c>
      <c r="E386" s="41">
        <f>_xlfn.PERCENTRANK.INC('03_原始数据'!$E$5:$E$873,'03_原始数据'!E386)</f>
        <v/>
      </c>
      <c r="F386" s="21">
        <f>IF(True,AVERAGE('03_原始数据'!$E$327:$E$386),"")</f>
        <v/>
      </c>
      <c r="G386" s="21">
        <f>IF(True,STDEV('03_原始数据'!$E$327:$E$386),"")</f>
        <v/>
      </c>
    </row>
    <row r="387" ht="17" customHeight="1">
      <c r="A387" s="38">
        <f>'03_原始数据'!A387</f>
        <v/>
      </c>
      <c r="B387" s="16">
        <f>'03_原始数据'!B387</f>
        <v/>
      </c>
      <c r="C387" s="16">
        <f>'03_原始数据'!C387</f>
        <v/>
      </c>
      <c r="D387" s="16">
        <f>'03_原始数据'!E387</f>
        <v/>
      </c>
      <c r="E387" s="39">
        <f>_xlfn.PERCENTRANK.INC('03_原始数据'!$E$5:$E$873,'03_原始数据'!E387)</f>
        <v/>
      </c>
      <c r="F387" s="16">
        <f>IF(True,AVERAGE('03_原始数据'!$E$328:$E$387),"")</f>
        <v/>
      </c>
      <c r="G387" s="16">
        <f>IF(True,STDEV('03_原始数据'!$E$328:$E$387),"")</f>
        <v/>
      </c>
    </row>
    <row r="388" ht="17" customHeight="1">
      <c r="A388" s="40">
        <f>'03_原始数据'!A388</f>
        <v/>
      </c>
      <c r="B388" s="21">
        <f>'03_原始数据'!B388</f>
        <v/>
      </c>
      <c r="C388" s="21">
        <f>'03_原始数据'!C388</f>
        <v/>
      </c>
      <c r="D388" s="21">
        <f>'03_原始数据'!E388</f>
        <v/>
      </c>
      <c r="E388" s="41">
        <f>_xlfn.PERCENTRANK.INC('03_原始数据'!$E$5:$E$873,'03_原始数据'!E388)</f>
        <v/>
      </c>
      <c r="F388" s="21">
        <f>IF(True,AVERAGE('03_原始数据'!$E$329:$E$388),"")</f>
        <v/>
      </c>
      <c r="G388" s="21">
        <f>IF(True,STDEV('03_原始数据'!$E$329:$E$388),"")</f>
        <v/>
      </c>
    </row>
    <row r="389" ht="17" customHeight="1">
      <c r="A389" s="38">
        <f>'03_原始数据'!A389</f>
        <v/>
      </c>
      <c r="B389" s="16">
        <f>'03_原始数据'!B389</f>
        <v/>
      </c>
      <c r="C389" s="16">
        <f>'03_原始数据'!C389</f>
        <v/>
      </c>
      <c r="D389" s="16">
        <f>'03_原始数据'!E389</f>
        <v/>
      </c>
      <c r="E389" s="39">
        <f>_xlfn.PERCENTRANK.INC('03_原始数据'!$E$5:$E$873,'03_原始数据'!E389)</f>
        <v/>
      </c>
      <c r="F389" s="16">
        <f>IF(True,AVERAGE('03_原始数据'!$E$330:$E$389),"")</f>
        <v/>
      </c>
      <c r="G389" s="16">
        <f>IF(True,STDEV('03_原始数据'!$E$330:$E$389),"")</f>
        <v/>
      </c>
    </row>
    <row r="390" ht="17" customHeight="1">
      <c r="A390" s="40">
        <f>'03_原始数据'!A390</f>
        <v/>
      </c>
      <c r="B390" s="21">
        <f>'03_原始数据'!B390</f>
        <v/>
      </c>
      <c r="C390" s="21">
        <f>'03_原始数据'!C390</f>
        <v/>
      </c>
      <c r="D390" s="21">
        <f>'03_原始数据'!E390</f>
        <v/>
      </c>
      <c r="E390" s="41">
        <f>_xlfn.PERCENTRANK.INC('03_原始数据'!$E$5:$E$873,'03_原始数据'!E390)</f>
        <v/>
      </c>
      <c r="F390" s="21">
        <f>IF(True,AVERAGE('03_原始数据'!$E$331:$E$390),"")</f>
        <v/>
      </c>
      <c r="G390" s="21">
        <f>IF(True,STDEV('03_原始数据'!$E$331:$E$390),"")</f>
        <v/>
      </c>
    </row>
    <row r="391" ht="17" customHeight="1">
      <c r="A391" s="38">
        <f>'03_原始数据'!A391</f>
        <v/>
      </c>
      <c r="B391" s="16">
        <f>'03_原始数据'!B391</f>
        <v/>
      </c>
      <c r="C391" s="16">
        <f>'03_原始数据'!C391</f>
        <v/>
      </c>
      <c r="D391" s="16">
        <f>'03_原始数据'!E391</f>
        <v/>
      </c>
      <c r="E391" s="39">
        <f>_xlfn.PERCENTRANK.INC('03_原始数据'!$E$5:$E$873,'03_原始数据'!E391)</f>
        <v/>
      </c>
      <c r="F391" s="16">
        <f>IF(True,AVERAGE('03_原始数据'!$E$332:$E$391),"")</f>
        <v/>
      </c>
      <c r="G391" s="16">
        <f>IF(True,STDEV('03_原始数据'!$E$332:$E$391),"")</f>
        <v/>
      </c>
    </row>
    <row r="392" ht="17" customHeight="1">
      <c r="A392" s="40">
        <f>'03_原始数据'!A392</f>
        <v/>
      </c>
      <c r="B392" s="21">
        <f>'03_原始数据'!B392</f>
        <v/>
      </c>
      <c r="C392" s="21">
        <f>'03_原始数据'!C392</f>
        <v/>
      </c>
      <c r="D392" s="21">
        <f>'03_原始数据'!E392</f>
        <v/>
      </c>
      <c r="E392" s="41">
        <f>_xlfn.PERCENTRANK.INC('03_原始数据'!$E$5:$E$873,'03_原始数据'!E392)</f>
        <v/>
      </c>
      <c r="F392" s="21">
        <f>IF(True,AVERAGE('03_原始数据'!$E$333:$E$392),"")</f>
        <v/>
      </c>
      <c r="G392" s="21">
        <f>IF(True,STDEV('03_原始数据'!$E$333:$E$392),"")</f>
        <v/>
      </c>
    </row>
    <row r="393" ht="17" customHeight="1">
      <c r="A393" s="38">
        <f>'03_原始数据'!A393</f>
        <v/>
      </c>
      <c r="B393" s="16">
        <f>'03_原始数据'!B393</f>
        <v/>
      </c>
      <c r="C393" s="16">
        <f>'03_原始数据'!C393</f>
        <v/>
      </c>
      <c r="D393" s="16">
        <f>'03_原始数据'!E393</f>
        <v/>
      </c>
      <c r="E393" s="39">
        <f>_xlfn.PERCENTRANK.INC('03_原始数据'!$E$5:$E$873,'03_原始数据'!E393)</f>
        <v/>
      </c>
      <c r="F393" s="16">
        <f>IF(True,AVERAGE('03_原始数据'!$E$334:$E$393),"")</f>
        <v/>
      </c>
      <c r="G393" s="16">
        <f>IF(True,STDEV('03_原始数据'!$E$334:$E$393),"")</f>
        <v/>
      </c>
    </row>
    <row r="394" ht="17" customHeight="1">
      <c r="A394" s="40">
        <f>'03_原始数据'!A394</f>
        <v/>
      </c>
      <c r="B394" s="21">
        <f>'03_原始数据'!B394</f>
        <v/>
      </c>
      <c r="C394" s="21">
        <f>'03_原始数据'!C394</f>
        <v/>
      </c>
      <c r="D394" s="21">
        <f>'03_原始数据'!E394</f>
        <v/>
      </c>
      <c r="E394" s="41">
        <f>_xlfn.PERCENTRANK.INC('03_原始数据'!$E$5:$E$873,'03_原始数据'!E394)</f>
        <v/>
      </c>
      <c r="F394" s="21">
        <f>IF(True,AVERAGE('03_原始数据'!$E$335:$E$394),"")</f>
        <v/>
      </c>
      <c r="G394" s="21">
        <f>IF(True,STDEV('03_原始数据'!$E$335:$E$394),"")</f>
        <v/>
      </c>
    </row>
    <row r="395" ht="17" customHeight="1">
      <c r="A395" s="38">
        <f>'03_原始数据'!A395</f>
        <v/>
      </c>
      <c r="B395" s="16">
        <f>'03_原始数据'!B395</f>
        <v/>
      </c>
      <c r="C395" s="16">
        <f>'03_原始数据'!C395</f>
        <v/>
      </c>
      <c r="D395" s="16">
        <f>'03_原始数据'!E395</f>
        <v/>
      </c>
      <c r="E395" s="39">
        <f>_xlfn.PERCENTRANK.INC('03_原始数据'!$E$5:$E$873,'03_原始数据'!E395)</f>
        <v/>
      </c>
      <c r="F395" s="16">
        <f>IF(True,AVERAGE('03_原始数据'!$E$336:$E$395),"")</f>
        <v/>
      </c>
      <c r="G395" s="16">
        <f>IF(True,STDEV('03_原始数据'!$E$336:$E$395),"")</f>
        <v/>
      </c>
    </row>
    <row r="396" ht="17" customHeight="1">
      <c r="A396" s="40">
        <f>'03_原始数据'!A396</f>
        <v/>
      </c>
      <c r="B396" s="21">
        <f>'03_原始数据'!B396</f>
        <v/>
      </c>
      <c r="C396" s="21">
        <f>'03_原始数据'!C396</f>
        <v/>
      </c>
      <c r="D396" s="21">
        <f>'03_原始数据'!E396</f>
        <v/>
      </c>
      <c r="E396" s="41">
        <f>_xlfn.PERCENTRANK.INC('03_原始数据'!$E$5:$E$873,'03_原始数据'!E396)</f>
        <v/>
      </c>
      <c r="F396" s="21">
        <f>IF(True,AVERAGE('03_原始数据'!$E$337:$E$396),"")</f>
        <v/>
      </c>
      <c r="G396" s="21">
        <f>IF(True,STDEV('03_原始数据'!$E$337:$E$396),"")</f>
        <v/>
      </c>
    </row>
    <row r="397" ht="17" customHeight="1">
      <c r="A397" s="38">
        <f>'03_原始数据'!A397</f>
        <v/>
      </c>
      <c r="B397" s="16">
        <f>'03_原始数据'!B397</f>
        <v/>
      </c>
      <c r="C397" s="16">
        <f>'03_原始数据'!C397</f>
        <v/>
      </c>
      <c r="D397" s="16">
        <f>'03_原始数据'!E397</f>
        <v/>
      </c>
      <c r="E397" s="39">
        <f>_xlfn.PERCENTRANK.INC('03_原始数据'!$E$5:$E$873,'03_原始数据'!E397)</f>
        <v/>
      </c>
      <c r="F397" s="16">
        <f>IF(True,AVERAGE('03_原始数据'!$E$338:$E$397),"")</f>
        <v/>
      </c>
      <c r="G397" s="16">
        <f>IF(True,STDEV('03_原始数据'!$E$338:$E$397),"")</f>
        <v/>
      </c>
    </row>
    <row r="398" ht="17" customHeight="1">
      <c r="A398" s="40">
        <f>'03_原始数据'!A398</f>
        <v/>
      </c>
      <c r="B398" s="21">
        <f>'03_原始数据'!B398</f>
        <v/>
      </c>
      <c r="C398" s="21">
        <f>'03_原始数据'!C398</f>
        <v/>
      </c>
      <c r="D398" s="21">
        <f>'03_原始数据'!E398</f>
        <v/>
      </c>
      <c r="E398" s="41">
        <f>_xlfn.PERCENTRANK.INC('03_原始数据'!$E$5:$E$873,'03_原始数据'!E398)</f>
        <v/>
      </c>
      <c r="F398" s="21">
        <f>IF(True,AVERAGE('03_原始数据'!$E$339:$E$398),"")</f>
        <v/>
      </c>
      <c r="G398" s="21">
        <f>IF(True,STDEV('03_原始数据'!$E$339:$E$398),"")</f>
        <v/>
      </c>
    </row>
    <row r="399" ht="17" customHeight="1">
      <c r="A399" s="38">
        <f>'03_原始数据'!A399</f>
        <v/>
      </c>
      <c r="B399" s="16">
        <f>'03_原始数据'!B399</f>
        <v/>
      </c>
      <c r="C399" s="16">
        <f>'03_原始数据'!C399</f>
        <v/>
      </c>
      <c r="D399" s="16">
        <f>'03_原始数据'!E399</f>
        <v/>
      </c>
      <c r="E399" s="39">
        <f>_xlfn.PERCENTRANK.INC('03_原始数据'!$E$5:$E$873,'03_原始数据'!E399)</f>
        <v/>
      </c>
      <c r="F399" s="16">
        <f>IF(True,AVERAGE('03_原始数据'!$E$340:$E$399),"")</f>
        <v/>
      </c>
      <c r="G399" s="16">
        <f>IF(True,STDEV('03_原始数据'!$E$340:$E$399),"")</f>
        <v/>
      </c>
    </row>
    <row r="400" ht="17" customHeight="1">
      <c r="A400" s="40">
        <f>'03_原始数据'!A400</f>
        <v/>
      </c>
      <c r="B400" s="21">
        <f>'03_原始数据'!B400</f>
        <v/>
      </c>
      <c r="C400" s="21">
        <f>'03_原始数据'!C400</f>
        <v/>
      </c>
      <c r="D400" s="21">
        <f>'03_原始数据'!E400</f>
        <v/>
      </c>
      <c r="E400" s="41">
        <f>_xlfn.PERCENTRANK.INC('03_原始数据'!$E$5:$E$873,'03_原始数据'!E400)</f>
        <v/>
      </c>
      <c r="F400" s="21">
        <f>IF(True,AVERAGE('03_原始数据'!$E$341:$E$400),"")</f>
        <v/>
      </c>
      <c r="G400" s="21">
        <f>IF(True,STDEV('03_原始数据'!$E$341:$E$400),"")</f>
        <v/>
      </c>
    </row>
    <row r="401" ht="17" customHeight="1">
      <c r="A401" s="38">
        <f>'03_原始数据'!A401</f>
        <v/>
      </c>
      <c r="B401" s="16">
        <f>'03_原始数据'!B401</f>
        <v/>
      </c>
      <c r="C401" s="16">
        <f>'03_原始数据'!C401</f>
        <v/>
      </c>
      <c r="D401" s="16">
        <f>'03_原始数据'!E401</f>
        <v/>
      </c>
      <c r="E401" s="39">
        <f>_xlfn.PERCENTRANK.INC('03_原始数据'!$E$5:$E$873,'03_原始数据'!E401)</f>
        <v/>
      </c>
      <c r="F401" s="16">
        <f>IF(True,AVERAGE('03_原始数据'!$E$342:$E$401),"")</f>
        <v/>
      </c>
      <c r="G401" s="16">
        <f>IF(True,STDEV('03_原始数据'!$E$342:$E$401),"")</f>
        <v/>
      </c>
    </row>
    <row r="402" ht="17" customHeight="1">
      <c r="A402" s="40">
        <f>'03_原始数据'!A402</f>
        <v/>
      </c>
      <c r="B402" s="21">
        <f>'03_原始数据'!B402</f>
        <v/>
      </c>
      <c r="C402" s="21">
        <f>'03_原始数据'!C402</f>
        <v/>
      </c>
      <c r="D402" s="21">
        <f>'03_原始数据'!E402</f>
        <v/>
      </c>
      <c r="E402" s="41">
        <f>_xlfn.PERCENTRANK.INC('03_原始数据'!$E$5:$E$873,'03_原始数据'!E402)</f>
        <v/>
      </c>
      <c r="F402" s="21">
        <f>IF(True,AVERAGE('03_原始数据'!$E$343:$E$402),"")</f>
        <v/>
      </c>
      <c r="G402" s="21">
        <f>IF(True,STDEV('03_原始数据'!$E$343:$E$402),"")</f>
        <v/>
      </c>
    </row>
    <row r="403" ht="17" customHeight="1">
      <c r="A403" s="38">
        <f>'03_原始数据'!A403</f>
        <v/>
      </c>
      <c r="B403" s="16">
        <f>'03_原始数据'!B403</f>
        <v/>
      </c>
      <c r="C403" s="16">
        <f>'03_原始数据'!C403</f>
        <v/>
      </c>
      <c r="D403" s="16">
        <f>'03_原始数据'!E403</f>
        <v/>
      </c>
      <c r="E403" s="39">
        <f>_xlfn.PERCENTRANK.INC('03_原始数据'!$E$5:$E$873,'03_原始数据'!E403)</f>
        <v/>
      </c>
      <c r="F403" s="16">
        <f>IF(True,AVERAGE('03_原始数据'!$E$344:$E$403),"")</f>
        <v/>
      </c>
      <c r="G403" s="16">
        <f>IF(True,STDEV('03_原始数据'!$E$344:$E$403),"")</f>
        <v/>
      </c>
    </row>
    <row r="404" ht="17" customHeight="1">
      <c r="A404" s="40">
        <f>'03_原始数据'!A404</f>
        <v/>
      </c>
      <c r="B404" s="21">
        <f>'03_原始数据'!B404</f>
        <v/>
      </c>
      <c r="C404" s="21">
        <f>'03_原始数据'!C404</f>
        <v/>
      </c>
      <c r="D404" s="21">
        <f>'03_原始数据'!E404</f>
        <v/>
      </c>
      <c r="E404" s="41">
        <f>_xlfn.PERCENTRANK.INC('03_原始数据'!$E$5:$E$873,'03_原始数据'!E404)</f>
        <v/>
      </c>
      <c r="F404" s="21">
        <f>IF(True,AVERAGE('03_原始数据'!$E$345:$E$404),"")</f>
        <v/>
      </c>
      <c r="G404" s="21">
        <f>IF(True,STDEV('03_原始数据'!$E$345:$E$404),"")</f>
        <v/>
      </c>
    </row>
    <row r="405" ht="17" customHeight="1">
      <c r="A405" s="38">
        <f>'03_原始数据'!A405</f>
        <v/>
      </c>
      <c r="B405" s="16">
        <f>'03_原始数据'!B405</f>
        <v/>
      </c>
      <c r="C405" s="16">
        <f>'03_原始数据'!C405</f>
        <v/>
      </c>
      <c r="D405" s="16">
        <f>'03_原始数据'!E405</f>
        <v/>
      </c>
      <c r="E405" s="39">
        <f>_xlfn.PERCENTRANK.INC('03_原始数据'!$E$5:$E$873,'03_原始数据'!E405)</f>
        <v/>
      </c>
      <c r="F405" s="16">
        <f>IF(True,AVERAGE('03_原始数据'!$E$346:$E$405),"")</f>
        <v/>
      </c>
      <c r="G405" s="16">
        <f>IF(True,STDEV('03_原始数据'!$E$346:$E$405),"")</f>
        <v/>
      </c>
    </row>
    <row r="406" ht="17" customHeight="1">
      <c r="A406" s="40">
        <f>'03_原始数据'!A406</f>
        <v/>
      </c>
      <c r="B406" s="21">
        <f>'03_原始数据'!B406</f>
        <v/>
      </c>
      <c r="C406" s="21">
        <f>'03_原始数据'!C406</f>
        <v/>
      </c>
      <c r="D406" s="21">
        <f>'03_原始数据'!E406</f>
        <v/>
      </c>
      <c r="E406" s="41">
        <f>_xlfn.PERCENTRANK.INC('03_原始数据'!$E$5:$E$873,'03_原始数据'!E406)</f>
        <v/>
      </c>
      <c r="F406" s="21">
        <f>IF(True,AVERAGE('03_原始数据'!$E$347:$E$406),"")</f>
        <v/>
      </c>
      <c r="G406" s="21">
        <f>IF(True,STDEV('03_原始数据'!$E$347:$E$406),"")</f>
        <v/>
      </c>
    </row>
    <row r="407" ht="17" customHeight="1">
      <c r="A407" s="38">
        <f>'03_原始数据'!A407</f>
        <v/>
      </c>
      <c r="B407" s="16">
        <f>'03_原始数据'!B407</f>
        <v/>
      </c>
      <c r="C407" s="16">
        <f>'03_原始数据'!C407</f>
        <v/>
      </c>
      <c r="D407" s="16">
        <f>'03_原始数据'!E407</f>
        <v/>
      </c>
      <c r="E407" s="39">
        <f>_xlfn.PERCENTRANK.INC('03_原始数据'!$E$5:$E$873,'03_原始数据'!E407)</f>
        <v/>
      </c>
      <c r="F407" s="16">
        <f>IF(True,AVERAGE('03_原始数据'!$E$348:$E$407),"")</f>
        <v/>
      </c>
      <c r="G407" s="16">
        <f>IF(True,STDEV('03_原始数据'!$E$348:$E$407),"")</f>
        <v/>
      </c>
    </row>
    <row r="408" ht="17" customHeight="1">
      <c r="A408" s="40">
        <f>'03_原始数据'!A408</f>
        <v/>
      </c>
      <c r="B408" s="21">
        <f>'03_原始数据'!B408</f>
        <v/>
      </c>
      <c r="C408" s="21">
        <f>'03_原始数据'!C408</f>
        <v/>
      </c>
      <c r="D408" s="21">
        <f>'03_原始数据'!E408</f>
        <v/>
      </c>
      <c r="E408" s="41">
        <f>_xlfn.PERCENTRANK.INC('03_原始数据'!$E$5:$E$873,'03_原始数据'!E408)</f>
        <v/>
      </c>
      <c r="F408" s="21">
        <f>IF(True,AVERAGE('03_原始数据'!$E$349:$E$408),"")</f>
        <v/>
      </c>
      <c r="G408" s="21">
        <f>IF(True,STDEV('03_原始数据'!$E$349:$E$408),"")</f>
        <v/>
      </c>
    </row>
    <row r="409" ht="17" customHeight="1">
      <c r="A409" s="38">
        <f>'03_原始数据'!A409</f>
        <v/>
      </c>
      <c r="B409" s="16">
        <f>'03_原始数据'!B409</f>
        <v/>
      </c>
      <c r="C409" s="16">
        <f>'03_原始数据'!C409</f>
        <v/>
      </c>
      <c r="D409" s="16">
        <f>'03_原始数据'!E409</f>
        <v/>
      </c>
      <c r="E409" s="39">
        <f>_xlfn.PERCENTRANK.INC('03_原始数据'!$E$5:$E$873,'03_原始数据'!E409)</f>
        <v/>
      </c>
      <c r="F409" s="16">
        <f>IF(True,AVERAGE('03_原始数据'!$E$350:$E$409),"")</f>
        <v/>
      </c>
      <c r="G409" s="16">
        <f>IF(True,STDEV('03_原始数据'!$E$350:$E$409),"")</f>
        <v/>
      </c>
    </row>
    <row r="410" ht="17" customHeight="1">
      <c r="A410" s="40">
        <f>'03_原始数据'!A410</f>
        <v/>
      </c>
      <c r="B410" s="21">
        <f>'03_原始数据'!B410</f>
        <v/>
      </c>
      <c r="C410" s="21">
        <f>'03_原始数据'!C410</f>
        <v/>
      </c>
      <c r="D410" s="21">
        <f>'03_原始数据'!E410</f>
        <v/>
      </c>
      <c r="E410" s="41">
        <f>_xlfn.PERCENTRANK.INC('03_原始数据'!$E$5:$E$873,'03_原始数据'!E410)</f>
        <v/>
      </c>
      <c r="F410" s="21">
        <f>IF(True,AVERAGE('03_原始数据'!$E$351:$E$410),"")</f>
        <v/>
      </c>
      <c r="G410" s="21">
        <f>IF(True,STDEV('03_原始数据'!$E$351:$E$410),"")</f>
        <v/>
      </c>
    </row>
    <row r="411" ht="17" customHeight="1">
      <c r="A411" s="38">
        <f>'03_原始数据'!A411</f>
        <v/>
      </c>
      <c r="B411" s="16">
        <f>'03_原始数据'!B411</f>
        <v/>
      </c>
      <c r="C411" s="16">
        <f>'03_原始数据'!C411</f>
        <v/>
      </c>
      <c r="D411" s="16">
        <f>'03_原始数据'!E411</f>
        <v/>
      </c>
      <c r="E411" s="39">
        <f>_xlfn.PERCENTRANK.INC('03_原始数据'!$E$5:$E$873,'03_原始数据'!E411)</f>
        <v/>
      </c>
      <c r="F411" s="16">
        <f>IF(True,AVERAGE('03_原始数据'!$E$352:$E$411),"")</f>
        <v/>
      </c>
      <c r="G411" s="16">
        <f>IF(True,STDEV('03_原始数据'!$E$352:$E$411),"")</f>
        <v/>
      </c>
    </row>
    <row r="412" ht="17" customHeight="1">
      <c r="A412" s="40">
        <f>'03_原始数据'!A412</f>
        <v/>
      </c>
      <c r="B412" s="21">
        <f>'03_原始数据'!B412</f>
        <v/>
      </c>
      <c r="C412" s="21">
        <f>'03_原始数据'!C412</f>
        <v/>
      </c>
      <c r="D412" s="21">
        <f>'03_原始数据'!E412</f>
        <v/>
      </c>
      <c r="E412" s="41">
        <f>_xlfn.PERCENTRANK.INC('03_原始数据'!$E$5:$E$873,'03_原始数据'!E412)</f>
        <v/>
      </c>
      <c r="F412" s="21">
        <f>IF(True,AVERAGE('03_原始数据'!$E$353:$E$412),"")</f>
        <v/>
      </c>
      <c r="G412" s="21">
        <f>IF(True,STDEV('03_原始数据'!$E$353:$E$412),"")</f>
        <v/>
      </c>
    </row>
    <row r="413" ht="17" customHeight="1">
      <c r="A413" s="38">
        <f>'03_原始数据'!A413</f>
        <v/>
      </c>
      <c r="B413" s="16">
        <f>'03_原始数据'!B413</f>
        <v/>
      </c>
      <c r="C413" s="16">
        <f>'03_原始数据'!C413</f>
        <v/>
      </c>
      <c r="D413" s="16">
        <f>'03_原始数据'!E413</f>
        <v/>
      </c>
      <c r="E413" s="39">
        <f>_xlfn.PERCENTRANK.INC('03_原始数据'!$E$5:$E$873,'03_原始数据'!E413)</f>
        <v/>
      </c>
      <c r="F413" s="16">
        <f>IF(True,AVERAGE('03_原始数据'!$E$354:$E$413),"")</f>
        <v/>
      </c>
      <c r="G413" s="16">
        <f>IF(True,STDEV('03_原始数据'!$E$354:$E$413),"")</f>
        <v/>
      </c>
    </row>
    <row r="414" ht="17" customHeight="1">
      <c r="A414" s="40">
        <f>'03_原始数据'!A414</f>
        <v/>
      </c>
      <c r="B414" s="21">
        <f>'03_原始数据'!B414</f>
        <v/>
      </c>
      <c r="C414" s="21">
        <f>'03_原始数据'!C414</f>
        <v/>
      </c>
      <c r="D414" s="21">
        <f>'03_原始数据'!E414</f>
        <v/>
      </c>
      <c r="E414" s="41">
        <f>_xlfn.PERCENTRANK.INC('03_原始数据'!$E$5:$E$873,'03_原始数据'!E414)</f>
        <v/>
      </c>
      <c r="F414" s="21">
        <f>IF(True,AVERAGE('03_原始数据'!$E$355:$E$414),"")</f>
        <v/>
      </c>
      <c r="G414" s="21">
        <f>IF(True,STDEV('03_原始数据'!$E$355:$E$414),"")</f>
        <v/>
      </c>
    </row>
    <row r="415" ht="17" customHeight="1">
      <c r="A415" s="38">
        <f>'03_原始数据'!A415</f>
        <v/>
      </c>
      <c r="B415" s="16">
        <f>'03_原始数据'!B415</f>
        <v/>
      </c>
      <c r="C415" s="16">
        <f>'03_原始数据'!C415</f>
        <v/>
      </c>
      <c r="D415" s="16">
        <f>'03_原始数据'!E415</f>
        <v/>
      </c>
      <c r="E415" s="39">
        <f>_xlfn.PERCENTRANK.INC('03_原始数据'!$E$5:$E$873,'03_原始数据'!E415)</f>
        <v/>
      </c>
      <c r="F415" s="16">
        <f>IF(True,AVERAGE('03_原始数据'!$E$356:$E$415),"")</f>
        <v/>
      </c>
      <c r="G415" s="16">
        <f>IF(True,STDEV('03_原始数据'!$E$356:$E$415),"")</f>
        <v/>
      </c>
    </row>
    <row r="416" ht="17" customHeight="1">
      <c r="A416" s="40">
        <f>'03_原始数据'!A416</f>
        <v/>
      </c>
      <c r="B416" s="21">
        <f>'03_原始数据'!B416</f>
        <v/>
      </c>
      <c r="C416" s="21">
        <f>'03_原始数据'!C416</f>
        <v/>
      </c>
      <c r="D416" s="21">
        <f>'03_原始数据'!E416</f>
        <v/>
      </c>
      <c r="E416" s="41">
        <f>_xlfn.PERCENTRANK.INC('03_原始数据'!$E$5:$E$873,'03_原始数据'!E416)</f>
        <v/>
      </c>
      <c r="F416" s="21">
        <f>IF(True,AVERAGE('03_原始数据'!$E$357:$E$416),"")</f>
        <v/>
      </c>
      <c r="G416" s="21">
        <f>IF(True,STDEV('03_原始数据'!$E$357:$E$416),"")</f>
        <v/>
      </c>
    </row>
    <row r="417" ht="17" customHeight="1">
      <c r="A417" s="38">
        <f>'03_原始数据'!A417</f>
        <v/>
      </c>
      <c r="B417" s="16">
        <f>'03_原始数据'!B417</f>
        <v/>
      </c>
      <c r="C417" s="16">
        <f>'03_原始数据'!C417</f>
        <v/>
      </c>
      <c r="D417" s="16">
        <f>'03_原始数据'!E417</f>
        <v/>
      </c>
      <c r="E417" s="39">
        <f>_xlfn.PERCENTRANK.INC('03_原始数据'!$E$5:$E$873,'03_原始数据'!E417)</f>
        <v/>
      </c>
      <c r="F417" s="16">
        <f>IF(True,AVERAGE('03_原始数据'!$E$358:$E$417),"")</f>
        <v/>
      </c>
      <c r="G417" s="16">
        <f>IF(True,STDEV('03_原始数据'!$E$358:$E$417),"")</f>
        <v/>
      </c>
    </row>
    <row r="418" ht="17" customHeight="1">
      <c r="A418" s="40">
        <f>'03_原始数据'!A418</f>
        <v/>
      </c>
      <c r="B418" s="21">
        <f>'03_原始数据'!B418</f>
        <v/>
      </c>
      <c r="C418" s="21">
        <f>'03_原始数据'!C418</f>
        <v/>
      </c>
      <c r="D418" s="21">
        <f>'03_原始数据'!E418</f>
        <v/>
      </c>
      <c r="E418" s="41">
        <f>_xlfn.PERCENTRANK.INC('03_原始数据'!$E$5:$E$873,'03_原始数据'!E418)</f>
        <v/>
      </c>
      <c r="F418" s="21">
        <f>IF(True,AVERAGE('03_原始数据'!$E$359:$E$418),"")</f>
        <v/>
      </c>
      <c r="G418" s="21">
        <f>IF(True,STDEV('03_原始数据'!$E$359:$E$418),"")</f>
        <v/>
      </c>
    </row>
    <row r="419" ht="17" customHeight="1">
      <c r="A419" s="38">
        <f>'03_原始数据'!A419</f>
        <v/>
      </c>
      <c r="B419" s="16">
        <f>'03_原始数据'!B419</f>
        <v/>
      </c>
      <c r="C419" s="16">
        <f>'03_原始数据'!C419</f>
        <v/>
      </c>
      <c r="D419" s="16">
        <f>'03_原始数据'!E419</f>
        <v/>
      </c>
      <c r="E419" s="39">
        <f>_xlfn.PERCENTRANK.INC('03_原始数据'!$E$5:$E$873,'03_原始数据'!E419)</f>
        <v/>
      </c>
      <c r="F419" s="16">
        <f>IF(True,AVERAGE('03_原始数据'!$E$360:$E$419),"")</f>
        <v/>
      </c>
      <c r="G419" s="16">
        <f>IF(True,STDEV('03_原始数据'!$E$360:$E$419),"")</f>
        <v/>
      </c>
    </row>
    <row r="420" ht="17" customHeight="1">
      <c r="A420" s="40">
        <f>'03_原始数据'!A420</f>
        <v/>
      </c>
      <c r="B420" s="21">
        <f>'03_原始数据'!B420</f>
        <v/>
      </c>
      <c r="C420" s="21">
        <f>'03_原始数据'!C420</f>
        <v/>
      </c>
      <c r="D420" s="21">
        <f>'03_原始数据'!E420</f>
        <v/>
      </c>
      <c r="E420" s="41">
        <f>_xlfn.PERCENTRANK.INC('03_原始数据'!$E$5:$E$873,'03_原始数据'!E420)</f>
        <v/>
      </c>
      <c r="F420" s="21">
        <f>IF(True,AVERAGE('03_原始数据'!$E$361:$E$420),"")</f>
        <v/>
      </c>
      <c r="G420" s="21">
        <f>IF(True,STDEV('03_原始数据'!$E$361:$E$420),"")</f>
        <v/>
      </c>
    </row>
    <row r="421" ht="17" customHeight="1">
      <c r="A421" s="38">
        <f>'03_原始数据'!A421</f>
        <v/>
      </c>
      <c r="B421" s="16">
        <f>'03_原始数据'!B421</f>
        <v/>
      </c>
      <c r="C421" s="16">
        <f>'03_原始数据'!C421</f>
        <v/>
      </c>
      <c r="D421" s="16">
        <f>'03_原始数据'!E421</f>
        <v/>
      </c>
      <c r="E421" s="39">
        <f>_xlfn.PERCENTRANK.INC('03_原始数据'!$E$5:$E$873,'03_原始数据'!E421)</f>
        <v/>
      </c>
      <c r="F421" s="16">
        <f>IF(True,AVERAGE('03_原始数据'!$E$362:$E$421),"")</f>
        <v/>
      </c>
      <c r="G421" s="16">
        <f>IF(True,STDEV('03_原始数据'!$E$362:$E$421),"")</f>
        <v/>
      </c>
    </row>
    <row r="422" ht="17" customHeight="1">
      <c r="A422" s="40">
        <f>'03_原始数据'!A422</f>
        <v/>
      </c>
      <c r="B422" s="21">
        <f>'03_原始数据'!B422</f>
        <v/>
      </c>
      <c r="C422" s="21">
        <f>'03_原始数据'!C422</f>
        <v/>
      </c>
      <c r="D422" s="21">
        <f>'03_原始数据'!E422</f>
        <v/>
      </c>
      <c r="E422" s="41">
        <f>_xlfn.PERCENTRANK.INC('03_原始数据'!$E$5:$E$873,'03_原始数据'!E422)</f>
        <v/>
      </c>
      <c r="F422" s="21">
        <f>IF(True,AVERAGE('03_原始数据'!$E$363:$E$422),"")</f>
        <v/>
      </c>
      <c r="G422" s="21">
        <f>IF(True,STDEV('03_原始数据'!$E$363:$E$422),"")</f>
        <v/>
      </c>
    </row>
    <row r="423" ht="17" customHeight="1">
      <c r="A423" s="38">
        <f>'03_原始数据'!A423</f>
        <v/>
      </c>
      <c r="B423" s="16">
        <f>'03_原始数据'!B423</f>
        <v/>
      </c>
      <c r="C423" s="16">
        <f>'03_原始数据'!C423</f>
        <v/>
      </c>
      <c r="D423" s="16">
        <f>'03_原始数据'!E423</f>
        <v/>
      </c>
      <c r="E423" s="39">
        <f>_xlfn.PERCENTRANK.INC('03_原始数据'!$E$5:$E$873,'03_原始数据'!E423)</f>
        <v/>
      </c>
      <c r="F423" s="16">
        <f>IF(True,AVERAGE('03_原始数据'!$E$364:$E$423),"")</f>
        <v/>
      </c>
      <c r="G423" s="16">
        <f>IF(True,STDEV('03_原始数据'!$E$364:$E$423),"")</f>
        <v/>
      </c>
    </row>
    <row r="424" ht="17" customHeight="1">
      <c r="A424" s="40">
        <f>'03_原始数据'!A424</f>
        <v/>
      </c>
      <c r="B424" s="21">
        <f>'03_原始数据'!B424</f>
        <v/>
      </c>
      <c r="C424" s="21">
        <f>'03_原始数据'!C424</f>
        <v/>
      </c>
      <c r="D424" s="21">
        <f>'03_原始数据'!E424</f>
        <v/>
      </c>
      <c r="E424" s="41">
        <f>_xlfn.PERCENTRANK.INC('03_原始数据'!$E$5:$E$873,'03_原始数据'!E424)</f>
        <v/>
      </c>
      <c r="F424" s="21">
        <f>IF(True,AVERAGE('03_原始数据'!$E$365:$E$424),"")</f>
        <v/>
      </c>
      <c r="G424" s="21">
        <f>IF(True,STDEV('03_原始数据'!$E$365:$E$424),"")</f>
        <v/>
      </c>
    </row>
    <row r="425" ht="17" customHeight="1">
      <c r="A425" s="38">
        <f>'03_原始数据'!A425</f>
        <v/>
      </c>
      <c r="B425" s="16">
        <f>'03_原始数据'!B425</f>
        <v/>
      </c>
      <c r="C425" s="16">
        <f>'03_原始数据'!C425</f>
        <v/>
      </c>
      <c r="D425" s="16">
        <f>'03_原始数据'!E425</f>
        <v/>
      </c>
      <c r="E425" s="39">
        <f>_xlfn.PERCENTRANK.INC('03_原始数据'!$E$5:$E$873,'03_原始数据'!E425)</f>
        <v/>
      </c>
      <c r="F425" s="16">
        <f>IF(True,AVERAGE('03_原始数据'!$E$366:$E$425),"")</f>
        <v/>
      </c>
      <c r="G425" s="16">
        <f>IF(True,STDEV('03_原始数据'!$E$366:$E$425),"")</f>
        <v/>
      </c>
    </row>
    <row r="426" ht="17" customHeight="1">
      <c r="A426" s="40">
        <f>'03_原始数据'!A426</f>
        <v/>
      </c>
      <c r="B426" s="21">
        <f>'03_原始数据'!B426</f>
        <v/>
      </c>
      <c r="C426" s="21">
        <f>'03_原始数据'!C426</f>
        <v/>
      </c>
      <c r="D426" s="21">
        <f>'03_原始数据'!E426</f>
        <v/>
      </c>
      <c r="E426" s="41">
        <f>_xlfn.PERCENTRANK.INC('03_原始数据'!$E$5:$E$873,'03_原始数据'!E426)</f>
        <v/>
      </c>
      <c r="F426" s="21">
        <f>IF(True,AVERAGE('03_原始数据'!$E$367:$E$426),"")</f>
        <v/>
      </c>
      <c r="G426" s="21">
        <f>IF(True,STDEV('03_原始数据'!$E$367:$E$426),"")</f>
        <v/>
      </c>
    </row>
    <row r="427" ht="17" customHeight="1">
      <c r="A427" s="38">
        <f>'03_原始数据'!A427</f>
        <v/>
      </c>
      <c r="B427" s="16">
        <f>'03_原始数据'!B427</f>
        <v/>
      </c>
      <c r="C427" s="16">
        <f>'03_原始数据'!C427</f>
        <v/>
      </c>
      <c r="D427" s="16">
        <f>'03_原始数据'!E427</f>
        <v/>
      </c>
      <c r="E427" s="39">
        <f>_xlfn.PERCENTRANK.INC('03_原始数据'!$E$5:$E$873,'03_原始数据'!E427)</f>
        <v/>
      </c>
      <c r="F427" s="16">
        <f>IF(True,AVERAGE('03_原始数据'!$E$368:$E$427),"")</f>
        <v/>
      </c>
      <c r="G427" s="16">
        <f>IF(True,STDEV('03_原始数据'!$E$368:$E$427),"")</f>
        <v/>
      </c>
    </row>
    <row r="428" ht="17" customHeight="1">
      <c r="A428" s="40">
        <f>'03_原始数据'!A428</f>
        <v/>
      </c>
      <c r="B428" s="21">
        <f>'03_原始数据'!B428</f>
        <v/>
      </c>
      <c r="C428" s="21">
        <f>'03_原始数据'!C428</f>
        <v/>
      </c>
      <c r="D428" s="21">
        <f>'03_原始数据'!E428</f>
        <v/>
      </c>
      <c r="E428" s="41">
        <f>_xlfn.PERCENTRANK.INC('03_原始数据'!$E$5:$E$873,'03_原始数据'!E428)</f>
        <v/>
      </c>
      <c r="F428" s="21">
        <f>IF(True,AVERAGE('03_原始数据'!$E$369:$E$428),"")</f>
        <v/>
      </c>
      <c r="G428" s="21">
        <f>IF(True,STDEV('03_原始数据'!$E$369:$E$428),"")</f>
        <v/>
      </c>
    </row>
    <row r="429" ht="17" customHeight="1">
      <c r="A429" s="38">
        <f>'03_原始数据'!A429</f>
        <v/>
      </c>
      <c r="B429" s="16">
        <f>'03_原始数据'!B429</f>
        <v/>
      </c>
      <c r="C429" s="16">
        <f>'03_原始数据'!C429</f>
        <v/>
      </c>
      <c r="D429" s="16">
        <f>'03_原始数据'!E429</f>
        <v/>
      </c>
      <c r="E429" s="39">
        <f>_xlfn.PERCENTRANK.INC('03_原始数据'!$E$5:$E$873,'03_原始数据'!E429)</f>
        <v/>
      </c>
      <c r="F429" s="16">
        <f>IF(True,AVERAGE('03_原始数据'!$E$370:$E$429),"")</f>
        <v/>
      </c>
      <c r="G429" s="16">
        <f>IF(True,STDEV('03_原始数据'!$E$370:$E$429),"")</f>
        <v/>
      </c>
    </row>
    <row r="430" ht="17" customHeight="1">
      <c r="A430" s="40">
        <f>'03_原始数据'!A430</f>
        <v/>
      </c>
      <c r="B430" s="21">
        <f>'03_原始数据'!B430</f>
        <v/>
      </c>
      <c r="C430" s="21">
        <f>'03_原始数据'!C430</f>
        <v/>
      </c>
      <c r="D430" s="21">
        <f>'03_原始数据'!E430</f>
        <v/>
      </c>
      <c r="E430" s="41">
        <f>_xlfn.PERCENTRANK.INC('03_原始数据'!$E$5:$E$873,'03_原始数据'!E430)</f>
        <v/>
      </c>
      <c r="F430" s="21">
        <f>IF(True,AVERAGE('03_原始数据'!$E$371:$E$430),"")</f>
        <v/>
      </c>
      <c r="G430" s="21">
        <f>IF(True,STDEV('03_原始数据'!$E$371:$E$430),"")</f>
        <v/>
      </c>
    </row>
    <row r="431" ht="17" customHeight="1">
      <c r="A431" s="38">
        <f>'03_原始数据'!A431</f>
        <v/>
      </c>
      <c r="B431" s="16">
        <f>'03_原始数据'!B431</f>
        <v/>
      </c>
      <c r="C431" s="16">
        <f>'03_原始数据'!C431</f>
        <v/>
      </c>
      <c r="D431" s="16">
        <f>'03_原始数据'!E431</f>
        <v/>
      </c>
      <c r="E431" s="39">
        <f>_xlfn.PERCENTRANK.INC('03_原始数据'!$E$5:$E$873,'03_原始数据'!E431)</f>
        <v/>
      </c>
      <c r="F431" s="16">
        <f>IF(True,AVERAGE('03_原始数据'!$E$372:$E$431),"")</f>
        <v/>
      </c>
      <c r="G431" s="16">
        <f>IF(True,STDEV('03_原始数据'!$E$372:$E$431),"")</f>
        <v/>
      </c>
    </row>
    <row r="432" ht="17" customHeight="1">
      <c r="A432" s="40">
        <f>'03_原始数据'!A432</f>
        <v/>
      </c>
      <c r="B432" s="21">
        <f>'03_原始数据'!B432</f>
        <v/>
      </c>
      <c r="C432" s="21">
        <f>'03_原始数据'!C432</f>
        <v/>
      </c>
      <c r="D432" s="21">
        <f>'03_原始数据'!E432</f>
        <v/>
      </c>
      <c r="E432" s="41">
        <f>_xlfn.PERCENTRANK.INC('03_原始数据'!$E$5:$E$873,'03_原始数据'!E432)</f>
        <v/>
      </c>
      <c r="F432" s="21">
        <f>IF(True,AVERAGE('03_原始数据'!$E$373:$E$432),"")</f>
        <v/>
      </c>
      <c r="G432" s="21">
        <f>IF(True,STDEV('03_原始数据'!$E$373:$E$432),"")</f>
        <v/>
      </c>
    </row>
    <row r="433" ht="17" customHeight="1">
      <c r="A433" s="38">
        <f>'03_原始数据'!A433</f>
        <v/>
      </c>
      <c r="B433" s="16">
        <f>'03_原始数据'!B433</f>
        <v/>
      </c>
      <c r="C433" s="16">
        <f>'03_原始数据'!C433</f>
        <v/>
      </c>
      <c r="D433" s="16">
        <f>'03_原始数据'!E433</f>
        <v/>
      </c>
      <c r="E433" s="39">
        <f>_xlfn.PERCENTRANK.INC('03_原始数据'!$E$5:$E$873,'03_原始数据'!E433)</f>
        <v/>
      </c>
      <c r="F433" s="16">
        <f>IF(True,AVERAGE('03_原始数据'!$E$374:$E$433),"")</f>
        <v/>
      </c>
      <c r="G433" s="16">
        <f>IF(True,STDEV('03_原始数据'!$E$374:$E$433),"")</f>
        <v/>
      </c>
    </row>
    <row r="434" ht="17" customHeight="1">
      <c r="A434" s="40">
        <f>'03_原始数据'!A434</f>
        <v/>
      </c>
      <c r="B434" s="21">
        <f>'03_原始数据'!B434</f>
        <v/>
      </c>
      <c r="C434" s="21">
        <f>'03_原始数据'!C434</f>
        <v/>
      </c>
      <c r="D434" s="21">
        <f>'03_原始数据'!E434</f>
        <v/>
      </c>
      <c r="E434" s="41">
        <f>_xlfn.PERCENTRANK.INC('03_原始数据'!$E$5:$E$873,'03_原始数据'!E434)</f>
        <v/>
      </c>
      <c r="F434" s="21">
        <f>IF(True,AVERAGE('03_原始数据'!$E$375:$E$434),"")</f>
        <v/>
      </c>
      <c r="G434" s="21">
        <f>IF(True,STDEV('03_原始数据'!$E$375:$E$434),"")</f>
        <v/>
      </c>
    </row>
    <row r="435" ht="17" customHeight="1">
      <c r="A435" s="38">
        <f>'03_原始数据'!A435</f>
        <v/>
      </c>
      <c r="B435" s="16">
        <f>'03_原始数据'!B435</f>
        <v/>
      </c>
      <c r="C435" s="16">
        <f>'03_原始数据'!C435</f>
        <v/>
      </c>
      <c r="D435" s="16">
        <f>'03_原始数据'!E435</f>
        <v/>
      </c>
      <c r="E435" s="39">
        <f>_xlfn.PERCENTRANK.INC('03_原始数据'!$E$5:$E$873,'03_原始数据'!E435)</f>
        <v/>
      </c>
      <c r="F435" s="16">
        <f>IF(True,AVERAGE('03_原始数据'!$E$376:$E$435),"")</f>
        <v/>
      </c>
      <c r="G435" s="16">
        <f>IF(True,STDEV('03_原始数据'!$E$376:$E$435),"")</f>
        <v/>
      </c>
    </row>
    <row r="436" ht="17" customHeight="1">
      <c r="A436" s="40">
        <f>'03_原始数据'!A436</f>
        <v/>
      </c>
      <c r="B436" s="21">
        <f>'03_原始数据'!B436</f>
        <v/>
      </c>
      <c r="C436" s="21">
        <f>'03_原始数据'!C436</f>
        <v/>
      </c>
      <c r="D436" s="21">
        <f>'03_原始数据'!E436</f>
        <v/>
      </c>
      <c r="E436" s="41">
        <f>_xlfn.PERCENTRANK.INC('03_原始数据'!$E$5:$E$873,'03_原始数据'!E436)</f>
        <v/>
      </c>
      <c r="F436" s="21">
        <f>IF(True,AVERAGE('03_原始数据'!$E$377:$E$436),"")</f>
        <v/>
      </c>
      <c r="G436" s="21">
        <f>IF(True,STDEV('03_原始数据'!$E$377:$E$436),"")</f>
        <v/>
      </c>
    </row>
    <row r="437" ht="17" customHeight="1">
      <c r="A437" s="38">
        <f>'03_原始数据'!A437</f>
        <v/>
      </c>
      <c r="B437" s="16">
        <f>'03_原始数据'!B437</f>
        <v/>
      </c>
      <c r="C437" s="16">
        <f>'03_原始数据'!C437</f>
        <v/>
      </c>
      <c r="D437" s="16">
        <f>'03_原始数据'!E437</f>
        <v/>
      </c>
      <c r="E437" s="39">
        <f>_xlfn.PERCENTRANK.INC('03_原始数据'!$E$5:$E$873,'03_原始数据'!E437)</f>
        <v/>
      </c>
      <c r="F437" s="16">
        <f>IF(True,AVERAGE('03_原始数据'!$E$378:$E$437),"")</f>
        <v/>
      </c>
      <c r="G437" s="16">
        <f>IF(True,STDEV('03_原始数据'!$E$378:$E$437),"")</f>
        <v/>
      </c>
    </row>
    <row r="438" ht="17" customHeight="1">
      <c r="A438" s="40">
        <f>'03_原始数据'!A438</f>
        <v/>
      </c>
      <c r="B438" s="21">
        <f>'03_原始数据'!B438</f>
        <v/>
      </c>
      <c r="C438" s="21">
        <f>'03_原始数据'!C438</f>
        <v/>
      </c>
      <c r="D438" s="21">
        <f>'03_原始数据'!E438</f>
        <v/>
      </c>
      <c r="E438" s="41">
        <f>_xlfn.PERCENTRANK.INC('03_原始数据'!$E$5:$E$873,'03_原始数据'!E438)</f>
        <v/>
      </c>
      <c r="F438" s="21">
        <f>IF(True,AVERAGE('03_原始数据'!$E$379:$E$438),"")</f>
        <v/>
      </c>
      <c r="G438" s="21">
        <f>IF(True,STDEV('03_原始数据'!$E$379:$E$438),"")</f>
        <v/>
      </c>
    </row>
    <row r="439" ht="17" customHeight="1">
      <c r="A439" s="38">
        <f>'03_原始数据'!A439</f>
        <v/>
      </c>
      <c r="B439" s="16">
        <f>'03_原始数据'!B439</f>
        <v/>
      </c>
      <c r="C439" s="16">
        <f>'03_原始数据'!C439</f>
        <v/>
      </c>
      <c r="D439" s="16">
        <f>'03_原始数据'!E439</f>
        <v/>
      </c>
      <c r="E439" s="39">
        <f>_xlfn.PERCENTRANK.INC('03_原始数据'!$E$5:$E$873,'03_原始数据'!E439)</f>
        <v/>
      </c>
      <c r="F439" s="16">
        <f>IF(True,AVERAGE('03_原始数据'!$E$380:$E$439),"")</f>
        <v/>
      </c>
      <c r="G439" s="16">
        <f>IF(True,STDEV('03_原始数据'!$E$380:$E$439),"")</f>
        <v/>
      </c>
    </row>
    <row r="440" ht="17" customHeight="1">
      <c r="A440" s="40">
        <f>'03_原始数据'!A440</f>
        <v/>
      </c>
      <c r="B440" s="21">
        <f>'03_原始数据'!B440</f>
        <v/>
      </c>
      <c r="C440" s="21">
        <f>'03_原始数据'!C440</f>
        <v/>
      </c>
      <c r="D440" s="21">
        <f>'03_原始数据'!E440</f>
        <v/>
      </c>
      <c r="E440" s="41">
        <f>_xlfn.PERCENTRANK.INC('03_原始数据'!$E$5:$E$873,'03_原始数据'!E440)</f>
        <v/>
      </c>
      <c r="F440" s="21">
        <f>IF(True,AVERAGE('03_原始数据'!$E$381:$E$440),"")</f>
        <v/>
      </c>
      <c r="G440" s="21">
        <f>IF(True,STDEV('03_原始数据'!$E$381:$E$440),"")</f>
        <v/>
      </c>
    </row>
    <row r="441" ht="17" customHeight="1">
      <c r="A441" s="38">
        <f>'03_原始数据'!A441</f>
        <v/>
      </c>
      <c r="B441" s="16">
        <f>'03_原始数据'!B441</f>
        <v/>
      </c>
      <c r="C441" s="16">
        <f>'03_原始数据'!C441</f>
        <v/>
      </c>
      <c r="D441" s="16">
        <f>'03_原始数据'!E441</f>
        <v/>
      </c>
      <c r="E441" s="39">
        <f>_xlfn.PERCENTRANK.INC('03_原始数据'!$E$5:$E$873,'03_原始数据'!E441)</f>
        <v/>
      </c>
      <c r="F441" s="16">
        <f>IF(True,AVERAGE('03_原始数据'!$E$382:$E$441),"")</f>
        <v/>
      </c>
      <c r="G441" s="16">
        <f>IF(True,STDEV('03_原始数据'!$E$382:$E$441),"")</f>
        <v/>
      </c>
    </row>
    <row r="442" ht="17" customHeight="1">
      <c r="A442" s="40">
        <f>'03_原始数据'!A442</f>
        <v/>
      </c>
      <c r="B442" s="21">
        <f>'03_原始数据'!B442</f>
        <v/>
      </c>
      <c r="C442" s="21">
        <f>'03_原始数据'!C442</f>
        <v/>
      </c>
      <c r="D442" s="21">
        <f>'03_原始数据'!E442</f>
        <v/>
      </c>
      <c r="E442" s="41">
        <f>_xlfn.PERCENTRANK.INC('03_原始数据'!$E$5:$E$873,'03_原始数据'!E442)</f>
        <v/>
      </c>
      <c r="F442" s="21">
        <f>IF(True,AVERAGE('03_原始数据'!$E$383:$E$442),"")</f>
        <v/>
      </c>
      <c r="G442" s="21">
        <f>IF(True,STDEV('03_原始数据'!$E$383:$E$442),"")</f>
        <v/>
      </c>
    </row>
    <row r="443" ht="17" customHeight="1">
      <c r="A443" s="38">
        <f>'03_原始数据'!A443</f>
        <v/>
      </c>
      <c r="B443" s="16">
        <f>'03_原始数据'!B443</f>
        <v/>
      </c>
      <c r="C443" s="16">
        <f>'03_原始数据'!C443</f>
        <v/>
      </c>
      <c r="D443" s="16">
        <f>'03_原始数据'!E443</f>
        <v/>
      </c>
      <c r="E443" s="39">
        <f>_xlfn.PERCENTRANK.INC('03_原始数据'!$E$5:$E$873,'03_原始数据'!E443)</f>
        <v/>
      </c>
      <c r="F443" s="16">
        <f>IF(True,AVERAGE('03_原始数据'!$E$384:$E$443),"")</f>
        <v/>
      </c>
      <c r="G443" s="16">
        <f>IF(True,STDEV('03_原始数据'!$E$384:$E$443),"")</f>
        <v/>
      </c>
    </row>
    <row r="444" ht="17" customHeight="1">
      <c r="A444" s="40">
        <f>'03_原始数据'!A444</f>
        <v/>
      </c>
      <c r="B444" s="21">
        <f>'03_原始数据'!B444</f>
        <v/>
      </c>
      <c r="C444" s="21">
        <f>'03_原始数据'!C444</f>
        <v/>
      </c>
      <c r="D444" s="21">
        <f>'03_原始数据'!E444</f>
        <v/>
      </c>
      <c r="E444" s="41">
        <f>_xlfn.PERCENTRANK.INC('03_原始数据'!$E$5:$E$873,'03_原始数据'!E444)</f>
        <v/>
      </c>
      <c r="F444" s="21">
        <f>IF(True,AVERAGE('03_原始数据'!$E$385:$E$444),"")</f>
        <v/>
      </c>
      <c r="G444" s="21">
        <f>IF(True,STDEV('03_原始数据'!$E$385:$E$444),"")</f>
        <v/>
      </c>
    </row>
    <row r="445" ht="17" customHeight="1">
      <c r="A445" s="38">
        <f>'03_原始数据'!A445</f>
        <v/>
      </c>
      <c r="B445" s="16">
        <f>'03_原始数据'!B445</f>
        <v/>
      </c>
      <c r="C445" s="16">
        <f>'03_原始数据'!C445</f>
        <v/>
      </c>
      <c r="D445" s="16">
        <f>'03_原始数据'!E445</f>
        <v/>
      </c>
      <c r="E445" s="39">
        <f>_xlfn.PERCENTRANK.INC('03_原始数据'!$E$5:$E$873,'03_原始数据'!E445)</f>
        <v/>
      </c>
      <c r="F445" s="16">
        <f>IF(True,AVERAGE('03_原始数据'!$E$386:$E$445),"")</f>
        <v/>
      </c>
      <c r="G445" s="16">
        <f>IF(True,STDEV('03_原始数据'!$E$386:$E$445),"")</f>
        <v/>
      </c>
    </row>
    <row r="446" ht="17" customHeight="1">
      <c r="A446" s="40">
        <f>'03_原始数据'!A446</f>
        <v/>
      </c>
      <c r="B446" s="21">
        <f>'03_原始数据'!B446</f>
        <v/>
      </c>
      <c r="C446" s="21">
        <f>'03_原始数据'!C446</f>
        <v/>
      </c>
      <c r="D446" s="21">
        <f>'03_原始数据'!E446</f>
        <v/>
      </c>
      <c r="E446" s="41">
        <f>_xlfn.PERCENTRANK.INC('03_原始数据'!$E$5:$E$873,'03_原始数据'!E446)</f>
        <v/>
      </c>
      <c r="F446" s="21">
        <f>IF(True,AVERAGE('03_原始数据'!$E$387:$E$446),"")</f>
        <v/>
      </c>
      <c r="G446" s="21">
        <f>IF(True,STDEV('03_原始数据'!$E$387:$E$446),"")</f>
        <v/>
      </c>
    </row>
    <row r="447" ht="17" customHeight="1">
      <c r="A447" s="38">
        <f>'03_原始数据'!A447</f>
        <v/>
      </c>
      <c r="B447" s="16">
        <f>'03_原始数据'!B447</f>
        <v/>
      </c>
      <c r="C447" s="16">
        <f>'03_原始数据'!C447</f>
        <v/>
      </c>
      <c r="D447" s="16">
        <f>'03_原始数据'!E447</f>
        <v/>
      </c>
      <c r="E447" s="39">
        <f>_xlfn.PERCENTRANK.INC('03_原始数据'!$E$5:$E$873,'03_原始数据'!E447)</f>
        <v/>
      </c>
      <c r="F447" s="16">
        <f>IF(True,AVERAGE('03_原始数据'!$E$388:$E$447),"")</f>
        <v/>
      </c>
      <c r="G447" s="16">
        <f>IF(True,STDEV('03_原始数据'!$E$388:$E$447),"")</f>
        <v/>
      </c>
    </row>
    <row r="448" ht="17" customHeight="1">
      <c r="A448" s="40">
        <f>'03_原始数据'!A448</f>
        <v/>
      </c>
      <c r="B448" s="21">
        <f>'03_原始数据'!B448</f>
        <v/>
      </c>
      <c r="C448" s="21">
        <f>'03_原始数据'!C448</f>
        <v/>
      </c>
      <c r="D448" s="21">
        <f>'03_原始数据'!E448</f>
        <v/>
      </c>
      <c r="E448" s="41">
        <f>_xlfn.PERCENTRANK.INC('03_原始数据'!$E$5:$E$873,'03_原始数据'!E448)</f>
        <v/>
      </c>
      <c r="F448" s="21">
        <f>IF(True,AVERAGE('03_原始数据'!$E$389:$E$448),"")</f>
        <v/>
      </c>
      <c r="G448" s="21">
        <f>IF(True,STDEV('03_原始数据'!$E$389:$E$448),"")</f>
        <v/>
      </c>
    </row>
    <row r="449" ht="17" customHeight="1">
      <c r="A449" s="38">
        <f>'03_原始数据'!A449</f>
        <v/>
      </c>
      <c r="B449" s="16">
        <f>'03_原始数据'!B449</f>
        <v/>
      </c>
      <c r="C449" s="16">
        <f>'03_原始数据'!C449</f>
        <v/>
      </c>
      <c r="D449" s="16">
        <f>'03_原始数据'!E449</f>
        <v/>
      </c>
      <c r="E449" s="39">
        <f>_xlfn.PERCENTRANK.INC('03_原始数据'!$E$5:$E$873,'03_原始数据'!E449)</f>
        <v/>
      </c>
      <c r="F449" s="16">
        <f>IF(True,AVERAGE('03_原始数据'!$E$390:$E$449),"")</f>
        <v/>
      </c>
      <c r="G449" s="16">
        <f>IF(True,STDEV('03_原始数据'!$E$390:$E$449),"")</f>
        <v/>
      </c>
    </row>
    <row r="450" ht="17" customHeight="1">
      <c r="A450" s="40">
        <f>'03_原始数据'!A450</f>
        <v/>
      </c>
      <c r="B450" s="21">
        <f>'03_原始数据'!B450</f>
        <v/>
      </c>
      <c r="C450" s="21">
        <f>'03_原始数据'!C450</f>
        <v/>
      </c>
      <c r="D450" s="21">
        <f>'03_原始数据'!E450</f>
        <v/>
      </c>
      <c r="E450" s="41">
        <f>_xlfn.PERCENTRANK.INC('03_原始数据'!$E$5:$E$873,'03_原始数据'!E450)</f>
        <v/>
      </c>
      <c r="F450" s="21">
        <f>IF(True,AVERAGE('03_原始数据'!$E$391:$E$450),"")</f>
        <v/>
      </c>
      <c r="G450" s="21">
        <f>IF(True,STDEV('03_原始数据'!$E$391:$E$450),"")</f>
        <v/>
      </c>
    </row>
    <row r="451" ht="17" customHeight="1">
      <c r="A451" s="38">
        <f>'03_原始数据'!A451</f>
        <v/>
      </c>
      <c r="B451" s="16">
        <f>'03_原始数据'!B451</f>
        <v/>
      </c>
      <c r="C451" s="16">
        <f>'03_原始数据'!C451</f>
        <v/>
      </c>
      <c r="D451" s="16">
        <f>'03_原始数据'!E451</f>
        <v/>
      </c>
      <c r="E451" s="39">
        <f>_xlfn.PERCENTRANK.INC('03_原始数据'!$E$5:$E$873,'03_原始数据'!E451)</f>
        <v/>
      </c>
      <c r="F451" s="16">
        <f>IF(True,AVERAGE('03_原始数据'!$E$392:$E$451),"")</f>
        <v/>
      </c>
      <c r="G451" s="16">
        <f>IF(True,STDEV('03_原始数据'!$E$392:$E$451),"")</f>
        <v/>
      </c>
    </row>
    <row r="452" ht="17" customHeight="1">
      <c r="A452" s="40">
        <f>'03_原始数据'!A452</f>
        <v/>
      </c>
      <c r="B452" s="21">
        <f>'03_原始数据'!B452</f>
        <v/>
      </c>
      <c r="C452" s="21">
        <f>'03_原始数据'!C452</f>
        <v/>
      </c>
      <c r="D452" s="21">
        <f>'03_原始数据'!E452</f>
        <v/>
      </c>
      <c r="E452" s="41">
        <f>_xlfn.PERCENTRANK.INC('03_原始数据'!$E$5:$E$873,'03_原始数据'!E452)</f>
        <v/>
      </c>
      <c r="F452" s="21">
        <f>IF(True,AVERAGE('03_原始数据'!$E$393:$E$452),"")</f>
        <v/>
      </c>
      <c r="G452" s="21">
        <f>IF(True,STDEV('03_原始数据'!$E$393:$E$452),"")</f>
        <v/>
      </c>
    </row>
    <row r="453" ht="17" customHeight="1">
      <c r="A453" s="38">
        <f>'03_原始数据'!A453</f>
        <v/>
      </c>
      <c r="B453" s="16">
        <f>'03_原始数据'!B453</f>
        <v/>
      </c>
      <c r="C453" s="16">
        <f>'03_原始数据'!C453</f>
        <v/>
      </c>
      <c r="D453" s="16">
        <f>'03_原始数据'!E453</f>
        <v/>
      </c>
      <c r="E453" s="39">
        <f>_xlfn.PERCENTRANK.INC('03_原始数据'!$E$5:$E$873,'03_原始数据'!E453)</f>
        <v/>
      </c>
      <c r="F453" s="16">
        <f>IF(True,AVERAGE('03_原始数据'!$E$394:$E$453),"")</f>
        <v/>
      </c>
      <c r="G453" s="16">
        <f>IF(True,STDEV('03_原始数据'!$E$394:$E$453),"")</f>
        <v/>
      </c>
    </row>
    <row r="454" ht="17" customHeight="1">
      <c r="A454" s="40">
        <f>'03_原始数据'!A454</f>
        <v/>
      </c>
      <c r="B454" s="21">
        <f>'03_原始数据'!B454</f>
        <v/>
      </c>
      <c r="C454" s="21">
        <f>'03_原始数据'!C454</f>
        <v/>
      </c>
      <c r="D454" s="21">
        <f>'03_原始数据'!E454</f>
        <v/>
      </c>
      <c r="E454" s="41">
        <f>_xlfn.PERCENTRANK.INC('03_原始数据'!$E$5:$E$873,'03_原始数据'!E454)</f>
        <v/>
      </c>
      <c r="F454" s="21">
        <f>IF(True,AVERAGE('03_原始数据'!$E$395:$E$454),"")</f>
        <v/>
      </c>
      <c r="G454" s="21">
        <f>IF(True,STDEV('03_原始数据'!$E$395:$E$454),"")</f>
        <v/>
      </c>
    </row>
    <row r="455" ht="17" customHeight="1">
      <c r="A455" s="38">
        <f>'03_原始数据'!A455</f>
        <v/>
      </c>
      <c r="B455" s="16">
        <f>'03_原始数据'!B455</f>
        <v/>
      </c>
      <c r="C455" s="16">
        <f>'03_原始数据'!C455</f>
        <v/>
      </c>
      <c r="D455" s="16">
        <f>'03_原始数据'!E455</f>
        <v/>
      </c>
      <c r="E455" s="39">
        <f>_xlfn.PERCENTRANK.INC('03_原始数据'!$E$5:$E$873,'03_原始数据'!E455)</f>
        <v/>
      </c>
      <c r="F455" s="16">
        <f>IF(True,AVERAGE('03_原始数据'!$E$396:$E$455),"")</f>
        <v/>
      </c>
      <c r="G455" s="16">
        <f>IF(True,STDEV('03_原始数据'!$E$396:$E$455),"")</f>
        <v/>
      </c>
    </row>
    <row r="456" ht="17" customHeight="1">
      <c r="A456" s="40">
        <f>'03_原始数据'!A456</f>
        <v/>
      </c>
      <c r="B456" s="21">
        <f>'03_原始数据'!B456</f>
        <v/>
      </c>
      <c r="C456" s="21">
        <f>'03_原始数据'!C456</f>
        <v/>
      </c>
      <c r="D456" s="21">
        <f>'03_原始数据'!E456</f>
        <v/>
      </c>
      <c r="E456" s="41">
        <f>_xlfn.PERCENTRANK.INC('03_原始数据'!$E$5:$E$873,'03_原始数据'!E456)</f>
        <v/>
      </c>
      <c r="F456" s="21">
        <f>IF(True,AVERAGE('03_原始数据'!$E$397:$E$456),"")</f>
        <v/>
      </c>
      <c r="G456" s="21">
        <f>IF(True,STDEV('03_原始数据'!$E$397:$E$456),"")</f>
        <v/>
      </c>
    </row>
    <row r="457" ht="17" customHeight="1">
      <c r="A457" s="38">
        <f>'03_原始数据'!A457</f>
        <v/>
      </c>
      <c r="B457" s="16">
        <f>'03_原始数据'!B457</f>
        <v/>
      </c>
      <c r="C457" s="16">
        <f>'03_原始数据'!C457</f>
        <v/>
      </c>
      <c r="D457" s="16">
        <f>'03_原始数据'!E457</f>
        <v/>
      </c>
      <c r="E457" s="39">
        <f>_xlfn.PERCENTRANK.INC('03_原始数据'!$E$5:$E$873,'03_原始数据'!E457)</f>
        <v/>
      </c>
      <c r="F457" s="16">
        <f>IF(True,AVERAGE('03_原始数据'!$E$398:$E$457),"")</f>
        <v/>
      </c>
      <c r="G457" s="16">
        <f>IF(True,STDEV('03_原始数据'!$E$398:$E$457),"")</f>
        <v/>
      </c>
    </row>
    <row r="458" ht="17" customHeight="1">
      <c r="A458" s="40">
        <f>'03_原始数据'!A458</f>
        <v/>
      </c>
      <c r="B458" s="21">
        <f>'03_原始数据'!B458</f>
        <v/>
      </c>
      <c r="C458" s="21">
        <f>'03_原始数据'!C458</f>
        <v/>
      </c>
      <c r="D458" s="21">
        <f>'03_原始数据'!E458</f>
        <v/>
      </c>
      <c r="E458" s="41">
        <f>_xlfn.PERCENTRANK.INC('03_原始数据'!$E$5:$E$873,'03_原始数据'!E458)</f>
        <v/>
      </c>
      <c r="F458" s="21">
        <f>IF(True,AVERAGE('03_原始数据'!$E$399:$E$458),"")</f>
        <v/>
      </c>
      <c r="G458" s="21">
        <f>IF(True,STDEV('03_原始数据'!$E$399:$E$458),"")</f>
        <v/>
      </c>
    </row>
    <row r="459" ht="17" customHeight="1">
      <c r="A459" s="38">
        <f>'03_原始数据'!A459</f>
        <v/>
      </c>
      <c r="B459" s="16">
        <f>'03_原始数据'!B459</f>
        <v/>
      </c>
      <c r="C459" s="16">
        <f>'03_原始数据'!C459</f>
        <v/>
      </c>
      <c r="D459" s="16">
        <f>'03_原始数据'!E459</f>
        <v/>
      </c>
      <c r="E459" s="39">
        <f>_xlfn.PERCENTRANK.INC('03_原始数据'!$E$5:$E$873,'03_原始数据'!E459)</f>
        <v/>
      </c>
      <c r="F459" s="16">
        <f>IF(True,AVERAGE('03_原始数据'!$E$400:$E$459),"")</f>
        <v/>
      </c>
      <c r="G459" s="16">
        <f>IF(True,STDEV('03_原始数据'!$E$400:$E$459),"")</f>
        <v/>
      </c>
    </row>
    <row r="460" ht="17" customHeight="1">
      <c r="A460" s="40">
        <f>'03_原始数据'!A460</f>
        <v/>
      </c>
      <c r="B460" s="21">
        <f>'03_原始数据'!B460</f>
        <v/>
      </c>
      <c r="C460" s="21">
        <f>'03_原始数据'!C460</f>
        <v/>
      </c>
      <c r="D460" s="21">
        <f>'03_原始数据'!E460</f>
        <v/>
      </c>
      <c r="E460" s="41">
        <f>_xlfn.PERCENTRANK.INC('03_原始数据'!$E$5:$E$873,'03_原始数据'!E460)</f>
        <v/>
      </c>
      <c r="F460" s="21">
        <f>IF(True,AVERAGE('03_原始数据'!$E$401:$E$460),"")</f>
        <v/>
      </c>
      <c r="G460" s="21">
        <f>IF(True,STDEV('03_原始数据'!$E$401:$E$460),"")</f>
        <v/>
      </c>
    </row>
    <row r="461" ht="17" customHeight="1">
      <c r="A461" s="38">
        <f>'03_原始数据'!A461</f>
        <v/>
      </c>
      <c r="B461" s="16">
        <f>'03_原始数据'!B461</f>
        <v/>
      </c>
      <c r="C461" s="16">
        <f>'03_原始数据'!C461</f>
        <v/>
      </c>
      <c r="D461" s="16">
        <f>'03_原始数据'!E461</f>
        <v/>
      </c>
      <c r="E461" s="39">
        <f>_xlfn.PERCENTRANK.INC('03_原始数据'!$E$5:$E$873,'03_原始数据'!E461)</f>
        <v/>
      </c>
      <c r="F461" s="16">
        <f>IF(True,AVERAGE('03_原始数据'!$E$402:$E$461),"")</f>
        <v/>
      </c>
      <c r="G461" s="16">
        <f>IF(True,STDEV('03_原始数据'!$E$402:$E$461),"")</f>
        <v/>
      </c>
    </row>
    <row r="462" ht="17" customHeight="1">
      <c r="A462" s="40">
        <f>'03_原始数据'!A462</f>
        <v/>
      </c>
      <c r="B462" s="21">
        <f>'03_原始数据'!B462</f>
        <v/>
      </c>
      <c r="C462" s="21">
        <f>'03_原始数据'!C462</f>
        <v/>
      </c>
      <c r="D462" s="21">
        <f>'03_原始数据'!E462</f>
        <v/>
      </c>
      <c r="E462" s="41">
        <f>_xlfn.PERCENTRANK.INC('03_原始数据'!$E$5:$E$873,'03_原始数据'!E462)</f>
        <v/>
      </c>
      <c r="F462" s="21">
        <f>IF(True,AVERAGE('03_原始数据'!$E$403:$E$462),"")</f>
        <v/>
      </c>
      <c r="G462" s="21">
        <f>IF(True,STDEV('03_原始数据'!$E$403:$E$462),"")</f>
        <v/>
      </c>
    </row>
    <row r="463" ht="17" customHeight="1">
      <c r="A463" s="38">
        <f>'03_原始数据'!A463</f>
        <v/>
      </c>
      <c r="B463" s="16">
        <f>'03_原始数据'!B463</f>
        <v/>
      </c>
      <c r="C463" s="16">
        <f>'03_原始数据'!C463</f>
        <v/>
      </c>
      <c r="D463" s="16">
        <f>'03_原始数据'!E463</f>
        <v/>
      </c>
      <c r="E463" s="39">
        <f>_xlfn.PERCENTRANK.INC('03_原始数据'!$E$5:$E$873,'03_原始数据'!E463)</f>
        <v/>
      </c>
      <c r="F463" s="16">
        <f>IF(True,AVERAGE('03_原始数据'!$E$404:$E$463),"")</f>
        <v/>
      </c>
      <c r="G463" s="16">
        <f>IF(True,STDEV('03_原始数据'!$E$404:$E$463),"")</f>
        <v/>
      </c>
    </row>
    <row r="464" ht="17" customHeight="1">
      <c r="A464" s="40">
        <f>'03_原始数据'!A464</f>
        <v/>
      </c>
      <c r="B464" s="21">
        <f>'03_原始数据'!B464</f>
        <v/>
      </c>
      <c r="C464" s="21">
        <f>'03_原始数据'!C464</f>
        <v/>
      </c>
      <c r="D464" s="21">
        <f>'03_原始数据'!E464</f>
        <v/>
      </c>
      <c r="E464" s="41">
        <f>_xlfn.PERCENTRANK.INC('03_原始数据'!$E$5:$E$873,'03_原始数据'!E464)</f>
        <v/>
      </c>
      <c r="F464" s="21">
        <f>IF(True,AVERAGE('03_原始数据'!$E$405:$E$464),"")</f>
        <v/>
      </c>
      <c r="G464" s="21">
        <f>IF(True,STDEV('03_原始数据'!$E$405:$E$464),"")</f>
        <v/>
      </c>
    </row>
    <row r="465" ht="17" customHeight="1">
      <c r="A465" s="38">
        <f>'03_原始数据'!A465</f>
        <v/>
      </c>
      <c r="B465" s="16">
        <f>'03_原始数据'!B465</f>
        <v/>
      </c>
      <c r="C465" s="16">
        <f>'03_原始数据'!C465</f>
        <v/>
      </c>
      <c r="D465" s="16">
        <f>'03_原始数据'!E465</f>
        <v/>
      </c>
      <c r="E465" s="39">
        <f>_xlfn.PERCENTRANK.INC('03_原始数据'!$E$5:$E$873,'03_原始数据'!E465)</f>
        <v/>
      </c>
      <c r="F465" s="16">
        <f>IF(True,AVERAGE('03_原始数据'!$E$406:$E$465),"")</f>
        <v/>
      </c>
      <c r="G465" s="16">
        <f>IF(True,STDEV('03_原始数据'!$E$406:$E$465),"")</f>
        <v/>
      </c>
    </row>
    <row r="466" ht="17" customHeight="1">
      <c r="A466" s="40">
        <f>'03_原始数据'!A466</f>
        <v/>
      </c>
      <c r="B466" s="21">
        <f>'03_原始数据'!B466</f>
        <v/>
      </c>
      <c r="C466" s="21">
        <f>'03_原始数据'!C466</f>
        <v/>
      </c>
      <c r="D466" s="21">
        <f>'03_原始数据'!E466</f>
        <v/>
      </c>
      <c r="E466" s="41">
        <f>_xlfn.PERCENTRANK.INC('03_原始数据'!$E$5:$E$873,'03_原始数据'!E466)</f>
        <v/>
      </c>
      <c r="F466" s="21">
        <f>IF(True,AVERAGE('03_原始数据'!$E$407:$E$466),"")</f>
        <v/>
      </c>
      <c r="G466" s="21">
        <f>IF(True,STDEV('03_原始数据'!$E$407:$E$466),"")</f>
        <v/>
      </c>
    </row>
    <row r="467" ht="17" customHeight="1">
      <c r="A467" s="38">
        <f>'03_原始数据'!A467</f>
        <v/>
      </c>
      <c r="B467" s="16">
        <f>'03_原始数据'!B467</f>
        <v/>
      </c>
      <c r="C467" s="16">
        <f>'03_原始数据'!C467</f>
        <v/>
      </c>
      <c r="D467" s="16">
        <f>'03_原始数据'!E467</f>
        <v/>
      </c>
      <c r="E467" s="39">
        <f>_xlfn.PERCENTRANK.INC('03_原始数据'!$E$5:$E$873,'03_原始数据'!E467)</f>
        <v/>
      </c>
      <c r="F467" s="16">
        <f>IF(True,AVERAGE('03_原始数据'!$E$408:$E$467),"")</f>
        <v/>
      </c>
      <c r="G467" s="16">
        <f>IF(True,STDEV('03_原始数据'!$E$408:$E$467),"")</f>
        <v/>
      </c>
    </row>
    <row r="468" ht="17" customHeight="1">
      <c r="A468" s="40">
        <f>'03_原始数据'!A468</f>
        <v/>
      </c>
      <c r="B468" s="21">
        <f>'03_原始数据'!B468</f>
        <v/>
      </c>
      <c r="C468" s="21">
        <f>'03_原始数据'!C468</f>
        <v/>
      </c>
      <c r="D468" s="21">
        <f>'03_原始数据'!E468</f>
        <v/>
      </c>
      <c r="E468" s="41">
        <f>_xlfn.PERCENTRANK.INC('03_原始数据'!$E$5:$E$873,'03_原始数据'!E468)</f>
        <v/>
      </c>
      <c r="F468" s="21">
        <f>IF(True,AVERAGE('03_原始数据'!$E$409:$E$468),"")</f>
        <v/>
      </c>
      <c r="G468" s="21">
        <f>IF(True,STDEV('03_原始数据'!$E$409:$E$468),"")</f>
        <v/>
      </c>
    </row>
    <row r="469" ht="17" customHeight="1">
      <c r="A469" s="38">
        <f>'03_原始数据'!A469</f>
        <v/>
      </c>
      <c r="B469" s="16">
        <f>'03_原始数据'!B469</f>
        <v/>
      </c>
      <c r="C469" s="16">
        <f>'03_原始数据'!C469</f>
        <v/>
      </c>
      <c r="D469" s="16">
        <f>'03_原始数据'!E469</f>
        <v/>
      </c>
      <c r="E469" s="39">
        <f>_xlfn.PERCENTRANK.INC('03_原始数据'!$E$5:$E$873,'03_原始数据'!E469)</f>
        <v/>
      </c>
      <c r="F469" s="16">
        <f>IF(True,AVERAGE('03_原始数据'!$E$410:$E$469),"")</f>
        <v/>
      </c>
      <c r="G469" s="16">
        <f>IF(True,STDEV('03_原始数据'!$E$410:$E$469),"")</f>
        <v/>
      </c>
    </row>
    <row r="470" ht="17" customHeight="1">
      <c r="A470" s="40">
        <f>'03_原始数据'!A470</f>
        <v/>
      </c>
      <c r="B470" s="21">
        <f>'03_原始数据'!B470</f>
        <v/>
      </c>
      <c r="C470" s="21">
        <f>'03_原始数据'!C470</f>
        <v/>
      </c>
      <c r="D470" s="21">
        <f>'03_原始数据'!E470</f>
        <v/>
      </c>
      <c r="E470" s="41">
        <f>_xlfn.PERCENTRANK.INC('03_原始数据'!$E$5:$E$873,'03_原始数据'!E470)</f>
        <v/>
      </c>
      <c r="F470" s="21">
        <f>IF(True,AVERAGE('03_原始数据'!$E$411:$E$470),"")</f>
        <v/>
      </c>
      <c r="G470" s="21">
        <f>IF(True,STDEV('03_原始数据'!$E$411:$E$470),"")</f>
        <v/>
      </c>
    </row>
    <row r="471" ht="17" customHeight="1">
      <c r="A471" s="38">
        <f>'03_原始数据'!A471</f>
        <v/>
      </c>
      <c r="B471" s="16">
        <f>'03_原始数据'!B471</f>
        <v/>
      </c>
      <c r="C471" s="16">
        <f>'03_原始数据'!C471</f>
        <v/>
      </c>
      <c r="D471" s="16">
        <f>'03_原始数据'!E471</f>
        <v/>
      </c>
      <c r="E471" s="39">
        <f>_xlfn.PERCENTRANK.INC('03_原始数据'!$E$5:$E$873,'03_原始数据'!E471)</f>
        <v/>
      </c>
      <c r="F471" s="16">
        <f>IF(True,AVERAGE('03_原始数据'!$E$412:$E$471),"")</f>
        <v/>
      </c>
      <c r="G471" s="16">
        <f>IF(True,STDEV('03_原始数据'!$E$412:$E$471),"")</f>
        <v/>
      </c>
    </row>
    <row r="472" ht="17" customHeight="1">
      <c r="A472" s="40">
        <f>'03_原始数据'!A472</f>
        <v/>
      </c>
      <c r="B472" s="21">
        <f>'03_原始数据'!B472</f>
        <v/>
      </c>
      <c r="C472" s="21">
        <f>'03_原始数据'!C472</f>
        <v/>
      </c>
      <c r="D472" s="21">
        <f>'03_原始数据'!E472</f>
        <v/>
      </c>
      <c r="E472" s="41">
        <f>_xlfn.PERCENTRANK.INC('03_原始数据'!$E$5:$E$873,'03_原始数据'!E472)</f>
        <v/>
      </c>
      <c r="F472" s="21">
        <f>IF(True,AVERAGE('03_原始数据'!$E$413:$E$472),"")</f>
        <v/>
      </c>
      <c r="G472" s="21">
        <f>IF(True,STDEV('03_原始数据'!$E$413:$E$472),"")</f>
        <v/>
      </c>
    </row>
    <row r="473" ht="17" customHeight="1">
      <c r="A473" s="38">
        <f>'03_原始数据'!A473</f>
        <v/>
      </c>
      <c r="B473" s="16">
        <f>'03_原始数据'!B473</f>
        <v/>
      </c>
      <c r="C473" s="16">
        <f>'03_原始数据'!C473</f>
        <v/>
      </c>
      <c r="D473" s="16">
        <f>'03_原始数据'!E473</f>
        <v/>
      </c>
      <c r="E473" s="39">
        <f>_xlfn.PERCENTRANK.INC('03_原始数据'!$E$5:$E$873,'03_原始数据'!E473)</f>
        <v/>
      </c>
      <c r="F473" s="16">
        <f>IF(True,AVERAGE('03_原始数据'!$E$414:$E$473),"")</f>
        <v/>
      </c>
      <c r="G473" s="16">
        <f>IF(True,STDEV('03_原始数据'!$E$414:$E$473),"")</f>
        <v/>
      </c>
    </row>
    <row r="474" ht="17" customHeight="1">
      <c r="A474" s="40">
        <f>'03_原始数据'!A474</f>
        <v/>
      </c>
      <c r="B474" s="21">
        <f>'03_原始数据'!B474</f>
        <v/>
      </c>
      <c r="C474" s="21">
        <f>'03_原始数据'!C474</f>
        <v/>
      </c>
      <c r="D474" s="21">
        <f>'03_原始数据'!E474</f>
        <v/>
      </c>
      <c r="E474" s="41">
        <f>_xlfn.PERCENTRANK.INC('03_原始数据'!$E$5:$E$873,'03_原始数据'!E474)</f>
        <v/>
      </c>
      <c r="F474" s="21">
        <f>IF(True,AVERAGE('03_原始数据'!$E$415:$E$474),"")</f>
        <v/>
      </c>
      <c r="G474" s="21">
        <f>IF(True,STDEV('03_原始数据'!$E$415:$E$474),"")</f>
        <v/>
      </c>
    </row>
    <row r="475" ht="17" customHeight="1">
      <c r="A475" s="38">
        <f>'03_原始数据'!A475</f>
        <v/>
      </c>
      <c r="B475" s="16">
        <f>'03_原始数据'!B475</f>
        <v/>
      </c>
      <c r="C475" s="16">
        <f>'03_原始数据'!C475</f>
        <v/>
      </c>
      <c r="D475" s="16">
        <f>'03_原始数据'!E475</f>
        <v/>
      </c>
      <c r="E475" s="39">
        <f>_xlfn.PERCENTRANK.INC('03_原始数据'!$E$5:$E$873,'03_原始数据'!E475)</f>
        <v/>
      </c>
      <c r="F475" s="16">
        <f>IF(True,AVERAGE('03_原始数据'!$E$416:$E$475),"")</f>
        <v/>
      </c>
      <c r="G475" s="16">
        <f>IF(True,STDEV('03_原始数据'!$E$416:$E$475),"")</f>
        <v/>
      </c>
    </row>
    <row r="476" ht="17" customHeight="1">
      <c r="A476" s="40">
        <f>'03_原始数据'!A476</f>
        <v/>
      </c>
      <c r="B476" s="21">
        <f>'03_原始数据'!B476</f>
        <v/>
      </c>
      <c r="C476" s="21">
        <f>'03_原始数据'!C476</f>
        <v/>
      </c>
      <c r="D476" s="21">
        <f>'03_原始数据'!E476</f>
        <v/>
      </c>
      <c r="E476" s="41">
        <f>_xlfn.PERCENTRANK.INC('03_原始数据'!$E$5:$E$873,'03_原始数据'!E476)</f>
        <v/>
      </c>
      <c r="F476" s="21">
        <f>IF(True,AVERAGE('03_原始数据'!$E$417:$E$476),"")</f>
        <v/>
      </c>
      <c r="G476" s="21">
        <f>IF(True,STDEV('03_原始数据'!$E$417:$E$476),"")</f>
        <v/>
      </c>
    </row>
    <row r="477" ht="17" customHeight="1">
      <c r="A477" s="38">
        <f>'03_原始数据'!A477</f>
        <v/>
      </c>
      <c r="B477" s="16">
        <f>'03_原始数据'!B477</f>
        <v/>
      </c>
      <c r="C477" s="16">
        <f>'03_原始数据'!C477</f>
        <v/>
      </c>
      <c r="D477" s="16">
        <f>'03_原始数据'!E477</f>
        <v/>
      </c>
      <c r="E477" s="39">
        <f>_xlfn.PERCENTRANK.INC('03_原始数据'!$E$5:$E$873,'03_原始数据'!E477)</f>
        <v/>
      </c>
      <c r="F477" s="16">
        <f>IF(True,AVERAGE('03_原始数据'!$E$418:$E$477),"")</f>
        <v/>
      </c>
      <c r="G477" s="16">
        <f>IF(True,STDEV('03_原始数据'!$E$418:$E$477),"")</f>
        <v/>
      </c>
    </row>
    <row r="478" ht="17" customHeight="1">
      <c r="A478" s="40">
        <f>'03_原始数据'!A478</f>
        <v/>
      </c>
      <c r="B478" s="21">
        <f>'03_原始数据'!B478</f>
        <v/>
      </c>
      <c r="C478" s="21">
        <f>'03_原始数据'!C478</f>
        <v/>
      </c>
      <c r="D478" s="21">
        <f>'03_原始数据'!E478</f>
        <v/>
      </c>
      <c r="E478" s="41">
        <f>_xlfn.PERCENTRANK.INC('03_原始数据'!$E$5:$E$873,'03_原始数据'!E478)</f>
        <v/>
      </c>
      <c r="F478" s="21">
        <f>IF(True,AVERAGE('03_原始数据'!$E$419:$E$478),"")</f>
        <v/>
      </c>
      <c r="G478" s="21">
        <f>IF(True,STDEV('03_原始数据'!$E$419:$E$478),"")</f>
        <v/>
      </c>
    </row>
    <row r="479" ht="17" customHeight="1">
      <c r="A479" s="38">
        <f>'03_原始数据'!A479</f>
        <v/>
      </c>
      <c r="B479" s="16">
        <f>'03_原始数据'!B479</f>
        <v/>
      </c>
      <c r="C479" s="16">
        <f>'03_原始数据'!C479</f>
        <v/>
      </c>
      <c r="D479" s="16">
        <f>'03_原始数据'!E479</f>
        <v/>
      </c>
      <c r="E479" s="39">
        <f>_xlfn.PERCENTRANK.INC('03_原始数据'!$E$5:$E$873,'03_原始数据'!E479)</f>
        <v/>
      </c>
      <c r="F479" s="16">
        <f>IF(True,AVERAGE('03_原始数据'!$E$420:$E$479),"")</f>
        <v/>
      </c>
      <c r="G479" s="16">
        <f>IF(True,STDEV('03_原始数据'!$E$420:$E$479),"")</f>
        <v/>
      </c>
    </row>
    <row r="480" ht="17" customHeight="1">
      <c r="A480" s="40">
        <f>'03_原始数据'!A480</f>
        <v/>
      </c>
      <c r="B480" s="21">
        <f>'03_原始数据'!B480</f>
        <v/>
      </c>
      <c r="C480" s="21">
        <f>'03_原始数据'!C480</f>
        <v/>
      </c>
      <c r="D480" s="21">
        <f>'03_原始数据'!E480</f>
        <v/>
      </c>
      <c r="E480" s="41">
        <f>_xlfn.PERCENTRANK.INC('03_原始数据'!$E$5:$E$873,'03_原始数据'!E480)</f>
        <v/>
      </c>
      <c r="F480" s="21">
        <f>IF(True,AVERAGE('03_原始数据'!$E$421:$E$480),"")</f>
        <v/>
      </c>
      <c r="G480" s="21">
        <f>IF(True,STDEV('03_原始数据'!$E$421:$E$480),"")</f>
        <v/>
      </c>
    </row>
    <row r="481" ht="17" customHeight="1">
      <c r="A481" s="38">
        <f>'03_原始数据'!A481</f>
        <v/>
      </c>
      <c r="B481" s="16">
        <f>'03_原始数据'!B481</f>
        <v/>
      </c>
      <c r="C481" s="16">
        <f>'03_原始数据'!C481</f>
        <v/>
      </c>
      <c r="D481" s="16">
        <f>'03_原始数据'!E481</f>
        <v/>
      </c>
      <c r="E481" s="39">
        <f>_xlfn.PERCENTRANK.INC('03_原始数据'!$E$5:$E$873,'03_原始数据'!E481)</f>
        <v/>
      </c>
      <c r="F481" s="16">
        <f>IF(True,AVERAGE('03_原始数据'!$E$422:$E$481),"")</f>
        <v/>
      </c>
      <c r="G481" s="16">
        <f>IF(True,STDEV('03_原始数据'!$E$422:$E$481),"")</f>
        <v/>
      </c>
    </row>
    <row r="482" ht="17" customHeight="1">
      <c r="A482" s="40">
        <f>'03_原始数据'!A482</f>
        <v/>
      </c>
      <c r="B482" s="21">
        <f>'03_原始数据'!B482</f>
        <v/>
      </c>
      <c r="C482" s="21">
        <f>'03_原始数据'!C482</f>
        <v/>
      </c>
      <c r="D482" s="21">
        <f>'03_原始数据'!E482</f>
        <v/>
      </c>
      <c r="E482" s="41">
        <f>_xlfn.PERCENTRANK.INC('03_原始数据'!$E$5:$E$873,'03_原始数据'!E482)</f>
        <v/>
      </c>
      <c r="F482" s="21">
        <f>IF(True,AVERAGE('03_原始数据'!$E$423:$E$482),"")</f>
        <v/>
      </c>
      <c r="G482" s="21">
        <f>IF(True,STDEV('03_原始数据'!$E$423:$E$482),"")</f>
        <v/>
      </c>
    </row>
    <row r="483" ht="17" customHeight="1">
      <c r="A483" s="38">
        <f>'03_原始数据'!A483</f>
        <v/>
      </c>
      <c r="B483" s="16">
        <f>'03_原始数据'!B483</f>
        <v/>
      </c>
      <c r="C483" s="16">
        <f>'03_原始数据'!C483</f>
        <v/>
      </c>
      <c r="D483" s="16">
        <f>'03_原始数据'!E483</f>
        <v/>
      </c>
      <c r="E483" s="39">
        <f>_xlfn.PERCENTRANK.INC('03_原始数据'!$E$5:$E$873,'03_原始数据'!E483)</f>
        <v/>
      </c>
      <c r="F483" s="16">
        <f>IF(True,AVERAGE('03_原始数据'!$E$424:$E$483),"")</f>
        <v/>
      </c>
      <c r="G483" s="16">
        <f>IF(True,STDEV('03_原始数据'!$E$424:$E$483),"")</f>
        <v/>
      </c>
    </row>
    <row r="484" ht="17" customHeight="1">
      <c r="A484" s="40">
        <f>'03_原始数据'!A484</f>
        <v/>
      </c>
      <c r="B484" s="21">
        <f>'03_原始数据'!B484</f>
        <v/>
      </c>
      <c r="C484" s="21">
        <f>'03_原始数据'!C484</f>
        <v/>
      </c>
      <c r="D484" s="21">
        <f>'03_原始数据'!E484</f>
        <v/>
      </c>
      <c r="E484" s="41">
        <f>_xlfn.PERCENTRANK.INC('03_原始数据'!$E$5:$E$873,'03_原始数据'!E484)</f>
        <v/>
      </c>
      <c r="F484" s="21">
        <f>IF(True,AVERAGE('03_原始数据'!$E$425:$E$484),"")</f>
        <v/>
      </c>
      <c r="G484" s="21">
        <f>IF(True,STDEV('03_原始数据'!$E$425:$E$484),"")</f>
        <v/>
      </c>
    </row>
    <row r="485" ht="17" customHeight="1">
      <c r="A485" s="38">
        <f>'03_原始数据'!A485</f>
        <v/>
      </c>
      <c r="B485" s="16">
        <f>'03_原始数据'!B485</f>
        <v/>
      </c>
      <c r="C485" s="16">
        <f>'03_原始数据'!C485</f>
        <v/>
      </c>
      <c r="D485" s="16">
        <f>'03_原始数据'!E485</f>
        <v/>
      </c>
      <c r="E485" s="39">
        <f>_xlfn.PERCENTRANK.INC('03_原始数据'!$E$5:$E$873,'03_原始数据'!E485)</f>
        <v/>
      </c>
      <c r="F485" s="16">
        <f>IF(True,AVERAGE('03_原始数据'!$E$426:$E$485),"")</f>
        <v/>
      </c>
      <c r="G485" s="16">
        <f>IF(True,STDEV('03_原始数据'!$E$426:$E$485),"")</f>
        <v/>
      </c>
    </row>
    <row r="486" ht="17" customHeight="1">
      <c r="A486" s="40">
        <f>'03_原始数据'!A486</f>
        <v/>
      </c>
      <c r="B486" s="21">
        <f>'03_原始数据'!B486</f>
        <v/>
      </c>
      <c r="C486" s="21">
        <f>'03_原始数据'!C486</f>
        <v/>
      </c>
      <c r="D486" s="21">
        <f>'03_原始数据'!E486</f>
        <v/>
      </c>
      <c r="E486" s="41">
        <f>_xlfn.PERCENTRANK.INC('03_原始数据'!$E$5:$E$873,'03_原始数据'!E486)</f>
        <v/>
      </c>
      <c r="F486" s="21">
        <f>IF(True,AVERAGE('03_原始数据'!$E$427:$E$486),"")</f>
        <v/>
      </c>
      <c r="G486" s="21">
        <f>IF(True,STDEV('03_原始数据'!$E$427:$E$486),"")</f>
        <v/>
      </c>
    </row>
    <row r="487" ht="17" customHeight="1">
      <c r="A487" s="38">
        <f>'03_原始数据'!A487</f>
        <v/>
      </c>
      <c r="B487" s="16">
        <f>'03_原始数据'!B487</f>
        <v/>
      </c>
      <c r="C487" s="16">
        <f>'03_原始数据'!C487</f>
        <v/>
      </c>
      <c r="D487" s="16">
        <f>'03_原始数据'!E487</f>
        <v/>
      </c>
      <c r="E487" s="39">
        <f>_xlfn.PERCENTRANK.INC('03_原始数据'!$E$5:$E$873,'03_原始数据'!E487)</f>
        <v/>
      </c>
      <c r="F487" s="16">
        <f>IF(True,AVERAGE('03_原始数据'!$E$428:$E$487),"")</f>
        <v/>
      </c>
      <c r="G487" s="16">
        <f>IF(True,STDEV('03_原始数据'!$E$428:$E$487),"")</f>
        <v/>
      </c>
    </row>
    <row r="488" ht="17" customHeight="1">
      <c r="A488" s="40">
        <f>'03_原始数据'!A488</f>
        <v/>
      </c>
      <c r="B488" s="21">
        <f>'03_原始数据'!B488</f>
        <v/>
      </c>
      <c r="C488" s="21">
        <f>'03_原始数据'!C488</f>
        <v/>
      </c>
      <c r="D488" s="21">
        <f>'03_原始数据'!E488</f>
        <v/>
      </c>
      <c r="E488" s="41">
        <f>_xlfn.PERCENTRANK.INC('03_原始数据'!$E$5:$E$873,'03_原始数据'!E488)</f>
        <v/>
      </c>
      <c r="F488" s="21">
        <f>IF(True,AVERAGE('03_原始数据'!$E$429:$E$488),"")</f>
        <v/>
      </c>
      <c r="G488" s="21">
        <f>IF(True,STDEV('03_原始数据'!$E$429:$E$488),"")</f>
        <v/>
      </c>
    </row>
    <row r="489" ht="17" customHeight="1">
      <c r="A489" s="38">
        <f>'03_原始数据'!A489</f>
        <v/>
      </c>
      <c r="B489" s="16">
        <f>'03_原始数据'!B489</f>
        <v/>
      </c>
      <c r="C489" s="16">
        <f>'03_原始数据'!C489</f>
        <v/>
      </c>
      <c r="D489" s="16">
        <f>'03_原始数据'!E489</f>
        <v/>
      </c>
      <c r="E489" s="39">
        <f>_xlfn.PERCENTRANK.INC('03_原始数据'!$E$5:$E$873,'03_原始数据'!E489)</f>
        <v/>
      </c>
      <c r="F489" s="16">
        <f>IF(True,AVERAGE('03_原始数据'!$E$430:$E$489),"")</f>
        <v/>
      </c>
      <c r="G489" s="16">
        <f>IF(True,STDEV('03_原始数据'!$E$430:$E$489),"")</f>
        <v/>
      </c>
    </row>
    <row r="490" ht="17" customHeight="1">
      <c r="A490" s="40">
        <f>'03_原始数据'!A490</f>
        <v/>
      </c>
      <c r="B490" s="21">
        <f>'03_原始数据'!B490</f>
        <v/>
      </c>
      <c r="C490" s="21">
        <f>'03_原始数据'!C490</f>
        <v/>
      </c>
      <c r="D490" s="21">
        <f>'03_原始数据'!E490</f>
        <v/>
      </c>
      <c r="E490" s="41">
        <f>_xlfn.PERCENTRANK.INC('03_原始数据'!$E$5:$E$873,'03_原始数据'!E490)</f>
        <v/>
      </c>
      <c r="F490" s="21">
        <f>IF(True,AVERAGE('03_原始数据'!$E$431:$E$490),"")</f>
        <v/>
      </c>
      <c r="G490" s="21">
        <f>IF(True,STDEV('03_原始数据'!$E$431:$E$490),"")</f>
        <v/>
      </c>
    </row>
    <row r="491" ht="17" customHeight="1">
      <c r="A491" s="38">
        <f>'03_原始数据'!A491</f>
        <v/>
      </c>
      <c r="B491" s="16">
        <f>'03_原始数据'!B491</f>
        <v/>
      </c>
      <c r="C491" s="16">
        <f>'03_原始数据'!C491</f>
        <v/>
      </c>
      <c r="D491" s="16">
        <f>'03_原始数据'!E491</f>
        <v/>
      </c>
      <c r="E491" s="39">
        <f>_xlfn.PERCENTRANK.INC('03_原始数据'!$E$5:$E$873,'03_原始数据'!E491)</f>
        <v/>
      </c>
      <c r="F491" s="16">
        <f>IF(True,AVERAGE('03_原始数据'!$E$432:$E$491),"")</f>
        <v/>
      </c>
      <c r="G491" s="16">
        <f>IF(True,STDEV('03_原始数据'!$E$432:$E$491),"")</f>
        <v/>
      </c>
    </row>
    <row r="492" ht="17" customHeight="1">
      <c r="A492" s="40">
        <f>'03_原始数据'!A492</f>
        <v/>
      </c>
      <c r="B492" s="21">
        <f>'03_原始数据'!B492</f>
        <v/>
      </c>
      <c r="C492" s="21">
        <f>'03_原始数据'!C492</f>
        <v/>
      </c>
      <c r="D492" s="21">
        <f>'03_原始数据'!E492</f>
        <v/>
      </c>
      <c r="E492" s="41">
        <f>_xlfn.PERCENTRANK.INC('03_原始数据'!$E$5:$E$873,'03_原始数据'!E492)</f>
        <v/>
      </c>
      <c r="F492" s="21">
        <f>IF(True,AVERAGE('03_原始数据'!$E$433:$E$492),"")</f>
        <v/>
      </c>
      <c r="G492" s="21">
        <f>IF(True,STDEV('03_原始数据'!$E$433:$E$492),"")</f>
        <v/>
      </c>
    </row>
    <row r="493" ht="17" customHeight="1">
      <c r="A493" s="38">
        <f>'03_原始数据'!A493</f>
        <v/>
      </c>
      <c r="B493" s="16">
        <f>'03_原始数据'!B493</f>
        <v/>
      </c>
      <c r="C493" s="16">
        <f>'03_原始数据'!C493</f>
        <v/>
      </c>
      <c r="D493" s="16">
        <f>'03_原始数据'!E493</f>
        <v/>
      </c>
      <c r="E493" s="39">
        <f>_xlfn.PERCENTRANK.INC('03_原始数据'!$E$5:$E$873,'03_原始数据'!E493)</f>
        <v/>
      </c>
      <c r="F493" s="16">
        <f>IF(True,AVERAGE('03_原始数据'!$E$434:$E$493),"")</f>
        <v/>
      </c>
      <c r="G493" s="16">
        <f>IF(True,STDEV('03_原始数据'!$E$434:$E$493),"")</f>
        <v/>
      </c>
    </row>
    <row r="494" ht="17" customHeight="1">
      <c r="A494" s="40">
        <f>'03_原始数据'!A494</f>
        <v/>
      </c>
      <c r="B494" s="21">
        <f>'03_原始数据'!B494</f>
        <v/>
      </c>
      <c r="C494" s="21">
        <f>'03_原始数据'!C494</f>
        <v/>
      </c>
      <c r="D494" s="21">
        <f>'03_原始数据'!E494</f>
        <v/>
      </c>
      <c r="E494" s="41">
        <f>_xlfn.PERCENTRANK.INC('03_原始数据'!$E$5:$E$873,'03_原始数据'!E494)</f>
        <v/>
      </c>
      <c r="F494" s="21">
        <f>IF(True,AVERAGE('03_原始数据'!$E$435:$E$494),"")</f>
        <v/>
      </c>
      <c r="G494" s="21">
        <f>IF(True,STDEV('03_原始数据'!$E$435:$E$494),"")</f>
        <v/>
      </c>
    </row>
    <row r="495" ht="17" customHeight="1">
      <c r="A495" s="38">
        <f>'03_原始数据'!A495</f>
        <v/>
      </c>
      <c r="B495" s="16">
        <f>'03_原始数据'!B495</f>
        <v/>
      </c>
      <c r="C495" s="16">
        <f>'03_原始数据'!C495</f>
        <v/>
      </c>
      <c r="D495" s="16">
        <f>'03_原始数据'!E495</f>
        <v/>
      </c>
      <c r="E495" s="39">
        <f>_xlfn.PERCENTRANK.INC('03_原始数据'!$E$5:$E$873,'03_原始数据'!E495)</f>
        <v/>
      </c>
      <c r="F495" s="16">
        <f>IF(True,AVERAGE('03_原始数据'!$E$436:$E$495),"")</f>
        <v/>
      </c>
      <c r="G495" s="16">
        <f>IF(True,STDEV('03_原始数据'!$E$436:$E$495),"")</f>
        <v/>
      </c>
    </row>
    <row r="496" ht="17" customHeight="1">
      <c r="A496" s="40">
        <f>'03_原始数据'!A496</f>
        <v/>
      </c>
      <c r="B496" s="21">
        <f>'03_原始数据'!B496</f>
        <v/>
      </c>
      <c r="C496" s="21">
        <f>'03_原始数据'!C496</f>
        <v/>
      </c>
      <c r="D496" s="21">
        <f>'03_原始数据'!E496</f>
        <v/>
      </c>
      <c r="E496" s="41">
        <f>_xlfn.PERCENTRANK.INC('03_原始数据'!$E$5:$E$873,'03_原始数据'!E496)</f>
        <v/>
      </c>
      <c r="F496" s="21">
        <f>IF(True,AVERAGE('03_原始数据'!$E$437:$E$496),"")</f>
        <v/>
      </c>
      <c r="G496" s="21">
        <f>IF(True,STDEV('03_原始数据'!$E$437:$E$496),"")</f>
        <v/>
      </c>
    </row>
    <row r="497" ht="17" customHeight="1">
      <c r="A497" s="38">
        <f>'03_原始数据'!A497</f>
        <v/>
      </c>
      <c r="B497" s="16">
        <f>'03_原始数据'!B497</f>
        <v/>
      </c>
      <c r="C497" s="16">
        <f>'03_原始数据'!C497</f>
        <v/>
      </c>
      <c r="D497" s="16">
        <f>'03_原始数据'!E497</f>
        <v/>
      </c>
      <c r="E497" s="39">
        <f>_xlfn.PERCENTRANK.INC('03_原始数据'!$E$5:$E$873,'03_原始数据'!E497)</f>
        <v/>
      </c>
      <c r="F497" s="16">
        <f>IF(True,AVERAGE('03_原始数据'!$E$438:$E$497),"")</f>
        <v/>
      </c>
      <c r="G497" s="16">
        <f>IF(True,STDEV('03_原始数据'!$E$438:$E$497),"")</f>
        <v/>
      </c>
    </row>
    <row r="498" ht="17" customHeight="1">
      <c r="A498" s="40">
        <f>'03_原始数据'!A498</f>
        <v/>
      </c>
      <c r="B498" s="21">
        <f>'03_原始数据'!B498</f>
        <v/>
      </c>
      <c r="C498" s="21">
        <f>'03_原始数据'!C498</f>
        <v/>
      </c>
      <c r="D498" s="21">
        <f>'03_原始数据'!E498</f>
        <v/>
      </c>
      <c r="E498" s="41">
        <f>_xlfn.PERCENTRANK.INC('03_原始数据'!$E$5:$E$873,'03_原始数据'!E498)</f>
        <v/>
      </c>
      <c r="F498" s="21">
        <f>IF(True,AVERAGE('03_原始数据'!$E$439:$E$498),"")</f>
        <v/>
      </c>
      <c r="G498" s="21">
        <f>IF(True,STDEV('03_原始数据'!$E$439:$E$498),"")</f>
        <v/>
      </c>
    </row>
    <row r="499" ht="17" customHeight="1">
      <c r="A499" s="38">
        <f>'03_原始数据'!A499</f>
        <v/>
      </c>
      <c r="B499" s="16">
        <f>'03_原始数据'!B499</f>
        <v/>
      </c>
      <c r="C499" s="16">
        <f>'03_原始数据'!C499</f>
        <v/>
      </c>
      <c r="D499" s="16">
        <f>'03_原始数据'!E499</f>
        <v/>
      </c>
      <c r="E499" s="39">
        <f>_xlfn.PERCENTRANK.INC('03_原始数据'!$E$5:$E$873,'03_原始数据'!E499)</f>
        <v/>
      </c>
      <c r="F499" s="16">
        <f>IF(True,AVERAGE('03_原始数据'!$E$440:$E$499),"")</f>
        <v/>
      </c>
      <c r="G499" s="16">
        <f>IF(True,STDEV('03_原始数据'!$E$440:$E$499),"")</f>
        <v/>
      </c>
    </row>
    <row r="500" ht="17" customHeight="1">
      <c r="A500" s="40">
        <f>'03_原始数据'!A500</f>
        <v/>
      </c>
      <c r="B500" s="21">
        <f>'03_原始数据'!B500</f>
        <v/>
      </c>
      <c r="C500" s="21">
        <f>'03_原始数据'!C500</f>
        <v/>
      </c>
      <c r="D500" s="21">
        <f>'03_原始数据'!E500</f>
        <v/>
      </c>
      <c r="E500" s="41">
        <f>_xlfn.PERCENTRANK.INC('03_原始数据'!$E$5:$E$873,'03_原始数据'!E500)</f>
        <v/>
      </c>
      <c r="F500" s="21">
        <f>IF(True,AVERAGE('03_原始数据'!$E$441:$E$500),"")</f>
        <v/>
      </c>
      <c r="G500" s="21">
        <f>IF(True,STDEV('03_原始数据'!$E$441:$E$500),"")</f>
        <v/>
      </c>
    </row>
    <row r="501" ht="17" customHeight="1">
      <c r="A501" s="38">
        <f>'03_原始数据'!A501</f>
        <v/>
      </c>
      <c r="B501" s="16">
        <f>'03_原始数据'!B501</f>
        <v/>
      </c>
      <c r="C501" s="16">
        <f>'03_原始数据'!C501</f>
        <v/>
      </c>
      <c r="D501" s="16">
        <f>'03_原始数据'!E501</f>
        <v/>
      </c>
      <c r="E501" s="39">
        <f>_xlfn.PERCENTRANK.INC('03_原始数据'!$E$5:$E$873,'03_原始数据'!E501)</f>
        <v/>
      </c>
      <c r="F501" s="16">
        <f>IF(True,AVERAGE('03_原始数据'!$E$442:$E$501),"")</f>
        <v/>
      </c>
      <c r="G501" s="16">
        <f>IF(True,STDEV('03_原始数据'!$E$442:$E$501),"")</f>
        <v/>
      </c>
    </row>
    <row r="502" ht="17" customHeight="1">
      <c r="A502" s="40">
        <f>'03_原始数据'!A502</f>
        <v/>
      </c>
      <c r="B502" s="21">
        <f>'03_原始数据'!B502</f>
        <v/>
      </c>
      <c r="C502" s="21">
        <f>'03_原始数据'!C502</f>
        <v/>
      </c>
      <c r="D502" s="21">
        <f>'03_原始数据'!E502</f>
        <v/>
      </c>
      <c r="E502" s="41">
        <f>_xlfn.PERCENTRANK.INC('03_原始数据'!$E$5:$E$873,'03_原始数据'!E502)</f>
        <v/>
      </c>
      <c r="F502" s="21">
        <f>IF(True,AVERAGE('03_原始数据'!$E$443:$E$502),"")</f>
        <v/>
      </c>
      <c r="G502" s="21">
        <f>IF(True,STDEV('03_原始数据'!$E$443:$E$502),"")</f>
        <v/>
      </c>
    </row>
    <row r="503" ht="17" customHeight="1">
      <c r="A503" s="38">
        <f>'03_原始数据'!A503</f>
        <v/>
      </c>
      <c r="B503" s="16">
        <f>'03_原始数据'!B503</f>
        <v/>
      </c>
      <c r="C503" s="16">
        <f>'03_原始数据'!C503</f>
        <v/>
      </c>
      <c r="D503" s="16">
        <f>'03_原始数据'!E503</f>
        <v/>
      </c>
      <c r="E503" s="39">
        <f>_xlfn.PERCENTRANK.INC('03_原始数据'!$E$5:$E$873,'03_原始数据'!E503)</f>
        <v/>
      </c>
      <c r="F503" s="16">
        <f>IF(True,AVERAGE('03_原始数据'!$E$444:$E$503),"")</f>
        <v/>
      </c>
      <c r="G503" s="16">
        <f>IF(True,STDEV('03_原始数据'!$E$444:$E$503),"")</f>
        <v/>
      </c>
    </row>
    <row r="504" ht="17" customHeight="1">
      <c r="A504" s="40">
        <f>'03_原始数据'!A504</f>
        <v/>
      </c>
      <c r="B504" s="21">
        <f>'03_原始数据'!B504</f>
        <v/>
      </c>
      <c r="C504" s="21">
        <f>'03_原始数据'!C504</f>
        <v/>
      </c>
      <c r="D504" s="21">
        <f>'03_原始数据'!E504</f>
        <v/>
      </c>
      <c r="E504" s="41">
        <f>_xlfn.PERCENTRANK.INC('03_原始数据'!$E$5:$E$873,'03_原始数据'!E504)</f>
        <v/>
      </c>
      <c r="F504" s="21">
        <f>IF(True,AVERAGE('03_原始数据'!$E$445:$E$504),"")</f>
        <v/>
      </c>
      <c r="G504" s="21">
        <f>IF(True,STDEV('03_原始数据'!$E$445:$E$504),"")</f>
        <v/>
      </c>
    </row>
    <row r="505" ht="17" customHeight="1">
      <c r="A505" s="38">
        <f>'03_原始数据'!A505</f>
        <v/>
      </c>
      <c r="B505" s="16">
        <f>'03_原始数据'!B505</f>
        <v/>
      </c>
      <c r="C505" s="16">
        <f>'03_原始数据'!C505</f>
        <v/>
      </c>
      <c r="D505" s="16">
        <f>'03_原始数据'!E505</f>
        <v/>
      </c>
      <c r="E505" s="39">
        <f>_xlfn.PERCENTRANK.INC('03_原始数据'!$E$5:$E$873,'03_原始数据'!E505)</f>
        <v/>
      </c>
      <c r="F505" s="16">
        <f>IF(True,AVERAGE('03_原始数据'!$E$446:$E$505),"")</f>
        <v/>
      </c>
      <c r="G505" s="16">
        <f>IF(True,STDEV('03_原始数据'!$E$446:$E$505),"")</f>
        <v/>
      </c>
    </row>
    <row r="506" ht="17" customHeight="1">
      <c r="A506" s="40">
        <f>'03_原始数据'!A506</f>
        <v/>
      </c>
      <c r="B506" s="21">
        <f>'03_原始数据'!B506</f>
        <v/>
      </c>
      <c r="C506" s="21">
        <f>'03_原始数据'!C506</f>
        <v/>
      </c>
      <c r="D506" s="21">
        <f>'03_原始数据'!E506</f>
        <v/>
      </c>
      <c r="E506" s="41">
        <f>_xlfn.PERCENTRANK.INC('03_原始数据'!$E$5:$E$873,'03_原始数据'!E506)</f>
        <v/>
      </c>
      <c r="F506" s="21">
        <f>IF(True,AVERAGE('03_原始数据'!$E$447:$E$506),"")</f>
        <v/>
      </c>
      <c r="G506" s="21">
        <f>IF(True,STDEV('03_原始数据'!$E$447:$E$506),"")</f>
        <v/>
      </c>
    </row>
    <row r="507" ht="17" customHeight="1">
      <c r="A507" s="38">
        <f>'03_原始数据'!A507</f>
        <v/>
      </c>
      <c r="B507" s="16">
        <f>'03_原始数据'!B507</f>
        <v/>
      </c>
      <c r="C507" s="16">
        <f>'03_原始数据'!C507</f>
        <v/>
      </c>
      <c r="D507" s="16">
        <f>'03_原始数据'!E507</f>
        <v/>
      </c>
      <c r="E507" s="39">
        <f>_xlfn.PERCENTRANK.INC('03_原始数据'!$E$5:$E$873,'03_原始数据'!E507)</f>
        <v/>
      </c>
      <c r="F507" s="16">
        <f>IF(True,AVERAGE('03_原始数据'!$E$448:$E$507),"")</f>
        <v/>
      </c>
      <c r="G507" s="16">
        <f>IF(True,STDEV('03_原始数据'!$E$448:$E$507),"")</f>
        <v/>
      </c>
    </row>
    <row r="508" ht="17" customHeight="1">
      <c r="A508" s="40">
        <f>'03_原始数据'!A508</f>
        <v/>
      </c>
      <c r="B508" s="21">
        <f>'03_原始数据'!B508</f>
        <v/>
      </c>
      <c r="C508" s="21">
        <f>'03_原始数据'!C508</f>
        <v/>
      </c>
      <c r="D508" s="21">
        <f>'03_原始数据'!E508</f>
        <v/>
      </c>
      <c r="E508" s="41">
        <f>_xlfn.PERCENTRANK.INC('03_原始数据'!$E$5:$E$873,'03_原始数据'!E508)</f>
        <v/>
      </c>
      <c r="F508" s="21">
        <f>IF(True,AVERAGE('03_原始数据'!$E$449:$E$508),"")</f>
        <v/>
      </c>
      <c r="G508" s="21">
        <f>IF(True,STDEV('03_原始数据'!$E$449:$E$508),"")</f>
        <v/>
      </c>
    </row>
    <row r="509" ht="17" customHeight="1">
      <c r="A509" s="38">
        <f>'03_原始数据'!A509</f>
        <v/>
      </c>
      <c r="B509" s="16">
        <f>'03_原始数据'!B509</f>
        <v/>
      </c>
      <c r="C509" s="16">
        <f>'03_原始数据'!C509</f>
        <v/>
      </c>
      <c r="D509" s="16">
        <f>'03_原始数据'!E509</f>
        <v/>
      </c>
      <c r="E509" s="39">
        <f>_xlfn.PERCENTRANK.INC('03_原始数据'!$E$5:$E$873,'03_原始数据'!E509)</f>
        <v/>
      </c>
      <c r="F509" s="16">
        <f>IF(True,AVERAGE('03_原始数据'!$E$450:$E$509),"")</f>
        <v/>
      </c>
      <c r="G509" s="16">
        <f>IF(True,STDEV('03_原始数据'!$E$450:$E$509),"")</f>
        <v/>
      </c>
    </row>
    <row r="510" ht="17" customHeight="1">
      <c r="A510" s="40">
        <f>'03_原始数据'!A510</f>
        <v/>
      </c>
      <c r="B510" s="21">
        <f>'03_原始数据'!B510</f>
        <v/>
      </c>
      <c r="C510" s="21">
        <f>'03_原始数据'!C510</f>
        <v/>
      </c>
      <c r="D510" s="21">
        <f>'03_原始数据'!E510</f>
        <v/>
      </c>
      <c r="E510" s="41">
        <f>_xlfn.PERCENTRANK.INC('03_原始数据'!$E$5:$E$873,'03_原始数据'!E510)</f>
        <v/>
      </c>
      <c r="F510" s="21">
        <f>IF(True,AVERAGE('03_原始数据'!$E$451:$E$510),"")</f>
        <v/>
      </c>
      <c r="G510" s="21">
        <f>IF(True,STDEV('03_原始数据'!$E$451:$E$510),"")</f>
        <v/>
      </c>
    </row>
    <row r="511" ht="17" customHeight="1">
      <c r="A511" s="38">
        <f>'03_原始数据'!A511</f>
        <v/>
      </c>
      <c r="B511" s="16">
        <f>'03_原始数据'!B511</f>
        <v/>
      </c>
      <c r="C511" s="16">
        <f>'03_原始数据'!C511</f>
        <v/>
      </c>
      <c r="D511" s="16">
        <f>'03_原始数据'!E511</f>
        <v/>
      </c>
      <c r="E511" s="39">
        <f>_xlfn.PERCENTRANK.INC('03_原始数据'!$E$5:$E$873,'03_原始数据'!E511)</f>
        <v/>
      </c>
      <c r="F511" s="16">
        <f>IF(True,AVERAGE('03_原始数据'!$E$452:$E$511),"")</f>
        <v/>
      </c>
      <c r="G511" s="16">
        <f>IF(True,STDEV('03_原始数据'!$E$452:$E$511),"")</f>
        <v/>
      </c>
    </row>
    <row r="512" ht="17" customHeight="1">
      <c r="A512" s="40">
        <f>'03_原始数据'!A512</f>
        <v/>
      </c>
      <c r="B512" s="21">
        <f>'03_原始数据'!B512</f>
        <v/>
      </c>
      <c r="C512" s="21">
        <f>'03_原始数据'!C512</f>
        <v/>
      </c>
      <c r="D512" s="21">
        <f>'03_原始数据'!E512</f>
        <v/>
      </c>
      <c r="E512" s="41">
        <f>_xlfn.PERCENTRANK.INC('03_原始数据'!$E$5:$E$873,'03_原始数据'!E512)</f>
        <v/>
      </c>
      <c r="F512" s="21">
        <f>IF(True,AVERAGE('03_原始数据'!$E$453:$E$512),"")</f>
        <v/>
      </c>
      <c r="G512" s="21">
        <f>IF(True,STDEV('03_原始数据'!$E$453:$E$512),"")</f>
        <v/>
      </c>
    </row>
    <row r="513" ht="17" customHeight="1">
      <c r="A513" s="38">
        <f>'03_原始数据'!A513</f>
        <v/>
      </c>
      <c r="B513" s="16">
        <f>'03_原始数据'!B513</f>
        <v/>
      </c>
      <c r="C513" s="16">
        <f>'03_原始数据'!C513</f>
        <v/>
      </c>
      <c r="D513" s="16">
        <f>'03_原始数据'!E513</f>
        <v/>
      </c>
      <c r="E513" s="39">
        <f>_xlfn.PERCENTRANK.INC('03_原始数据'!$E$5:$E$873,'03_原始数据'!E513)</f>
        <v/>
      </c>
      <c r="F513" s="16">
        <f>IF(True,AVERAGE('03_原始数据'!$E$454:$E$513),"")</f>
        <v/>
      </c>
      <c r="G513" s="16">
        <f>IF(True,STDEV('03_原始数据'!$E$454:$E$513),"")</f>
        <v/>
      </c>
    </row>
    <row r="514" ht="17" customHeight="1">
      <c r="A514" s="40">
        <f>'03_原始数据'!A514</f>
        <v/>
      </c>
      <c r="B514" s="21">
        <f>'03_原始数据'!B514</f>
        <v/>
      </c>
      <c r="C514" s="21">
        <f>'03_原始数据'!C514</f>
        <v/>
      </c>
      <c r="D514" s="21">
        <f>'03_原始数据'!E514</f>
        <v/>
      </c>
      <c r="E514" s="41">
        <f>_xlfn.PERCENTRANK.INC('03_原始数据'!$E$5:$E$873,'03_原始数据'!E514)</f>
        <v/>
      </c>
      <c r="F514" s="21">
        <f>IF(True,AVERAGE('03_原始数据'!$E$455:$E$514),"")</f>
        <v/>
      </c>
      <c r="G514" s="21">
        <f>IF(True,STDEV('03_原始数据'!$E$455:$E$514),"")</f>
        <v/>
      </c>
    </row>
    <row r="515" ht="17" customHeight="1">
      <c r="A515" s="38">
        <f>'03_原始数据'!A515</f>
        <v/>
      </c>
      <c r="B515" s="16">
        <f>'03_原始数据'!B515</f>
        <v/>
      </c>
      <c r="C515" s="16">
        <f>'03_原始数据'!C515</f>
        <v/>
      </c>
      <c r="D515" s="16">
        <f>'03_原始数据'!E515</f>
        <v/>
      </c>
      <c r="E515" s="39">
        <f>_xlfn.PERCENTRANK.INC('03_原始数据'!$E$5:$E$873,'03_原始数据'!E515)</f>
        <v/>
      </c>
      <c r="F515" s="16">
        <f>IF(True,AVERAGE('03_原始数据'!$E$456:$E$515),"")</f>
        <v/>
      </c>
      <c r="G515" s="16">
        <f>IF(True,STDEV('03_原始数据'!$E$456:$E$515),"")</f>
        <v/>
      </c>
    </row>
    <row r="516" ht="17" customHeight="1">
      <c r="A516" s="40">
        <f>'03_原始数据'!A516</f>
        <v/>
      </c>
      <c r="B516" s="21">
        <f>'03_原始数据'!B516</f>
        <v/>
      </c>
      <c r="C516" s="21">
        <f>'03_原始数据'!C516</f>
        <v/>
      </c>
      <c r="D516" s="21">
        <f>'03_原始数据'!E516</f>
        <v/>
      </c>
      <c r="E516" s="41">
        <f>_xlfn.PERCENTRANK.INC('03_原始数据'!$E$5:$E$873,'03_原始数据'!E516)</f>
        <v/>
      </c>
      <c r="F516" s="21">
        <f>IF(True,AVERAGE('03_原始数据'!$E$457:$E$516),"")</f>
        <v/>
      </c>
      <c r="G516" s="21">
        <f>IF(True,STDEV('03_原始数据'!$E$457:$E$516),"")</f>
        <v/>
      </c>
    </row>
    <row r="517" ht="17" customHeight="1">
      <c r="A517" s="38">
        <f>'03_原始数据'!A517</f>
        <v/>
      </c>
      <c r="B517" s="16">
        <f>'03_原始数据'!B517</f>
        <v/>
      </c>
      <c r="C517" s="16">
        <f>'03_原始数据'!C517</f>
        <v/>
      </c>
      <c r="D517" s="16">
        <f>'03_原始数据'!E517</f>
        <v/>
      </c>
      <c r="E517" s="39">
        <f>_xlfn.PERCENTRANK.INC('03_原始数据'!$E$5:$E$873,'03_原始数据'!E517)</f>
        <v/>
      </c>
      <c r="F517" s="16">
        <f>IF(True,AVERAGE('03_原始数据'!$E$458:$E$517),"")</f>
        <v/>
      </c>
      <c r="G517" s="16">
        <f>IF(True,STDEV('03_原始数据'!$E$458:$E$517),"")</f>
        <v/>
      </c>
    </row>
    <row r="518" ht="17" customHeight="1">
      <c r="A518" s="40">
        <f>'03_原始数据'!A518</f>
        <v/>
      </c>
      <c r="B518" s="21">
        <f>'03_原始数据'!B518</f>
        <v/>
      </c>
      <c r="C518" s="21">
        <f>'03_原始数据'!C518</f>
        <v/>
      </c>
      <c r="D518" s="21">
        <f>'03_原始数据'!E518</f>
        <v/>
      </c>
      <c r="E518" s="41">
        <f>_xlfn.PERCENTRANK.INC('03_原始数据'!$E$5:$E$873,'03_原始数据'!E518)</f>
        <v/>
      </c>
      <c r="F518" s="21">
        <f>IF(True,AVERAGE('03_原始数据'!$E$459:$E$518),"")</f>
        <v/>
      </c>
      <c r="G518" s="21">
        <f>IF(True,STDEV('03_原始数据'!$E$459:$E$518),"")</f>
        <v/>
      </c>
    </row>
    <row r="519" ht="17" customHeight="1">
      <c r="A519" s="38">
        <f>'03_原始数据'!A519</f>
        <v/>
      </c>
      <c r="B519" s="16">
        <f>'03_原始数据'!B519</f>
        <v/>
      </c>
      <c r="C519" s="16">
        <f>'03_原始数据'!C519</f>
        <v/>
      </c>
      <c r="D519" s="16">
        <f>'03_原始数据'!E519</f>
        <v/>
      </c>
      <c r="E519" s="39">
        <f>_xlfn.PERCENTRANK.INC('03_原始数据'!$E$5:$E$873,'03_原始数据'!E519)</f>
        <v/>
      </c>
      <c r="F519" s="16">
        <f>IF(True,AVERAGE('03_原始数据'!$E$460:$E$519),"")</f>
        <v/>
      </c>
      <c r="G519" s="16">
        <f>IF(True,STDEV('03_原始数据'!$E$460:$E$519),"")</f>
        <v/>
      </c>
    </row>
    <row r="520" ht="17" customHeight="1">
      <c r="A520" s="40">
        <f>'03_原始数据'!A520</f>
        <v/>
      </c>
      <c r="B520" s="21">
        <f>'03_原始数据'!B520</f>
        <v/>
      </c>
      <c r="C520" s="21">
        <f>'03_原始数据'!C520</f>
        <v/>
      </c>
      <c r="D520" s="21">
        <f>'03_原始数据'!E520</f>
        <v/>
      </c>
      <c r="E520" s="41">
        <f>_xlfn.PERCENTRANK.INC('03_原始数据'!$E$5:$E$873,'03_原始数据'!E520)</f>
        <v/>
      </c>
      <c r="F520" s="21">
        <f>IF(True,AVERAGE('03_原始数据'!$E$461:$E$520),"")</f>
        <v/>
      </c>
      <c r="G520" s="21">
        <f>IF(True,STDEV('03_原始数据'!$E$461:$E$520),"")</f>
        <v/>
      </c>
    </row>
    <row r="521" ht="17" customHeight="1">
      <c r="A521" s="38">
        <f>'03_原始数据'!A521</f>
        <v/>
      </c>
      <c r="B521" s="16">
        <f>'03_原始数据'!B521</f>
        <v/>
      </c>
      <c r="C521" s="16">
        <f>'03_原始数据'!C521</f>
        <v/>
      </c>
      <c r="D521" s="16">
        <f>'03_原始数据'!E521</f>
        <v/>
      </c>
      <c r="E521" s="39">
        <f>_xlfn.PERCENTRANK.INC('03_原始数据'!$E$5:$E$873,'03_原始数据'!E521)</f>
        <v/>
      </c>
      <c r="F521" s="16">
        <f>IF(True,AVERAGE('03_原始数据'!$E$462:$E$521),"")</f>
        <v/>
      </c>
      <c r="G521" s="16">
        <f>IF(True,STDEV('03_原始数据'!$E$462:$E$521),"")</f>
        <v/>
      </c>
    </row>
    <row r="522" ht="17" customHeight="1">
      <c r="A522" s="40">
        <f>'03_原始数据'!A522</f>
        <v/>
      </c>
      <c r="B522" s="21">
        <f>'03_原始数据'!B522</f>
        <v/>
      </c>
      <c r="C522" s="21">
        <f>'03_原始数据'!C522</f>
        <v/>
      </c>
      <c r="D522" s="21">
        <f>'03_原始数据'!E522</f>
        <v/>
      </c>
      <c r="E522" s="41">
        <f>_xlfn.PERCENTRANK.INC('03_原始数据'!$E$5:$E$873,'03_原始数据'!E522)</f>
        <v/>
      </c>
      <c r="F522" s="21">
        <f>IF(True,AVERAGE('03_原始数据'!$E$463:$E$522),"")</f>
        <v/>
      </c>
      <c r="G522" s="21">
        <f>IF(True,STDEV('03_原始数据'!$E$463:$E$522),"")</f>
        <v/>
      </c>
    </row>
    <row r="523" ht="17" customHeight="1">
      <c r="A523" s="38">
        <f>'03_原始数据'!A523</f>
        <v/>
      </c>
      <c r="B523" s="16">
        <f>'03_原始数据'!B523</f>
        <v/>
      </c>
      <c r="C523" s="16">
        <f>'03_原始数据'!C523</f>
        <v/>
      </c>
      <c r="D523" s="16">
        <f>'03_原始数据'!E523</f>
        <v/>
      </c>
      <c r="E523" s="39">
        <f>_xlfn.PERCENTRANK.INC('03_原始数据'!$E$5:$E$873,'03_原始数据'!E523)</f>
        <v/>
      </c>
      <c r="F523" s="16">
        <f>IF(True,AVERAGE('03_原始数据'!$E$464:$E$523),"")</f>
        <v/>
      </c>
      <c r="G523" s="16">
        <f>IF(True,STDEV('03_原始数据'!$E$464:$E$523),"")</f>
        <v/>
      </c>
    </row>
    <row r="524" ht="17" customHeight="1">
      <c r="A524" s="40">
        <f>'03_原始数据'!A524</f>
        <v/>
      </c>
      <c r="B524" s="21">
        <f>'03_原始数据'!B524</f>
        <v/>
      </c>
      <c r="C524" s="21">
        <f>'03_原始数据'!C524</f>
        <v/>
      </c>
      <c r="D524" s="21">
        <f>'03_原始数据'!E524</f>
        <v/>
      </c>
      <c r="E524" s="41">
        <f>_xlfn.PERCENTRANK.INC('03_原始数据'!$E$5:$E$873,'03_原始数据'!E524)</f>
        <v/>
      </c>
      <c r="F524" s="21">
        <f>IF(True,AVERAGE('03_原始数据'!$E$465:$E$524),"")</f>
        <v/>
      </c>
      <c r="G524" s="21">
        <f>IF(True,STDEV('03_原始数据'!$E$465:$E$524),"")</f>
        <v/>
      </c>
    </row>
    <row r="525" ht="17" customHeight="1">
      <c r="A525" s="38">
        <f>'03_原始数据'!A525</f>
        <v/>
      </c>
      <c r="B525" s="16">
        <f>'03_原始数据'!B525</f>
        <v/>
      </c>
      <c r="C525" s="16">
        <f>'03_原始数据'!C525</f>
        <v/>
      </c>
      <c r="D525" s="16">
        <f>'03_原始数据'!E525</f>
        <v/>
      </c>
      <c r="E525" s="39">
        <f>_xlfn.PERCENTRANK.INC('03_原始数据'!$E$5:$E$873,'03_原始数据'!E525)</f>
        <v/>
      </c>
      <c r="F525" s="16">
        <f>IF(True,AVERAGE('03_原始数据'!$E$466:$E$525),"")</f>
        <v/>
      </c>
      <c r="G525" s="16">
        <f>IF(True,STDEV('03_原始数据'!$E$466:$E$525),"")</f>
        <v/>
      </c>
    </row>
    <row r="526" ht="17" customHeight="1">
      <c r="A526" s="40">
        <f>'03_原始数据'!A526</f>
        <v/>
      </c>
      <c r="B526" s="21">
        <f>'03_原始数据'!B526</f>
        <v/>
      </c>
      <c r="C526" s="21">
        <f>'03_原始数据'!C526</f>
        <v/>
      </c>
      <c r="D526" s="21">
        <f>'03_原始数据'!E526</f>
        <v/>
      </c>
      <c r="E526" s="41">
        <f>_xlfn.PERCENTRANK.INC('03_原始数据'!$E$5:$E$873,'03_原始数据'!E526)</f>
        <v/>
      </c>
      <c r="F526" s="21">
        <f>IF(True,AVERAGE('03_原始数据'!$E$467:$E$526),"")</f>
        <v/>
      </c>
      <c r="G526" s="21">
        <f>IF(True,STDEV('03_原始数据'!$E$467:$E$526),"")</f>
        <v/>
      </c>
    </row>
    <row r="527" ht="17" customHeight="1">
      <c r="A527" s="38">
        <f>'03_原始数据'!A527</f>
        <v/>
      </c>
      <c r="B527" s="16">
        <f>'03_原始数据'!B527</f>
        <v/>
      </c>
      <c r="C527" s="16">
        <f>'03_原始数据'!C527</f>
        <v/>
      </c>
      <c r="D527" s="16">
        <f>'03_原始数据'!E527</f>
        <v/>
      </c>
      <c r="E527" s="39">
        <f>_xlfn.PERCENTRANK.INC('03_原始数据'!$E$5:$E$873,'03_原始数据'!E527)</f>
        <v/>
      </c>
      <c r="F527" s="16">
        <f>IF(True,AVERAGE('03_原始数据'!$E$468:$E$527),"")</f>
        <v/>
      </c>
      <c r="G527" s="16">
        <f>IF(True,STDEV('03_原始数据'!$E$468:$E$527),"")</f>
        <v/>
      </c>
    </row>
    <row r="528" ht="17" customHeight="1">
      <c r="A528" s="40">
        <f>'03_原始数据'!A528</f>
        <v/>
      </c>
      <c r="B528" s="21">
        <f>'03_原始数据'!B528</f>
        <v/>
      </c>
      <c r="C528" s="21">
        <f>'03_原始数据'!C528</f>
        <v/>
      </c>
      <c r="D528" s="21">
        <f>'03_原始数据'!E528</f>
        <v/>
      </c>
      <c r="E528" s="41">
        <f>_xlfn.PERCENTRANK.INC('03_原始数据'!$E$5:$E$873,'03_原始数据'!E528)</f>
        <v/>
      </c>
      <c r="F528" s="21">
        <f>IF(True,AVERAGE('03_原始数据'!$E$469:$E$528),"")</f>
        <v/>
      </c>
      <c r="G528" s="21">
        <f>IF(True,STDEV('03_原始数据'!$E$469:$E$528),"")</f>
        <v/>
      </c>
    </row>
    <row r="529" ht="17" customHeight="1">
      <c r="A529" s="38">
        <f>'03_原始数据'!A529</f>
        <v/>
      </c>
      <c r="B529" s="16">
        <f>'03_原始数据'!B529</f>
        <v/>
      </c>
      <c r="C529" s="16">
        <f>'03_原始数据'!C529</f>
        <v/>
      </c>
      <c r="D529" s="16">
        <f>'03_原始数据'!E529</f>
        <v/>
      </c>
      <c r="E529" s="39">
        <f>_xlfn.PERCENTRANK.INC('03_原始数据'!$E$5:$E$873,'03_原始数据'!E529)</f>
        <v/>
      </c>
      <c r="F529" s="16">
        <f>IF(True,AVERAGE('03_原始数据'!$E$470:$E$529),"")</f>
        <v/>
      </c>
      <c r="G529" s="16">
        <f>IF(True,STDEV('03_原始数据'!$E$470:$E$529),"")</f>
        <v/>
      </c>
    </row>
    <row r="530" ht="17" customHeight="1">
      <c r="A530" s="40">
        <f>'03_原始数据'!A530</f>
        <v/>
      </c>
      <c r="B530" s="21">
        <f>'03_原始数据'!B530</f>
        <v/>
      </c>
      <c r="C530" s="21">
        <f>'03_原始数据'!C530</f>
        <v/>
      </c>
      <c r="D530" s="21">
        <f>'03_原始数据'!E530</f>
        <v/>
      </c>
      <c r="E530" s="41">
        <f>_xlfn.PERCENTRANK.INC('03_原始数据'!$E$5:$E$873,'03_原始数据'!E530)</f>
        <v/>
      </c>
      <c r="F530" s="21">
        <f>IF(True,AVERAGE('03_原始数据'!$E$471:$E$530),"")</f>
        <v/>
      </c>
      <c r="G530" s="21">
        <f>IF(True,STDEV('03_原始数据'!$E$471:$E$530),"")</f>
        <v/>
      </c>
    </row>
    <row r="531" ht="17" customHeight="1">
      <c r="A531" s="38">
        <f>'03_原始数据'!A531</f>
        <v/>
      </c>
      <c r="B531" s="16">
        <f>'03_原始数据'!B531</f>
        <v/>
      </c>
      <c r="C531" s="16">
        <f>'03_原始数据'!C531</f>
        <v/>
      </c>
      <c r="D531" s="16">
        <f>'03_原始数据'!E531</f>
        <v/>
      </c>
      <c r="E531" s="39">
        <f>_xlfn.PERCENTRANK.INC('03_原始数据'!$E$5:$E$873,'03_原始数据'!E531)</f>
        <v/>
      </c>
      <c r="F531" s="16">
        <f>IF(True,AVERAGE('03_原始数据'!$E$472:$E$531),"")</f>
        <v/>
      </c>
      <c r="G531" s="16">
        <f>IF(True,STDEV('03_原始数据'!$E$472:$E$531),"")</f>
        <v/>
      </c>
    </row>
    <row r="532" ht="17" customHeight="1">
      <c r="A532" s="40">
        <f>'03_原始数据'!A532</f>
        <v/>
      </c>
      <c r="B532" s="21">
        <f>'03_原始数据'!B532</f>
        <v/>
      </c>
      <c r="C532" s="21">
        <f>'03_原始数据'!C532</f>
        <v/>
      </c>
      <c r="D532" s="21">
        <f>'03_原始数据'!E532</f>
        <v/>
      </c>
      <c r="E532" s="41">
        <f>_xlfn.PERCENTRANK.INC('03_原始数据'!$E$5:$E$873,'03_原始数据'!E532)</f>
        <v/>
      </c>
      <c r="F532" s="21">
        <f>IF(True,AVERAGE('03_原始数据'!$E$473:$E$532),"")</f>
        <v/>
      </c>
      <c r="G532" s="21">
        <f>IF(True,STDEV('03_原始数据'!$E$473:$E$532),"")</f>
        <v/>
      </c>
    </row>
    <row r="533" ht="17" customHeight="1">
      <c r="A533" s="38">
        <f>'03_原始数据'!A533</f>
        <v/>
      </c>
      <c r="B533" s="16">
        <f>'03_原始数据'!B533</f>
        <v/>
      </c>
      <c r="C533" s="16">
        <f>'03_原始数据'!C533</f>
        <v/>
      </c>
      <c r="D533" s="16">
        <f>'03_原始数据'!E533</f>
        <v/>
      </c>
      <c r="E533" s="39">
        <f>_xlfn.PERCENTRANK.INC('03_原始数据'!$E$5:$E$873,'03_原始数据'!E533)</f>
        <v/>
      </c>
      <c r="F533" s="16">
        <f>IF(True,AVERAGE('03_原始数据'!$E$474:$E$533),"")</f>
        <v/>
      </c>
      <c r="G533" s="16">
        <f>IF(True,STDEV('03_原始数据'!$E$474:$E$533),"")</f>
        <v/>
      </c>
    </row>
    <row r="534" ht="17" customHeight="1">
      <c r="A534" s="40">
        <f>'03_原始数据'!A534</f>
        <v/>
      </c>
      <c r="B534" s="21">
        <f>'03_原始数据'!B534</f>
        <v/>
      </c>
      <c r="C534" s="21">
        <f>'03_原始数据'!C534</f>
        <v/>
      </c>
      <c r="D534" s="21">
        <f>'03_原始数据'!E534</f>
        <v/>
      </c>
      <c r="E534" s="41">
        <f>_xlfn.PERCENTRANK.INC('03_原始数据'!$E$5:$E$873,'03_原始数据'!E534)</f>
        <v/>
      </c>
      <c r="F534" s="21">
        <f>IF(True,AVERAGE('03_原始数据'!$E$475:$E$534),"")</f>
        <v/>
      </c>
      <c r="G534" s="21">
        <f>IF(True,STDEV('03_原始数据'!$E$475:$E$534),"")</f>
        <v/>
      </c>
    </row>
    <row r="535" ht="17" customHeight="1">
      <c r="A535" s="38">
        <f>'03_原始数据'!A535</f>
        <v/>
      </c>
      <c r="B535" s="16">
        <f>'03_原始数据'!B535</f>
        <v/>
      </c>
      <c r="C535" s="16">
        <f>'03_原始数据'!C535</f>
        <v/>
      </c>
      <c r="D535" s="16">
        <f>'03_原始数据'!E535</f>
        <v/>
      </c>
      <c r="E535" s="39">
        <f>_xlfn.PERCENTRANK.INC('03_原始数据'!$E$5:$E$873,'03_原始数据'!E535)</f>
        <v/>
      </c>
      <c r="F535" s="16">
        <f>IF(True,AVERAGE('03_原始数据'!$E$476:$E$535),"")</f>
        <v/>
      </c>
      <c r="G535" s="16">
        <f>IF(True,STDEV('03_原始数据'!$E$476:$E$535),"")</f>
        <v/>
      </c>
    </row>
    <row r="536" ht="17" customHeight="1">
      <c r="A536" s="40">
        <f>'03_原始数据'!A536</f>
        <v/>
      </c>
      <c r="B536" s="21">
        <f>'03_原始数据'!B536</f>
        <v/>
      </c>
      <c r="C536" s="21">
        <f>'03_原始数据'!C536</f>
        <v/>
      </c>
      <c r="D536" s="21">
        <f>'03_原始数据'!E536</f>
        <v/>
      </c>
      <c r="E536" s="41">
        <f>_xlfn.PERCENTRANK.INC('03_原始数据'!$E$5:$E$873,'03_原始数据'!E536)</f>
        <v/>
      </c>
      <c r="F536" s="21">
        <f>IF(True,AVERAGE('03_原始数据'!$E$477:$E$536),"")</f>
        <v/>
      </c>
      <c r="G536" s="21">
        <f>IF(True,STDEV('03_原始数据'!$E$477:$E$536),"")</f>
        <v/>
      </c>
    </row>
    <row r="537" ht="17" customHeight="1">
      <c r="A537" s="38">
        <f>'03_原始数据'!A537</f>
        <v/>
      </c>
      <c r="B537" s="16">
        <f>'03_原始数据'!B537</f>
        <v/>
      </c>
      <c r="C537" s="16">
        <f>'03_原始数据'!C537</f>
        <v/>
      </c>
      <c r="D537" s="16">
        <f>'03_原始数据'!E537</f>
        <v/>
      </c>
      <c r="E537" s="39">
        <f>_xlfn.PERCENTRANK.INC('03_原始数据'!$E$5:$E$873,'03_原始数据'!E537)</f>
        <v/>
      </c>
      <c r="F537" s="16">
        <f>IF(True,AVERAGE('03_原始数据'!$E$478:$E$537),"")</f>
        <v/>
      </c>
      <c r="G537" s="16">
        <f>IF(True,STDEV('03_原始数据'!$E$478:$E$537),"")</f>
        <v/>
      </c>
    </row>
    <row r="538" ht="17" customHeight="1">
      <c r="A538" s="40">
        <f>'03_原始数据'!A538</f>
        <v/>
      </c>
      <c r="B538" s="21">
        <f>'03_原始数据'!B538</f>
        <v/>
      </c>
      <c r="C538" s="21">
        <f>'03_原始数据'!C538</f>
        <v/>
      </c>
      <c r="D538" s="21">
        <f>'03_原始数据'!E538</f>
        <v/>
      </c>
      <c r="E538" s="41">
        <f>_xlfn.PERCENTRANK.INC('03_原始数据'!$E$5:$E$873,'03_原始数据'!E538)</f>
        <v/>
      </c>
      <c r="F538" s="21">
        <f>IF(True,AVERAGE('03_原始数据'!$E$479:$E$538),"")</f>
        <v/>
      </c>
      <c r="G538" s="21">
        <f>IF(True,STDEV('03_原始数据'!$E$479:$E$538),"")</f>
        <v/>
      </c>
    </row>
    <row r="539" ht="17" customHeight="1">
      <c r="A539" s="38">
        <f>'03_原始数据'!A539</f>
        <v/>
      </c>
      <c r="B539" s="16">
        <f>'03_原始数据'!B539</f>
        <v/>
      </c>
      <c r="C539" s="16">
        <f>'03_原始数据'!C539</f>
        <v/>
      </c>
      <c r="D539" s="16">
        <f>'03_原始数据'!E539</f>
        <v/>
      </c>
      <c r="E539" s="39">
        <f>_xlfn.PERCENTRANK.INC('03_原始数据'!$E$5:$E$873,'03_原始数据'!E539)</f>
        <v/>
      </c>
      <c r="F539" s="16">
        <f>IF(True,AVERAGE('03_原始数据'!$E$480:$E$539),"")</f>
        <v/>
      </c>
      <c r="G539" s="16">
        <f>IF(True,STDEV('03_原始数据'!$E$480:$E$539),"")</f>
        <v/>
      </c>
    </row>
    <row r="540" ht="17" customHeight="1">
      <c r="A540" s="40">
        <f>'03_原始数据'!A540</f>
        <v/>
      </c>
      <c r="B540" s="21">
        <f>'03_原始数据'!B540</f>
        <v/>
      </c>
      <c r="C540" s="21">
        <f>'03_原始数据'!C540</f>
        <v/>
      </c>
      <c r="D540" s="21">
        <f>'03_原始数据'!E540</f>
        <v/>
      </c>
      <c r="E540" s="41">
        <f>_xlfn.PERCENTRANK.INC('03_原始数据'!$E$5:$E$873,'03_原始数据'!E540)</f>
        <v/>
      </c>
      <c r="F540" s="21">
        <f>IF(True,AVERAGE('03_原始数据'!$E$481:$E$540),"")</f>
        <v/>
      </c>
      <c r="G540" s="21">
        <f>IF(True,STDEV('03_原始数据'!$E$481:$E$540),"")</f>
        <v/>
      </c>
    </row>
    <row r="541" ht="17" customHeight="1">
      <c r="A541" s="38">
        <f>'03_原始数据'!A541</f>
        <v/>
      </c>
      <c r="B541" s="16">
        <f>'03_原始数据'!B541</f>
        <v/>
      </c>
      <c r="C541" s="16">
        <f>'03_原始数据'!C541</f>
        <v/>
      </c>
      <c r="D541" s="16">
        <f>'03_原始数据'!E541</f>
        <v/>
      </c>
      <c r="E541" s="39">
        <f>_xlfn.PERCENTRANK.INC('03_原始数据'!$E$5:$E$873,'03_原始数据'!E541)</f>
        <v/>
      </c>
      <c r="F541" s="16">
        <f>IF(True,AVERAGE('03_原始数据'!$E$482:$E$541),"")</f>
        <v/>
      </c>
      <c r="G541" s="16">
        <f>IF(True,STDEV('03_原始数据'!$E$482:$E$541),"")</f>
        <v/>
      </c>
    </row>
    <row r="542" ht="17" customHeight="1">
      <c r="A542" s="40">
        <f>'03_原始数据'!A542</f>
        <v/>
      </c>
      <c r="B542" s="21">
        <f>'03_原始数据'!B542</f>
        <v/>
      </c>
      <c r="C542" s="21">
        <f>'03_原始数据'!C542</f>
        <v/>
      </c>
      <c r="D542" s="21">
        <f>'03_原始数据'!E542</f>
        <v/>
      </c>
      <c r="E542" s="41">
        <f>_xlfn.PERCENTRANK.INC('03_原始数据'!$E$5:$E$873,'03_原始数据'!E542)</f>
        <v/>
      </c>
      <c r="F542" s="21">
        <f>IF(True,AVERAGE('03_原始数据'!$E$483:$E$542),"")</f>
        <v/>
      </c>
      <c r="G542" s="21">
        <f>IF(True,STDEV('03_原始数据'!$E$483:$E$542),"")</f>
        <v/>
      </c>
    </row>
    <row r="543" ht="17" customHeight="1">
      <c r="A543" s="38">
        <f>'03_原始数据'!A543</f>
        <v/>
      </c>
      <c r="B543" s="16">
        <f>'03_原始数据'!B543</f>
        <v/>
      </c>
      <c r="C543" s="16">
        <f>'03_原始数据'!C543</f>
        <v/>
      </c>
      <c r="D543" s="16">
        <f>'03_原始数据'!E543</f>
        <v/>
      </c>
      <c r="E543" s="39">
        <f>_xlfn.PERCENTRANK.INC('03_原始数据'!$E$5:$E$873,'03_原始数据'!E543)</f>
        <v/>
      </c>
      <c r="F543" s="16">
        <f>IF(True,AVERAGE('03_原始数据'!$E$484:$E$543),"")</f>
        <v/>
      </c>
      <c r="G543" s="16">
        <f>IF(True,STDEV('03_原始数据'!$E$484:$E$543),"")</f>
        <v/>
      </c>
    </row>
    <row r="544" ht="17" customHeight="1">
      <c r="A544" s="40">
        <f>'03_原始数据'!A544</f>
        <v/>
      </c>
      <c r="B544" s="21">
        <f>'03_原始数据'!B544</f>
        <v/>
      </c>
      <c r="C544" s="21">
        <f>'03_原始数据'!C544</f>
        <v/>
      </c>
      <c r="D544" s="21">
        <f>'03_原始数据'!E544</f>
        <v/>
      </c>
      <c r="E544" s="41">
        <f>_xlfn.PERCENTRANK.INC('03_原始数据'!$E$5:$E$873,'03_原始数据'!E544)</f>
        <v/>
      </c>
      <c r="F544" s="21">
        <f>IF(True,AVERAGE('03_原始数据'!$E$485:$E$544),"")</f>
        <v/>
      </c>
      <c r="G544" s="21">
        <f>IF(True,STDEV('03_原始数据'!$E$485:$E$544),"")</f>
        <v/>
      </c>
    </row>
    <row r="545" ht="17" customHeight="1">
      <c r="A545" s="38">
        <f>'03_原始数据'!A545</f>
        <v/>
      </c>
      <c r="B545" s="16">
        <f>'03_原始数据'!B545</f>
        <v/>
      </c>
      <c r="C545" s="16">
        <f>'03_原始数据'!C545</f>
        <v/>
      </c>
      <c r="D545" s="16">
        <f>'03_原始数据'!E545</f>
        <v/>
      </c>
      <c r="E545" s="39">
        <f>_xlfn.PERCENTRANK.INC('03_原始数据'!$E$5:$E$873,'03_原始数据'!E545)</f>
        <v/>
      </c>
      <c r="F545" s="16">
        <f>IF(True,AVERAGE('03_原始数据'!$E$486:$E$545),"")</f>
        <v/>
      </c>
      <c r="G545" s="16">
        <f>IF(True,STDEV('03_原始数据'!$E$486:$E$545),"")</f>
        <v/>
      </c>
    </row>
    <row r="546" ht="17" customHeight="1">
      <c r="A546" s="40">
        <f>'03_原始数据'!A546</f>
        <v/>
      </c>
      <c r="B546" s="21">
        <f>'03_原始数据'!B546</f>
        <v/>
      </c>
      <c r="C546" s="21">
        <f>'03_原始数据'!C546</f>
        <v/>
      </c>
      <c r="D546" s="21">
        <f>'03_原始数据'!E546</f>
        <v/>
      </c>
      <c r="E546" s="41">
        <f>_xlfn.PERCENTRANK.INC('03_原始数据'!$E$5:$E$873,'03_原始数据'!E546)</f>
        <v/>
      </c>
      <c r="F546" s="21">
        <f>IF(True,AVERAGE('03_原始数据'!$E$487:$E$546),"")</f>
        <v/>
      </c>
      <c r="G546" s="21">
        <f>IF(True,STDEV('03_原始数据'!$E$487:$E$546),"")</f>
        <v/>
      </c>
    </row>
    <row r="547" ht="17" customHeight="1">
      <c r="A547" s="38">
        <f>'03_原始数据'!A547</f>
        <v/>
      </c>
      <c r="B547" s="16">
        <f>'03_原始数据'!B547</f>
        <v/>
      </c>
      <c r="C547" s="16">
        <f>'03_原始数据'!C547</f>
        <v/>
      </c>
      <c r="D547" s="16">
        <f>'03_原始数据'!E547</f>
        <v/>
      </c>
      <c r="E547" s="39">
        <f>_xlfn.PERCENTRANK.INC('03_原始数据'!$E$5:$E$873,'03_原始数据'!E547)</f>
        <v/>
      </c>
      <c r="F547" s="16">
        <f>IF(True,AVERAGE('03_原始数据'!$E$488:$E$547),"")</f>
        <v/>
      </c>
      <c r="G547" s="16">
        <f>IF(True,STDEV('03_原始数据'!$E$488:$E$547),"")</f>
        <v/>
      </c>
    </row>
    <row r="548" ht="17" customHeight="1">
      <c r="A548" s="40">
        <f>'03_原始数据'!A548</f>
        <v/>
      </c>
      <c r="B548" s="21">
        <f>'03_原始数据'!B548</f>
        <v/>
      </c>
      <c r="C548" s="21">
        <f>'03_原始数据'!C548</f>
        <v/>
      </c>
      <c r="D548" s="21">
        <f>'03_原始数据'!E548</f>
        <v/>
      </c>
      <c r="E548" s="41">
        <f>_xlfn.PERCENTRANK.INC('03_原始数据'!$E$5:$E$873,'03_原始数据'!E548)</f>
        <v/>
      </c>
      <c r="F548" s="21">
        <f>IF(True,AVERAGE('03_原始数据'!$E$489:$E$548),"")</f>
        <v/>
      </c>
      <c r="G548" s="21">
        <f>IF(True,STDEV('03_原始数据'!$E$489:$E$548),"")</f>
        <v/>
      </c>
    </row>
    <row r="549" ht="17" customHeight="1">
      <c r="A549" s="38">
        <f>'03_原始数据'!A549</f>
        <v/>
      </c>
      <c r="B549" s="16">
        <f>'03_原始数据'!B549</f>
        <v/>
      </c>
      <c r="C549" s="16">
        <f>'03_原始数据'!C549</f>
        <v/>
      </c>
      <c r="D549" s="16">
        <f>'03_原始数据'!E549</f>
        <v/>
      </c>
      <c r="E549" s="39">
        <f>_xlfn.PERCENTRANK.INC('03_原始数据'!$E$5:$E$873,'03_原始数据'!E549)</f>
        <v/>
      </c>
      <c r="F549" s="16">
        <f>IF(True,AVERAGE('03_原始数据'!$E$490:$E$549),"")</f>
        <v/>
      </c>
      <c r="G549" s="16">
        <f>IF(True,STDEV('03_原始数据'!$E$490:$E$549),"")</f>
        <v/>
      </c>
    </row>
    <row r="550" ht="17" customHeight="1">
      <c r="A550" s="40">
        <f>'03_原始数据'!A550</f>
        <v/>
      </c>
      <c r="B550" s="21">
        <f>'03_原始数据'!B550</f>
        <v/>
      </c>
      <c r="C550" s="21">
        <f>'03_原始数据'!C550</f>
        <v/>
      </c>
      <c r="D550" s="21">
        <f>'03_原始数据'!E550</f>
        <v/>
      </c>
      <c r="E550" s="41">
        <f>_xlfn.PERCENTRANK.INC('03_原始数据'!$E$5:$E$873,'03_原始数据'!E550)</f>
        <v/>
      </c>
      <c r="F550" s="21">
        <f>IF(True,AVERAGE('03_原始数据'!$E$491:$E$550),"")</f>
        <v/>
      </c>
      <c r="G550" s="21">
        <f>IF(True,STDEV('03_原始数据'!$E$491:$E$550),"")</f>
        <v/>
      </c>
    </row>
    <row r="551" ht="17" customHeight="1">
      <c r="A551" s="38">
        <f>'03_原始数据'!A551</f>
        <v/>
      </c>
      <c r="B551" s="16">
        <f>'03_原始数据'!B551</f>
        <v/>
      </c>
      <c r="C551" s="16">
        <f>'03_原始数据'!C551</f>
        <v/>
      </c>
      <c r="D551" s="16">
        <f>'03_原始数据'!E551</f>
        <v/>
      </c>
      <c r="E551" s="39">
        <f>_xlfn.PERCENTRANK.INC('03_原始数据'!$E$5:$E$873,'03_原始数据'!E551)</f>
        <v/>
      </c>
      <c r="F551" s="16">
        <f>IF(True,AVERAGE('03_原始数据'!$E$492:$E$551),"")</f>
        <v/>
      </c>
      <c r="G551" s="16">
        <f>IF(True,STDEV('03_原始数据'!$E$492:$E$551),"")</f>
        <v/>
      </c>
    </row>
    <row r="552" ht="17" customHeight="1">
      <c r="A552" s="40">
        <f>'03_原始数据'!A552</f>
        <v/>
      </c>
      <c r="B552" s="21">
        <f>'03_原始数据'!B552</f>
        <v/>
      </c>
      <c r="C552" s="21">
        <f>'03_原始数据'!C552</f>
        <v/>
      </c>
      <c r="D552" s="21">
        <f>'03_原始数据'!E552</f>
        <v/>
      </c>
      <c r="E552" s="41">
        <f>_xlfn.PERCENTRANK.INC('03_原始数据'!$E$5:$E$873,'03_原始数据'!E552)</f>
        <v/>
      </c>
      <c r="F552" s="21">
        <f>IF(True,AVERAGE('03_原始数据'!$E$493:$E$552),"")</f>
        <v/>
      </c>
      <c r="G552" s="21">
        <f>IF(True,STDEV('03_原始数据'!$E$493:$E$552),"")</f>
        <v/>
      </c>
    </row>
    <row r="553" ht="17" customHeight="1">
      <c r="A553" s="38">
        <f>'03_原始数据'!A553</f>
        <v/>
      </c>
      <c r="B553" s="16">
        <f>'03_原始数据'!B553</f>
        <v/>
      </c>
      <c r="C553" s="16">
        <f>'03_原始数据'!C553</f>
        <v/>
      </c>
      <c r="D553" s="16">
        <f>'03_原始数据'!E553</f>
        <v/>
      </c>
      <c r="E553" s="39">
        <f>_xlfn.PERCENTRANK.INC('03_原始数据'!$E$5:$E$873,'03_原始数据'!E553)</f>
        <v/>
      </c>
      <c r="F553" s="16">
        <f>IF(True,AVERAGE('03_原始数据'!$E$494:$E$553),"")</f>
        <v/>
      </c>
      <c r="G553" s="16">
        <f>IF(True,STDEV('03_原始数据'!$E$494:$E$553),"")</f>
        <v/>
      </c>
    </row>
    <row r="554" ht="17" customHeight="1">
      <c r="A554" s="40">
        <f>'03_原始数据'!A554</f>
        <v/>
      </c>
      <c r="B554" s="21">
        <f>'03_原始数据'!B554</f>
        <v/>
      </c>
      <c r="C554" s="21">
        <f>'03_原始数据'!C554</f>
        <v/>
      </c>
      <c r="D554" s="21">
        <f>'03_原始数据'!E554</f>
        <v/>
      </c>
      <c r="E554" s="41">
        <f>_xlfn.PERCENTRANK.INC('03_原始数据'!$E$5:$E$873,'03_原始数据'!E554)</f>
        <v/>
      </c>
      <c r="F554" s="21">
        <f>IF(True,AVERAGE('03_原始数据'!$E$495:$E$554),"")</f>
        <v/>
      </c>
      <c r="G554" s="21">
        <f>IF(True,STDEV('03_原始数据'!$E$495:$E$554),"")</f>
        <v/>
      </c>
    </row>
    <row r="555" ht="17" customHeight="1">
      <c r="A555" s="38">
        <f>'03_原始数据'!A555</f>
        <v/>
      </c>
      <c r="B555" s="16">
        <f>'03_原始数据'!B555</f>
        <v/>
      </c>
      <c r="C555" s="16">
        <f>'03_原始数据'!C555</f>
        <v/>
      </c>
      <c r="D555" s="16">
        <f>'03_原始数据'!E555</f>
        <v/>
      </c>
      <c r="E555" s="39">
        <f>_xlfn.PERCENTRANK.INC('03_原始数据'!$E$5:$E$873,'03_原始数据'!E555)</f>
        <v/>
      </c>
      <c r="F555" s="16">
        <f>IF(True,AVERAGE('03_原始数据'!$E$496:$E$555),"")</f>
        <v/>
      </c>
      <c r="G555" s="16">
        <f>IF(True,STDEV('03_原始数据'!$E$496:$E$555),"")</f>
        <v/>
      </c>
    </row>
    <row r="556" ht="17" customHeight="1">
      <c r="A556" s="40">
        <f>'03_原始数据'!A556</f>
        <v/>
      </c>
      <c r="B556" s="21">
        <f>'03_原始数据'!B556</f>
        <v/>
      </c>
      <c r="C556" s="21">
        <f>'03_原始数据'!C556</f>
        <v/>
      </c>
      <c r="D556" s="21">
        <f>'03_原始数据'!E556</f>
        <v/>
      </c>
      <c r="E556" s="41">
        <f>_xlfn.PERCENTRANK.INC('03_原始数据'!$E$5:$E$873,'03_原始数据'!E556)</f>
        <v/>
      </c>
      <c r="F556" s="21">
        <f>IF(True,AVERAGE('03_原始数据'!$E$497:$E$556),"")</f>
        <v/>
      </c>
      <c r="G556" s="21">
        <f>IF(True,STDEV('03_原始数据'!$E$497:$E$556),"")</f>
        <v/>
      </c>
    </row>
    <row r="557" ht="17" customHeight="1">
      <c r="A557" s="38">
        <f>'03_原始数据'!A557</f>
        <v/>
      </c>
      <c r="B557" s="16">
        <f>'03_原始数据'!B557</f>
        <v/>
      </c>
      <c r="C557" s="16">
        <f>'03_原始数据'!C557</f>
        <v/>
      </c>
      <c r="D557" s="16">
        <f>'03_原始数据'!E557</f>
        <v/>
      </c>
      <c r="E557" s="39">
        <f>_xlfn.PERCENTRANK.INC('03_原始数据'!$E$5:$E$873,'03_原始数据'!E557)</f>
        <v/>
      </c>
      <c r="F557" s="16">
        <f>IF(True,AVERAGE('03_原始数据'!$E$498:$E$557),"")</f>
        <v/>
      </c>
      <c r="G557" s="16">
        <f>IF(True,STDEV('03_原始数据'!$E$498:$E$557),"")</f>
        <v/>
      </c>
    </row>
    <row r="558" ht="17" customHeight="1">
      <c r="A558" s="40">
        <f>'03_原始数据'!A558</f>
        <v/>
      </c>
      <c r="B558" s="21">
        <f>'03_原始数据'!B558</f>
        <v/>
      </c>
      <c r="C558" s="21">
        <f>'03_原始数据'!C558</f>
        <v/>
      </c>
      <c r="D558" s="21">
        <f>'03_原始数据'!E558</f>
        <v/>
      </c>
      <c r="E558" s="41">
        <f>_xlfn.PERCENTRANK.INC('03_原始数据'!$E$5:$E$873,'03_原始数据'!E558)</f>
        <v/>
      </c>
      <c r="F558" s="21">
        <f>IF(True,AVERAGE('03_原始数据'!$E$499:$E$558),"")</f>
        <v/>
      </c>
      <c r="G558" s="21">
        <f>IF(True,STDEV('03_原始数据'!$E$499:$E$558),"")</f>
        <v/>
      </c>
    </row>
    <row r="559" ht="17" customHeight="1">
      <c r="A559" s="38">
        <f>'03_原始数据'!A559</f>
        <v/>
      </c>
      <c r="B559" s="16">
        <f>'03_原始数据'!B559</f>
        <v/>
      </c>
      <c r="C559" s="16">
        <f>'03_原始数据'!C559</f>
        <v/>
      </c>
      <c r="D559" s="16">
        <f>'03_原始数据'!E559</f>
        <v/>
      </c>
      <c r="E559" s="39">
        <f>_xlfn.PERCENTRANK.INC('03_原始数据'!$E$5:$E$873,'03_原始数据'!E559)</f>
        <v/>
      </c>
      <c r="F559" s="16">
        <f>IF(True,AVERAGE('03_原始数据'!$E$500:$E$559),"")</f>
        <v/>
      </c>
      <c r="G559" s="16">
        <f>IF(True,STDEV('03_原始数据'!$E$500:$E$559),"")</f>
        <v/>
      </c>
    </row>
    <row r="560" ht="17" customHeight="1">
      <c r="A560" s="40">
        <f>'03_原始数据'!A560</f>
        <v/>
      </c>
      <c r="B560" s="21">
        <f>'03_原始数据'!B560</f>
        <v/>
      </c>
      <c r="C560" s="21">
        <f>'03_原始数据'!C560</f>
        <v/>
      </c>
      <c r="D560" s="21">
        <f>'03_原始数据'!E560</f>
        <v/>
      </c>
      <c r="E560" s="41">
        <f>_xlfn.PERCENTRANK.INC('03_原始数据'!$E$5:$E$873,'03_原始数据'!E560)</f>
        <v/>
      </c>
      <c r="F560" s="21">
        <f>IF(True,AVERAGE('03_原始数据'!$E$501:$E$560),"")</f>
        <v/>
      </c>
      <c r="G560" s="21">
        <f>IF(True,STDEV('03_原始数据'!$E$501:$E$560),"")</f>
        <v/>
      </c>
    </row>
    <row r="561" ht="17" customHeight="1">
      <c r="A561" s="38">
        <f>'03_原始数据'!A561</f>
        <v/>
      </c>
      <c r="B561" s="16">
        <f>'03_原始数据'!B561</f>
        <v/>
      </c>
      <c r="C561" s="16">
        <f>'03_原始数据'!C561</f>
        <v/>
      </c>
      <c r="D561" s="16">
        <f>'03_原始数据'!E561</f>
        <v/>
      </c>
      <c r="E561" s="39">
        <f>_xlfn.PERCENTRANK.INC('03_原始数据'!$E$5:$E$873,'03_原始数据'!E561)</f>
        <v/>
      </c>
      <c r="F561" s="16">
        <f>IF(True,AVERAGE('03_原始数据'!$E$502:$E$561),"")</f>
        <v/>
      </c>
      <c r="G561" s="16">
        <f>IF(True,STDEV('03_原始数据'!$E$502:$E$561),"")</f>
        <v/>
      </c>
    </row>
    <row r="562" ht="17" customHeight="1">
      <c r="A562" s="40">
        <f>'03_原始数据'!A562</f>
        <v/>
      </c>
      <c r="B562" s="21">
        <f>'03_原始数据'!B562</f>
        <v/>
      </c>
      <c r="C562" s="21">
        <f>'03_原始数据'!C562</f>
        <v/>
      </c>
      <c r="D562" s="21">
        <f>'03_原始数据'!E562</f>
        <v/>
      </c>
      <c r="E562" s="41">
        <f>_xlfn.PERCENTRANK.INC('03_原始数据'!$E$5:$E$873,'03_原始数据'!E562)</f>
        <v/>
      </c>
      <c r="F562" s="21">
        <f>IF(True,AVERAGE('03_原始数据'!$E$503:$E$562),"")</f>
        <v/>
      </c>
      <c r="G562" s="21">
        <f>IF(True,STDEV('03_原始数据'!$E$503:$E$562),"")</f>
        <v/>
      </c>
    </row>
    <row r="563" ht="17" customHeight="1">
      <c r="A563" s="38">
        <f>'03_原始数据'!A563</f>
        <v/>
      </c>
      <c r="B563" s="16">
        <f>'03_原始数据'!B563</f>
        <v/>
      </c>
      <c r="C563" s="16">
        <f>'03_原始数据'!C563</f>
        <v/>
      </c>
      <c r="D563" s="16">
        <f>'03_原始数据'!E563</f>
        <v/>
      </c>
      <c r="E563" s="39">
        <f>_xlfn.PERCENTRANK.INC('03_原始数据'!$E$5:$E$873,'03_原始数据'!E563)</f>
        <v/>
      </c>
      <c r="F563" s="16">
        <f>IF(True,AVERAGE('03_原始数据'!$E$504:$E$563),"")</f>
        <v/>
      </c>
      <c r="G563" s="16">
        <f>IF(True,STDEV('03_原始数据'!$E$504:$E$563),"")</f>
        <v/>
      </c>
    </row>
    <row r="564" ht="17" customHeight="1">
      <c r="A564" s="40">
        <f>'03_原始数据'!A564</f>
        <v/>
      </c>
      <c r="B564" s="21">
        <f>'03_原始数据'!B564</f>
        <v/>
      </c>
      <c r="C564" s="21">
        <f>'03_原始数据'!C564</f>
        <v/>
      </c>
      <c r="D564" s="21">
        <f>'03_原始数据'!E564</f>
        <v/>
      </c>
      <c r="E564" s="41">
        <f>_xlfn.PERCENTRANK.INC('03_原始数据'!$E$5:$E$873,'03_原始数据'!E564)</f>
        <v/>
      </c>
      <c r="F564" s="21">
        <f>IF(True,AVERAGE('03_原始数据'!$E$505:$E$564),"")</f>
        <v/>
      </c>
      <c r="G564" s="21">
        <f>IF(True,STDEV('03_原始数据'!$E$505:$E$564),"")</f>
        <v/>
      </c>
    </row>
    <row r="565" ht="17" customHeight="1">
      <c r="A565" s="38">
        <f>'03_原始数据'!A565</f>
        <v/>
      </c>
      <c r="B565" s="16">
        <f>'03_原始数据'!B565</f>
        <v/>
      </c>
      <c r="C565" s="16">
        <f>'03_原始数据'!C565</f>
        <v/>
      </c>
      <c r="D565" s="16">
        <f>'03_原始数据'!E565</f>
        <v/>
      </c>
      <c r="E565" s="39">
        <f>_xlfn.PERCENTRANK.INC('03_原始数据'!$E$5:$E$873,'03_原始数据'!E565)</f>
        <v/>
      </c>
      <c r="F565" s="16">
        <f>IF(True,AVERAGE('03_原始数据'!$E$506:$E$565),"")</f>
        <v/>
      </c>
      <c r="G565" s="16">
        <f>IF(True,STDEV('03_原始数据'!$E$506:$E$565),"")</f>
        <v/>
      </c>
    </row>
    <row r="566" ht="17" customHeight="1">
      <c r="A566" s="40">
        <f>'03_原始数据'!A566</f>
        <v/>
      </c>
      <c r="B566" s="21">
        <f>'03_原始数据'!B566</f>
        <v/>
      </c>
      <c r="C566" s="21">
        <f>'03_原始数据'!C566</f>
        <v/>
      </c>
      <c r="D566" s="21">
        <f>'03_原始数据'!E566</f>
        <v/>
      </c>
      <c r="E566" s="41">
        <f>_xlfn.PERCENTRANK.INC('03_原始数据'!$E$5:$E$873,'03_原始数据'!E566)</f>
        <v/>
      </c>
      <c r="F566" s="21">
        <f>IF(True,AVERAGE('03_原始数据'!$E$507:$E$566),"")</f>
        <v/>
      </c>
      <c r="G566" s="21">
        <f>IF(True,STDEV('03_原始数据'!$E$507:$E$566),"")</f>
        <v/>
      </c>
    </row>
    <row r="567" ht="17" customHeight="1">
      <c r="A567" s="38">
        <f>'03_原始数据'!A567</f>
        <v/>
      </c>
      <c r="B567" s="16">
        <f>'03_原始数据'!B567</f>
        <v/>
      </c>
      <c r="C567" s="16">
        <f>'03_原始数据'!C567</f>
        <v/>
      </c>
      <c r="D567" s="16">
        <f>'03_原始数据'!E567</f>
        <v/>
      </c>
      <c r="E567" s="39">
        <f>_xlfn.PERCENTRANK.INC('03_原始数据'!$E$5:$E$873,'03_原始数据'!E567)</f>
        <v/>
      </c>
      <c r="F567" s="16">
        <f>IF(True,AVERAGE('03_原始数据'!$E$508:$E$567),"")</f>
        <v/>
      </c>
      <c r="G567" s="16">
        <f>IF(True,STDEV('03_原始数据'!$E$508:$E$567),"")</f>
        <v/>
      </c>
    </row>
    <row r="568" ht="17" customHeight="1">
      <c r="A568" s="40">
        <f>'03_原始数据'!A568</f>
        <v/>
      </c>
      <c r="B568" s="21">
        <f>'03_原始数据'!B568</f>
        <v/>
      </c>
      <c r="C568" s="21">
        <f>'03_原始数据'!C568</f>
        <v/>
      </c>
      <c r="D568" s="21">
        <f>'03_原始数据'!E568</f>
        <v/>
      </c>
      <c r="E568" s="41">
        <f>_xlfn.PERCENTRANK.INC('03_原始数据'!$E$5:$E$873,'03_原始数据'!E568)</f>
        <v/>
      </c>
      <c r="F568" s="21">
        <f>IF(True,AVERAGE('03_原始数据'!$E$509:$E$568),"")</f>
        <v/>
      </c>
      <c r="G568" s="21">
        <f>IF(True,STDEV('03_原始数据'!$E$509:$E$568),"")</f>
        <v/>
      </c>
    </row>
    <row r="569" ht="17" customHeight="1">
      <c r="A569" s="38">
        <f>'03_原始数据'!A569</f>
        <v/>
      </c>
      <c r="B569" s="16">
        <f>'03_原始数据'!B569</f>
        <v/>
      </c>
      <c r="C569" s="16">
        <f>'03_原始数据'!C569</f>
        <v/>
      </c>
      <c r="D569" s="16">
        <f>'03_原始数据'!E569</f>
        <v/>
      </c>
      <c r="E569" s="39">
        <f>_xlfn.PERCENTRANK.INC('03_原始数据'!$E$5:$E$873,'03_原始数据'!E569)</f>
        <v/>
      </c>
      <c r="F569" s="16">
        <f>IF(True,AVERAGE('03_原始数据'!$E$510:$E$569),"")</f>
        <v/>
      </c>
      <c r="G569" s="16">
        <f>IF(True,STDEV('03_原始数据'!$E$510:$E$569),"")</f>
        <v/>
      </c>
    </row>
    <row r="570" ht="17" customHeight="1">
      <c r="A570" s="40">
        <f>'03_原始数据'!A570</f>
        <v/>
      </c>
      <c r="B570" s="21">
        <f>'03_原始数据'!B570</f>
        <v/>
      </c>
      <c r="C570" s="21">
        <f>'03_原始数据'!C570</f>
        <v/>
      </c>
      <c r="D570" s="21">
        <f>'03_原始数据'!E570</f>
        <v/>
      </c>
      <c r="E570" s="41">
        <f>_xlfn.PERCENTRANK.INC('03_原始数据'!$E$5:$E$873,'03_原始数据'!E570)</f>
        <v/>
      </c>
      <c r="F570" s="21">
        <f>IF(True,AVERAGE('03_原始数据'!$E$511:$E$570),"")</f>
        <v/>
      </c>
      <c r="G570" s="21">
        <f>IF(True,STDEV('03_原始数据'!$E$511:$E$570),"")</f>
        <v/>
      </c>
    </row>
    <row r="571" ht="17" customHeight="1">
      <c r="A571" s="38">
        <f>'03_原始数据'!A571</f>
        <v/>
      </c>
      <c r="B571" s="16">
        <f>'03_原始数据'!B571</f>
        <v/>
      </c>
      <c r="C571" s="16">
        <f>'03_原始数据'!C571</f>
        <v/>
      </c>
      <c r="D571" s="16">
        <f>'03_原始数据'!E571</f>
        <v/>
      </c>
      <c r="E571" s="39">
        <f>_xlfn.PERCENTRANK.INC('03_原始数据'!$E$5:$E$873,'03_原始数据'!E571)</f>
        <v/>
      </c>
      <c r="F571" s="16">
        <f>IF(True,AVERAGE('03_原始数据'!$E$512:$E$571),"")</f>
        <v/>
      </c>
      <c r="G571" s="16">
        <f>IF(True,STDEV('03_原始数据'!$E$512:$E$571),"")</f>
        <v/>
      </c>
    </row>
    <row r="572" ht="17" customHeight="1">
      <c r="A572" s="40">
        <f>'03_原始数据'!A572</f>
        <v/>
      </c>
      <c r="B572" s="21">
        <f>'03_原始数据'!B572</f>
        <v/>
      </c>
      <c r="C572" s="21">
        <f>'03_原始数据'!C572</f>
        <v/>
      </c>
      <c r="D572" s="21">
        <f>'03_原始数据'!E572</f>
        <v/>
      </c>
      <c r="E572" s="41">
        <f>_xlfn.PERCENTRANK.INC('03_原始数据'!$E$5:$E$873,'03_原始数据'!E572)</f>
        <v/>
      </c>
      <c r="F572" s="21">
        <f>IF(True,AVERAGE('03_原始数据'!$E$513:$E$572),"")</f>
        <v/>
      </c>
      <c r="G572" s="21">
        <f>IF(True,STDEV('03_原始数据'!$E$513:$E$572),"")</f>
        <v/>
      </c>
    </row>
    <row r="573" ht="17" customHeight="1">
      <c r="A573" s="38">
        <f>'03_原始数据'!A573</f>
        <v/>
      </c>
      <c r="B573" s="16">
        <f>'03_原始数据'!B573</f>
        <v/>
      </c>
      <c r="C573" s="16">
        <f>'03_原始数据'!C573</f>
        <v/>
      </c>
      <c r="D573" s="16">
        <f>'03_原始数据'!E573</f>
        <v/>
      </c>
      <c r="E573" s="39">
        <f>_xlfn.PERCENTRANK.INC('03_原始数据'!$E$5:$E$873,'03_原始数据'!E573)</f>
        <v/>
      </c>
      <c r="F573" s="16">
        <f>IF(True,AVERAGE('03_原始数据'!$E$514:$E$573),"")</f>
        <v/>
      </c>
      <c r="G573" s="16">
        <f>IF(True,STDEV('03_原始数据'!$E$514:$E$573),"")</f>
        <v/>
      </c>
    </row>
    <row r="574" ht="17" customHeight="1">
      <c r="A574" s="40">
        <f>'03_原始数据'!A574</f>
        <v/>
      </c>
      <c r="B574" s="21">
        <f>'03_原始数据'!B574</f>
        <v/>
      </c>
      <c r="C574" s="21">
        <f>'03_原始数据'!C574</f>
        <v/>
      </c>
      <c r="D574" s="21">
        <f>'03_原始数据'!E574</f>
        <v/>
      </c>
      <c r="E574" s="41">
        <f>_xlfn.PERCENTRANK.INC('03_原始数据'!$E$5:$E$873,'03_原始数据'!E574)</f>
        <v/>
      </c>
      <c r="F574" s="21">
        <f>IF(True,AVERAGE('03_原始数据'!$E$515:$E$574),"")</f>
        <v/>
      </c>
      <c r="G574" s="21">
        <f>IF(True,STDEV('03_原始数据'!$E$515:$E$574),"")</f>
        <v/>
      </c>
    </row>
    <row r="575" ht="17" customHeight="1">
      <c r="A575" s="38">
        <f>'03_原始数据'!A575</f>
        <v/>
      </c>
      <c r="B575" s="16">
        <f>'03_原始数据'!B575</f>
        <v/>
      </c>
      <c r="C575" s="16">
        <f>'03_原始数据'!C575</f>
        <v/>
      </c>
      <c r="D575" s="16">
        <f>'03_原始数据'!E575</f>
        <v/>
      </c>
      <c r="E575" s="39">
        <f>_xlfn.PERCENTRANK.INC('03_原始数据'!$E$5:$E$873,'03_原始数据'!E575)</f>
        <v/>
      </c>
      <c r="F575" s="16">
        <f>IF(True,AVERAGE('03_原始数据'!$E$516:$E$575),"")</f>
        <v/>
      </c>
      <c r="G575" s="16">
        <f>IF(True,STDEV('03_原始数据'!$E$516:$E$575),"")</f>
        <v/>
      </c>
    </row>
    <row r="576" ht="17" customHeight="1">
      <c r="A576" s="40">
        <f>'03_原始数据'!A576</f>
        <v/>
      </c>
      <c r="B576" s="21">
        <f>'03_原始数据'!B576</f>
        <v/>
      </c>
      <c r="C576" s="21">
        <f>'03_原始数据'!C576</f>
        <v/>
      </c>
      <c r="D576" s="21">
        <f>'03_原始数据'!E576</f>
        <v/>
      </c>
      <c r="E576" s="41">
        <f>_xlfn.PERCENTRANK.INC('03_原始数据'!$E$5:$E$873,'03_原始数据'!E576)</f>
        <v/>
      </c>
      <c r="F576" s="21">
        <f>IF(True,AVERAGE('03_原始数据'!$E$517:$E$576),"")</f>
        <v/>
      </c>
      <c r="G576" s="21">
        <f>IF(True,STDEV('03_原始数据'!$E$517:$E$576),"")</f>
        <v/>
      </c>
    </row>
    <row r="577" ht="17" customHeight="1">
      <c r="A577" s="38">
        <f>'03_原始数据'!A577</f>
        <v/>
      </c>
      <c r="B577" s="16">
        <f>'03_原始数据'!B577</f>
        <v/>
      </c>
      <c r="C577" s="16">
        <f>'03_原始数据'!C577</f>
        <v/>
      </c>
      <c r="D577" s="16">
        <f>'03_原始数据'!E577</f>
        <v/>
      </c>
      <c r="E577" s="39">
        <f>_xlfn.PERCENTRANK.INC('03_原始数据'!$E$5:$E$873,'03_原始数据'!E577)</f>
        <v/>
      </c>
      <c r="F577" s="16">
        <f>IF(True,AVERAGE('03_原始数据'!$E$518:$E$577),"")</f>
        <v/>
      </c>
      <c r="G577" s="16">
        <f>IF(True,STDEV('03_原始数据'!$E$518:$E$577),"")</f>
        <v/>
      </c>
    </row>
    <row r="578" ht="17" customHeight="1">
      <c r="A578" s="40">
        <f>'03_原始数据'!A578</f>
        <v/>
      </c>
      <c r="B578" s="21">
        <f>'03_原始数据'!B578</f>
        <v/>
      </c>
      <c r="C578" s="21">
        <f>'03_原始数据'!C578</f>
        <v/>
      </c>
      <c r="D578" s="21">
        <f>'03_原始数据'!E578</f>
        <v/>
      </c>
      <c r="E578" s="41">
        <f>_xlfn.PERCENTRANK.INC('03_原始数据'!$E$5:$E$873,'03_原始数据'!E578)</f>
        <v/>
      </c>
      <c r="F578" s="21">
        <f>IF(True,AVERAGE('03_原始数据'!$E$519:$E$578),"")</f>
        <v/>
      </c>
      <c r="G578" s="21">
        <f>IF(True,STDEV('03_原始数据'!$E$519:$E$578),"")</f>
        <v/>
      </c>
    </row>
    <row r="579" ht="17" customHeight="1">
      <c r="A579" s="38">
        <f>'03_原始数据'!A579</f>
        <v/>
      </c>
      <c r="B579" s="16">
        <f>'03_原始数据'!B579</f>
        <v/>
      </c>
      <c r="C579" s="16">
        <f>'03_原始数据'!C579</f>
        <v/>
      </c>
      <c r="D579" s="16">
        <f>'03_原始数据'!E579</f>
        <v/>
      </c>
      <c r="E579" s="39">
        <f>_xlfn.PERCENTRANK.INC('03_原始数据'!$E$5:$E$873,'03_原始数据'!E579)</f>
        <v/>
      </c>
      <c r="F579" s="16">
        <f>IF(True,AVERAGE('03_原始数据'!$E$520:$E$579),"")</f>
        <v/>
      </c>
      <c r="G579" s="16">
        <f>IF(True,STDEV('03_原始数据'!$E$520:$E$579),"")</f>
        <v/>
      </c>
    </row>
    <row r="580" ht="17" customHeight="1">
      <c r="A580" s="40">
        <f>'03_原始数据'!A580</f>
        <v/>
      </c>
      <c r="B580" s="21">
        <f>'03_原始数据'!B580</f>
        <v/>
      </c>
      <c r="C580" s="21">
        <f>'03_原始数据'!C580</f>
        <v/>
      </c>
      <c r="D580" s="21">
        <f>'03_原始数据'!E580</f>
        <v/>
      </c>
      <c r="E580" s="41">
        <f>_xlfn.PERCENTRANK.INC('03_原始数据'!$E$5:$E$873,'03_原始数据'!E580)</f>
        <v/>
      </c>
      <c r="F580" s="21">
        <f>IF(True,AVERAGE('03_原始数据'!$E$521:$E$580),"")</f>
        <v/>
      </c>
      <c r="G580" s="21">
        <f>IF(True,STDEV('03_原始数据'!$E$521:$E$580),"")</f>
        <v/>
      </c>
    </row>
    <row r="581" ht="17" customHeight="1">
      <c r="A581" s="38">
        <f>'03_原始数据'!A581</f>
        <v/>
      </c>
      <c r="B581" s="16">
        <f>'03_原始数据'!B581</f>
        <v/>
      </c>
      <c r="C581" s="16">
        <f>'03_原始数据'!C581</f>
        <v/>
      </c>
      <c r="D581" s="16">
        <f>'03_原始数据'!E581</f>
        <v/>
      </c>
      <c r="E581" s="39">
        <f>_xlfn.PERCENTRANK.INC('03_原始数据'!$E$5:$E$873,'03_原始数据'!E581)</f>
        <v/>
      </c>
      <c r="F581" s="16">
        <f>IF(True,AVERAGE('03_原始数据'!$E$522:$E$581),"")</f>
        <v/>
      </c>
      <c r="G581" s="16">
        <f>IF(True,STDEV('03_原始数据'!$E$522:$E$581),"")</f>
        <v/>
      </c>
    </row>
    <row r="582" ht="17" customHeight="1">
      <c r="A582" s="40">
        <f>'03_原始数据'!A582</f>
        <v/>
      </c>
      <c r="B582" s="21">
        <f>'03_原始数据'!B582</f>
        <v/>
      </c>
      <c r="C582" s="21">
        <f>'03_原始数据'!C582</f>
        <v/>
      </c>
      <c r="D582" s="21">
        <f>'03_原始数据'!E582</f>
        <v/>
      </c>
      <c r="E582" s="41">
        <f>_xlfn.PERCENTRANK.INC('03_原始数据'!$E$5:$E$873,'03_原始数据'!E582)</f>
        <v/>
      </c>
      <c r="F582" s="21">
        <f>IF(True,AVERAGE('03_原始数据'!$E$523:$E$582),"")</f>
        <v/>
      </c>
      <c r="G582" s="21">
        <f>IF(True,STDEV('03_原始数据'!$E$523:$E$582),"")</f>
        <v/>
      </c>
    </row>
    <row r="583" ht="17" customHeight="1">
      <c r="A583" s="38">
        <f>'03_原始数据'!A583</f>
        <v/>
      </c>
      <c r="B583" s="16">
        <f>'03_原始数据'!B583</f>
        <v/>
      </c>
      <c r="C583" s="16">
        <f>'03_原始数据'!C583</f>
        <v/>
      </c>
      <c r="D583" s="16">
        <f>'03_原始数据'!E583</f>
        <v/>
      </c>
      <c r="E583" s="39">
        <f>_xlfn.PERCENTRANK.INC('03_原始数据'!$E$5:$E$873,'03_原始数据'!E583)</f>
        <v/>
      </c>
      <c r="F583" s="16">
        <f>IF(True,AVERAGE('03_原始数据'!$E$524:$E$583),"")</f>
        <v/>
      </c>
      <c r="G583" s="16">
        <f>IF(True,STDEV('03_原始数据'!$E$524:$E$583),"")</f>
        <v/>
      </c>
    </row>
    <row r="584" ht="17" customHeight="1">
      <c r="A584" s="40">
        <f>'03_原始数据'!A584</f>
        <v/>
      </c>
      <c r="B584" s="21">
        <f>'03_原始数据'!B584</f>
        <v/>
      </c>
      <c r="C584" s="21">
        <f>'03_原始数据'!C584</f>
        <v/>
      </c>
      <c r="D584" s="21">
        <f>'03_原始数据'!E584</f>
        <v/>
      </c>
      <c r="E584" s="41">
        <f>_xlfn.PERCENTRANK.INC('03_原始数据'!$E$5:$E$873,'03_原始数据'!E584)</f>
        <v/>
      </c>
      <c r="F584" s="21">
        <f>IF(True,AVERAGE('03_原始数据'!$E$525:$E$584),"")</f>
        <v/>
      </c>
      <c r="G584" s="21">
        <f>IF(True,STDEV('03_原始数据'!$E$525:$E$584),"")</f>
        <v/>
      </c>
    </row>
    <row r="585" ht="17" customHeight="1">
      <c r="A585" s="38">
        <f>'03_原始数据'!A585</f>
        <v/>
      </c>
      <c r="B585" s="16">
        <f>'03_原始数据'!B585</f>
        <v/>
      </c>
      <c r="C585" s="16">
        <f>'03_原始数据'!C585</f>
        <v/>
      </c>
      <c r="D585" s="16">
        <f>'03_原始数据'!E585</f>
        <v/>
      </c>
      <c r="E585" s="39">
        <f>_xlfn.PERCENTRANK.INC('03_原始数据'!$E$5:$E$873,'03_原始数据'!E585)</f>
        <v/>
      </c>
      <c r="F585" s="16">
        <f>IF(True,AVERAGE('03_原始数据'!$E$526:$E$585),"")</f>
        <v/>
      </c>
      <c r="G585" s="16">
        <f>IF(True,STDEV('03_原始数据'!$E$526:$E$585),"")</f>
        <v/>
      </c>
    </row>
    <row r="586" ht="17" customHeight="1">
      <c r="A586" s="40">
        <f>'03_原始数据'!A586</f>
        <v/>
      </c>
      <c r="B586" s="21">
        <f>'03_原始数据'!B586</f>
        <v/>
      </c>
      <c r="C586" s="21">
        <f>'03_原始数据'!C586</f>
        <v/>
      </c>
      <c r="D586" s="21">
        <f>'03_原始数据'!E586</f>
        <v/>
      </c>
      <c r="E586" s="41">
        <f>_xlfn.PERCENTRANK.INC('03_原始数据'!$E$5:$E$873,'03_原始数据'!E586)</f>
        <v/>
      </c>
      <c r="F586" s="21">
        <f>IF(True,AVERAGE('03_原始数据'!$E$527:$E$586),"")</f>
        <v/>
      </c>
      <c r="G586" s="21">
        <f>IF(True,STDEV('03_原始数据'!$E$527:$E$586),"")</f>
        <v/>
      </c>
    </row>
    <row r="587" ht="17" customHeight="1">
      <c r="A587" s="38">
        <f>'03_原始数据'!A587</f>
        <v/>
      </c>
      <c r="B587" s="16">
        <f>'03_原始数据'!B587</f>
        <v/>
      </c>
      <c r="C587" s="16">
        <f>'03_原始数据'!C587</f>
        <v/>
      </c>
      <c r="D587" s="16">
        <f>'03_原始数据'!E587</f>
        <v/>
      </c>
      <c r="E587" s="39">
        <f>_xlfn.PERCENTRANK.INC('03_原始数据'!$E$5:$E$873,'03_原始数据'!E587)</f>
        <v/>
      </c>
      <c r="F587" s="16">
        <f>IF(True,AVERAGE('03_原始数据'!$E$528:$E$587),"")</f>
        <v/>
      </c>
      <c r="G587" s="16">
        <f>IF(True,STDEV('03_原始数据'!$E$528:$E$587),"")</f>
        <v/>
      </c>
    </row>
    <row r="588" ht="17" customHeight="1">
      <c r="A588" s="40">
        <f>'03_原始数据'!A588</f>
        <v/>
      </c>
      <c r="B588" s="21">
        <f>'03_原始数据'!B588</f>
        <v/>
      </c>
      <c r="C588" s="21">
        <f>'03_原始数据'!C588</f>
        <v/>
      </c>
      <c r="D588" s="21">
        <f>'03_原始数据'!E588</f>
        <v/>
      </c>
      <c r="E588" s="41">
        <f>_xlfn.PERCENTRANK.INC('03_原始数据'!$E$5:$E$873,'03_原始数据'!E588)</f>
        <v/>
      </c>
      <c r="F588" s="21">
        <f>IF(True,AVERAGE('03_原始数据'!$E$529:$E$588),"")</f>
        <v/>
      </c>
      <c r="G588" s="21">
        <f>IF(True,STDEV('03_原始数据'!$E$529:$E$588),"")</f>
        <v/>
      </c>
    </row>
    <row r="589" ht="17" customHeight="1">
      <c r="A589" s="38">
        <f>'03_原始数据'!A589</f>
        <v/>
      </c>
      <c r="B589" s="16">
        <f>'03_原始数据'!B589</f>
        <v/>
      </c>
      <c r="C589" s="16">
        <f>'03_原始数据'!C589</f>
        <v/>
      </c>
      <c r="D589" s="16">
        <f>'03_原始数据'!E589</f>
        <v/>
      </c>
      <c r="E589" s="39">
        <f>_xlfn.PERCENTRANK.INC('03_原始数据'!$E$5:$E$873,'03_原始数据'!E589)</f>
        <v/>
      </c>
      <c r="F589" s="16">
        <f>IF(True,AVERAGE('03_原始数据'!$E$530:$E$589),"")</f>
        <v/>
      </c>
      <c r="G589" s="16">
        <f>IF(True,STDEV('03_原始数据'!$E$530:$E$589),"")</f>
        <v/>
      </c>
    </row>
    <row r="590" ht="17" customHeight="1">
      <c r="A590" s="40">
        <f>'03_原始数据'!A590</f>
        <v/>
      </c>
      <c r="B590" s="21">
        <f>'03_原始数据'!B590</f>
        <v/>
      </c>
      <c r="C590" s="21">
        <f>'03_原始数据'!C590</f>
        <v/>
      </c>
      <c r="D590" s="21">
        <f>'03_原始数据'!E590</f>
        <v/>
      </c>
      <c r="E590" s="41">
        <f>_xlfn.PERCENTRANK.INC('03_原始数据'!$E$5:$E$873,'03_原始数据'!E590)</f>
        <v/>
      </c>
      <c r="F590" s="21">
        <f>IF(True,AVERAGE('03_原始数据'!$E$531:$E$590),"")</f>
        <v/>
      </c>
      <c r="G590" s="21">
        <f>IF(True,STDEV('03_原始数据'!$E$531:$E$590),"")</f>
        <v/>
      </c>
    </row>
    <row r="591" ht="17" customHeight="1">
      <c r="A591" s="38">
        <f>'03_原始数据'!A591</f>
        <v/>
      </c>
      <c r="B591" s="16">
        <f>'03_原始数据'!B591</f>
        <v/>
      </c>
      <c r="C591" s="16">
        <f>'03_原始数据'!C591</f>
        <v/>
      </c>
      <c r="D591" s="16">
        <f>'03_原始数据'!E591</f>
        <v/>
      </c>
      <c r="E591" s="39">
        <f>_xlfn.PERCENTRANK.INC('03_原始数据'!$E$5:$E$873,'03_原始数据'!E591)</f>
        <v/>
      </c>
      <c r="F591" s="16">
        <f>IF(True,AVERAGE('03_原始数据'!$E$532:$E$591),"")</f>
        <v/>
      </c>
      <c r="G591" s="16">
        <f>IF(True,STDEV('03_原始数据'!$E$532:$E$591),"")</f>
        <v/>
      </c>
    </row>
    <row r="592" ht="17" customHeight="1">
      <c r="A592" s="40">
        <f>'03_原始数据'!A592</f>
        <v/>
      </c>
      <c r="B592" s="21">
        <f>'03_原始数据'!B592</f>
        <v/>
      </c>
      <c r="C592" s="21">
        <f>'03_原始数据'!C592</f>
        <v/>
      </c>
      <c r="D592" s="21">
        <f>'03_原始数据'!E592</f>
        <v/>
      </c>
      <c r="E592" s="41">
        <f>_xlfn.PERCENTRANK.INC('03_原始数据'!$E$5:$E$873,'03_原始数据'!E592)</f>
        <v/>
      </c>
      <c r="F592" s="21">
        <f>IF(True,AVERAGE('03_原始数据'!$E$533:$E$592),"")</f>
        <v/>
      </c>
      <c r="G592" s="21">
        <f>IF(True,STDEV('03_原始数据'!$E$533:$E$592),"")</f>
        <v/>
      </c>
    </row>
    <row r="593" ht="17" customHeight="1">
      <c r="A593" s="38">
        <f>'03_原始数据'!A593</f>
        <v/>
      </c>
      <c r="B593" s="16">
        <f>'03_原始数据'!B593</f>
        <v/>
      </c>
      <c r="C593" s="16">
        <f>'03_原始数据'!C593</f>
        <v/>
      </c>
      <c r="D593" s="16">
        <f>'03_原始数据'!E593</f>
        <v/>
      </c>
      <c r="E593" s="39">
        <f>_xlfn.PERCENTRANK.INC('03_原始数据'!$E$5:$E$873,'03_原始数据'!E593)</f>
        <v/>
      </c>
      <c r="F593" s="16">
        <f>IF(True,AVERAGE('03_原始数据'!$E$534:$E$593),"")</f>
        <v/>
      </c>
      <c r="G593" s="16">
        <f>IF(True,STDEV('03_原始数据'!$E$534:$E$593),"")</f>
        <v/>
      </c>
    </row>
    <row r="594" ht="17" customHeight="1">
      <c r="A594" s="40">
        <f>'03_原始数据'!A594</f>
        <v/>
      </c>
      <c r="B594" s="21">
        <f>'03_原始数据'!B594</f>
        <v/>
      </c>
      <c r="C594" s="21">
        <f>'03_原始数据'!C594</f>
        <v/>
      </c>
      <c r="D594" s="21">
        <f>'03_原始数据'!E594</f>
        <v/>
      </c>
      <c r="E594" s="41">
        <f>_xlfn.PERCENTRANK.INC('03_原始数据'!$E$5:$E$873,'03_原始数据'!E594)</f>
        <v/>
      </c>
      <c r="F594" s="21">
        <f>IF(True,AVERAGE('03_原始数据'!$E$535:$E$594),"")</f>
        <v/>
      </c>
      <c r="G594" s="21">
        <f>IF(True,STDEV('03_原始数据'!$E$535:$E$594),"")</f>
        <v/>
      </c>
    </row>
    <row r="595" ht="17" customHeight="1">
      <c r="A595" s="38">
        <f>'03_原始数据'!A595</f>
        <v/>
      </c>
      <c r="B595" s="16">
        <f>'03_原始数据'!B595</f>
        <v/>
      </c>
      <c r="C595" s="16">
        <f>'03_原始数据'!C595</f>
        <v/>
      </c>
      <c r="D595" s="16">
        <f>'03_原始数据'!E595</f>
        <v/>
      </c>
      <c r="E595" s="39">
        <f>_xlfn.PERCENTRANK.INC('03_原始数据'!$E$5:$E$873,'03_原始数据'!E595)</f>
        <v/>
      </c>
      <c r="F595" s="16">
        <f>IF(True,AVERAGE('03_原始数据'!$E$536:$E$595),"")</f>
        <v/>
      </c>
      <c r="G595" s="16">
        <f>IF(True,STDEV('03_原始数据'!$E$536:$E$595),"")</f>
        <v/>
      </c>
    </row>
    <row r="596" ht="17" customHeight="1">
      <c r="A596" s="40">
        <f>'03_原始数据'!A596</f>
        <v/>
      </c>
      <c r="B596" s="21">
        <f>'03_原始数据'!B596</f>
        <v/>
      </c>
      <c r="C596" s="21">
        <f>'03_原始数据'!C596</f>
        <v/>
      </c>
      <c r="D596" s="21">
        <f>'03_原始数据'!E596</f>
        <v/>
      </c>
      <c r="E596" s="41">
        <f>_xlfn.PERCENTRANK.INC('03_原始数据'!$E$5:$E$873,'03_原始数据'!E596)</f>
        <v/>
      </c>
      <c r="F596" s="21">
        <f>IF(True,AVERAGE('03_原始数据'!$E$537:$E$596),"")</f>
        <v/>
      </c>
      <c r="G596" s="21">
        <f>IF(True,STDEV('03_原始数据'!$E$537:$E$596),"")</f>
        <v/>
      </c>
    </row>
    <row r="597" ht="17" customHeight="1">
      <c r="A597" s="38">
        <f>'03_原始数据'!A597</f>
        <v/>
      </c>
      <c r="B597" s="16">
        <f>'03_原始数据'!B597</f>
        <v/>
      </c>
      <c r="C597" s="16">
        <f>'03_原始数据'!C597</f>
        <v/>
      </c>
      <c r="D597" s="16">
        <f>'03_原始数据'!E597</f>
        <v/>
      </c>
      <c r="E597" s="39">
        <f>_xlfn.PERCENTRANK.INC('03_原始数据'!$E$5:$E$873,'03_原始数据'!E597)</f>
        <v/>
      </c>
      <c r="F597" s="16">
        <f>IF(True,AVERAGE('03_原始数据'!$E$538:$E$597),"")</f>
        <v/>
      </c>
      <c r="G597" s="16">
        <f>IF(True,STDEV('03_原始数据'!$E$538:$E$597),"")</f>
        <v/>
      </c>
    </row>
    <row r="598" ht="17" customHeight="1">
      <c r="A598" s="40">
        <f>'03_原始数据'!A598</f>
        <v/>
      </c>
      <c r="B598" s="21">
        <f>'03_原始数据'!B598</f>
        <v/>
      </c>
      <c r="C598" s="21">
        <f>'03_原始数据'!C598</f>
        <v/>
      </c>
      <c r="D598" s="21">
        <f>'03_原始数据'!E598</f>
        <v/>
      </c>
      <c r="E598" s="41">
        <f>_xlfn.PERCENTRANK.INC('03_原始数据'!$E$5:$E$873,'03_原始数据'!E598)</f>
        <v/>
      </c>
      <c r="F598" s="21">
        <f>IF(True,AVERAGE('03_原始数据'!$E$539:$E$598),"")</f>
        <v/>
      </c>
      <c r="G598" s="21">
        <f>IF(True,STDEV('03_原始数据'!$E$539:$E$598),"")</f>
        <v/>
      </c>
    </row>
    <row r="599" ht="17" customHeight="1">
      <c r="A599" s="38">
        <f>'03_原始数据'!A599</f>
        <v/>
      </c>
      <c r="B599" s="16">
        <f>'03_原始数据'!B599</f>
        <v/>
      </c>
      <c r="C599" s="16">
        <f>'03_原始数据'!C599</f>
        <v/>
      </c>
      <c r="D599" s="16">
        <f>'03_原始数据'!E599</f>
        <v/>
      </c>
      <c r="E599" s="39">
        <f>_xlfn.PERCENTRANK.INC('03_原始数据'!$E$5:$E$873,'03_原始数据'!E599)</f>
        <v/>
      </c>
      <c r="F599" s="16">
        <f>IF(True,AVERAGE('03_原始数据'!$E$540:$E$599),"")</f>
        <v/>
      </c>
      <c r="G599" s="16">
        <f>IF(True,STDEV('03_原始数据'!$E$540:$E$599),"")</f>
        <v/>
      </c>
    </row>
    <row r="600" ht="17" customHeight="1">
      <c r="A600" s="40">
        <f>'03_原始数据'!A600</f>
        <v/>
      </c>
      <c r="B600" s="21">
        <f>'03_原始数据'!B600</f>
        <v/>
      </c>
      <c r="C600" s="21">
        <f>'03_原始数据'!C600</f>
        <v/>
      </c>
      <c r="D600" s="21">
        <f>'03_原始数据'!E600</f>
        <v/>
      </c>
      <c r="E600" s="41">
        <f>_xlfn.PERCENTRANK.INC('03_原始数据'!$E$5:$E$873,'03_原始数据'!E600)</f>
        <v/>
      </c>
      <c r="F600" s="21">
        <f>IF(True,AVERAGE('03_原始数据'!$E$541:$E$600),"")</f>
        <v/>
      </c>
      <c r="G600" s="21">
        <f>IF(True,STDEV('03_原始数据'!$E$541:$E$600),"")</f>
        <v/>
      </c>
    </row>
    <row r="601" ht="17" customHeight="1">
      <c r="A601" s="38">
        <f>'03_原始数据'!A601</f>
        <v/>
      </c>
      <c r="B601" s="16">
        <f>'03_原始数据'!B601</f>
        <v/>
      </c>
      <c r="C601" s="16">
        <f>'03_原始数据'!C601</f>
        <v/>
      </c>
      <c r="D601" s="16">
        <f>'03_原始数据'!E601</f>
        <v/>
      </c>
      <c r="E601" s="39">
        <f>_xlfn.PERCENTRANK.INC('03_原始数据'!$E$5:$E$873,'03_原始数据'!E601)</f>
        <v/>
      </c>
      <c r="F601" s="16">
        <f>IF(True,AVERAGE('03_原始数据'!$E$542:$E$601),"")</f>
        <v/>
      </c>
      <c r="G601" s="16">
        <f>IF(True,STDEV('03_原始数据'!$E$542:$E$601),"")</f>
        <v/>
      </c>
    </row>
    <row r="602" ht="17" customHeight="1">
      <c r="A602" s="40">
        <f>'03_原始数据'!A602</f>
        <v/>
      </c>
      <c r="B602" s="21">
        <f>'03_原始数据'!B602</f>
        <v/>
      </c>
      <c r="C602" s="21">
        <f>'03_原始数据'!C602</f>
        <v/>
      </c>
      <c r="D602" s="21">
        <f>'03_原始数据'!E602</f>
        <v/>
      </c>
      <c r="E602" s="41">
        <f>_xlfn.PERCENTRANK.INC('03_原始数据'!$E$5:$E$873,'03_原始数据'!E602)</f>
        <v/>
      </c>
      <c r="F602" s="21">
        <f>IF(True,AVERAGE('03_原始数据'!$E$543:$E$602),"")</f>
        <v/>
      </c>
      <c r="G602" s="21">
        <f>IF(True,STDEV('03_原始数据'!$E$543:$E$602),"")</f>
        <v/>
      </c>
    </row>
    <row r="603" ht="17" customHeight="1">
      <c r="A603" s="38">
        <f>'03_原始数据'!A603</f>
        <v/>
      </c>
      <c r="B603" s="16">
        <f>'03_原始数据'!B603</f>
        <v/>
      </c>
      <c r="C603" s="16">
        <f>'03_原始数据'!C603</f>
        <v/>
      </c>
      <c r="D603" s="16">
        <f>'03_原始数据'!E603</f>
        <v/>
      </c>
      <c r="E603" s="39">
        <f>_xlfn.PERCENTRANK.INC('03_原始数据'!$E$5:$E$873,'03_原始数据'!E603)</f>
        <v/>
      </c>
      <c r="F603" s="16">
        <f>IF(True,AVERAGE('03_原始数据'!$E$544:$E$603),"")</f>
        <v/>
      </c>
      <c r="G603" s="16">
        <f>IF(True,STDEV('03_原始数据'!$E$544:$E$603),"")</f>
        <v/>
      </c>
    </row>
    <row r="604" ht="17" customHeight="1">
      <c r="A604" s="40">
        <f>'03_原始数据'!A604</f>
        <v/>
      </c>
      <c r="B604" s="21">
        <f>'03_原始数据'!B604</f>
        <v/>
      </c>
      <c r="C604" s="21">
        <f>'03_原始数据'!C604</f>
        <v/>
      </c>
      <c r="D604" s="21">
        <f>'03_原始数据'!E604</f>
        <v/>
      </c>
      <c r="E604" s="41">
        <f>_xlfn.PERCENTRANK.INC('03_原始数据'!$E$5:$E$873,'03_原始数据'!E604)</f>
        <v/>
      </c>
      <c r="F604" s="21">
        <f>IF(True,AVERAGE('03_原始数据'!$E$545:$E$604),"")</f>
        <v/>
      </c>
      <c r="G604" s="21">
        <f>IF(True,STDEV('03_原始数据'!$E$545:$E$604),"")</f>
        <v/>
      </c>
    </row>
    <row r="605" ht="17" customHeight="1">
      <c r="A605" s="38">
        <f>'03_原始数据'!A605</f>
        <v/>
      </c>
      <c r="B605" s="16">
        <f>'03_原始数据'!B605</f>
        <v/>
      </c>
      <c r="C605" s="16">
        <f>'03_原始数据'!C605</f>
        <v/>
      </c>
      <c r="D605" s="16">
        <f>'03_原始数据'!E605</f>
        <v/>
      </c>
      <c r="E605" s="39">
        <f>_xlfn.PERCENTRANK.INC('03_原始数据'!$E$5:$E$873,'03_原始数据'!E605)</f>
        <v/>
      </c>
      <c r="F605" s="16">
        <f>IF(True,AVERAGE('03_原始数据'!$E$546:$E$605),"")</f>
        <v/>
      </c>
      <c r="G605" s="16">
        <f>IF(True,STDEV('03_原始数据'!$E$546:$E$605),"")</f>
        <v/>
      </c>
    </row>
    <row r="606" ht="17" customHeight="1">
      <c r="A606" s="40">
        <f>'03_原始数据'!A606</f>
        <v/>
      </c>
      <c r="B606" s="21">
        <f>'03_原始数据'!B606</f>
        <v/>
      </c>
      <c r="C606" s="21">
        <f>'03_原始数据'!C606</f>
        <v/>
      </c>
      <c r="D606" s="21">
        <f>'03_原始数据'!E606</f>
        <v/>
      </c>
      <c r="E606" s="41">
        <f>_xlfn.PERCENTRANK.INC('03_原始数据'!$E$5:$E$873,'03_原始数据'!E606)</f>
        <v/>
      </c>
      <c r="F606" s="21">
        <f>IF(True,AVERAGE('03_原始数据'!$E$547:$E$606),"")</f>
        <v/>
      </c>
      <c r="G606" s="21">
        <f>IF(True,STDEV('03_原始数据'!$E$547:$E$606),"")</f>
        <v/>
      </c>
    </row>
    <row r="607" ht="17" customHeight="1">
      <c r="A607" s="38">
        <f>'03_原始数据'!A607</f>
        <v/>
      </c>
      <c r="B607" s="16">
        <f>'03_原始数据'!B607</f>
        <v/>
      </c>
      <c r="C607" s="16">
        <f>'03_原始数据'!C607</f>
        <v/>
      </c>
      <c r="D607" s="16">
        <f>'03_原始数据'!E607</f>
        <v/>
      </c>
      <c r="E607" s="39">
        <f>_xlfn.PERCENTRANK.INC('03_原始数据'!$E$5:$E$873,'03_原始数据'!E607)</f>
        <v/>
      </c>
      <c r="F607" s="16">
        <f>IF(True,AVERAGE('03_原始数据'!$E$548:$E$607),"")</f>
        <v/>
      </c>
      <c r="G607" s="16">
        <f>IF(True,STDEV('03_原始数据'!$E$548:$E$607),"")</f>
        <v/>
      </c>
    </row>
    <row r="608" ht="17" customHeight="1">
      <c r="A608" s="40">
        <f>'03_原始数据'!A608</f>
        <v/>
      </c>
      <c r="B608" s="21">
        <f>'03_原始数据'!B608</f>
        <v/>
      </c>
      <c r="C608" s="21">
        <f>'03_原始数据'!C608</f>
        <v/>
      </c>
      <c r="D608" s="21">
        <f>'03_原始数据'!E608</f>
        <v/>
      </c>
      <c r="E608" s="41">
        <f>_xlfn.PERCENTRANK.INC('03_原始数据'!$E$5:$E$873,'03_原始数据'!E608)</f>
        <v/>
      </c>
      <c r="F608" s="21">
        <f>IF(True,AVERAGE('03_原始数据'!$E$549:$E$608),"")</f>
        <v/>
      </c>
      <c r="G608" s="21">
        <f>IF(True,STDEV('03_原始数据'!$E$549:$E$608),"")</f>
        <v/>
      </c>
    </row>
    <row r="609" ht="17" customHeight="1">
      <c r="A609" s="38">
        <f>'03_原始数据'!A609</f>
        <v/>
      </c>
      <c r="B609" s="16">
        <f>'03_原始数据'!B609</f>
        <v/>
      </c>
      <c r="C609" s="16">
        <f>'03_原始数据'!C609</f>
        <v/>
      </c>
      <c r="D609" s="16">
        <f>'03_原始数据'!E609</f>
        <v/>
      </c>
      <c r="E609" s="39">
        <f>_xlfn.PERCENTRANK.INC('03_原始数据'!$E$5:$E$873,'03_原始数据'!E609)</f>
        <v/>
      </c>
      <c r="F609" s="16">
        <f>IF(True,AVERAGE('03_原始数据'!$E$550:$E$609),"")</f>
        <v/>
      </c>
      <c r="G609" s="16">
        <f>IF(True,STDEV('03_原始数据'!$E$550:$E$609),"")</f>
        <v/>
      </c>
    </row>
    <row r="610" ht="17" customHeight="1">
      <c r="A610" s="40">
        <f>'03_原始数据'!A610</f>
        <v/>
      </c>
      <c r="B610" s="21">
        <f>'03_原始数据'!B610</f>
        <v/>
      </c>
      <c r="C610" s="21">
        <f>'03_原始数据'!C610</f>
        <v/>
      </c>
      <c r="D610" s="21">
        <f>'03_原始数据'!E610</f>
        <v/>
      </c>
      <c r="E610" s="41">
        <f>_xlfn.PERCENTRANK.INC('03_原始数据'!$E$5:$E$873,'03_原始数据'!E610)</f>
        <v/>
      </c>
      <c r="F610" s="21">
        <f>IF(True,AVERAGE('03_原始数据'!$E$551:$E$610),"")</f>
        <v/>
      </c>
      <c r="G610" s="21">
        <f>IF(True,STDEV('03_原始数据'!$E$551:$E$610),"")</f>
        <v/>
      </c>
    </row>
    <row r="611" ht="17" customHeight="1">
      <c r="A611" s="38">
        <f>'03_原始数据'!A611</f>
        <v/>
      </c>
      <c r="B611" s="16">
        <f>'03_原始数据'!B611</f>
        <v/>
      </c>
      <c r="C611" s="16">
        <f>'03_原始数据'!C611</f>
        <v/>
      </c>
      <c r="D611" s="16">
        <f>'03_原始数据'!E611</f>
        <v/>
      </c>
      <c r="E611" s="39">
        <f>_xlfn.PERCENTRANK.INC('03_原始数据'!$E$5:$E$873,'03_原始数据'!E611)</f>
        <v/>
      </c>
      <c r="F611" s="16">
        <f>IF(True,AVERAGE('03_原始数据'!$E$552:$E$611),"")</f>
        <v/>
      </c>
      <c r="G611" s="16">
        <f>IF(True,STDEV('03_原始数据'!$E$552:$E$611),"")</f>
        <v/>
      </c>
    </row>
    <row r="612" ht="17" customHeight="1">
      <c r="A612" s="40">
        <f>'03_原始数据'!A612</f>
        <v/>
      </c>
      <c r="B612" s="21">
        <f>'03_原始数据'!B612</f>
        <v/>
      </c>
      <c r="C612" s="21">
        <f>'03_原始数据'!C612</f>
        <v/>
      </c>
      <c r="D612" s="21">
        <f>'03_原始数据'!E612</f>
        <v/>
      </c>
      <c r="E612" s="41">
        <f>_xlfn.PERCENTRANK.INC('03_原始数据'!$E$5:$E$873,'03_原始数据'!E612)</f>
        <v/>
      </c>
      <c r="F612" s="21">
        <f>IF(True,AVERAGE('03_原始数据'!$E$553:$E$612),"")</f>
        <v/>
      </c>
      <c r="G612" s="21">
        <f>IF(True,STDEV('03_原始数据'!$E$553:$E$612),"")</f>
        <v/>
      </c>
    </row>
    <row r="613" ht="17" customHeight="1">
      <c r="A613" s="38">
        <f>'03_原始数据'!A613</f>
        <v/>
      </c>
      <c r="B613" s="16">
        <f>'03_原始数据'!B613</f>
        <v/>
      </c>
      <c r="C613" s="16">
        <f>'03_原始数据'!C613</f>
        <v/>
      </c>
      <c r="D613" s="16">
        <f>'03_原始数据'!E613</f>
        <v/>
      </c>
      <c r="E613" s="39">
        <f>_xlfn.PERCENTRANK.INC('03_原始数据'!$E$5:$E$873,'03_原始数据'!E613)</f>
        <v/>
      </c>
      <c r="F613" s="16">
        <f>IF(True,AVERAGE('03_原始数据'!$E$554:$E$613),"")</f>
        <v/>
      </c>
      <c r="G613" s="16">
        <f>IF(True,STDEV('03_原始数据'!$E$554:$E$613),"")</f>
        <v/>
      </c>
    </row>
    <row r="614" ht="17" customHeight="1">
      <c r="A614" s="40">
        <f>'03_原始数据'!A614</f>
        <v/>
      </c>
      <c r="B614" s="21">
        <f>'03_原始数据'!B614</f>
        <v/>
      </c>
      <c r="C614" s="21">
        <f>'03_原始数据'!C614</f>
        <v/>
      </c>
      <c r="D614" s="21">
        <f>'03_原始数据'!E614</f>
        <v/>
      </c>
      <c r="E614" s="41">
        <f>_xlfn.PERCENTRANK.INC('03_原始数据'!$E$5:$E$873,'03_原始数据'!E614)</f>
        <v/>
      </c>
      <c r="F614" s="21">
        <f>IF(True,AVERAGE('03_原始数据'!$E$555:$E$614),"")</f>
        <v/>
      </c>
      <c r="G614" s="21">
        <f>IF(True,STDEV('03_原始数据'!$E$555:$E$614),"")</f>
        <v/>
      </c>
    </row>
    <row r="615" ht="17" customHeight="1">
      <c r="A615" s="38">
        <f>'03_原始数据'!A615</f>
        <v/>
      </c>
      <c r="B615" s="16">
        <f>'03_原始数据'!B615</f>
        <v/>
      </c>
      <c r="C615" s="16">
        <f>'03_原始数据'!C615</f>
        <v/>
      </c>
      <c r="D615" s="16">
        <f>'03_原始数据'!E615</f>
        <v/>
      </c>
      <c r="E615" s="39">
        <f>_xlfn.PERCENTRANK.INC('03_原始数据'!$E$5:$E$873,'03_原始数据'!E615)</f>
        <v/>
      </c>
      <c r="F615" s="16">
        <f>IF(True,AVERAGE('03_原始数据'!$E$556:$E$615),"")</f>
        <v/>
      </c>
      <c r="G615" s="16">
        <f>IF(True,STDEV('03_原始数据'!$E$556:$E$615),"")</f>
        <v/>
      </c>
    </row>
    <row r="616" ht="17" customHeight="1">
      <c r="A616" s="40">
        <f>'03_原始数据'!A616</f>
        <v/>
      </c>
      <c r="B616" s="21">
        <f>'03_原始数据'!B616</f>
        <v/>
      </c>
      <c r="C616" s="21">
        <f>'03_原始数据'!C616</f>
        <v/>
      </c>
      <c r="D616" s="21">
        <f>'03_原始数据'!E616</f>
        <v/>
      </c>
      <c r="E616" s="41">
        <f>_xlfn.PERCENTRANK.INC('03_原始数据'!$E$5:$E$873,'03_原始数据'!E616)</f>
        <v/>
      </c>
      <c r="F616" s="21">
        <f>IF(True,AVERAGE('03_原始数据'!$E$557:$E$616),"")</f>
        <v/>
      </c>
      <c r="G616" s="21">
        <f>IF(True,STDEV('03_原始数据'!$E$557:$E$616),"")</f>
        <v/>
      </c>
    </row>
    <row r="617" ht="17" customHeight="1">
      <c r="A617" s="38">
        <f>'03_原始数据'!A617</f>
        <v/>
      </c>
      <c r="B617" s="16">
        <f>'03_原始数据'!B617</f>
        <v/>
      </c>
      <c r="C617" s="16">
        <f>'03_原始数据'!C617</f>
        <v/>
      </c>
      <c r="D617" s="16">
        <f>'03_原始数据'!E617</f>
        <v/>
      </c>
      <c r="E617" s="39">
        <f>_xlfn.PERCENTRANK.INC('03_原始数据'!$E$5:$E$873,'03_原始数据'!E617)</f>
        <v/>
      </c>
      <c r="F617" s="16">
        <f>IF(True,AVERAGE('03_原始数据'!$E$558:$E$617),"")</f>
        <v/>
      </c>
      <c r="G617" s="16">
        <f>IF(True,STDEV('03_原始数据'!$E$558:$E$617),"")</f>
        <v/>
      </c>
    </row>
    <row r="618" ht="17" customHeight="1">
      <c r="A618" s="40">
        <f>'03_原始数据'!A618</f>
        <v/>
      </c>
      <c r="B618" s="21">
        <f>'03_原始数据'!B618</f>
        <v/>
      </c>
      <c r="C618" s="21">
        <f>'03_原始数据'!C618</f>
        <v/>
      </c>
      <c r="D618" s="21">
        <f>'03_原始数据'!E618</f>
        <v/>
      </c>
      <c r="E618" s="41">
        <f>_xlfn.PERCENTRANK.INC('03_原始数据'!$E$5:$E$873,'03_原始数据'!E618)</f>
        <v/>
      </c>
      <c r="F618" s="21">
        <f>IF(True,AVERAGE('03_原始数据'!$E$559:$E$618),"")</f>
        <v/>
      </c>
      <c r="G618" s="21">
        <f>IF(True,STDEV('03_原始数据'!$E$559:$E$618),"")</f>
        <v/>
      </c>
    </row>
    <row r="619" ht="17" customHeight="1">
      <c r="A619" s="38">
        <f>'03_原始数据'!A619</f>
        <v/>
      </c>
      <c r="B619" s="16">
        <f>'03_原始数据'!B619</f>
        <v/>
      </c>
      <c r="C619" s="16">
        <f>'03_原始数据'!C619</f>
        <v/>
      </c>
      <c r="D619" s="16">
        <f>'03_原始数据'!E619</f>
        <v/>
      </c>
      <c r="E619" s="39">
        <f>_xlfn.PERCENTRANK.INC('03_原始数据'!$E$5:$E$873,'03_原始数据'!E619)</f>
        <v/>
      </c>
      <c r="F619" s="16">
        <f>IF(True,AVERAGE('03_原始数据'!$E$560:$E$619),"")</f>
        <v/>
      </c>
      <c r="G619" s="16">
        <f>IF(True,STDEV('03_原始数据'!$E$560:$E$619),"")</f>
        <v/>
      </c>
    </row>
    <row r="620" ht="17" customHeight="1">
      <c r="A620" s="40">
        <f>'03_原始数据'!A620</f>
        <v/>
      </c>
      <c r="B620" s="21">
        <f>'03_原始数据'!B620</f>
        <v/>
      </c>
      <c r="C620" s="21">
        <f>'03_原始数据'!C620</f>
        <v/>
      </c>
      <c r="D620" s="21">
        <f>'03_原始数据'!E620</f>
        <v/>
      </c>
      <c r="E620" s="41">
        <f>_xlfn.PERCENTRANK.INC('03_原始数据'!$E$5:$E$873,'03_原始数据'!E620)</f>
        <v/>
      </c>
      <c r="F620" s="21">
        <f>IF(True,AVERAGE('03_原始数据'!$E$561:$E$620),"")</f>
        <v/>
      </c>
      <c r="G620" s="21">
        <f>IF(True,STDEV('03_原始数据'!$E$561:$E$620),"")</f>
        <v/>
      </c>
    </row>
    <row r="621" ht="17" customHeight="1">
      <c r="A621" s="38">
        <f>'03_原始数据'!A621</f>
        <v/>
      </c>
      <c r="B621" s="16">
        <f>'03_原始数据'!B621</f>
        <v/>
      </c>
      <c r="C621" s="16">
        <f>'03_原始数据'!C621</f>
        <v/>
      </c>
      <c r="D621" s="16">
        <f>'03_原始数据'!E621</f>
        <v/>
      </c>
      <c r="E621" s="39">
        <f>_xlfn.PERCENTRANK.INC('03_原始数据'!$E$5:$E$873,'03_原始数据'!E621)</f>
        <v/>
      </c>
      <c r="F621" s="16">
        <f>IF(True,AVERAGE('03_原始数据'!$E$562:$E$621),"")</f>
        <v/>
      </c>
      <c r="G621" s="16">
        <f>IF(True,STDEV('03_原始数据'!$E$562:$E$621),"")</f>
        <v/>
      </c>
    </row>
    <row r="622" ht="17" customHeight="1">
      <c r="A622" s="40">
        <f>'03_原始数据'!A622</f>
        <v/>
      </c>
      <c r="B622" s="21">
        <f>'03_原始数据'!B622</f>
        <v/>
      </c>
      <c r="C622" s="21">
        <f>'03_原始数据'!C622</f>
        <v/>
      </c>
      <c r="D622" s="21">
        <f>'03_原始数据'!E622</f>
        <v/>
      </c>
      <c r="E622" s="41">
        <f>_xlfn.PERCENTRANK.INC('03_原始数据'!$E$5:$E$873,'03_原始数据'!E622)</f>
        <v/>
      </c>
      <c r="F622" s="21">
        <f>IF(True,AVERAGE('03_原始数据'!$E$563:$E$622),"")</f>
        <v/>
      </c>
      <c r="G622" s="21">
        <f>IF(True,STDEV('03_原始数据'!$E$563:$E$622),"")</f>
        <v/>
      </c>
    </row>
    <row r="623" ht="17" customHeight="1">
      <c r="A623" s="38">
        <f>'03_原始数据'!A623</f>
        <v/>
      </c>
      <c r="B623" s="16">
        <f>'03_原始数据'!B623</f>
        <v/>
      </c>
      <c r="C623" s="16">
        <f>'03_原始数据'!C623</f>
        <v/>
      </c>
      <c r="D623" s="16">
        <f>'03_原始数据'!E623</f>
        <v/>
      </c>
      <c r="E623" s="39">
        <f>_xlfn.PERCENTRANK.INC('03_原始数据'!$E$5:$E$873,'03_原始数据'!E623)</f>
        <v/>
      </c>
      <c r="F623" s="16">
        <f>IF(True,AVERAGE('03_原始数据'!$E$564:$E$623),"")</f>
        <v/>
      </c>
      <c r="G623" s="16">
        <f>IF(True,STDEV('03_原始数据'!$E$564:$E$623),"")</f>
        <v/>
      </c>
    </row>
    <row r="624" ht="17" customHeight="1">
      <c r="A624" s="40">
        <f>'03_原始数据'!A624</f>
        <v/>
      </c>
      <c r="B624" s="21">
        <f>'03_原始数据'!B624</f>
        <v/>
      </c>
      <c r="C624" s="21">
        <f>'03_原始数据'!C624</f>
        <v/>
      </c>
      <c r="D624" s="21">
        <f>'03_原始数据'!E624</f>
        <v/>
      </c>
      <c r="E624" s="41">
        <f>_xlfn.PERCENTRANK.INC('03_原始数据'!$E$5:$E$873,'03_原始数据'!E624)</f>
        <v/>
      </c>
      <c r="F624" s="21">
        <f>IF(True,AVERAGE('03_原始数据'!$E$565:$E$624),"")</f>
        <v/>
      </c>
      <c r="G624" s="21">
        <f>IF(True,STDEV('03_原始数据'!$E$565:$E$624),"")</f>
        <v/>
      </c>
    </row>
    <row r="625" ht="17" customHeight="1">
      <c r="A625" s="38">
        <f>'03_原始数据'!A625</f>
        <v/>
      </c>
      <c r="B625" s="16">
        <f>'03_原始数据'!B625</f>
        <v/>
      </c>
      <c r="C625" s="16">
        <f>'03_原始数据'!C625</f>
        <v/>
      </c>
      <c r="D625" s="16">
        <f>'03_原始数据'!E625</f>
        <v/>
      </c>
      <c r="E625" s="39">
        <f>_xlfn.PERCENTRANK.INC('03_原始数据'!$E$5:$E$873,'03_原始数据'!E625)</f>
        <v/>
      </c>
      <c r="F625" s="16">
        <f>IF(True,AVERAGE('03_原始数据'!$E$566:$E$625),"")</f>
        <v/>
      </c>
      <c r="G625" s="16">
        <f>IF(True,STDEV('03_原始数据'!$E$566:$E$625),"")</f>
        <v/>
      </c>
    </row>
    <row r="626" ht="17" customHeight="1">
      <c r="A626" s="40">
        <f>'03_原始数据'!A626</f>
        <v/>
      </c>
      <c r="B626" s="21">
        <f>'03_原始数据'!B626</f>
        <v/>
      </c>
      <c r="C626" s="21">
        <f>'03_原始数据'!C626</f>
        <v/>
      </c>
      <c r="D626" s="21">
        <f>'03_原始数据'!E626</f>
        <v/>
      </c>
      <c r="E626" s="41">
        <f>_xlfn.PERCENTRANK.INC('03_原始数据'!$E$5:$E$873,'03_原始数据'!E626)</f>
        <v/>
      </c>
      <c r="F626" s="21">
        <f>IF(True,AVERAGE('03_原始数据'!$E$567:$E$626),"")</f>
        <v/>
      </c>
      <c r="G626" s="21">
        <f>IF(True,STDEV('03_原始数据'!$E$567:$E$626),"")</f>
        <v/>
      </c>
    </row>
    <row r="627" ht="17" customHeight="1">
      <c r="A627" s="38">
        <f>'03_原始数据'!A627</f>
        <v/>
      </c>
      <c r="B627" s="16">
        <f>'03_原始数据'!B627</f>
        <v/>
      </c>
      <c r="C627" s="16">
        <f>'03_原始数据'!C627</f>
        <v/>
      </c>
      <c r="D627" s="16">
        <f>'03_原始数据'!E627</f>
        <v/>
      </c>
      <c r="E627" s="39">
        <f>_xlfn.PERCENTRANK.INC('03_原始数据'!$E$5:$E$873,'03_原始数据'!E627)</f>
        <v/>
      </c>
      <c r="F627" s="16">
        <f>IF(True,AVERAGE('03_原始数据'!$E$568:$E$627),"")</f>
        <v/>
      </c>
      <c r="G627" s="16">
        <f>IF(True,STDEV('03_原始数据'!$E$568:$E$627),"")</f>
        <v/>
      </c>
    </row>
    <row r="628" ht="17" customHeight="1">
      <c r="A628" s="40">
        <f>'03_原始数据'!A628</f>
        <v/>
      </c>
      <c r="B628" s="21">
        <f>'03_原始数据'!B628</f>
        <v/>
      </c>
      <c r="C628" s="21">
        <f>'03_原始数据'!C628</f>
        <v/>
      </c>
      <c r="D628" s="21">
        <f>'03_原始数据'!E628</f>
        <v/>
      </c>
      <c r="E628" s="41">
        <f>_xlfn.PERCENTRANK.INC('03_原始数据'!$E$5:$E$873,'03_原始数据'!E628)</f>
        <v/>
      </c>
      <c r="F628" s="21">
        <f>IF(True,AVERAGE('03_原始数据'!$E$569:$E$628),"")</f>
        <v/>
      </c>
      <c r="G628" s="21">
        <f>IF(True,STDEV('03_原始数据'!$E$569:$E$628),"")</f>
        <v/>
      </c>
    </row>
    <row r="629" ht="17" customHeight="1">
      <c r="A629" s="38">
        <f>'03_原始数据'!A629</f>
        <v/>
      </c>
      <c r="B629" s="16">
        <f>'03_原始数据'!B629</f>
        <v/>
      </c>
      <c r="C629" s="16">
        <f>'03_原始数据'!C629</f>
        <v/>
      </c>
      <c r="D629" s="16">
        <f>'03_原始数据'!E629</f>
        <v/>
      </c>
      <c r="E629" s="39">
        <f>_xlfn.PERCENTRANK.INC('03_原始数据'!$E$5:$E$873,'03_原始数据'!E629)</f>
        <v/>
      </c>
      <c r="F629" s="16">
        <f>IF(True,AVERAGE('03_原始数据'!$E$570:$E$629),"")</f>
        <v/>
      </c>
      <c r="G629" s="16">
        <f>IF(True,STDEV('03_原始数据'!$E$570:$E$629),"")</f>
        <v/>
      </c>
    </row>
    <row r="630" ht="17" customHeight="1">
      <c r="A630" s="40">
        <f>'03_原始数据'!A630</f>
        <v/>
      </c>
      <c r="B630" s="21">
        <f>'03_原始数据'!B630</f>
        <v/>
      </c>
      <c r="C630" s="21">
        <f>'03_原始数据'!C630</f>
        <v/>
      </c>
      <c r="D630" s="21">
        <f>'03_原始数据'!E630</f>
        <v/>
      </c>
      <c r="E630" s="41">
        <f>_xlfn.PERCENTRANK.INC('03_原始数据'!$E$5:$E$873,'03_原始数据'!E630)</f>
        <v/>
      </c>
      <c r="F630" s="21">
        <f>IF(True,AVERAGE('03_原始数据'!$E$571:$E$630),"")</f>
        <v/>
      </c>
      <c r="G630" s="21">
        <f>IF(True,STDEV('03_原始数据'!$E$571:$E$630),"")</f>
        <v/>
      </c>
    </row>
    <row r="631" ht="17" customHeight="1">
      <c r="A631" s="38">
        <f>'03_原始数据'!A631</f>
        <v/>
      </c>
      <c r="B631" s="16">
        <f>'03_原始数据'!B631</f>
        <v/>
      </c>
      <c r="C631" s="16">
        <f>'03_原始数据'!C631</f>
        <v/>
      </c>
      <c r="D631" s="16">
        <f>'03_原始数据'!E631</f>
        <v/>
      </c>
      <c r="E631" s="39">
        <f>_xlfn.PERCENTRANK.INC('03_原始数据'!$E$5:$E$873,'03_原始数据'!E631)</f>
        <v/>
      </c>
      <c r="F631" s="16">
        <f>IF(True,AVERAGE('03_原始数据'!$E$572:$E$631),"")</f>
        <v/>
      </c>
      <c r="G631" s="16">
        <f>IF(True,STDEV('03_原始数据'!$E$572:$E$631),"")</f>
        <v/>
      </c>
    </row>
    <row r="632" ht="17" customHeight="1">
      <c r="A632" s="40">
        <f>'03_原始数据'!A632</f>
        <v/>
      </c>
      <c r="B632" s="21">
        <f>'03_原始数据'!B632</f>
        <v/>
      </c>
      <c r="C632" s="21">
        <f>'03_原始数据'!C632</f>
        <v/>
      </c>
      <c r="D632" s="21">
        <f>'03_原始数据'!E632</f>
        <v/>
      </c>
      <c r="E632" s="41">
        <f>_xlfn.PERCENTRANK.INC('03_原始数据'!$E$5:$E$873,'03_原始数据'!E632)</f>
        <v/>
      </c>
      <c r="F632" s="21">
        <f>IF(True,AVERAGE('03_原始数据'!$E$573:$E$632),"")</f>
        <v/>
      </c>
      <c r="G632" s="21">
        <f>IF(True,STDEV('03_原始数据'!$E$573:$E$632),"")</f>
        <v/>
      </c>
    </row>
    <row r="633" ht="17" customHeight="1">
      <c r="A633" s="38">
        <f>'03_原始数据'!A633</f>
        <v/>
      </c>
      <c r="B633" s="16">
        <f>'03_原始数据'!B633</f>
        <v/>
      </c>
      <c r="C633" s="16">
        <f>'03_原始数据'!C633</f>
        <v/>
      </c>
      <c r="D633" s="16">
        <f>'03_原始数据'!E633</f>
        <v/>
      </c>
      <c r="E633" s="39">
        <f>_xlfn.PERCENTRANK.INC('03_原始数据'!$E$5:$E$873,'03_原始数据'!E633)</f>
        <v/>
      </c>
      <c r="F633" s="16">
        <f>IF(True,AVERAGE('03_原始数据'!$E$574:$E$633),"")</f>
        <v/>
      </c>
      <c r="G633" s="16">
        <f>IF(True,STDEV('03_原始数据'!$E$574:$E$633),"")</f>
        <v/>
      </c>
    </row>
    <row r="634" ht="17" customHeight="1">
      <c r="A634" s="40">
        <f>'03_原始数据'!A634</f>
        <v/>
      </c>
      <c r="B634" s="21">
        <f>'03_原始数据'!B634</f>
        <v/>
      </c>
      <c r="C634" s="21">
        <f>'03_原始数据'!C634</f>
        <v/>
      </c>
      <c r="D634" s="21">
        <f>'03_原始数据'!E634</f>
        <v/>
      </c>
      <c r="E634" s="41">
        <f>_xlfn.PERCENTRANK.INC('03_原始数据'!$E$5:$E$873,'03_原始数据'!E634)</f>
        <v/>
      </c>
      <c r="F634" s="21">
        <f>IF(True,AVERAGE('03_原始数据'!$E$575:$E$634),"")</f>
        <v/>
      </c>
      <c r="G634" s="21">
        <f>IF(True,STDEV('03_原始数据'!$E$575:$E$634),"")</f>
        <v/>
      </c>
    </row>
    <row r="635" ht="17" customHeight="1">
      <c r="A635" s="38">
        <f>'03_原始数据'!A635</f>
        <v/>
      </c>
      <c r="B635" s="16">
        <f>'03_原始数据'!B635</f>
        <v/>
      </c>
      <c r="C635" s="16">
        <f>'03_原始数据'!C635</f>
        <v/>
      </c>
      <c r="D635" s="16">
        <f>'03_原始数据'!E635</f>
        <v/>
      </c>
      <c r="E635" s="39">
        <f>_xlfn.PERCENTRANK.INC('03_原始数据'!$E$5:$E$873,'03_原始数据'!E635)</f>
        <v/>
      </c>
      <c r="F635" s="16">
        <f>IF(True,AVERAGE('03_原始数据'!$E$576:$E$635),"")</f>
        <v/>
      </c>
      <c r="G635" s="16">
        <f>IF(True,STDEV('03_原始数据'!$E$576:$E$635),"")</f>
        <v/>
      </c>
    </row>
    <row r="636" ht="17" customHeight="1">
      <c r="A636" s="40">
        <f>'03_原始数据'!A636</f>
        <v/>
      </c>
      <c r="B636" s="21">
        <f>'03_原始数据'!B636</f>
        <v/>
      </c>
      <c r="C636" s="21">
        <f>'03_原始数据'!C636</f>
        <v/>
      </c>
      <c r="D636" s="21">
        <f>'03_原始数据'!E636</f>
        <v/>
      </c>
      <c r="E636" s="41">
        <f>_xlfn.PERCENTRANK.INC('03_原始数据'!$E$5:$E$873,'03_原始数据'!E636)</f>
        <v/>
      </c>
      <c r="F636" s="21">
        <f>IF(True,AVERAGE('03_原始数据'!$E$577:$E$636),"")</f>
        <v/>
      </c>
      <c r="G636" s="21">
        <f>IF(True,STDEV('03_原始数据'!$E$577:$E$636),"")</f>
        <v/>
      </c>
    </row>
    <row r="637" ht="17" customHeight="1">
      <c r="A637" s="38">
        <f>'03_原始数据'!A637</f>
        <v/>
      </c>
      <c r="B637" s="16">
        <f>'03_原始数据'!B637</f>
        <v/>
      </c>
      <c r="C637" s="16">
        <f>'03_原始数据'!C637</f>
        <v/>
      </c>
      <c r="D637" s="16">
        <f>'03_原始数据'!E637</f>
        <v/>
      </c>
      <c r="E637" s="39">
        <f>_xlfn.PERCENTRANK.INC('03_原始数据'!$E$5:$E$873,'03_原始数据'!E637)</f>
        <v/>
      </c>
      <c r="F637" s="16">
        <f>IF(True,AVERAGE('03_原始数据'!$E$578:$E$637),"")</f>
        <v/>
      </c>
      <c r="G637" s="16">
        <f>IF(True,STDEV('03_原始数据'!$E$578:$E$637),"")</f>
        <v/>
      </c>
    </row>
    <row r="638" ht="17" customHeight="1">
      <c r="A638" s="40">
        <f>'03_原始数据'!A638</f>
        <v/>
      </c>
      <c r="B638" s="21">
        <f>'03_原始数据'!B638</f>
        <v/>
      </c>
      <c r="C638" s="21">
        <f>'03_原始数据'!C638</f>
        <v/>
      </c>
      <c r="D638" s="21">
        <f>'03_原始数据'!E638</f>
        <v/>
      </c>
      <c r="E638" s="41">
        <f>_xlfn.PERCENTRANK.INC('03_原始数据'!$E$5:$E$873,'03_原始数据'!E638)</f>
        <v/>
      </c>
      <c r="F638" s="21">
        <f>IF(True,AVERAGE('03_原始数据'!$E$579:$E$638),"")</f>
        <v/>
      </c>
      <c r="G638" s="21">
        <f>IF(True,STDEV('03_原始数据'!$E$579:$E$638),"")</f>
        <v/>
      </c>
    </row>
    <row r="639" ht="17" customHeight="1">
      <c r="A639" s="38">
        <f>'03_原始数据'!A639</f>
        <v/>
      </c>
      <c r="B639" s="16">
        <f>'03_原始数据'!B639</f>
        <v/>
      </c>
      <c r="C639" s="16">
        <f>'03_原始数据'!C639</f>
        <v/>
      </c>
      <c r="D639" s="16">
        <f>'03_原始数据'!E639</f>
        <v/>
      </c>
      <c r="E639" s="39">
        <f>_xlfn.PERCENTRANK.INC('03_原始数据'!$E$5:$E$873,'03_原始数据'!E639)</f>
        <v/>
      </c>
      <c r="F639" s="16">
        <f>IF(True,AVERAGE('03_原始数据'!$E$580:$E$639),"")</f>
        <v/>
      </c>
      <c r="G639" s="16">
        <f>IF(True,STDEV('03_原始数据'!$E$580:$E$639),"")</f>
        <v/>
      </c>
    </row>
    <row r="640" ht="17" customHeight="1">
      <c r="A640" s="40">
        <f>'03_原始数据'!A640</f>
        <v/>
      </c>
      <c r="B640" s="21">
        <f>'03_原始数据'!B640</f>
        <v/>
      </c>
      <c r="C640" s="21">
        <f>'03_原始数据'!C640</f>
        <v/>
      </c>
      <c r="D640" s="21">
        <f>'03_原始数据'!E640</f>
        <v/>
      </c>
      <c r="E640" s="41">
        <f>_xlfn.PERCENTRANK.INC('03_原始数据'!$E$5:$E$873,'03_原始数据'!E640)</f>
        <v/>
      </c>
      <c r="F640" s="21">
        <f>IF(True,AVERAGE('03_原始数据'!$E$581:$E$640),"")</f>
        <v/>
      </c>
      <c r="G640" s="21">
        <f>IF(True,STDEV('03_原始数据'!$E$581:$E$640),"")</f>
        <v/>
      </c>
    </row>
    <row r="641" ht="17" customHeight="1">
      <c r="A641" s="38">
        <f>'03_原始数据'!A641</f>
        <v/>
      </c>
      <c r="B641" s="16">
        <f>'03_原始数据'!B641</f>
        <v/>
      </c>
      <c r="C641" s="16">
        <f>'03_原始数据'!C641</f>
        <v/>
      </c>
      <c r="D641" s="16">
        <f>'03_原始数据'!E641</f>
        <v/>
      </c>
      <c r="E641" s="39">
        <f>_xlfn.PERCENTRANK.INC('03_原始数据'!$E$5:$E$873,'03_原始数据'!E641)</f>
        <v/>
      </c>
      <c r="F641" s="16">
        <f>IF(True,AVERAGE('03_原始数据'!$E$582:$E$641),"")</f>
        <v/>
      </c>
      <c r="G641" s="16">
        <f>IF(True,STDEV('03_原始数据'!$E$582:$E$641),"")</f>
        <v/>
      </c>
    </row>
    <row r="642" ht="17" customHeight="1">
      <c r="A642" s="40">
        <f>'03_原始数据'!A642</f>
        <v/>
      </c>
      <c r="B642" s="21">
        <f>'03_原始数据'!B642</f>
        <v/>
      </c>
      <c r="C642" s="21">
        <f>'03_原始数据'!C642</f>
        <v/>
      </c>
      <c r="D642" s="21">
        <f>'03_原始数据'!E642</f>
        <v/>
      </c>
      <c r="E642" s="41">
        <f>_xlfn.PERCENTRANK.INC('03_原始数据'!$E$5:$E$873,'03_原始数据'!E642)</f>
        <v/>
      </c>
      <c r="F642" s="21">
        <f>IF(True,AVERAGE('03_原始数据'!$E$583:$E$642),"")</f>
        <v/>
      </c>
      <c r="G642" s="21">
        <f>IF(True,STDEV('03_原始数据'!$E$583:$E$642),"")</f>
        <v/>
      </c>
    </row>
    <row r="643" ht="17" customHeight="1">
      <c r="A643" s="38">
        <f>'03_原始数据'!A643</f>
        <v/>
      </c>
      <c r="B643" s="16">
        <f>'03_原始数据'!B643</f>
        <v/>
      </c>
      <c r="C643" s="16">
        <f>'03_原始数据'!C643</f>
        <v/>
      </c>
      <c r="D643" s="16">
        <f>'03_原始数据'!E643</f>
        <v/>
      </c>
      <c r="E643" s="39">
        <f>_xlfn.PERCENTRANK.INC('03_原始数据'!$E$5:$E$873,'03_原始数据'!E643)</f>
        <v/>
      </c>
      <c r="F643" s="16">
        <f>IF(True,AVERAGE('03_原始数据'!$E$584:$E$643),"")</f>
        <v/>
      </c>
      <c r="G643" s="16">
        <f>IF(True,STDEV('03_原始数据'!$E$584:$E$643),"")</f>
        <v/>
      </c>
    </row>
    <row r="644" ht="17" customHeight="1">
      <c r="A644" s="40">
        <f>'03_原始数据'!A644</f>
        <v/>
      </c>
      <c r="B644" s="21">
        <f>'03_原始数据'!B644</f>
        <v/>
      </c>
      <c r="C644" s="21">
        <f>'03_原始数据'!C644</f>
        <v/>
      </c>
      <c r="D644" s="21">
        <f>'03_原始数据'!E644</f>
        <v/>
      </c>
      <c r="E644" s="41">
        <f>_xlfn.PERCENTRANK.INC('03_原始数据'!$E$5:$E$873,'03_原始数据'!E644)</f>
        <v/>
      </c>
      <c r="F644" s="21">
        <f>IF(True,AVERAGE('03_原始数据'!$E$585:$E$644),"")</f>
        <v/>
      </c>
      <c r="G644" s="21">
        <f>IF(True,STDEV('03_原始数据'!$E$585:$E$644),"")</f>
        <v/>
      </c>
    </row>
    <row r="645" ht="17" customHeight="1">
      <c r="A645" s="38">
        <f>'03_原始数据'!A645</f>
        <v/>
      </c>
      <c r="B645" s="16">
        <f>'03_原始数据'!B645</f>
        <v/>
      </c>
      <c r="C645" s="16">
        <f>'03_原始数据'!C645</f>
        <v/>
      </c>
      <c r="D645" s="16">
        <f>'03_原始数据'!E645</f>
        <v/>
      </c>
      <c r="E645" s="39">
        <f>_xlfn.PERCENTRANK.INC('03_原始数据'!$E$5:$E$873,'03_原始数据'!E645)</f>
        <v/>
      </c>
      <c r="F645" s="16">
        <f>IF(True,AVERAGE('03_原始数据'!$E$586:$E$645),"")</f>
        <v/>
      </c>
      <c r="G645" s="16">
        <f>IF(True,STDEV('03_原始数据'!$E$586:$E$645),"")</f>
        <v/>
      </c>
    </row>
    <row r="646" ht="17" customHeight="1">
      <c r="A646" s="40">
        <f>'03_原始数据'!A646</f>
        <v/>
      </c>
      <c r="B646" s="21">
        <f>'03_原始数据'!B646</f>
        <v/>
      </c>
      <c r="C646" s="21">
        <f>'03_原始数据'!C646</f>
        <v/>
      </c>
      <c r="D646" s="21">
        <f>'03_原始数据'!E646</f>
        <v/>
      </c>
      <c r="E646" s="41">
        <f>_xlfn.PERCENTRANK.INC('03_原始数据'!$E$5:$E$873,'03_原始数据'!E646)</f>
        <v/>
      </c>
      <c r="F646" s="21">
        <f>IF(True,AVERAGE('03_原始数据'!$E$587:$E$646),"")</f>
        <v/>
      </c>
      <c r="G646" s="21">
        <f>IF(True,STDEV('03_原始数据'!$E$587:$E$646),"")</f>
        <v/>
      </c>
    </row>
    <row r="647" ht="17" customHeight="1">
      <c r="A647" s="38">
        <f>'03_原始数据'!A647</f>
        <v/>
      </c>
      <c r="B647" s="16">
        <f>'03_原始数据'!B647</f>
        <v/>
      </c>
      <c r="C647" s="16">
        <f>'03_原始数据'!C647</f>
        <v/>
      </c>
      <c r="D647" s="16">
        <f>'03_原始数据'!E647</f>
        <v/>
      </c>
      <c r="E647" s="39">
        <f>_xlfn.PERCENTRANK.INC('03_原始数据'!$E$5:$E$873,'03_原始数据'!E647)</f>
        <v/>
      </c>
      <c r="F647" s="16">
        <f>IF(True,AVERAGE('03_原始数据'!$E$588:$E$647),"")</f>
        <v/>
      </c>
      <c r="G647" s="16">
        <f>IF(True,STDEV('03_原始数据'!$E$588:$E$647),"")</f>
        <v/>
      </c>
    </row>
    <row r="648" ht="17" customHeight="1">
      <c r="A648" s="40">
        <f>'03_原始数据'!A648</f>
        <v/>
      </c>
      <c r="B648" s="21">
        <f>'03_原始数据'!B648</f>
        <v/>
      </c>
      <c r="C648" s="21">
        <f>'03_原始数据'!C648</f>
        <v/>
      </c>
      <c r="D648" s="21">
        <f>'03_原始数据'!E648</f>
        <v/>
      </c>
      <c r="E648" s="41">
        <f>_xlfn.PERCENTRANK.INC('03_原始数据'!$E$5:$E$873,'03_原始数据'!E648)</f>
        <v/>
      </c>
      <c r="F648" s="21">
        <f>IF(True,AVERAGE('03_原始数据'!$E$589:$E$648),"")</f>
        <v/>
      </c>
      <c r="G648" s="21">
        <f>IF(True,STDEV('03_原始数据'!$E$589:$E$648),"")</f>
        <v/>
      </c>
    </row>
    <row r="649" ht="17" customHeight="1">
      <c r="A649" s="38">
        <f>'03_原始数据'!A649</f>
        <v/>
      </c>
      <c r="B649" s="16">
        <f>'03_原始数据'!B649</f>
        <v/>
      </c>
      <c r="C649" s="16">
        <f>'03_原始数据'!C649</f>
        <v/>
      </c>
      <c r="D649" s="16">
        <f>'03_原始数据'!E649</f>
        <v/>
      </c>
      <c r="E649" s="39">
        <f>_xlfn.PERCENTRANK.INC('03_原始数据'!$E$5:$E$873,'03_原始数据'!E649)</f>
        <v/>
      </c>
      <c r="F649" s="16">
        <f>IF(True,AVERAGE('03_原始数据'!$E$590:$E$649),"")</f>
        <v/>
      </c>
      <c r="G649" s="16">
        <f>IF(True,STDEV('03_原始数据'!$E$590:$E$649),"")</f>
        <v/>
      </c>
    </row>
    <row r="650" ht="17" customHeight="1">
      <c r="A650" s="40">
        <f>'03_原始数据'!A650</f>
        <v/>
      </c>
      <c r="B650" s="21">
        <f>'03_原始数据'!B650</f>
        <v/>
      </c>
      <c r="C650" s="21">
        <f>'03_原始数据'!C650</f>
        <v/>
      </c>
      <c r="D650" s="21">
        <f>'03_原始数据'!E650</f>
        <v/>
      </c>
      <c r="E650" s="41">
        <f>_xlfn.PERCENTRANK.INC('03_原始数据'!$E$5:$E$873,'03_原始数据'!E650)</f>
        <v/>
      </c>
      <c r="F650" s="21">
        <f>IF(True,AVERAGE('03_原始数据'!$E$591:$E$650),"")</f>
        <v/>
      </c>
      <c r="G650" s="21">
        <f>IF(True,STDEV('03_原始数据'!$E$591:$E$650),"")</f>
        <v/>
      </c>
    </row>
    <row r="651" ht="17" customHeight="1">
      <c r="A651" s="38">
        <f>'03_原始数据'!A651</f>
        <v/>
      </c>
      <c r="B651" s="16">
        <f>'03_原始数据'!B651</f>
        <v/>
      </c>
      <c r="C651" s="16">
        <f>'03_原始数据'!C651</f>
        <v/>
      </c>
      <c r="D651" s="16">
        <f>'03_原始数据'!E651</f>
        <v/>
      </c>
      <c r="E651" s="39">
        <f>_xlfn.PERCENTRANK.INC('03_原始数据'!$E$5:$E$873,'03_原始数据'!E651)</f>
        <v/>
      </c>
      <c r="F651" s="16">
        <f>IF(True,AVERAGE('03_原始数据'!$E$592:$E$651),"")</f>
        <v/>
      </c>
      <c r="G651" s="16">
        <f>IF(True,STDEV('03_原始数据'!$E$592:$E$651),"")</f>
        <v/>
      </c>
    </row>
    <row r="652" ht="17" customHeight="1">
      <c r="A652" s="40">
        <f>'03_原始数据'!A652</f>
        <v/>
      </c>
      <c r="B652" s="21">
        <f>'03_原始数据'!B652</f>
        <v/>
      </c>
      <c r="C652" s="21">
        <f>'03_原始数据'!C652</f>
        <v/>
      </c>
      <c r="D652" s="21">
        <f>'03_原始数据'!E652</f>
        <v/>
      </c>
      <c r="E652" s="41">
        <f>_xlfn.PERCENTRANK.INC('03_原始数据'!$E$5:$E$873,'03_原始数据'!E652)</f>
        <v/>
      </c>
      <c r="F652" s="21">
        <f>IF(True,AVERAGE('03_原始数据'!$E$593:$E$652),"")</f>
        <v/>
      </c>
      <c r="G652" s="21">
        <f>IF(True,STDEV('03_原始数据'!$E$593:$E$652),"")</f>
        <v/>
      </c>
    </row>
    <row r="653" ht="17" customHeight="1">
      <c r="A653" s="38">
        <f>'03_原始数据'!A653</f>
        <v/>
      </c>
      <c r="B653" s="16">
        <f>'03_原始数据'!B653</f>
        <v/>
      </c>
      <c r="C653" s="16">
        <f>'03_原始数据'!C653</f>
        <v/>
      </c>
      <c r="D653" s="16">
        <f>'03_原始数据'!E653</f>
        <v/>
      </c>
      <c r="E653" s="39">
        <f>_xlfn.PERCENTRANK.INC('03_原始数据'!$E$5:$E$873,'03_原始数据'!E653)</f>
        <v/>
      </c>
      <c r="F653" s="16">
        <f>IF(True,AVERAGE('03_原始数据'!$E$594:$E$653),"")</f>
        <v/>
      </c>
      <c r="G653" s="16">
        <f>IF(True,STDEV('03_原始数据'!$E$594:$E$653),"")</f>
        <v/>
      </c>
    </row>
    <row r="654" ht="17" customHeight="1">
      <c r="A654" s="40">
        <f>'03_原始数据'!A654</f>
        <v/>
      </c>
      <c r="B654" s="21">
        <f>'03_原始数据'!B654</f>
        <v/>
      </c>
      <c r="C654" s="21">
        <f>'03_原始数据'!C654</f>
        <v/>
      </c>
      <c r="D654" s="21">
        <f>'03_原始数据'!E654</f>
        <v/>
      </c>
      <c r="E654" s="41">
        <f>_xlfn.PERCENTRANK.INC('03_原始数据'!$E$5:$E$873,'03_原始数据'!E654)</f>
        <v/>
      </c>
      <c r="F654" s="21">
        <f>IF(True,AVERAGE('03_原始数据'!$E$595:$E$654),"")</f>
        <v/>
      </c>
      <c r="G654" s="21">
        <f>IF(True,STDEV('03_原始数据'!$E$595:$E$654),"")</f>
        <v/>
      </c>
    </row>
    <row r="655" ht="17" customHeight="1">
      <c r="A655" s="38">
        <f>'03_原始数据'!A655</f>
        <v/>
      </c>
      <c r="B655" s="16">
        <f>'03_原始数据'!B655</f>
        <v/>
      </c>
      <c r="C655" s="16">
        <f>'03_原始数据'!C655</f>
        <v/>
      </c>
      <c r="D655" s="16">
        <f>'03_原始数据'!E655</f>
        <v/>
      </c>
      <c r="E655" s="39">
        <f>_xlfn.PERCENTRANK.INC('03_原始数据'!$E$5:$E$873,'03_原始数据'!E655)</f>
        <v/>
      </c>
      <c r="F655" s="16">
        <f>IF(True,AVERAGE('03_原始数据'!$E$596:$E$655),"")</f>
        <v/>
      </c>
      <c r="G655" s="16">
        <f>IF(True,STDEV('03_原始数据'!$E$596:$E$655),"")</f>
        <v/>
      </c>
    </row>
    <row r="656" ht="17" customHeight="1">
      <c r="A656" s="40">
        <f>'03_原始数据'!A656</f>
        <v/>
      </c>
      <c r="B656" s="21">
        <f>'03_原始数据'!B656</f>
        <v/>
      </c>
      <c r="C656" s="21">
        <f>'03_原始数据'!C656</f>
        <v/>
      </c>
      <c r="D656" s="21">
        <f>'03_原始数据'!E656</f>
        <v/>
      </c>
      <c r="E656" s="41">
        <f>_xlfn.PERCENTRANK.INC('03_原始数据'!$E$5:$E$873,'03_原始数据'!E656)</f>
        <v/>
      </c>
      <c r="F656" s="21">
        <f>IF(True,AVERAGE('03_原始数据'!$E$597:$E$656),"")</f>
        <v/>
      </c>
      <c r="G656" s="21">
        <f>IF(True,STDEV('03_原始数据'!$E$597:$E$656),"")</f>
        <v/>
      </c>
    </row>
    <row r="657" ht="17" customHeight="1">
      <c r="A657" s="38">
        <f>'03_原始数据'!A657</f>
        <v/>
      </c>
      <c r="B657" s="16">
        <f>'03_原始数据'!B657</f>
        <v/>
      </c>
      <c r="C657" s="16">
        <f>'03_原始数据'!C657</f>
        <v/>
      </c>
      <c r="D657" s="16">
        <f>'03_原始数据'!E657</f>
        <v/>
      </c>
      <c r="E657" s="39">
        <f>_xlfn.PERCENTRANK.INC('03_原始数据'!$E$5:$E$873,'03_原始数据'!E657)</f>
        <v/>
      </c>
      <c r="F657" s="16">
        <f>IF(True,AVERAGE('03_原始数据'!$E$598:$E$657),"")</f>
        <v/>
      </c>
      <c r="G657" s="16">
        <f>IF(True,STDEV('03_原始数据'!$E$598:$E$657),"")</f>
        <v/>
      </c>
    </row>
    <row r="658" ht="17" customHeight="1">
      <c r="A658" s="40">
        <f>'03_原始数据'!A658</f>
        <v/>
      </c>
      <c r="B658" s="21">
        <f>'03_原始数据'!B658</f>
        <v/>
      </c>
      <c r="C658" s="21">
        <f>'03_原始数据'!C658</f>
        <v/>
      </c>
      <c r="D658" s="21">
        <f>'03_原始数据'!E658</f>
        <v/>
      </c>
      <c r="E658" s="41">
        <f>_xlfn.PERCENTRANK.INC('03_原始数据'!$E$5:$E$873,'03_原始数据'!E658)</f>
        <v/>
      </c>
      <c r="F658" s="21">
        <f>IF(True,AVERAGE('03_原始数据'!$E$599:$E$658),"")</f>
        <v/>
      </c>
      <c r="G658" s="21">
        <f>IF(True,STDEV('03_原始数据'!$E$599:$E$658),"")</f>
        <v/>
      </c>
    </row>
    <row r="659" ht="17" customHeight="1">
      <c r="A659" s="38">
        <f>'03_原始数据'!A659</f>
        <v/>
      </c>
      <c r="B659" s="16">
        <f>'03_原始数据'!B659</f>
        <v/>
      </c>
      <c r="C659" s="16">
        <f>'03_原始数据'!C659</f>
        <v/>
      </c>
      <c r="D659" s="16">
        <f>'03_原始数据'!E659</f>
        <v/>
      </c>
      <c r="E659" s="39">
        <f>_xlfn.PERCENTRANK.INC('03_原始数据'!$E$5:$E$873,'03_原始数据'!E659)</f>
        <v/>
      </c>
      <c r="F659" s="16">
        <f>IF(True,AVERAGE('03_原始数据'!$E$600:$E$659),"")</f>
        <v/>
      </c>
      <c r="G659" s="16">
        <f>IF(True,STDEV('03_原始数据'!$E$600:$E$659),"")</f>
        <v/>
      </c>
    </row>
    <row r="660" ht="17" customHeight="1">
      <c r="A660" s="40">
        <f>'03_原始数据'!A660</f>
        <v/>
      </c>
      <c r="B660" s="21">
        <f>'03_原始数据'!B660</f>
        <v/>
      </c>
      <c r="C660" s="21">
        <f>'03_原始数据'!C660</f>
        <v/>
      </c>
      <c r="D660" s="21">
        <f>'03_原始数据'!E660</f>
        <v/>
      </c>
      <c r="E660" s="41">
        <f>_xlfn.PERCENTRANK.INC('03_原始数据'!$E$5:$E$873,'03_原始数据'!E660)</f>
        <v/>
      </c>
      <c r="F660" s="21">
        <f>IF(True,AVERAGE('03_原始数据'!$E$601:$E$660),"")</f>
        <v/>
      </c>
      <c r="G660" s="21">
        <f>IF(True,STDEV('03_原始数据'!$E$601:$E$660),"")</f>
        <v/>
      </c>
    </row>
    <row r="661" ht="17" customHeight="1">
      <c r="A661" s="38">
        <f>'03_原始数据'!A661</f>
        <v/>
      </c>
      <c r="B661" s="16">
        <f>'03_原始数据'!B661</f>
        <v/>
      </c>
      <c r="C661" s="16">
        <f>'03_原始数据'!C661</f>
        <v/>
      </c>
      <c r="D661" s="16">
        <f>'03_原始数据'!E661</f>
        <v/>
      </c>
      <c r="E661" s="39">
        <f>_xlfn.PERCENTRANK.INC('03_原始数据'!$E$5:$E$873,'03_原始数据'!E661)</f>
        <v/>
      </c>
      <c r="F661" s="16">
        <f>IF(True,AVERAGE('03_原始数据'!$E$602:$E$661),"")</f>
        <v/>
      </c>
      <c r="G661" s="16">
        <f>IF(True,STDEV('03_原始数据'!$E$602:$E$661),"")</f>
        <v/>
      </c>
    </row>
    <row r="662" ht="17" customHeight="1">
      <c r="A662" s="40">
        <f>'03_原始数据'!A662</f>
        <v/>
      </c>
      <c r="B662" s="21">
        <f>'03_原始数据'!B662</f>
        <v/>
      </c>
      <c r="C662" s="21">
        <f>'03_原始数据'!C662</f>
        <v/>
      </c>
      <c r="D662" s="21">
        <f>'03_原始数据'!E662</f>
        <v/>
      </c>
      <c r="E662" s="41">
        <f>_xlfn.PERCENTRANK.INC('03_原始数据'!$E$5:$E$873,'03_原始数据'!E662)</f>
        <v/>
      </c>
      <c r="F662" s="21">
        <f>IF(True,AVERAGE('03_原始数据'!$E$603:$E$662),"")</f>
        <v/>
      </c>
      <c r="G662" s="21">
        <f>IF(True,STDEV('03_原始数据'!$E$603:$E$662),"")</f>
        <v/>
      </c>
    </row>
    <row r="663" ht="17" customHeight="1">
      <c r="A663" s="38">
        <f>'03_原始数据'!A663</f>
        <v/>
      </c>
      <c r="B663" s="16">
        <f>'03_原始数据'!B663</f>
        <v/>
      </c>
      <c r="C663" s="16">
        <f>'03_原始数据'!C663</f>
        <v/>
      </c>
      <c r="D663" s="16">
        <f>'03_原始数据'!E663</f>
        <v/>
      </c>
      <c r="E663" s="39">
        <f>_xlfn.PERCENTRANK.INC('03_原始数据'!$E$5:$E$873,'03_原始数据'!E663)</f>
        <v/>
      </c>
      <c r="F663" s="16">
        <f>IF(True,AVERAGE('03_原始数据'!$E$604:$E$663),"")</f>
        <v/>
      </c>
      <c r="G663" s="16">
        <f>IF(True,STDEV('03_原始数据'!$E$604:$E$663),"")</f>
        <v/>
      </c>
    </row>
    <row r="664" ht="17" customHeight="1">
      <c r="A664" s="40">
        <f>'03_原始数据'!A664</f>
        <v/>
      </c>
      <c r="B664" s="21">
        <f>'03_原始数据'!B664</f>
        <v/>
      </c>
      <c r="C664" s="21">
        <f>'03_原始数据'!C664</f>
        <v/>
      </c>
      <c r="D664" s="21">
        <f>'03_原始数据'!E664</f>
        <v/>
      </c>
      <c r="E664" s="41">
        <f>_xlfn.PERCENTRANK.INC('03_原始数据'!$E$5:$E$873,'03_原始数据'!E664)</f>
        <v/>
      </c>
      <c r="F664" s="21">
        <f>IF(True,AVERAGE('03_原始数据'!$E$605:$E$664),"")</f>
        <v/>
      </c>
      <c r="G664" s="21">
        <f>IF(True,STDEV('03_原始数据'!$E$605:$E$664),"")</f>
        <v/>
      </c>
    </row>
    <row r="665" ht="17" customHeight="1">
      <c r="A665" s="38">
        <f>'03_原始数据'!A665</f>
        <v/>
      </c>
      <c r="B665" s="16">
        <f>'03_原始数据'!B665</f>
        <v/>
      </c>
      <c r="C665" s="16">
        <f>'03_原始数据'!C665</f>
        <v/>
      </c>
      <c r="D665" s="16">
        <f>'03_原始数据'!E665</f>
        <v/>
      </c>
      <c r="E665" s="39">
        <f>_xlfn.PERCENTRANK.INC('03_原始数据'!$E$5:$E$873,'03_原始数据'!E665)</f>
        <v/>
      </c>
      <c r="F665" s="16">
        <f>IF(True,AVERAGE('03_原始数据'!$E$606:$E$665),"")</f>
        <v/>
      </c>
      <c r="G665" s="16">
        <f>IF(True,STDEV('03_原始数据'!$E$606:$E$665),"")</f>
        <v/>
      </c>
    </row>
    <row r="666" ht="17" customHeight="1">
      <c r="A666" s="40">
        <f>'03_原始数据'!A666</f>
        <v/>
      </c>
      <c r="B666" s="21">
        <f>'03_原始数据'!B666</f>
        <v/>
      </c>
      <c r="C666" s="21">
        <f>'03_原始数据'!C666</f>
        <v/>
      </c>
      <c r="D666" s="21">
        <f>'03_原始数据'!E666</f>
        <v/>
      </c>
      <c r="E666" s="41">
        <f>_xlfn.PERCENTRANK.INC('03_原始数据'!$E$5:$E$873,'03_原始数据'!E666)</f>
        <v/>
      </c>
      <c r="F666" s="21">
        <f>IF(True,AVERAGE('03_原始数据'!$E$607:$E$666),"")</f>
        <v/>
      </c>
      <c r="G666" s="21">
        <f>IF(True,STDEV('03_原始数据'!$E$607:$E$666),"")</f>
        <v/>
      </c>
    </row>
    <row r="667" ht="17" customHeight="1">
      <c r="A667" s="38">
        <f>'03_原始数据'!A667</f>
        <v/>
      </c>
      <c r="B667" s="16">
        <f>'03_原始数据'!B667</f>
        <v/>
      </c>
      <c r="C667" s="16">
        <f>'03_原始数据'!C667</f>
        <v/>
      </c>
      <c r="D667" s="16">
        <f>'03_原始数据'!E667</f>
        <v/>
      </c>
      <c r="E667" s="39">
        <f>_xlfn.PERCENTRANK.INC('03_原始数据'!$E$5:$E$873,'03_原始数据'!E667)</f>
        <v/>
      </c>
      <c r="F667" s="16">
        <f>IF(True,AVERAGE('03_原始数据'!$E$608:$E$667),"")</f>
        <v/>
      </c>
      <c r="G667" s="16">
        <f>IF(True,STDEV('03_原始数据'!$E$608:$E$667),"")</f>
        <v/>
      </c>
    </row>
    <row r="668" ht="17" customHeight="1">
      <c r="A668" s="40">
        <f>'03_原始数据'!A668</f>
        <v/>
      </c>
      <c r="B668" s="21">
        <f>'03_原始数据'!B668</f>
        <v/>
      </c>
      <c r="C668" s="21">
        <f>'03_原始数据'!C668</f>
        <v/>
      </c>
      <c r="D668" s="21">
        <f>'03_原始数据'!E668</f>
        <v/>
      </c>
      <c r="E668" s="41">
        <f>_xlfn.PERCENTRANK.INC('03_原始数据'!$E$5:$E$873,'03_原始数据'!E668)</f>
        <v/>
      </c>
      <c r="F668" s="21">
        <f>IF(True,AVERAGE('03_原始数据'!$E$609:$E$668),"")</f>
        <v/>
      </c>
      <c r="G668" s="21">
        <f>IF(True,STDEV('03_原始数据'!$E$609:$E$668),"")</f>
        <v/>
      </c>
    </row>
    <row r="669" ht="17" customHeight="1">
      <c r="A669" s="38">
        <f>'03_原始数据'!A669</f>
        <v/>
      </c>
      <c r="B669" s="16">
        <f>'03_原始数据'!B669</f>
        <v/>
      </c>
      <c r="C669" s="16">
        <f>'03_原始数据'!C669</f>
        <v/>
      </c>
      <c r="D669" s="16">
        <f>'03_原始数据'!E669</f>
        <v/>
      </c>
      <c r="E669" s="39">
        <f>_xlfn.PERCENTRANK.INC('03_原始数据'!$E$5:$E$873,'03_原始数据'!E669)</f>
        <v/>
      </c>
      <c r="F669" s="16">
        <f>IF(True,AVERAGE('03_原始数据'!$E$610:$E$669),"")</f>
        <v/>
      </c>
      <c r="G669" s="16">
        <f>IF(True,STDEV('03_原始数据'!$E$610:$E$669),"")</f>
        <v/>
      </c>
    </row>
    <row r="670" ht="17" customHeight="1">
      <c r="A670" s="40">
        <f>'03_原始数据'!A670</f>
        <v/>
      </c>
      <c r="B670" s="21">
        <f>'03_原始数据'!B670</f>
        <v/>
      </c>
      <c r="C670" s="21">
        <f>'03_原始数据'!C670</f>
        <v/>
      </c>
      <c r="D670" s="21">
        <f>'03_原始数据'!E670</f>
        <v/>
      </c>
      <c r="E670" s="41">
        <f>_xlfn.PERCENTRANK.INC('03_原始数据'!$E$5:$E$873,'03_原始数据'!E670)</f>
        <v/>
      </c>
      <c r="F670" s="21">
        <f>IF(True,AVERAGE('03_原始数据'!$E$611:$E$670),"")</f>
        <v/>
      </c>
      <c r="G670" s="21">
        <f>IF(True,STDEV('03_原始数据'!$E$611:$E$670),"")</f>
        <v/>
      </c>
    </row>
    <row r="671" ht="17" customHeight="1">
      <c r="A671" s="38">
        <f>'03_原始数据'!A671</f>
        <v/>
      </c>
      <c r="B671" s="16">
        <f>'03_原始数据'!B671</f>
        <v/>
      </c>
      <c r="C671" s="16">
        <f>'03_原始数据'!C671</f>
        <v/>
      </c>
      <c r="D671" s="16">
        <f>'03_原始数据'!E671</f>
        <v/>
      </c>
      <c r="E671" s="39">
        <f>_xlfn.PERCENTRANK.INC('03_原始数据'!$E$5:$E$873,'03_原始数据'!E671)</f>
        <v/>
      </c>
      <c r="F671" s="16">
        <f>IF(True,AVERAGE('03_原始数据'!$E$612:$E$671),"")</f>
        <v/>
      </c>
      <c r="G671" s="16">
        <f>IF(True,STDEV('03_原始数据'!$E$612:$E$671),"")</f>
        <v/>
      </c>
    </row>
    <row r="672" ht="17" customHeight="1">
      <c r="A672" s="40">
        <f>'03_原始数据'!A672</f>
        <v/>
      </c>
      <c r="B672" s="21">
        <f>'03_原始数据'!B672</f>
        <v/>
      </c>
      <c r="C672" s="21">
        <f>'03_原始数据'!C672</f>
        <v/>
      </c>
      <c r="D672" s="21">
        <f>'03_原始数据'!E672</f>
        <v/>
      </c>
      <c r="E672" s="41">
        <f>_xlfn.PERCENTRANK.INC('03_原始数据'!$E$5:$E$873,'03_原始数据'!E672)</f>
        <v/>
      </c>
      <c r="F672" s="21">
        <f>IF(True,AVERAGE('03_原始数据'!$E$613:$E$672),"")</f>
        <v/>
      </c>
      <c r="G672" s="21">
        <f>IF(True,STDEV('03_原始数据'!$E$613:$E$672),"")</f>
        <v/>
      </c>
    </row>
    <row r="673" ht="17" customHeight="1">
      <c r="A673" s="38">
        <f>'03_原始数据'!A673</f>
        <v/>
      </c>
      <c r="B673" s="16">
        <f>'03_原始数据'!B673</f>
        <v/>
      </c>
      <c r="C673" s="16">
        <f>'03_原始数据'!C673</f>
        <v/>
      </c>
      <c r="D673" s="16">
        <f>'03_原始数据'!E673</f>
        <v/>
      </c>
      <c r="E673" s="39">
        <f>_xlfn.PERCENTRANK.INC('03_原始数据'!$E$5:$E$873,'03_原始数据'!E673)</f>
        <v/>
      </c>
      <c r="F673" s="16">
        <f>IF(True,AVERAGE('03_原始数据'!$E$614:$E$673),"")</f>
        <v/>
      </c>
      <c r="G673" s="16">
        <f>IF(True,STDEV('03_原始数据'!$E$614:$E$673),"")</f>
        <v/>
      </c>
    </row>
    <row r="674" ht="17" customHeight="1">
      <c r="A674" s="40">
        <f>'03_原始数据'!A674</f>
        <v/>
      </c>
      <c r="B674" s="21">
        <f>'03_原始数据'!B674</f>
        <v/>
      </c>
      <c r="C674" s="21">
        <f>'03_原始数据'!C674</f>
        <v/>
      </c>
      <c r="D674" s="21">
        <f>'03_原始数据'!E674</f>
        <v/>
      </c>
      <c r="E674" s="41">
        <f>_xlfn.PERCENTRANK.INC('03_原始数据'!$E$5:$E$873,'03_原始数据'!E674)</f>
        <v/>
      </c>
      <c r="F674" s="21">
        <f>IF(True,AVERAGE('03_原始数据'!$E$615:$E$674),"")</f>
        <v/>
      </c>
      <c r="G674" s="21">
        <f>IF(True,STDEV('03_原始数据'!$E$615:$E$674),"")</f>
        <v/>
      </c>
    </row>
    <row r="675" ht="17" customHeight="1">
      <c r="A675" s="38">
        <f>'03_原始数据'!A675</f>
        <v/>
      </c>
      <c r="B675" s="16">
        <f>'03_原始数据'!B675</f>
        <v/>
      </c>
      <c r="C675" s="16">
        <f>'03_原始数据'!C675</f>
        <v/>
      </c>
      <c r="D675" s="16">
        <f>'03_原始数据'!E675</f>
        <v/>
      </c>
      <c r="E675" s="39">
        <f>_xlfn.PERCENTRANK.INC('03_原始数据'!$E$5:$E$873,'03_原始数据'!E675)</f>
        <v/>
      </c>
      <c r="F675" s="16">
        <f>IF(True,AVERAGE('03_原始数据'!$E$616:$E$675),"")</f>
        <v/>
      </c>
      <c r="G675" s="16">
        <f>IF(True,STDEV('03_原始数据'!$E$616:$E$675),"")</f>
        <v/>
      </c>
    </row>
    <row r="676" ht="17" customHeight="1">
      <c r="A676" s="40">
        <f>'03_原始数据'!A676</f>
        <v/>
      </c>
      <c r="B676" s="21">
        <f>'03_原始数据'!B676</f>
        <v/>
      </c>
      <c r="C676" s="21">
        <f>'03_原始数据'!C676</f>
        <v/>
      </c>
      <c r="D676" s="21">
        <f>'03_原始数据'!E676</f>
        <v/>
      </c>
      <c r="E676" s="41">
        <f>_xlfn.PERCENTRANK.INC('03_原始数据'!$E$5:$E$873,'03_原始数据'!E676)</f>
        <v/>
      </c>
      <c r="F676" s="21">
        <f>IF(True,AVERAGE('03_原始数据'!$E$617:$E$676),"")</f>
        <v/>
      </c>
      <c r="G676" s="21">
        <f>IF(True,STDEV('03_原始数据'!$E$617:$E$676),"")</f>
        <v/>
      </c>
    </row>
    <row r="677" ht="17" customHeight="1">
      <c r="A677" s="38">
        <f>'03_原始数据'!A677</f>
        <v/>
      </c>
      <c r="B677" s="16">
        <f>'03_原始数据'!B677</f>
        <v/>
      </c>
      <c r="C677" s="16">
        <f>'03_原始数据'!C677</f>
        <v/>
      </c>
      <c r="D677" s="16">
        <f>'03_原始数据'!E677</f>
        <v/>
      </c>
      <c r="E677" s="39">
        <f>_xlfn.PERCENTRANK.INC('03_原始数据'!$E$5:$E$873,'03_原始数据'!E677)</f>
        <v/>
      </c>
      <c r="F677" s="16">
        <f>IF(True,AVERAGE('03_原始数据'!$E$618:$E$677),"")</f>
        <v/>
      </c>
      <c r="G677" s="16">
        <f>IF(True,STDEV('03_原始数据'!$E$618:$E$677),"")</f>
        <v/>
      </c>
    </row>
    <row r="678" ht="17" customHeight="1">
      <c r="A678" s="40">
        <f>'03_原始数据'!A678</f>
        <v/>
      </c>
      <c r="B678" s="21">
        <f>'03_原始数据'!B678</f>
        <v/>
      </c>
      <c r="C678" s="21">
        <f>'03_原始数据'!C678</f>
        <v/>
      </c>
      <c r="D678" s="21">
        <f>'03_原始数据'!E678</f>
        <v/>
      </c>
      <c r="E678" s="41">
        <f>_xlfn.PERCENTRANK.INC('03_原始数据'!$E$5:$E$873,'03_原始数据'!E678)</f>
        <v/>
      </c>
      <c r="F678" s="21">
        <f>IF(True,AVERAGE('03_原始数据'!$E$619:$E$678),"")</f>
        <v/>
      </c>
      <c r="G678" s="21">
        <f>IF(True,STDEV('03_原始数据'!$E$619:$E$678),"")</f>
        <v/>
      </c>
    </row>
    <row r="679" ht="17" customHeight="1">
      <c r="A679" s="38">
        <f>'03_原始数据'!A679</f>
        <v/>
      </c>
      <c r="B679" s="16">
        <f>'03_原始数据'!B679</f>
        <v/>
      </c>
      <c r="C679" s="16">
        <f>'03_原始数据'!C679</f>
        <v/>
      </c>
      <c r="D679" s="16">
        <f>'03_原始数据'!E679</f>
        <v/>
      </c>
      <c r="E679" s="39">
        <f>_xlfn.PERCENTRANK.INC('03_原始数据'!$E$5:$E$873,'03_原始数据'!E679)</f>
        <v/>
      </c>
      <c r="F679" s="16">
        <f>IF(True,AVERAGE('03_原始数据'!$E$620:$E$679),"")</f>
        <v/>
      </c>
      <c r="G679" s="16">
        <f>IF(True,STDEV('03_原始数据'!$E$620:$E$679),"")</f>
        <v/>
      </c>
    </row>
    <row r="680" ht="17" customHeight="1">
      <c r="A680" s="40">
        <f>'03_原始数据'!A680</f>
        <v/>
      </c>
      <c r="B680" s="21">
        <f>'03_原始数据'!B680</f>
        <v/>
      </c>
      <c r="C680" s="21">
        <f>'03_原始数据'!C680</f>
        <v/>
      </c>
      <c r="D680" s="21">
        <f>'03_原始数据'!E680</f>
        <v/>
      </c>
      <c r="E680" s="41">
        <f>_xlfn.PERCENTRANK.INC('03_原始数据'!$E$5:$E$873,'03_原始数据'!E680)</f>
        <v/>
      </c>
      <c r="F680" s="21">
        <f>IF(True,AVERAGE('03_原始数据'!$E$621:$E$680),"")</f>
        <v/>
      </c>
      <c r="G680" s="21">
        <f>IF(True,STDEV('03_原始数据'!$E$621:$E$680),"")</f>
        <v/>
      </c>
    </row>
    <row r="681" ht="17" customHeight="1">
      <c r="A681" s="38">
        <f>'03_原始数据'!A681</f>
        <v/>
      </c>
      <c r="B681" s="16">
        <f>'03_原始数据'!B681</f>
        <v/>
      </c>
      <c r="C681" s="16">
        <f>'03_原始数据'!C681</f>
        <v/>
      </c>
      <c r="D681" s="16">
        <f>'03_原始数据'!E681</f>
        <v/>
      </c>
      <c r="E681" s="39">
        <f>_xlfn.PERCENTRANK.INC('03_原始数据'!$E$5:$E$873,'03_原始数据'!E681)</f>
        <v/>
      </c>
      <c r="F681" s="16">
        <f>IF(True,AVERAGE('03_原始数据'!$E$622:$E$681),"")</f>
        <v/>
      </c>
      <c r="G681" s="16">
        <f>IF(True,STDEV('03_原始数据'!$E$622:$E$681),"")</f>
        <v/>
      </c>
    </row>
    <row r="682" ht="17" customHeight="1">
      <c r="A682" s="40">
        <f>'03_原始数据'!A682</f>
        <v/>
      </c>
      <c r="B682" s="21">
        <f>'03_原始数据'!B682</f>
        <v/>
      </c>
      <c r="C682" s="21">
        <f>'03_原始数据'!C682</f>
        <v/>
      </c>
      <c r="D682" s="21">
        <f>'03_原始数据'!E682</f>
        <v/>
      </c>
      <c r="E682" s="41">
        <f>_xlfn.PERCENTRANK.INC('03_原始数据'!$E$5:$E$873,'03_原始数据'!E682)</f>
        <v/>
      </c>
      <c r="F682" s="21">
        <f>IF(True,AVERAGE('03_原始数据'!$E$623:$E$682),"")</f>
        <v/>
      </c>
      <c r="G682" s="21">
        <f>IF(True,STDEV('03_原始数据'!$E$623:$E$682),"")</f>
        <v/>
      </c>
    </row>
    <row r="683" ht="17" customHeight="1">
      <c r="A683" s="38">
        <f>'03_原始数据'!A683</f>
        <v/>
      </c>
      <c r="B683" s="16">
        <f>'03_原始数据'!B683</f>
        <v/>
      </c>
      <c r="C683" s="16">
        <f>'03_原始数据'!C683</f>
        <v/>
      </c>
      <c r="D683" s="16">
        <f>'03_原始数据'!E683</f>
        <v/>
      </c>
      <c r="E683" s="39">
        <f>_xlfn.PERCENTRANK.INC('03_原始数据'!$E$5:$E$873,'03_原始数据'!E683)</f>
        <v/>
      </c>
      <c r="F683" s="16">
        <f>IF(True,AVERAGE('03_原始数据'!$E$624:$E$683),"")</f>
        <v/>
      </c>
      <c r="G683" s="16">
        <f>IF(True,STDEV('03_原始数据'!$E$624:$E$683),"")</f>
        <v/>
      </c>
    </row>
    <row r="684" ht="17" customHeight="1">
      <c r="A684" s="40">
        <f>'03_原始数据'!A684</f>
        <v/>
      </c>
      <c r="B684" s="21">
        <f>'03_原始数据'!B684</f>
        <v/>
      </c>
      <c r="C684" s="21">
        <f>'03_原始数据'!C684</f>
        <v/>
      </c>
      <c r="D684" s="21">
        <f>'03_原始数据'!E684</f>
        <v/>
      </c>
      <c r="E684" s="41">
        <f>_xlfn.PERCENTRANK.INC('03_原始数据'!$E$5:$E$873,'03_原始数据'!E684)</f>
        <v/>
      </c>
      <c r="F684" s="21">
        <f>IF(True,AVERAGE('03_原始数据'!$E$625:$E$684),"")</f>
        <v/>
      </c>
      <c r="G684" s="21">
        <f>IF(True,STDEV('03_原始数据'!$E$625:$E$684),"")</f>
        <v/>
      </c>
    </row>
    <row r="685" ht="17" customHeight="1">
      <c r="A685" s="38">
        <f>'03_原始数据'!A685</f>
        <v/>
      </c>
      <c r="B685" s="16">
        <f>'03_原始数据'!B685</f>
        <v/>
      </c>
      <c r="C685" s="16">
        <f>'03_原始数据'!C685</f>
        <v/>
      </c>
      <c r="D685" s="16">
        <f>'03_原始数据'!E685</f>
        <v/>
      </c>
      <c r="E685" s="39">
        <f>_xlfn.PERCENTRANK.INC('03_原始数据'!$E$5:$E$873,'03_原始数据'!E685)</f>
        <v/>
      </c>
      <c r="F685" s="16">
        <f>IF(True,AVERAGE('03_原始数据'!$E$626:$E$685),"")</f>
        <v/>
      </c>
      <c r="G685" s="16">
        <f>IF(True,STDEV('03_原始数据'!$E$626:$E$685),"")</f>
        <v/>
      </c>
    </row>
    <row r="686" ht="17" customHeight="1">
      <c r="A686" s="40">
        <f>'03_原始数据'!A686</f>
        <v/>
      </c>
      <c r="B686" s="21">
        <f>'03_原始数据'!B686</f>
        <v/>
      </c>
      <c r="C686" s="21">
        <f>'03_原始数据'!C686</f>
        <v/>
      </c>
      <c r="D686" s="21">
        <f>'03_原始数据'!E686</f>
        <v/>
      </c>
      <c r="E686" s="41">
        <f>_xlfn.PERCENTRANK.INC('03_原始数据'!$E$5:$E$873,'03_原始数据'!E686)</f>
        <v/>
      </c>
      <c r="F686" s="21">
        <f>IF(True,AVERAGE('03_原始数据'!$E$627:$E$686),"")</f>
        <v/>
      </c>
      <c r="G686" s="21">
        <f>IF(True,STDEV('03_原始数据'!$E$627:$E$686),"")</f>
        <v/>
      </c>
    </row>
    <row r="687" ht="17" customHeight="1">
      <c r="A687" s="38">
        <f>'03_原始数据'!A687</f>
        <v/>
      </c>
      <c r="B687" s="16">
        <f>'03_原始数据'!B687</f>
        <v/>
      </c>
      <c r="C687" s="16">
        <f>'03_原始数据'!C687</f>
        <v/>
      </c>
      <c r="D687" s="16">
        <f>'03_原始数据'!E687</f>
        <v/>
      </c>
      <c r="E687" s="39">
        <f>_xlfn.PERCENTRANK.INC('03_原始数据'!$E$5:$E$873,'03_原始数据'!E687)</f>
        <v/>
      </c>
      <c r="F687" s="16">
        <f>IF(True,AVERAGE('03_原始数据'!$E$628:$E$687),"")</f>
        <v/>
      </c>
      <c r="G687" s="16">
        <f>IF(True,STDEV('03_原始数据'!$E$628:$E$687),"")</f>
        <v/>
      </c>
    </row>
    <row r="688" ht="17" customHeight="1">
      <c r="A688" s="40">
        <f>'03_原始数据'!A688</f>
        <v/>
      </c>
      <c r="B688" s="21">
        <f>'03_原始数据'!B688</f>
        <v/>
      </c>
      <c r="C688" s="21">
        <f>'03_原始数据'!C688</f>
        <v/>
      </c>
      <c r="D688" s="21">
        <f>'03_原始数据'!E688</f>
        <v/>
      </c>
      <c r="E688" s="41">
        <f>_xlfn.PERCENTRANK.INC('03_原始数据'!$E$5:$E$873,'03_原始数据'!E688)</f>
        <v/>
      </c>
      <c r="F688" s="21">
        <f>IF(True,AVERAGE('03_原始数据'!$E$629:$E$688),"")</f>
        <v/>
      </c>
      <c r="G688" s="21">
        <f>IF(True,STDEV('03_原始数据'!$E$629:$E$688),"")</f>
        <v/>
      </c>
    </row>
    <row r="689" ht="17" customHeight="1">
      <c r="A689" s="38">
        <f>'03_原始数据'!A689</f>
        <v/>
      </c>
      <c r="B689" s="16">
        <f>'03_原始数据'!B689</f>
        <v/>
      </c>
      <c r="C689" s="16">
        <f>'03_原始数据'!C689</f>
        <v/>
      </c>
      <c r="D689" s="16">
        <f>'03_原始数据'!E689</f>
        <v/>
      </c>
      <c r="E689" s="39">
        <f>_xlfn.PERCENTRANK.INC('03_原始数据'!$E$5:$E$873,'03_原始数据'!E689)</f>
        <v/>
      </c>
      <c r="F689" s="16">
        <f>IF(True,AVERAGE('03_原始数据'!$E$630:$E$689),"")</f>
        <v/>
      </c>
      <c r="G689" s="16">
        <f>IF(True,STDEV('03_原始数据'!$E$630:$E$689),"")</f>
        <v/>
      </c>
    </row>
    <row r="690" ht="17" customHeight="1">
      <c r="A690" s="40">
        <f>'03_原始数据'!A690</f>
        <v/>
      </c>
      <c r="B690" s="21">
        <f>'03_原始数据'!B690</f>
        <v/>
      </c>
      <c r="C690" s="21">
        <f>'03_原始数据'!C690</f>
        <v/>
      </c>
      <c r="D690" s="21">
        <f>'03_原始数据'!E690</f>
        <v/>
      </c>
      <c r="E690" s="41">
        <f>_xlfn.PERCENTRANK.INC('03_原始数据'!$E$5:$E$873,'03_原始数据'!E690)</f>
        <v/>
      </c>
      <c r="F690" s="21">
        <f>IF(True,AVERAGE('03_原始数据'!$E$631:$E$690),"")</f>
        <v/>
      </c>
      <c r="G690" s="21">
        <f>IF(True,STDEV('03_原始数据'!$E$631:$E$690),"")</f>
        <v/>
      </c>
    </row>
    <row r="691" ht="17" customHeight="1">
      <c r="A691" s="38">
        <f>'03_原始数据'!A691</f>
        <v/>
      </c>
      <c r="B691" s="16">
        <f>'03_原始数据'!B691</f>
        <v/>
      </c>
      <c r="C691" s="16">
        <f>'03_原始数据'!C691</f>
        <v/>
      </c>
      <c r="D691" s="16">
        <f>'03_原始数据'!E691</f>
        <v/>
      </c>
      <c r="E691" s="39">
        <f>_xlfn.PERCENTRANK.INC('03_原始数据'!$E$5:$E$873,'03_原始数据'!E691)</f>
        <v/>
      </c>
      <c r="F691" s="16">
        <f>IF(True,AVERAGE('03_原始数据'!$E$632:$E$691),"")</f>
        <v/>
      </c>
      <c r="G691" s="16">
        <f>IF(True,STDEV('03_原始数据'!$E$632:$E$691),"")</f>
        <v/>
      </c>
    </row>
    <row r="692" ht="17" customHeight="1">
      <c r="A692" s="40">
        <f>'03_原始数据'!A692</f>
        <v/>
      </c>
      <c r="B692" s="21">
        <f>'03_原始数据'!B692</f>
        <v/>
      </c>
      <c r="C692" s="21">
        <f>'03_原始数据'!C692</f>
        <v/>
      </c>
      <c r="D692" s="21">
        <f>'03_原始数据'!E692</f>
        <v/>
      </c>
      <c r="E692" s="41">
        <f>_xlfn.PERCENTRANK.INC('03_原始数据'!$E$5:$E$873,'03_原始数据'!E692)</f>
        <v/>
      </c>
      <c r="F692" s="21">
        <f>IF(True,AVERAGE('03_原始数据'!$E$633:$E$692),"")</f>
        <v/>
      </c>
      <c r="G692" s="21">
        <f>IF(True,STDEV('03_原始数据'!$E$633:$E$692),"")</f>
        <v/>
      </c>
    </row>
    <row r="693" ht="17" customHeight="1">
      <c r="A693" s="38">
        <f>'03_原始数据'!A693</f>
        <v/>
      </c>
      <c r="B693" s="16">
        <f>'03_原始数据'!B693</f>
        <v/>
      </c>
      <c r="C693" s="16">
        <f>'03_原始数据'!C693</f>
        <v/>
      </c>
      <c r="D693" s="16">
        <f>'03_原始数据'!E693</f>
        <v/>
      </c>
      <c r="E693" s="39">
        <f>_xlfn.PERCENTRANK.INC('03_原始数据'!$E$5:$E$873,'03_原始数据'!E693)</f>
        <v/>
      </c>
      <c r="F693" s="16">
        <f>IF(True,AVERAGE('03_原始数据'!$E$634:$E$693),"")</f>
        <v/>
      </c>
      <c r="G693" s="16">
        <f>IF(True,STDEV('03_原始数据'!$E$634:$E$693),"")</f>
        <v/>
      </c>
    </row>
    <row r="694" ht="17" customHeight="1">
      <c r="A694" s="40">
        <f>'03_原始数据'!A694</f>
        <v/>
      </c>
      <c r="B694" s="21">
        <f>'03_原始数据'!B694</f>
        <v/>
      </c>
      <c r="C694" s="21">
        <f>'03_原始数据'!C694</f>
        <v/>
      </c>
      <c r="D694" s="21">
        <f>'03_原始数据'!E694</f>
        <v/>
      </c>
      <c r="E694" s="41">
        <f>_xlfn.PERCENTRANK.INC('03_原始数据'!$E$5:$E$873,'03_原始数据'!E694)</f>
        <v/>
      </c>
      <c r="F694" s="21">
        <f>IF(True,AVERAGE('03_原始数据'!$E$635:$E$694),"")</f>
        <v/>
      </c>
      <c r="G694" s="21">
        <f>IF(True,STDEV('03_原始数据'!$E$635:$E$694),"")</f>
        <v/>
      </c>
    </row>
    <row r="695" ht="17" customHeight="1">
      <c r="A695" s="38">
        <f>'03_原始数据'!A695</f>
        <v/>
      </c>
      <c r="B695" s="16">
        <f>'03_原始数据'!B695</f>
        <v/>
      </c>
      <c r="C695" s="16">
        <f>'03_原始数据'!C695</f>
        <v/>
      </c>
      <c r="D695" s="16">
        <f>'03_原始数据'!E695</f>
        <v/>
      </c>
      <c r="E695" s="39">
        <f>_xlfn.PERCENTRANK.INC('03_原始数据'!$E$5:$E$873,'03_原始数据'!E695)</f>
        <v/>
      </c>
      <c r="F695" s="16">
        <f>IF(True,AVERAGE('03_原始数据'!$E$636:$E$695),"")</f>
        <v/>
      </c>
      <c r="G695" s="16">
        <f>IF(True,STDEV('03_原始数据'!$E$636:$E$695),"")</f>
        <v/>
      </c>
    </row>
    <row r="696" ht="17" customHeight="1">
      <c r="A696" s="40">
        <f>'03_原始数据'!A696</f>
        <v/>
      </c>
      <c r="B696" s="21">
        <f>'03_原始数据'!B696</f>
        <v/>
      </c>
      <c r="C696" s="21">
        <f>'03_原始数据'!C696</f>
        <v/>
      </c>
      <c r="D696" s="21">
        <f>'03_原始数据'!E696</f>
        <v/>
      </c>
      <c r="E696" s="41">
        <f>_xlfn.PERCENTRANK.INC('03_原始数据'!$E$5:$E$873,'03_原始数据'!E696)</f>
        <v/>
      </c>
      <c r="F696" s="21">
        <f>IF(True,AVERAGE('03_原始数据'!$E$637:$E$696),"")</f>
        <v/>
      </c>
      <c r="G696" s="21">
        <f>IF(True,STDEV('03_原始数据'!$E$637:$E$696),"")</f>
        <v/>
      </c>
    </row>
    <row r="697" ht="17" customHeight="1">
      <c r="A697" s="38">
        <f>'03_原始数据'!A697</f>
        <v/>
      </c>
      <c r="B697" s="16">
        <f>'03_原始数据'!B697</f>
        <v/>
      </c>
      <c r="C697" s="16">
        <f>'03_原始数据'!C697</f>
        <v/>
      </c>
      <c r="D697" s="16">
        <f>'03_原始数据'!E697</f>
        <v/>
      </c>
      <c r="E697" s="39">
        <f>_xlfn.PERCENTRANK.INC('03_原始数据'!$E$5:$E$873,'03_原始数据'!E697)</f>
        <v/>
      </c>
      <c r="F697" s="16">
        <f>IF(True,AVERAGE('03_原始数据'!$E$638:$E$697),"")</f>
        <v/>
      </c>
      <c r="G697" s="16">
        <f>IF(True,STDEV('03_原始数据'!$E$638:$E$697),"")</f>
        <v/>
      </c>
    </row>
    <row r="698" ht="17" customHeight="1">
      <c r="A698" s="40">
        <f>'03_原始数据'!A698</f>
        <v/>
      </c>
      <c r="B698" s="21">
        <f>'03_原始数据'!B698</f>
        <v/>
      </c>
      <c r="C698" s="21">
        <f>'03_原始数据'!C698</f>
        <v/>
      </c>
      <c r="D698" s="21">
        <f>'03_原始数据'!E698</f>
        <v/>
      </c>
      <c r="E698" s="41">
        <f>_xlfn.PERCENTRANK.INC('03_原始数据'!$E$5:$E$873,'03_原始数据'!E698)</f>
        <v/>
      </c>
      <c r="F698" s="21">
        <f>IF(True,AVERAGE('03_原始数据'!$E$639:$E$698),"")</f>
        <v/>
      </c>
      <c r="G698" s="21">
        <f>IF(True,STDEV('03_原始数据'!$E$639:$E$698),"")</f>
        <v/>
      </c>
    </row>
    <row r="699" ht="17" customHeight="1">
      <c r="A699" s="38">
        <f>'03_原始数据'!A699</f>
        <v/>
      </c>
      <c r="B699" s="16">
        <f>'03_原始数据'!B699</f>
        <v/>
      </c>
      <c r="C699" s="16">
        <f>'03_原始数据'!C699</f>
        <v/>
      </c>
      <c r="D699" s="16">
        <f>'03_原始数据'!E699</f>
        <v/>
      </c>
      <c r="E699" s="39">
        <f>_xlfn.PERCENTRANK.INC('03_原始数据'!$E$5:$E$873,'03_原始数据'!E699)</f>
        <v/>
      </c>
      <c r="F699" s="16">
        <f>IF(True,AVERAGE('03_原始数据'!$E$640:$E$699),"")</f>
        <v/>
      </c>
      <c r="G699" s="16">
        <f>IF(True,STDEV('03_原始数据'!$E$640:$E$699),"")</f>
        <v/>
      </c>
    </row>
    <row r="700" ht="17" customHeight="1">
      <c r="A700" s="40">
        <f>'03_原始数据'!A700</f>
        <v/>
      </c>
      <c r="B700" s="21">
        <f>'03_原始数据'!B700</f>
        <v/>
      </c>
      <c r="C700" s="21">
        <f>'03_原始数据'!C700</f>
        <v/>
      </c>
      <c r="D700" s="21">
        <f>'03_原始数据'!E700</f>
        <v/>
      </c>
      <c r="E700" s="41">
        <f>_xlfn.PERCENTRANK.INC('03_原始数据'!$E$5:$E$873,'03_原始数据'!E700)</f>
        <v/>
      </c>
      <c r="F700" s="21">
        <f>IF(True,AVERAGE('03_原始数据'!$E$641:$E$700),"")</f>
        <v/>
      </c>
      <c r="G700" s="21">
        <f>IF(True,STDEV('03_原始数据'!$E$641:$E$700),"")</f>
        <v/>
      </c>
    </row>
    <row r="701" ht="17" customHeight="1">
      <c r="A701" s="38">
        <f>'03_原始数据'!A701</f>
        <v/>
      </c>
      <c r="B701" s="16">
        <f>'03_原始数据'!B701</f>
        <v/>
      </c>
      <c r="C701" s="16">
        <f>'03_原始数据'!C701</f>
        <v/>
      </c>
      <c r="D701" s="16">
        <f>'03_原始数据'!E701</f>
        <v/>
      </c>
      <c r="E701" s="39">
        <f>_xlfn.PERCENTRANK.INC('03_原始数据'!$E$5:$E$873,'03_原始数据'!E701)</f>
        <v/>
      </c>
      <c r="F701" s="16">
        <f>IF(True,AVERAGE('03_原始数据'!$E$642:$E$701),"")</f>
        <v/>
      </c>
      <c r="G701" s="16">
        <f>IF(True,STDEV('03_原始数据'!$E$642:$E$701),"")</f>
        <v/>
      </c>
    </row>
    <row r="702" ht="17" customHeight="1">
      <c r="A702" s="40">
        <f>'03_原始数据'!A702</f>
        <v/>
      </c>
      <c r="B702" s="21">
        <f>'03_原始数据'!B702</f>
        <v/>
      </c>
      <c r="C702" s="21">
        <f>'03_原始数据'!C702</f>
        <v/>
      </c>
      <c r="D702" s="21">
        <f>'03_原始数据'!E702</f>
        <v/>
      </c>
      <c r="E702" s="41">
        <f>_xlfn.PERCENTRANK.INC('03_原始数据'!$E$5:$E$873,'03_原始数据'!E702)</f>
        <v/>
      </c>
      <c r="F702" s="21">
        <f>IF(True,AVERAGE('03_原始数据'!$E$643:$E$702),"")</f>
        <v/>
      </c>
      <c r="G702" s="21">
        <f>IF(True,STDEV('03_原始数据'!$E$643:$E$702),"")</f>
        <v/>
      </c>
    </row>
    <row r="703" ht="17" customHeight="1">
      <c r="A703" s="38">
        <f>'03_原始数据'!A703</f>
        <v/>
      </c>
      <c r="B703" s="16">
        <f>'03_原始数据'!B703</f>
        <v/>
      </c>
      <c r="C703" s="16">
        <f>'03_原始数据'!C703</f>
        <v/>
      </c>
      <c r="D703" s="16">
        <f>'03_原始数据'!E703</f>
        <v/>
      </c>
      <c r="E703" s="39">
        <f>_xlfn.PERCENTRANK.INC('03_原始数据'!$E$5:$E$873,'03_原始数据'!E703)</f>
        <v/>
      </c>
      <c r="F703" s="16">
        <f>IF(True,AVERAGE('03_原始数据'!$E$644:$E$703),"")</f>
        <v/>
      </c>
      <c r="G703" s="16">
        <f>IF(True,STDEV('03_原始数据'!$E$644:$E$703),"")</f>
        <v/>
      </c>
    </row>
    <row r="704" ht="17" customHeight="1">
      <c r="A704" s="40">
        <f>'03_原始数据'!A704</f>
        <v/>
      </c>
      <c r="B704" s="21">
        <f>'03_原始数据'!B704</f>
        <v/>
      </c>
      <c r="C704" s="21">
        <f>'03_原始数据'!C704</f>
        <v/>
      </c>
      <c r="D704" s="21">
        <f>'03_原始数据'!E704</f>
        <v/>
      </c>
      <c r="E704" s="41">
        <f>_xlfn.PERCENTRANK.INC('03_原始数据'!$E$5:$E$873,'03_原始数据'!E704)</f>
        <v/>
      </c>
      <c r="F704" s="21">
        <f>IF(True,AVERAGE('03_原始数据'!$E$645:$E$704),"")</f>
        <v/>
      </c>
      <c r="G704" s="21">
        <f>IF(True,STDEV('03_原始数据'!$E$645:$E$704),"")</f>
        <v/>
      </c>
    </row>
    <row r="705" ht="17" customHeight="1">
      <c r="A705" s="38">
        <f>'03_原始数据'!A705</f>
        <v/>
      </c>
      <c r="B705" s="16">
        <f>'03_原始数据'!B705</f>
        <v/>
      </c>
      <c r="C705" s="16">
        <f>'03_原始数据'!C705</f>
        <v/>
      </c>
      <c r="D705" s="16">
        <f>'03_原始数据'!E705</f>
        <v/>
      </c>
      <c r="E705" s="39">
        <f>_xlfn.PERCENTRANK.INC('03_原始数据'!$E$5:$E$873,'03_原始数据'!E705)</f>
        <v/>
      </c>
      <c r="F705" s="16">
        <f>IF(True,AVERAGE('03_原始数据'!$E$646:$E$705),"")</f>
        <v/>
      </c>
      <c r="G705" s="16">
        <f>IF(True,STDEV('03_原始数据'!$E$646:$E$705),"")</f>
        <v/>
      </c>
    </row>
    <row r="706" ht="17" customHeight="1">
      <c r="A706" s="40">
        <f>'03_原始数据'!A706</f>
        <v/>
      </c>
      <c r="B706" s="21">
        <f>'03_原始数据'!B706</f>
        <v/>
      </c>
      <c r="C706" s="21">
        <f>'03_原始数据'!C706</f>
        <v/>
      </c>
      <c r="D706" s="21">
        <f>'03_原始数据'!E706</f>
        <v/>
      </c>
      <c r="E706" s="41">
        <f>_xlfn.PERCENTRANK.INC('03_原始数据'!$E$5:$E$873,'03_原始数据'!E706)</f>
        <v/>
      </c>
      <c r="F706" s="21">
        <f>IF(True,AVERAGE('03_原始数据'!$E$647:$E$706),"")</f>
        <v/>
      </c>
      <c r="G706" s="21">
        <f>IF(True,STDEV('03_原始数据'!$E$647:$E$706),"")</f>
        <v/>
      </c>
    </row>
    <row r="707" ht="17" customHeight="1">
      <c r="A707" s="38">
        <f>'03_原始数据'!A707</f>
        <v/>
      </c>
      <c r="B707" s="16">
        <f>'03_原始数据'!B707</f>
        <v/>
      </c>
      <c r="C707" s="16">
        <f>'03_原始数据'!C707</f>
        <v/>
      </c>
      <c r="D707" s="16">
        <f>'03_原始数据'!E707</f>
        <v/>
      </c>
      <c r="E707" s="39">
        <f>_xlfn.PERCENTRANK.INC('03_原始数据'!$E$5:$E$873,'03_原始数据'!E707)</f>
        <v/>
      </c>
      <c r="F707" s="16">
        <f>IF(True,AVERAGE('03_原始数据'!$E$648:$E$707),"")</f>
        <v/>
      </c>
      <c r="G707" s="16">
        <f>IF(True,STDEV('03_原始数据'!$E$648:$E$707),"")</f>
        <v/>
      </c>
    </row>
    <row r="708" ht="17" customHeight="1">
      <c r="A708" s="40">
        <f>'03_原始数据'!A708</f>
        <v/>
      </c>
      <c r="B708" s="21">
        <f>'03_原始数据'!B708</f>
        <v/>
      </c>
      <c r="C708" s="21">
        <f>'03_原始数据'!C708</f>
        <v/>
      </c>
      <c r="D708" s="21">
        <f>'03_原始数据'!E708</f>
        <v/>
      </c>
      <c r="E708" s="41">
        <f>_xlfn.PERCENTRANK.INC('03_原始数据'!$E$5:$E$873,'03_原始数据'!E708)</f>
        <v/>
      </c>
      <c r="F708" s="21">
        <f>IF(True,AVERAGE('03_原始数据'!$E$649:$E$708),"")</f>
        <v/>
      </c>
      <c r="G708" s="21">
        <f>IF(True,STDEV('03_原始数据'!$E$649:$E$708),"")</f>
        <v/>
      </c>
    </row>
    <row r="709" ht="17" customHeight="1">
      <c r="A709" s="38">
        <f>'03_原始数据'!A709</f>
        <v/>
      </c>
      <c r="B709" s="16">
        <f>'03_原始数据'!B709</f>
        <v/>
      </c>
      <c r="C709" s="16">
        <f>'03_原始数据'!C709</f>
        <v/>
      </c>
      <c r="D709" s="16">
        <f>'03_原始数据'!E709</f>
        <v/>
      </c>
      <c r="E709" s="39">
        <f>_xlfn.PERCENTRANK.INC('03_原始数据'!$E$5:$E$873,'03_原始数据'!E709)</f>
        <v/>
      </c>
      <c r="F709" s="16">
        <f>IF(True,AVERAGE('03_原始数据'!$E$650:$E$709),"")</f>
        <v/>
      </c>
      <c r="G709" s="16">
        <f>IF(True,STDEV('03_原始数据'!$E$650:$E$709),"")</f>
        <v/>
      </c>
    </row>
    <row r="710" ht="17" customHeight="1">
      <c r="A710" s="40">
        <f>'03_原始数据'!A710</f>
        <v/>
      </c>
      <c r="B710" s="21">
        <f>'03_原始数据'!B710</f>
        <v/>
      </c>
      <c r="C710" s="21">
        <f>'03_原始数据'!C710</f>
        <v/>
      </c>
      <c r="D710" s="21">
        <f>'03_原始数据'!E710</f>
        <v/>
      </c>
      <c r="E710" s="41">
        <f>_xlfn.PERCENTRANK.INC('03_原始数据'!$E$5:$E$873,'03_原始数据'!E710)</f>
        <v/>
      </c>
      <c r="F710" s="21">
        <f>IF(True,AVERAGE('03_原始数据'!$E$651:$E$710),"")</f>
        <v/>
      </c>
      <c r="G710" s="21">
        <f>IF(True,STDEV('03_原始数据'!$E$651:$E$710),"")</f>
        <v/>
      </c>
    </row>
    <row r="711" ht="17" customHeight="1">
      <c r="A711" s="38">
        <f>'03_原始数据'!A711</f>
        <v/>
      </c>
      <c r="B711" s="16">
        <f>'03_原始数据'!B711</f>
        <v/>
      </c>
      <c r="C711" s="16">
        <f>'03_原始数据'!C711</f>
        <v/>
      </c>
      <c r="D711" s="16">
        <f>'03_原始数据'!E711</f>
        <v/>
      </c>
      <c r="E711" s="39">
        <f>_xlfn.PERCENTRANK.INC('03_原始数据'!$E$5:$E$873,'03_原始数据'!E711)</f>
        <v/>
      </c>
      <c r="F711" s="16">
        <f>IF(True,AVERAGE('03_原始数据'!$E$652:$E$711),"")</f>
        <v/>
      </c>
      <c r="G711" s="16">
        <f>IF(True,STDEV('03_原始数据'!$E$652:$E$711),"")</f>
        <v/>
      </c>
    </row>
    <row r="712" ht="17" customHeight="1">
      <c r="A712" s="40">
        <f>'03_原始数据'!A712</f>
        <v/>
      </c>
      <c r="B712" s="21">
        <f>'03_原始数据'!B712</f>
        <v/>
      </c>
      <c r="C712" s="21">
        <f>'03_原始数据'!C712</f>
        <v/>
      </c>
      <c r="D712" s="21">
        <f>'03_原始数据'!E712</f>
        <v/>
      </c>
      <c r="E712" s="41">
        <f>_xlfn.PERCENTRANK.INC('03_原始数据'!$E$5:$E$873,'03_原始数据'!E712)</f>
        <v/>
      </c>
      <c r="F712" s="21">
        <f>IF(True,AVERAGE('03_原始数据'!$E$653:$E$712),"")</f>
        <v/>
      </c>
      <c r="G712" s="21">
        <f>IF(True,STDEV('03_原始数据'!$E$653:$E$712),"")</f>
        <v/>
      </c>
    </row>
    <row r="713" ht="17" customHeight="1">
      <c r="A713" s="38">
        <f>'03_原始数据'!A713</f>
        <v/>
      </c>
      <c r="B713" s="16">
        <f>'03_原始数据'!B713</f>
        <v/>
      </c>
      <c r="C713" s="16">
        <f>'03_原始数据'!C713</f>
        <v/>
      </c>
      <c r="D713" s="16">
        <f>'03_原始数据'!E713</f>
        <v/>
      </c>
      <c r="E713" s="39">
        <f>_xlfn.PERCENTRANK.INC('03_原始数据'!$E$5:$E$873,'03_原始数据'!E713)</f>
        <v/>
      </c>
      <c r="F713" s="16">
        <f>IF(True,AVERAGE('03_原始数据'!$E$654:$E$713),"")</f>
        <v/>
      </c>
      <c r="G713" s="16">
        <f>IF(True,STDEV('03_原始数据'!$E$654:$E$713),"")</f>
        <v/>
      </c>
    </row>
    <row r="714" ht="17" customHeight="1">
      <c r="A714" s="40">
        <f>'03_原始数据'!A714</f>
        <v/>
      </c>
      <c r="B714" s="21">
        <f>'03_原始数据'!B714</f>
        <v/>
      </c>
      <c r="C714" s="21">
        <f>'03_原始数据'!C714</f>
        <v/>
      </c>
      <c r="D714" s="21">
        <f>'03_原始数据'!E714</f>
        <v/>
      </c>
      <c r="E714" s="41">
        <f>_xlfn.PERCENTRANK.INC('03_原始数据'!$E$5:$E$873,'03_原始数据'!E714)</f>
        <v/>
      </c>
      <c r="F714" s="21">
        <f>IF(True,AVERAGE('03_原始数据'!$E$655:$E$714),"")</f>
        <v/>
      </c>
      <c r="G714" s="21">
        <f>IF(True,STDEV('03_原始数据'!$E$655:$E$714),"")</f>
        <v/>
      </c>
    </row>
    <row r="715" ht="17" customHeight="1">
      <c r="A715" s="38">
        <f>'03_原始数据'!A715</f>
        <v/>
      </c>
      <c r="B715" s="16">
        <f>'03_原始数据'!B715</f>
        <v/>
      </c>
      <c r="C715" s="16">
        <f>'03_原始数据'!C715</f>
        <v/>
      </c>
      <c r="D715" s="16">
        <f>'03_原始数据'!E715</f>
        <v/>
      </c>
      <c r="E715" s="39">
        <f>_xlfn.PERCENTRANK.INC('03_原始数据'!$E$5:$E$873,'03_原始数据'!E715)</f>
        <v/>
      </c>
      <c r="F715" s="16">
        <f>IF(True,AVERAGE('03_原始数据'!$E$656:$E$715),"")</f>
        <v/>
      </c>
      <c r="G715" s="16">
        <f>IF(True,STDEV('03_原始数据'!$E$656:$E$715),"")</f>
        <v/>
      </c>
    </row>
    <row r="716" ht="17" customHeight="1">
      <c r="A716" s="40">
        <f>'03_原始数据'!A716</f>
        <v/>
      </c>
      <c r="B716" s="21">
        <f>'03_原始数据'!B716</f>
        <v/>
      </c>
      <c r="C716" s="21">
        <f>'03_原始数据'!C716</f>
        <v/>
      </c>
      <c r="D716" s="21">
        <f>'03_原始数据'!E716</f>
        <v/>
      </c>
      <c r="E716" s="41">
        <f>_xlfn.PERCENTRANK.INC('03_原始数据'!$E$5:$E$873,'03_原始数据'!E716)</f>
        <v/>
      </c>
      <c r="F716" s="21">
        <f>IF(True,AVERAGE('03_原始数据'!$E$657:$E$716),"")</f>
        <v/>
      </c>
      <c r="G716" s="21">
        <f>IF(True,STDEV('03_原始数据'!$E$657:$E$716),"")</f>
        <v/>
      </c>
    </row>
    <row r="717" ht="17" customHeight="1">
      <c r="A717" s="38">
        <f>'03_原始数据'!A717</f>
        <v/>
      </c>
      <c r="B717" s="16">
        <f>'03_原始数据'!B717</f>
        <v/>
      </c>
      <c r="C717" s="16">
        <f>'03_原始数据'!C717</f>
        <v/>
      </c>
      <c r="D717" s="16">
        <f>'03_原始数据'!E717</f>
        <v/>
      </c>
      <c r="E717" s="39">
        <f>_xlfn.PERCENTRANK.INC('03_原始数据'!$E$5:$E$873,'03_原始数据'!E717)</f>
        <v/>
      </c>
      <c r="F717" s="16">
        <f>IF(True,AVERAGE('03_原始数据'!$E$658:$E$717),"")</f>
        <v/>
      </c>
      <c r="G717" s="16">
        <f>IF(True,STDEV('03_原始数据'!$E$658:$E$717),"")</f>
        <v/>
      </c>
    </row>
    <row r="718" ht="17" customHeight="1">
      <c r="A718" s="40">
        <f>'03_原始数据'!A718</f>
        <v/>
      </c>
      <c r="B718" s="21">
        <f>'03_原始数据'!B718</f>
        <v/>
      </c>
      <c r="C718" s="21">
        <f>'03_原始数据'!C718</f>
        <v/>
      </c>
      <c r="D718" s="21">
        <f>'03_原始数据'!E718</f>
        <v/>
      </c>
      <c r="E718" s="41">
        <f>_xlfn.PERCENTRANK.INC('03_原始数据'!$E$5:$E$873,'03_原始数据'!E718)</f>
        <v/>
      </c>
      <c r="F718" s="21">
        <f>IF(True,AVERAGE('03_原始数据'!$E$659:$E$718),"")</f>
        <v/>
      </c>
      <c r="G718" s="21">
        <f>IF(True,STDEV('03_原始数据'!$E$659:$E$718),"")</f>
        <v/>
      </c>
    </row>
    <row r="719" ht="17" customHeight="1">
      <c r="A719" s="38">
        <f>'03_原始数据'!A719</f>
        <v/>
      </c>
      <c r="B719" s="16">
        <f>'03_原始数据'!B719</f>
        <v/>
      </c>
      <c r="C719" s="16">
        <f>'03_原始数据'!C719</f>
        <v/>
      </c>
      <c r="D719" s="16">
        <f>'03_原始数据'!E719</f>
        <v/>
      </c>
      <c r="E719" s="39">
        <f>_xlfn.PERCENTRANK.INC('03_原始数据'!$E$5:$E$873,'03_原始数据'!E719)</f>
        <v/>
      </c>
      <c r="F719" s="16">
        <f>IF(True,AVERAGE('03_原始数据'!$E$660:$E$719),"")</f>
        <v/>
      </c>
      <c r="G719" s="16">
        <f>IF(True,STDEV('03_原始数据'!$E$660:$E$719),"")</f>
        <v/>
      </c>
    </row>
    <row r="720" ht="17" customHeight="1">
      <c r="A720" s="40">
        <f>'03_原始数据'!A720</f>
        <v/>
      </c>
      <c r="B720" s="21">
        <f>'03_原始数据'!B720</f>
        <v/>
      </c>
      <c r="C720" s="21">
        <f>'03_原始数据'!C720</f>
        <v/>
      </c>
      <c r="D720" s="21">
        <f>'03_原始数据'!E720</f>
        <v/>
      </c>
      <c r="E720" s="41">
        <f>_xlfn.PERCENTRANK.INC('03_原始数据'!$E$5:$E$873,'03_原始数据'!E720)</f>
        <v/>
      </c>
      <c r="F720" s="21">
        <f>IF(True,AVERAGE('03_原始数据'!$E$661:$E$720),"")</f>
        <v/>
      </c>
      <c r="G720" s="21">
        <f>IF(True,STDEV('03_原始数据'!$E$661:$E$720),"")</f>
        <v/>
      </c>
    </row>
    <row r="721" ht="17" customHeight="1">
      <c r="A721" s="38">
        <f>'03_原始数据'!A721</f>
        <v/>
      </c>
      <c r="B721" s="16">
        <f>'03_原始数据'!B721</f>
        <v/>
      </c>
      <c r="C721" s="16">
        <f>'03_原始数据'!C721</f>
        <v/>
      </c>
      <c r="D721" s="16">
        <f>'03_原始数据'!E721</f>
        <v/>
      </c>
      <c r="E721" s="39">
        <f>_xlfn.PERCENTRANK.INC('03_原始数据'!$E$5:$E$873,'03_原始数据'!E721)</f>
        <v/>
      </c>
      <c r="F721" s="16">
        <f>IF(True,AVERAGE('03_原始数据'!$E$662:$E$721),"")</f>
        <v/>
      </c>
      <c r="G721" s="16">
        <f>IF(True,STDEV('03_原始数据'!$E$662:$E$721),"")</f>
        <v/>
      </c>
    </row>
    <row r="722" ht="17" customHeight="1">
      <c r="A722" s="40">
        <f>'03_原始数据'!A722</f>
        <v/>
      </c>
      <c r="B722" s="21">
        <f>'03_原始数据'!B722</f>
        <v/>
      </c>
      <c r="C722" s="21">
        <f>'03_原始数据'!C722</f>
        <v/>
      </c>
      <c r="D722" s="21">
        <f>'03_原始数据'!E722</f>
        <v/>
      </c>
      <c r="E722" s="41">
        <f>_xlfn.PERCENTRANK.INC('03_原始数据'!$E$5:$E$873,'03_原始数据'!E722)</f>
        <v/>
      </c>
      <c r="F722" s="21">
        <f>IF(True,AVERAGE('03_原始数据'!$E$663:$E$722),"")</f>
        <v/>
      </c>
      <c r="G722" s="21">
        <f>IF(True,STDEV('03_原始数据'!$E$663:$E$722),"")</f>
        <v/>
      </c>
    </row>
    <row r="723" ht="17" customHeight="1">
      <c r="A723" s="38">
        <f>'03_原始数据'!A723</f>
        <v/>
      </c>
      <c r="B723" s="16">
        <f>'03_原始数据'!B723</f>
        <v/>
      </c>
      <c r="C723" s="16">
        <f>'03_原始数据'!C723</f>
        <v/>
      </c>
      <c r="D723" s="16">
        <f>'03_原始数据'!E723</f>
        <v/>
      </c>
      <c r="E723" s="39">
        <f>_xlfn.PERCENTRANK.INC('03_原始数据'!$E$5:$E$873,'03_原始数据'!E723)</f>
        <v/>
      </c>
      <c r="F723" s="16">
        <f>IF(True,AVERAGE('03_原始数据'!$E$664:$E$723),"")</f>
        <v/>
      </c>
      <c r="G723" s="16">
        <f>IF(True,STDEV('03_原始数据'!$E$664:$E$723),"")</f>
        <v/>
      </c>
    </row>
    <row r="724" ht="17" customHeight="1">
      <c r="A724" s="40">
        <f>'03_原始数据'!A724</f>
        <v/>
      </c>
      <c r="B724" s="21">
        <f>'03_原始数据'!B724</f>
        <v/>
      </c>
      <c r="C724" s="21">
        <f>'03_原始数据'!C724</f>
        <v/>
      </c>
      <c r="D724" s="21">
        <f>'03_原始数据'!E724</f>
        <v/>
      </c>
      <c r="E724" s="41">
        <f>_xlfn.PERCENTRANK.INC('03_原始数据'!$E$5:$E$873,'03_原始数据'!E724)</f>
        <v/>
      </c>
      <c r="F724" s="21">
        <f>IF(True,AVERAGE('03_原始数据'!$E$665:$E$724),"")</f>
        <v/>
      </c>
      <c r="G724" s="21">
        <f>IF(True,STDEV('03_原始数据'!$E$665:$E$724),"")</f>
        <v/>
      </c>
    </row>
    <row r="725" ht="17" customHeight="1">
      <c r="A725" s="38">
        <f>'03_原始数据'!A725</f>
        <v/>
      </c>
      <c r="B725" s="16">
        <f>'03_原始数据'!B725</f>
        <v/>
      </c>
      <c r="C725" s="16">
        <f>'03_原始数据'!C725</f>
        <v/>
      </c>
      <c r="D725" s="16">
        <f>'03_原始数据'!E725</f>
        <v/>
      </c>
      <c r="E725" s="39">
        <f>_xlfn.PERCENTRANK.INC('03_原始数据'!$E$5:$E$873,'03_原始数据'!E725)</f>
        <v/>
      </c>
      <c r="F725" s="16">
        <f>IF(True,AVERAGE('03_原始数据'!$E$666:$E$725),"")</f>
        <v/>
      </c>
      <c r="G725" s="16">
        <f>IF(True,STDEV('03_原始数据'!$E$666:$E$725),"")</f>
        <v/>
      </c>
    </row>
    <row r="726" ht="17" customHeight="1">
      <c r="A726" s="40">
        <f>'03_原始数据'!A726</f>
        <v/>
      </c>
      <c r="B726" s="21">
        <f>'03_原始数据'!B726</f>
        <v/>
      </c>
      <c r="C726" s="21">
        <f>'03_原始数据'!C726</f>
        <v/>
      </c>
      <c r="D726" s="21">
        <f>'03_原始数据'!E726</f>
        <v/>
      </c>
      <c r="E726" s="41">
        <f>_xlfn.PERCENTRANK.INC('03_原始数据'!$E$5:$E$873,'03_原始数据'!E726)</f>
        <v/>
      </c>
      <c r="F726" s="21">
        <f>IF(True,AVERAGE('03_原始数据'!$E$667:$E$726),"")</f>
        <v/>
      </c>
      <c r="G726" s="21">
        <f>IF(True,STDEV('03_原始数据'!$E$667:$E$726),"")</f>
        <v/>
      </c>
    </row>
    <row r="727" ht="17" customHeight="1">
      <c r="A727" s="38">
        <f>'03_原始数据'!A727</f>
        <v/>
      </c>
      <c r="B727" s="16">
        <f>'03_原始数据'!B727</f>
        <v/>
      </c>
      <c r="C727" s="16">
        <f>'03_原始数据'!C727</f>
        <v/>
      </c>
      <c r="D727" s="16">
        <f>'03_原始数据'!E727</f>
        <v/>
      </c>
      <c r="E727" s="39">
        <f>_xlfn.PERCENTRANK.INC('03_原始数据'!$E$5:$E$873,'03_原始数据'!E727)</f>
        <v/>
      </c>
      <c r="F727" s="16">
        <f>IF(True,AVERAGE('03_原始数据'!$E$668:$E$727),"")</f>
        <v/>
      </c>
      <c r="G727" s="16">
        <f>IF(True,STDEV('03_原始数据'!$E$668:$E$727),"")</f>
        <v/>
      </c>
    </row>
    <row r="728" ht="17" customHeight="1">
      <c r="A728" s="40">
        <f>'03_原始数据'!A728</f>
        <v/>
      </c>
      <c r="B728" s="21">
        <f>'03_原始数据'!B728</f>
        <v/>
      </c>
      <c r="C728" s="21">
        <f>'03_原始数据'!C728</f>
        <v/>
      </c>
      <c r="D728" s="21">
        <f>'03_原始数据'!E728</f>
        <v/>
      </c>
      <c r="E728" s="41">
        <f>_xlfn.PERCENTRANK.INC('03_原始数据'!$E$5:$E$873,'03_原始数据'!E728)</f>
        <v/>
      </c>
      <c r="F728" s="21">
        <f>IF(True,AVERAGE('03_原始数据'!$E$669:$E$728),"")</f>
        <v/>
      </c>
      <c r="G728" s="21">
        <f>IF(True,STDEV('03_原始数据'!$E$669:$E$728),"")</f>
        <v/>
      </c>
    </row>
    <row r="729" ht="17" customHeight="1">
      <c r="A729" s="38">
        <f>'03_原始数据'!A729</f>
        <v/>
      </c>
      <c r="B729" s="16">
        <f>'03_原始数据'!B729</f>
        <v/>
      </c>
      <c r="C729" s="16">
        <f>'03_原始数据'!C729</f>
        <v/>
      </c>
      <c r="D729" s="16">
        <f>'03_原始数据'!E729</f>
        <v/>
      </c>
      <c r="E729" s="39">
        <f>_xlfn.PERCENTRANK.INC('03_原始数据'!$E$5:$E$873,'03_原始数据'!E729)</f>
        <v/>
      </c>
      <c r="F729" s="16">
        <f>IF(True,AVERAGE('03_原始数据'!$E$670:$E$729),"")</f>
        <v/>
      </c>
      <c r="G729" s="16">
        <f>IF(True,STDEV('03_原始数据'!$E$670:$E$729),"")</f>
        <v/>
      </c>
    </row>
    <row r="730" ht="17" customHeight="1">
      <c r="A730" s="40">
        <f>'03_原始数据'!A730</f>
        <v/>
      </c>
      <c r="B730" s="21">
        <f>'03_原始数据'!B730</f>
        <v/>
      </c>
      <c r="C730" s="21">
        <f>'03_原始数据'!C730</f>
        <v/>
      </c>
      <c r="D730" s="21">
        <f>'03_原始数据'!E730</f>
        <v/>
      </c>
      <c r="E730" s="41">
        <f>_xlfn.PERCENTRANK.INC('03_原始数据'!$E$5:$E$873,'03_原始数据'!E730)</f>
        <v/>
      </c>
      <c r="F730" s="21">
        <f>IF(True,AVERAGE('03_原始数据'!$E$671:$E$730),"")</f>
        <v/>
      </c>
      <c r="G730" s="21">
        <f>IF(True,STDEV('03_原始数据'!$E$671:$E$730),"")</f>
        <v/>
      </c>
    </row>
    <row r="731" ht="17" customHeight="1">
      <c r="A731" s="38">
        <f>'03_原始数据'!A731</f>
        <v/>
      </c>
      <c r="B731" s="16">
        <f>'03_原始数据'!B731</f>
        <v/>
      </c>
      <c r="C731" s="16">
        <f>'03_原始数据'!C731</f>
        <v/>
      </c>
      <c r="D731" s="16">
        <f>'03_原始数据'!E731</f>
        <v/>
      </c>
      <c r="E731" s="39">
        <f>_xlfn.PERCENTRANK.INC('03_原始数据'!$E$5:$E$873,'03_原始数据'!E731)</f>
        <v/>
      </c>
      <c r="F731" s="16">
        <f>IF(True,AVERAGE('03_原始数据'!$E$672:$E$731),"")</f>
        <v/>
      </c>
      <c r="G731" s="16">
        <f>IF(True,STDEV('03_原始数据'!$E$672:$E$731),"")</f>
        <v/>
      </c>
    </row>
    <row r="732" ht="17" customHeight="1">
      <c r="A732" s="40">
        <f>'03_原始数据'!A732</f>
        <v/>
      </c>
      <c r="B732" s="21">
        <f>'03_原始数据'!B732</f>
        <v/>
      </c>
      <c r="C732" s="21">
        <f>'03_原始数据'!C732</f>
        <v/>
      </c>
      <c r="D732" s="21">
        <f>'03_原始数据'!E732</f>
        <v/>
      </c>
      <c r="E732" s="41">
        <f>_xlfn.PERCENTRANK.INC('03_原始数据'!$E$5:$E$873,'03_原始数据'!E732)</f>
        <v/>
      </c>
      <c r="F732" s="21">
        <f>IF(True,AVERAGE('03_原始数据'!$E$673:$E$732),"")</f>
        <v/>
      </c>
      <c r="G732" s="21">
        <f>IF(True,STDEV('03_原始数据'!$E$673:$E$732),"")</f>
        <v/>
      </c>
    </row>
    <row r="733" ht="17" customHeight="1">
      <c r="A733" s="38">
        <f>'03_原始数据'!A733</f>
        <v/>
      </c>
      <c r="B733" s="16">
        <f>'03_原始数据'!B733</f>
        <v/>
      </c>
      <c r="C733" s="16">
        <f>'03_原始数据'!C733</f>
        <v/>
      </c>
      <c r="D733" s="16">
        <f>'03_原始数据'!E733</f>
        <v/>
      </c>
      <c r="E733" s="39">
        <f>_xlfn.PERCENTRANK.INC('03_原始数据'!$E$5:$E$873,'03_原始数据'!E733)</f>
        <v/>
      </c>
      <c r="F733" s="16">
        <f>IF(True,AVERAGE('03_原始数据'!$E$674:$E$733),"")</f>
        <v/>
      </c>
      <c r="G733" s="16">
        <f>IF(True,STDEV('03_原始数据'!$E$674:$E$733),"")</f>
        <v/>
      </c>
    </row>
    <row r="734" ht="17" customHeight="1">
      <c r="A734" s="40">
        <f>'03_原始数据'!A734</f>
        <v/>
      </c>
      <c r="B734" s="21">
        <f>'03_原始数据'!B734</f>
        <v/>
      </c>
      <c r="C734" s="21">
        <f>'03_原始数据'!C734</f>
        <v/>
      </c>
      <c r="D734" s="21">
        <f>'03_原始数据'!E734</f>
        <v/>
      </c>
      <c r="E734" s="41">
        <f>_xlfn.PERCENTRANK.INC('03_原始数据'!$E$5:$E$873,'03_原始数据'!E734)</f>
        <v/>
      </c>
      <c r="F734" s="21">
        <f>IF(True,AVERAGE('03_原始数据'!$E$675:$E$734),"")</f>
        <v/>
      </c>
      <c r="G734" s="21">
        <f>IF(True,STDEV('03_原始数据'!$E$675:$E$734),"")</f>
        <v/>
      </c>
    </row>
    <row r="735" ht="17" customHeight="1">
      <c r="A735" s="38">
        <f>'03_原始数据'!A735</f>
        <v/>
      </c>
      <c r="B735" s="16">
        <f>'03_原始数据'!B735</f>
        <v/>
      </c>
      <c r="C735" s="16">
        <f>'03_原始数据'!C735</f>
        <v/>
      </c>
      <c r="D735" s="16">
        <f>'03_原始数据'!E735</f>
        <v/>
      </c>
      <c r="E735" s="39">
        <f>_xlfn.PERCENTRANK.INC('03_原始数据'!$E$5:$E$873,'03_原始数据'!E735)</f>
        <v/>
      </c>
      <c r="F735" s="16">
        <f>IF(True,AVERAGE('03_原始数据'!$E$676:$E$735),"")</f>
        <v/>
      </c>
      <c r="G735" s="16">
        <f>IF(True,STDEV('03_原始数据'!$E$676:$E$735),"")</f>
        <v/>
      </c>
    </row>
    <row r="736" ht="17" customHeight="1">
      <c r="A736" s="40">
        <f>'03_原始数据'!A736</f>
        <v/>
      </c>
      <c r="B736" s="21">
        <f>'03_原始数据'!B736</f>
        <v/>
      </c>
      <c r="C736" s="21">
        <f>'03_原始数据'!C736</f>
        <v/>
      </c>
      <c r="D736" s="21">
        <f>'03_原始数据'!E736</f>
        <v/>
      </c>
      <c r="E736" s="41">
        <f>_xlfn.PERCENTRANK.INC('03_原始数据'!$E$5:$E$873,'03_原始数据'!E736)</f>
        <v/>
      </c>
      <c r="F736" s="21">
        <f>IF(True,AVERAGE('03_原始数据'!$E$677:$E$736),"")</f>
        <v/>
      </c>
      <c r="G736" s="21">
        <f>IF(True,STDEV('03_原始数据'!$E$677:$E$736),"")</f>
        <v/>
      </c>
    </row>
    <row r="737" ht="17" customHeight="1">
      <c r="A737" s="38">
        <f>'03_原始数据'!A737</f>
        <v/>
      </c>
      <c r="B737" s="16">
        <f>'03_原始数据'!B737</f>
        <v/>
      </c>
      <c r="C737" s="16">
        <f>'03_原始数据'!C737</f>
        <v/>
      </c>
      <c r="D737" s="16">
        <f>'03_原始数据'!E737</f>
        <v/>
      </c>
      <c r="E737" s="39">
        <f>_xlfn.PERCENTRANK.INC('03_原始数据'!$E$5:$E$873,'03_原始数据'!E737)</f>
        <v/>
      </c>
      <c r="F737" s="16">
        <f>IF(True,AVERAGE('03_原始数据'!$E$678:$E$737),"")</f>
        <v/>
      </c>
      <c r="G737" s="16">
        <f>IF(True,STDEV('03_原始数据'!$E$678:$E$737),"")</f>
        <v/>
      </c>
    </row>
    <row r="738" ht="17" customHeight="1">
      <c r="A738" s="40">
        <f>'03_原始数据'!A738</f>
        <v/>
      </c>
      <c r="B738" s="21">
        <f>'03_原始数据'!B738</f>
        <v/>
      </c>
      <c r="C738" s="21">
        <f>'03_原始数据'!C738</f>
        <v/>
      </c>
      <c r="D738" s="21">
        <f>'03_原始数据'!E738</f>
        <v/>
      </c>
      <c r="E738" s="41">
        <f>_xlfn.PERCENTRANK.INC('03_原始数据'!$E$5:$E$873,'03_原始数据'!E738)</f>
        <v/>
      </c>
      <c r="F738" s="21">
        <f>IF(True,AVERAGE('03_原始数据'!$E$679:$E$738),"")</f>
        <v/>
      </c>
      <c r="G738" s="21">
        <f>IF(True,STDEV('03_原始数据'!$E$679:$E$738),"")</f>
        <v/>
      </c>
    </row>
    <row r="739" ht="17" customHeight="1">
      <c r="A739" s="38">
        <f>'03_原始数据'!A739</f>
        <v/>
      </c>
      <c r="B739" s="16">
        <f>'03_原始数据'!B739</f>
        <v/>
      </c>
      <c r="C739" s="16">
        <f>'03_原始数据'!C739</f>
        <v/>
      </c>
      <c r="D739" s="16">
        <f>'03_原始数据'!E739</f>
        <v/>
      </c>
      <c r="E739" s="39">
        <f>_xlfn.PERCENTRANK.INC('03_原始数据'!$E$5:$E$873,'03_原始数据'!E739)</f>
        <v/>
      </c>
      <c r="F739" s="16">
        <f>IF(True,AVERAGE('03_原始数据'!$E$680:$E$739),"")</f>
        <v/>
      </c>
      <c r="G739" s="16">
        <f>IF(True,STDEV('03_原始数据'!$E$680:$E$739),"")</f>
        <v/>
      </c>
    </row>
    <row r="740" ht="17" customHeight="1">
      <c r="A740" s="40">
        <f>'03_原始数据'!A740</f>
        <v/>
      </c>
      <c r="B740" s="21">
        <f>'03_原始数据'!B740</f>
        <v/>
      </c>
      <c r="C740" s="21">
        <f>'03_原始数据'!C740</f>
        <v/>
      </c>
      <c r="D740" s="21">
        <f>'03_原始数据'!E740</f>
        <v/>
      </c>
      <c r="E740" s="41">
        <f>_xlfn.PERCENTRANK.INC('03_原始数据'!$E$5:$E$873,'03_原始数据'!E740)</f>
        <v/>
      </c>
      <c r="F740" s="21">
        <f>IF(True,AVERAGE('03_原始数据'!$E$681:$E$740),"")</f>
        <v/>
      </c>
      <c r="G740" s="21">
        <f>IF(True,STDEV('03_原始数据'!$E$681:$E$740),"")</f>
        <v/>
      </c>
    </row>
    <row r="741" ht="17" customHeight="1">
      <c r="A741" s="38">
        <f>'03_原始数据'!A741</f>
        <v/>
      </c>
      <c r="B741" s="16">
        <f>'03_原始数据'!B741</f>
        <v/>
      </c>
      <c r="C741" s="16">
        <f>'03_原始数据'!C741</f>
        <v/>
      </c>
      <c r="D741" s="16">
        <f>'03_原始数据'!E741</f>
        <v/>
      </c>
      <c r="E741" s="39">
        <f>_xlfn.PERCENTRANK.INC('03_原始数据'!$E$5:$E$873,'03_原始数据'!E741)</f>
        <v/>
      </c>
      <c r="F741" s="16">
        <f>IF(True,AVERAGE('03_原始数据'!$E$682:$E$741),"")</f>
        <v/>
      </c>
      <c r="G741" s="16">
        <f>IF(True,STDEV('03_原始数据'!$E$682:$E$741),"")</f>
        <v/>
      </c>
    </row>
    <row r="742" ht="17" customHeight="1">
      <c r="A742" s="40">
        <f>'03_原始数据'!A742</f>
        <v/>
      </c>
      <c r="B742" s="21">
        <f>'03_原始数据'!B742</f>
        <v/>
      </c>
      <c r="C742" s="21">
        <f>'03_原始数据'!C742</f>
        <v/>
      </c>
      <c r="D742" s="21">
        <f>'03_原始数据'!E742</f>
        <v/>
      </c>
      <c r="E742" s="41">
        <f>_xlfn.PERCENTRANK.INC('03_原始数据'!$E$5:$E$873,'03_原始数据'!E742)</f>
        <v/>
      </c>
      <c r="F742" s="21">
        <f>IF(True,AVERAGE('03_原始数据'!$E$683:$E$742),"")</f>
        <v/>
      </c>
      <c r="G742" s="21">
        <f>IF(True,STDEV('03_原始数据'!$E$683:$E$742),"")</f>
        <v/>
      </c>
    </row>
    <row r="743" ht="17" customHeight="1">
      <c r="A743" s="38">
        <f>'03_原始数据'!A743</f>
        <v/>
      </c>
      <c r="B743" s="16">
        <f>'03_原始数据'!B743</f>
        <v/>
      </c>
      <c r="C743" s="16">
        <f>'03_原始数据'!C743</f>
        <v/>
      </c>
      <c r="D743" s="16">
        <f>'03_原始数据'!E743</f>
        <v/>
      </c>
      <c r="E743" s="39">
        <f>_xlfn.PERCENTRANK.INC('03_原始数据'!$E$5:$E$873,'03_原始数据'!E743)</f>
        <v/>
      </c>
      <c r="F743" s="16">
        <f>IF(True,AVERAGE('03_原始数据'!$E$684:$E$743),"")</f>
        <v/>
      </c>
      <c r="G743" s="16">
        <f>IF(True,STDEV('03_原始数据'!$E$684:$E$743),"")</f>
        <v/>
      </c>
    </row>
    <row r="744" ht="17" customHeight="1">
      <c r="A744" s="40">
        <f>'03_原始数据'!A744</f>
        <v/>
      </c>
      <c r="B744" s="21">
        <f>'03_原始数据'!B744</f>
        <v/>
      </c>
      <c r="C744" s="21">
        <f>'03_原始数据'!C744</f>
        <v/>
      </c>
      <c r="D744" s="21">
        <f>'03_原始数据'!E744</f>
        <v/>
      </c>
      <c r="E744" s="41">
        <f>_xlfn.PERCENTRANK.INC('03_原始数据'!$E$5:$E$873,'03_原始数据'!E744)</f>
        <v/>
      </c>
      <c r="F744" s="21">
        <f>IF(True,AVERAGE('03_原始数据'!$E$685:$E$744),"")</f>
        <v/>
      </c>
      <c r="G744" s="21">
        <f>IF(True,STDEV('03_原始数据'!$E$685:$E$744),"")</f>
        <v/>
      </c>
    </row>
    <row r="745" ht="17" customHeight="1">
      <c r="A745" s="38">
        <f>'03_原始数据'!A745</f>
        <v/>
      </c>
      <c r="B745" s="16">
        <f>'03_原始数据'!B745</f>
        <v/>
      </c>
      <c r="C745" s="16">
        <f>'03_原始数据'!C745</f>
        <v/>
      </c>
      <c r="D745" s="16">
        <f>'03_原始数据'!E745</f>
        <v/>
      </c>
      <c r="E745" s="39">
        <f>_xlfn.PERCENTRANK.INC('03_原始数据'!$E$5:$E$873,'03_原始数据'!E745)</f>
        <v/>
      </c>
      <c r="F745" s="16">
        <f>IF(True,AVERAGE('03_原始数据'!$E$686:$E$745),"")</f>
        <v/>
      </c>
      <c r="G745" s="16">
        <f>IF(True,STDEV('03_原始数据'!$E$686:$E$745),"")</f>
        <v/>
      </c>
    </row>
    <row r="746" ht="17" customHeight="1">
      <c r="A746" s="40">
        <f>'03_原始数据'!A746</f>
        <v/>
      </c>
      <c r="B746" s="21">
        <f>'03_原始数据'!B746</f>
        <v/>
      </c>
      <c r="C746" s="21">
        <f>'03_原始数据'!C746</f>
        <v/>
      </c>
      <c r="D746" s="21">
        <f>'03_原始数据'!E746</f>
        <v/>
      </c>
      <c r="E746" s="41">
        <f>_xlfn.PERCENTRANK.INC('03_原始数据'!$E$5:$E$873,'03_原始数据'!E746)</f>
        <v/>
      </c>
      <c r="F746" s="21">
        <f>IF(True,AVERAGE('03_原始数据'!$E$687:$E$746),"")</f>
        <v/>
      </c>
      <c r="G746" s="21">
        <f>IF(True,STDEV('03_原始数据'!$E$687:$E$746),"")</f>
        <v/>
      </c>
    </row>
    <row r="747" ht="17" customHeight="1">
      <c r="A747" s="38">
        <f>'03_原始数据'!A747</f>
        <v/>
      </c>
      <c r="B747" s="16">
        <f>'03_原始数据'!B747</f>
        <v/>
      </c>
      <c r="C747" s="16">
        <f>'03_原始数据'!C747</f>
        <v/>
      </c>
      <c r="D747" s="16">
        <f>'03_原始数据'!E747</f>
        <v/>
      </c>
      <c r="E747" s="39">
        <f>_xlfn.PERCENTRANK.INC('03_原始数据'!$E$5:$E$873,'03_原始数据'!E747)</f>
        <v/>
      </c>
      <c r="F747" s="16">
        <f>IF(True,AVERAGE('03_原始数据'!$E$688:$E$747),"")</f>
        <v/>
      </c>
      <c r="G747" s="16">
        <f>IF(True,STDEV('03_原始数据'!$E$688:$E$747),"")</f>
        <v/>
      </c>
    </row>
    <row r="748" ht="17" customHeight="1">
      <c r="A748" s="40">
        <f>'03_原始数据'!A748</f>
        <v/>
      </c>
      <c r="B748" s="21">
        <f>'03_原始数据'!B748</f>
        <v/>
      </c>
      <c r="C748" s="21">
        <f>'03_原始数据'!C748</f>
        <v/>
      </c>
      <c r="D748" s="21">
        <f>'03_原始数据'!E748</f>
        <v/>
      </c>
      <c r="E748" s="41">
        <f>_xlfn.PERCENTRANK.INC('03_原始数据'!$E$5:$E$873,'03_原始数据'!E748)</f>
        <v/>
      </c>
      <c r="F748" s="21">
        <f>IF(True,AVERAGE('03_原始数据'!$E$689:$E$748),"")</f>
        <v/>
      </c>
      <c r="G748" s="21">
        <f>IF(True,STDEV('03_原始数据'!$E$689:$E$748),"")</f>
        <v/>
      </c>
    </row>
    <row r="749" ht="17" customHeight="1">
      <c r="A749" s="38">
        <f>'03_原始数据'!A749</f>
        <v/>
      </c>
      <c r="B749" s="16">
        <f>'03_原始数据'!B749</f>
        <v/>
      </c>
      <c r="C749" s="16">
        <f>'03_原始数据'!C749</f>
        <v/>
      </c>
      <c r="D749" s="16">
        <f>'03_原始数据'!E749</f>
        <v/>
      </c>
      <c r="E749" s="39">
        <f>_xlfn.PERCENTRANK.INC('03_原始数据'!$E$5:$E$873,'03_原始数据'!E749)</f>
        <v/>
      </c>
      <c r="F749" s="16">
        <f>IF(True,AVERAGE('03_原始数据'!$E$690:$E$749),"")</f>
        <v/>
      </c>
      <c r="G749" s="16">
        <f>IF(True,STDEV('03_原始数据'!$E$690:$E$749),"")</f>
        <v/>
      </c>
    </row>
    <row r="750" ht="17" customHeight="1">
      <c r="A750" s="40">
        <f>'03_原始数据'!A750</f>
        <v/>
      </c>
      <c r="B750" s="21">
        <f>'03_原始数据'!B750</f>
        <v/>
      </c>
      <c r="C750" s="21">
        <f>'03_原始数据'!C750</f>
        <v/>
      </c>
      <c r="D750" s="21">
        <f>'03_原始数据'!E750</f>
        <v/>
      </c>
      <c r="E750" s="41">
        <f>_xlfn.PERCENTRANK.INC('03_原始数据'!$E$5:$E$873,'03_原始数据'!E750)</f>
        <v/>
      </c>
      <c r="F750" s="21">
        <f>IF(True,AVERAGE('03_原始数据'!$E$691:$E$750),"")</f>
        <v/>
      </c>
      <c r="G750" s="21">
        <f>IF(True,STDEV('03_原始数据'!$E$691:$E$750),"")</f>
        <v/>
      </c>
    </row>
    <row r="751" ht="17" customHeight="1">
      <c r="A751" s="38">
        <f>'03_原始数据'!A751</f>
        <v/>
      </c>
      <c r="B751" s="16">
        <f>'03_原始数据'!B751</f>
        <v/>
      </c>
      <c r="C751" s="16">
        <f>'03_原始数据'!C751</f>
        <v/>
      </c>
      <c r="D751" s="16">
        <f>'03_原始数据'!E751</f>
        <v/>
      </c>
      <c r="E751" s="39">
        <f>_xlfn.PERCENTRANK.INC('03_原始数据'!$E$5:$E$873,'03_原始数据'!E751)</f>
        <v/>
      </c>
      <c r="F751" s="16">
        <f>IF(True,AVERAGE('03_原始数据'!$E$692:$E$751),"")</f>
        <v/>
      </c>
      <c r="G751" s="16">
        <f>IF(True,STDEV('03_原始数据'!$E$692:$E$751),"")</f>
        <v/>
      </c>
    </row>
    <row r="752" ht="17" customHeight="1">
      <c r="A752" s="40">
        <f>'03_原始数据'!A752</f>
        <v/>
      </c>
      <c r="B752" s="21">
        <f>'03_原始数据'!B752</f>
        <v/>
      </c>
      <c r="C752" s="21">
        <f>'03_原始数据'!C752</f>
        <v/>
      </c>
      <c r="D752" s="21">
        <f>'03_原始数据'!E752</f>
        <v/>
      </c>
      <c r="E752" s="41">
        <f>_xlfn.PERCENTRANK.INC('03_原始数据'!$E$5:$E$873,'03_原始数据'!E752)</f>
        <v/>
      </c>
      <c r="F752" s="21">
        <f>IF(True,AVERAGE('03_原始数据'!$E$693:$E$752),"")</f>
        <v/>
      </c>
      <c r="G752" s="21">
        <f>IF(True,STDEV('03_原始数据'!$E$693:$E$752),"")</f>
        <v/>
      </c>
    </row>
    <row r="753" ht="17" customHeight="1">
      <c r="A753" s="38">
        <f>'03_原始数据'!A753</f>
        <v/>
      </c>
      <c r="B753" s="16">
        <f>'03_原始数据'!B753</f>
        <v/>
      </c>
      <c r="C753" s="16">
        <f>'03_原始数据'!C753</f>
        <v/>
      </c>
      <c r="D753" s="16">
        <f>'03_原始数据'!E753</f>
        <v/>
      </c>
      <c r="E753" s="39">
        <f>_xlfn.PERCENTRANK.INC('03_原始数据'!$E$5:$E$873,'03_原始数据'!E753)</f>
        <v/>
      </c>
      <c r="F753" s="16">
        <f>IF(True,AVERAGE('03_原始数据'!$E$694:$E$753),"")</f>
        <v/>
      </c>
      <c r="G753" s="16">
        <f>IF(True,STDEV('03_原始数据'!$E$694:$E$753),"")</f>
        <v/>
      </c>
    </row>
    <row r="754" ht="17" customHeight="1">
      <c r="A754" s="40">
        <f>'03_原始数据'!A754</f>
        <v/>
      </c>
      <c r="B754" s="21">
        <f>'03_原始数据'!B754</f>
        <v/>
      </c>
      <c r="C754" s="21">
        <f>'03_原始数据'!C754</f>
        <v/>
      </c>
      <c r="D754" s="21">
        <f>'03_原始数据'!E754</f>
        <v/>
      </c>
      <c r="E754" s="41">
        <f>_xlfn.PERCENTRANK.INC('03_原始数据'!$E$5:$E$873,'03_原始数据'!E754)</f>
        <v/>
      </c>
      <c r="F754" s="21">
        <f>IF(True,AVERAGE('03_原始数据'!$E$695:$E$754),"")</f>
        <v/>
      </c>
      <c r="G754" s="21">
        <f>IF(True,STDEV('03_原始数据'!$E$695:$E$754),"")</f>
        <v/>
      </c>
    </row>
    <row r="755" ht="17" customHeight="1">
      <c r="A755" s="38">
        <f>'03_原始数据'!A755</f>
        <v/>
      </c>
      <c r="B755" s="16">
        <f>'03_原始数据'!B755</f>
        <v/>
      </c>
      <c r="C755" s="16">
        <f>'03_原始数据'!C755</f>
        <v/>
      </c>
      <c r="D755" s="16">
        <f>'03_原始数据'!E755</f>
        <v/>
      </c>
      <c r="E755" s="39">
        <f>_xlfn.PERCENTRANK.INC('03_原始数据'!$E$5:$E$873,'03_原始数据'!E755)</f>
        <v/>
      </c>
      <c r="F755" s="16">
        <f>IF(True,AVERAGE('03_原始数据'!$E$696:$E$755),"")</f>
        <v/>
      </c>
      <c r="G755" s="16">
        <f>IF(True,STDEV('03_原始数据'!$E$696:$E$755),"")</f>
        <v/>
      </c>
    </row>
    <row r="756" ht="17" customHeight="1">
      <c r="A756" s="40">
        <f>'03_原始数据'!A756</f>
        <v/>
      </c>
      <c r="B756" s="21">
        <f>'03_原始数据'!B756</f>
        <v/>
      </c>
      <c r="C756" s="21">
        <f>'03_原始数据'!C756</f>
        <v/>
      </c>
      <c r="D756" s="21">
        <f>'03_原始数据'!E756</f>
        <v/>
      </c>
      <c r="E756" s="41">
        <f>_xlfn.PERCENTRANK.INC('03_原始数据'!$E$5:$E$873,'03_原始数据'!E756)</f>
        <v/>
      </c>
      <c r="F756" s="21">
        <f>IF(True,AVERAGE('03_原始数据'!$E$697:$E$756),"")</f>
        <v/>
      </c>
      <c r="G756" s="21">
        <f>IF(True,STDEV('03_原始数据'!$E$697:$E$756),"")</f>
        <v/>
      </c>
    </row>
    <row r="757" ht="17" customHeight="1">
      <c r="A757" s="38">
        <f>'03_原始数据'!A757</f>
        <v/>
      </c>
      <c r="B757" s="16">
        <f>'03_原始数据'!B757</f>
        <v/>
      </c>
      <c r="C757" s="16">
        <f>'03_原始数据'!C757</f>
        <v/>
      </c>
      <c r="D757" s="16">
        <f>'03_原始数据'!E757</f>
        <v/>
      </c>
      <c r="E757" s="39">
        <f>_xlfn.PERCENTRANK.INC('03_原始数据'!$E$5:$E$873,'03_原始数据'!E757)</f>
        <v/>
      </c>
      <c r="F757" s="16">
        <f>IF(True,AVERAGE('03_原始数据'!$E$698:$E$757),"")</f>
        <v/>
      </c>
      <c r="G757" s="16">
        <f>IF(True,STDEV('03_原始数据'!$E$698:$E$757),"")</f>
        <v/>
      </c>
    </row>
    <row r="758" ht="17" customHeight="1">
      <c r="A758" s="40">
        <f>'03_原始数据'!A758</f>
        <v/>
      </c>
      <c r="B758" s="21">
        <f>'03_原始数据'!B758</f>
        <v/>
      </c>
      <c r="C758" s="21">
        <f>'03_原始数据'!C758</f>
        <v/>
      </c>
      <c r="D758" s="21">
        <f>'03_原始数据'!E758</f>
        <v/>
      </c>
      <c r="E758" s="41">
        <f>_xlfn.PERCENTRANK.INC('03_原始数据'!$E$5:$E$873,'03_原始数据'!E758)</f>
        <v/>
      </c>
      <c r="F758" s="21">
        <f>IF(True,AVERAGE('03_原始数据'!$E$699:$E$758),"")</f>
        <v/>
      </c>
      <c r="G758" s="21">
        <f>IF(True,STDEV('03_原始数据'!$E$699:$E$758),"")</f>
        <v/>
      </c>
    </row>
    <row r="759" ht="17" customHeight="1">
      <c r="A759" s="38">
        <f>'03_原始数据'!A759</f>
        <v/>
      </c>
      <c r="B759" s="16">
        <f>'03_原始数据'!B759</f>
        <v/>
      </c>
      <c r="C759" s="16">
        <f>'03_原始数据'!C759</f>
        <v/>
      </c>
      <c r="D759" s="16">
        <f>'03_原始数据'!E759</f>
        <v/>
      </c>
      <c r="E759" s="39">
        <f>_xlfn.PERCENTRANK.INC('03_原始数据'!$E$5:$E$873,'03_原始数据'!E759)</f>
        <v/>
      </c>
      <c r="F759" s="16">
        <f>IF(True,AVERAGE('03_原始数据'!$E$700:$E$759),"")</f>
        <v/>
      </c>
      <c r="G759" s="16">
        <f>IF(True,STDEV('03_原始数据'!$E$700:$E$759),"")</f>
        <v/>
      </c>
    </row>
    <row r="760" ht="17" customHeight="1">
      <c r="A760" s="40">
        <f>'03_原始数据'!A760</f>
        <v/>
      </c>
      <c r="B760" s="21">
        <f>'03_原始数据'!B760</f>
        <v/>
      </c>
      <c r="C760" s="21">
        <f>'03_原始数据'!C760</f>
        <v/>
      </c>
      <c r="D760" s="21">
        <f>'03_原始数据'!E760</f>
        <v/>
      </c>
      <c r="E760" s="41">
        <f>_xlfn.PERCENTRANK.INC('03_原始数据'!$E$5:$E$873,'03_原始数据'!E760)</f>
        <v/>
      </c>
      <c r="F760" s="21">
        <f>IF(True,AVERAGE('03_原始数据'!$E$701:$E$760),"")</f>
        <v/>
      </c>
      <c r="G760" s="21">
        <f>IF(True,STDEV('03_原始数据'!$E$701:$E$760),"")</f>
        <v/>
      </c>
    </row>
    <row r="761" ht="17" customHeight="1">
      <c r="A761" s="38">
        <f>'03_原始数据'!A761</f>
        <v/>
      </c>
      <c r="B761" s="16">
        <f>'03_原始数据'!B761</f>
        <v/>
      </c>
      <c r="C761" s="16">
        <f>'03_原始数据'!C761</f>
        <v/>
      </c>
      <c r="D761" s="16">
        <f>'03_原始数据'!E761</f>
        <v/>
      </c>
      <c r="E761" s="39">
        <f>_xlfn.PERCENTRANK.INC('03_原始数据'!$E$5:$E$873,'03_原始数据'!E761)</f>
        <v/>
      </c>
      <c r="F761" s="16">
        <f>IF(True,AVERAGE('03_原始数据'!$E$702:$E$761),"")</f>
        <v/>
      </c>
      <c r="G761" s="16">
        <f>IF(True,STDEV('03_原始数据'!$E$702:$E$761),"")</f>
        <v/>
      </c>
    </row>
    <row r="762" ht="17" customHeight="1">
      <c r="A762" s="40">
        <f>'03_原始数据'!A762</f>
        <v/>
      </c>
      <c r="B762" s="21">
        <f>'03_原始数据'!B762</f>
        <v/>
      </c>
      <c r="C762" s="21">
        <f>'03_原始数据'!C762</f>
        <v/>
      </c>
      <c r="D762" s="21">
        <f>'03_原始数据'!E762</f>
        <v/>
      </c>
      <c r="E762" s="41">
        <f>_xlfn.PERCENTRANK.INC('03_原始数据'!$E$5:$E$873,'03_原始数据'!E762)</f>
        <v/>
      </c>
      <c r="F762" s="21">
        <f>IF(True,AVERAGE('03_原始数据'!$E$703:$E$762),"")</f>
        <v/>
      </c>
      <c r="G762" s="21">
        <f>IF(True,STDEV('03_原始数据'!$E$703:$E$762),"")</f>
        <v/>
      </c>
    </row>
    <row r="763" ht="17" customHeight="1">
      <c r="A763" s="38">
        <f>'03_原始数据'!A763</f>
        <v/>
      </c>
      <c r="B763" s="16">
        <f>'03_原始数据'!B763</f>
        <v/>
      </c>
      <c r="C763" s="16">
        <f>'03_原始数据'!C763</f>
        <v/>
      </c>
      <c r="D763" s="16">
        <f>'03_原始数据'!E763</f>
        <v/>
      </c>
      <c r="E763" s="39">
        <f>_xlfn.PERCENTRANK.INC('03_原始数据'!$E$5:$E$873,'03_原始数据'!E763)</f>
        <v/>
      </c>
      <c r="F763" s="16">
        <f>IF(True,AVERAGE('03_原始数据'!$E$704:$E$763),"")</f>
        <v/>
      </c>
      <c r="G763" s="16">
        <f>IF(True,STDEV('03_原始数据'!$E$704:$E$763),"")</f>
        <v/>
      </c>
    </row>
    <row r="764" ht="17" customHeight="1">
      <c r="A764" s="40">
        <f>'03_原始数据'!A764</f>
        <v/>
      </c>
      <c r="B764" s="21">
        <f>'03_原始数据'!B764</f>
        <v/>
      </c>
      <c r="C764" s="21">
        <f>'03_原始数据'!C764</f>
        <v/>
      </c>
      <c r="D764" s="21">
        <f>'03_原始数据'!E764</f>
        <v/>
      </c>
      <c r="E764" s="41">
        <f>_xlfn.PERCENTRANK.INC('03_原始数据'!$E$5:$E$873,'03_原始数据'!E764)</f>
        <v/>
      </c>
      <c r="F764" s="21">
        <f>IF(True,AVERAGE('03_原始数据'!$E$705:$E$764),"")</f>
        <v/>
      </c>
      <c r="G764" s="21">
        <f>IF(True,STDEV('03_原始数据'!$E$705:$E$764),"")</f>
        <v/>
      </c>
    </row>
    <row r="765" ht="17" customHeight="1">
      <c r="A765" s="38">
        <f>'03_原始数据'!A765</f>
        <v/>
      </c>
      <c r="B765" s="16">
        <f>'03_原始数据'!B765</f>
        <v/>
      </c>
      <c r="C765" s="16">
        <f>'03_原始数据'!C765</f>
        <v/>
      </c>
      <c r="D765" s="16">
        <f>'03_原始数据'!E765</f>
        <v/>
      </c>
      <c r="E765" s="39">
        <f>_xlfn.PERCENTRANK.INC('03_原始数据'!$E$5:$E$873,'03_原始数据'!E765)</f>
        <v/>
      </c>
      <c r="F765" s="16">
        <f>IF(True,AVERAGE('03_原始数据'!$E$706:$E$765),"")</f>
        <v/>
      </c>
      <c r="G765" s="16">
        <f>IF(True,STDEV('03_原始数据'!$E$706:$E$765),"")</f>
        <v/>
      </c>
    </row>
    <row r="766" ht="17" customHeight="1">
      <c r="A766" s="40">
        <f>'03_原始数据'!A766</f>
        <v/>
      </c>
      <c r="B766" s="21">
        <f>'03_原始数据'!B766</f>
        <v/>
      </c>
      <c r="C766" s="21">
        <f>'03_原始数据'!C766</f>
        <v/>
      </c>
      <c r="D766" s="21">
        <f>'03_原始数据'!E766</f>
        <v/>
      </c>
      <c r="E766" s="41">
        <f>_xlfn.PERCENTRANK.INC('03_原始数据'!$E$5:$E$873,'03_原始数据'!E766)</f>
        <v/>
      </c>
      <c r="F766" s="21">
        <f>IF(True,AVERAGE('03_原始数据'!$E$707:$E$766),"")</f>
        <v/>
      </c>
      <c r="G766" s="21">
        <f>IF(True,STDEV('03_原始数据'!$E$707:$E$766),"")</f>
        <v/>
      </c>
    </row>
    <row r="767" ht="17" customHeight="1">
      <c r="A767" s="38">
        <f>'03_原始数据'!A767</f>
        <v/>
      </c>
      <c r="B767" s="16">
        <f>'03_原始数据'!B767</f>
        <v/>
      </c>
      <c r="C767" s="16">
        <f>'03_原始数据'!C767</f>
        <v/>
      </c>
      <c r="D767" s="16">
        <f>'03_原始数据'!E767</f>
        <v/>
      </c>
      <c r="E767" s="39">
        <f>_xlfn.PERCENTRANK.INC('03_原始数据'!$E$5:$E$873,'03_原始数据'!E767)</f>
        <v/>
      </c>
      <c r="F767" s="16">
        <f>IF(True,AVERAGE('03_原始数据'!$E$708:$E$767),"")</f>
        <v/>
      </c>
      <c r="G767" s="16">
        <f>IF(True,STDEV('03_原始数据'!$E$708:$E$767),"")</f>
        <v/>
      </c>
    </row>
    <row r="768" ht="17" customHeight="1">
      <c r="A768" s="40">
        <f>'03_原始数据'!A768</f>
        <v/>
      </c>
      <c r="B768" s="21">
        <f>'03_原始数据'!B768</f>
        <v/>
      </c>
      <c r="C768" s="21">
        <f>'03_原始数据'!C768</f>
        <v/>
      </c>
      <c r="D768" s="21">
        <f>'03_原始数据'!E768</f>
        <v/>
      </c>
      <c r="E768" s="41">
        <f>_xlfn.PERCENTRANK.INC('03_原始数据'!$E$5:$E$873,'03_原始数据'!E768)</f>
        <v/>
      </c>
      <c r="F768" s="21">
        <f>IF(True,AVERAGE('03_原始数据'!$E$709:$E$768),"")</f>
        <v/>
      </c>
      <c r="G768" s="21">
        <f>IF(True,STDEV('03_原始数据'!$E$709:$E$768),"")</f>
        <v/>
      </c>
    </row>
    <row r="769" ht="17" customHeight="1">
      <c r="A769" s="38">
        <f>'03_原始数据'!A769</f>
        <v/>
      </c>
      <c r="B769" s="16">
        <f>'03_原始数据'!B769</f>
        <v/>
      </c>
      <c r="C769" s="16">
        <f>'03_原始数据'!C769</f>
        <v/>
      </c>
      <c r="D769" s="16">
        <f>'03_原始数据'!E769</f>
        <v/>
      </c>
      <c r="E769" s="39">
        <f>_xlfn.PERCENTRANK.INC('03_原始数据'!$E$5:$E$873,'03_原始数据'!E769)</f>
        <v/>
      </c>
      <c r="F769" s="16">
        <f>IF(True,AVERAGE('03_原始数据'!$E$710:$E$769),"")</f>
        <v/>
      </c>
      <c r="G769" s="16">
        <f>IF(True,STDEV('03_原始数据'!$E$710:$E$769),"")</f>
        <v/>
      </c>
    </row>
    <row r="770" ht="17" customHeight="1">
      <c r="A770" s="40">
        <f>'03_原始数据'!A770</f>
        <v/>
      </c>
      <c r="B770" s="21">
        <f>'03_原始数据'!B770</f>
        <v/>
      </c>
      <c r="C770" s="21">
        <f>'03_原始数据'!C770</f>
        <v/>
      </c>
      <c r="D770" s="21">
        <f>'03_原始数据'!E770</f>
        <v/>
      </c>
      <c r="E770" s="41">
        <f>_xlfn.PERCENTRANK.INC('03_原始数据'!$E$5:$E$873,'03_原始数据'!E770)</f>
        <v/>
      </c>
      <c r="F770" s="21">
        <f>IF(True,AVERAGE('03_原始数据'!$E$711:$E$770),"")</f>
        <v/>
      </c>
      <c r="G770" s="21">
        <f>IF(True,STDEV('03_原始数据'!$E$711:$E$770),"")</f>
        <v/>
      </c>
    </row>
    <row r="771" ht="17" customHeight="1">
      <c r="A771" s="38">
        <f>'03_原始数据'!A771</f>
        <v/>
      </c>
      <c r="B771" s="16">
        <f>'03_原始数据'!B771</f>
        <v/>
      </c>
      <c r="C771" s="16">
        <f>'03_原始数据'!C771</f>
        <v/>
      </c>
      <c r="D771" s="16">
        <f>'03_原始数据'!E771</f>
        <v/>
      </c>
      <c r="E771" s="39">
        <f>_xlfn.PERCENTRANK.INC('03_原始数据'!$E$5:$E$873,'03_原始数据'!E771)</f>
        <v/>
      </c>
      <c r="F771" s="16">
        <f>IF(True,AVERAGE('03_原始数据'!$E$712:$E$771),"")</f>
        <v/>
      </c>
      <c r="G771" s="16">
        <f>IF(True,STDEV('03_原始数据'!$E$712:$E$771),"")</f>
        <v/>
      </c>
    </row>
    <row r="772" ht="17" customHeight="1">
      <c r="A772" s="40">
        <f>'03_原始数据'!A772</f>
        <v/>
      </c>
      <c r="B772" s="21">
        <f>'03_原始数据'!B772</f>
        <v/>
      </c>
      <c r="C772" s="21">
        <f>'03_原始数据'!C772</f>
        <v/>
      </c>
      <c r="D772" s="21">
        <f>'03_原始数据'!E772</f>
        <v/>
      </c>
      <c r="E772" s="41">
        <f>_xlfn.PERCENTRANK.INC('03_原始数据'!$E$5:$E$873,'03_原始数据'!E772)</f>
        <v/>
      </c>
      <c r="F772" s="21">
        <f>IF(True,AVERAGE('03_原始数据'!$E$713:$E$772),"")</f>
        <v/>
      </c>
      <c r="G772" s="21">
        <f>IF(True,STDEV('03_原始数据'!$E$713:$E$772),"")</f>
        <v/>
      </c>
    </row>
    <row r="773" ht="17" customHeight="1">
      <c r="A773" s="38">
        <f>'03_原始数据'!A773</f>
        <v/>
      </c>
      <c r="B773" s="16">
        <f>'03_原始数据'!B773</f>
        <v/>
      </c>
      <c r="C773" s="16">
        <f>'03_原始数据'!C773</f>
        <v/>
      </c>
      <c r="D773" s="16">
        <f>'03_原始数据'!E773</f>
        <v/>
      </c>
      <c r="E773" s="39">
        <f>_xlfn.PERCENTRANK.INC('03_原始数据'!$E$5:$E$873,'03_原始数据'!E773)</f>
        <v/>
      </c>
      <c r="F773" s="16">
        <f>IF(True,AVERAGE('03_原始数据'!$E$714:$E$773),"")</f>
        <v/>
      </c>
      <c r="G773" s="16">
        <f>IF(True,STDEV('03_原始数据'!$E$714:$E$773),"")</f>
        <v/>
      </c>
    </row>
    <row r="774" ht="17" customHeight="1">
      <c r="A774" s="40">
        <f>'03_原始数据'!A774</f>
        <v/>
      </c>
      <c r="B774" s="21">
        <f>'03_原始数据'!B774</f>
        <v/>
      </c>
      <c r="C774" s="21">
        <f>'03_原始数据'!C774</f>
        <v/>
      </c>
      <c r="D774" s="21">
        <f>'03_原始数据'!E774</f>
        <v/>
      </c>
      <c r="E774" s="41">
        <f>_xlfn.PERCENTRANK.INC('03_原始数据'!$E$5:$E$873,'03_原始数据'!E774)</f>
        <v/>
      </c>
      <c r="F774" s="21">
        <f>IF(True,AVERAGE('03_原始数据'!$E$715:$E$774),"")</f>
        <v/>
      </c>
      <c r="G774" s="21">
        <f>IF(True,STDEV('03_原始数据'!$E$715:$E$774),"")</f>
        <v/>
      </c>
    </row>
    <row r="775" ht="17" customHeight="1">
      <c r="A775" s="38">
        <f>'03_原始数据'!A775</f>
        <v/>
      </c>
      <c r="B775" s="16">
        <f>'03_原始数据'!B775</f>
        <v/>
      </c>
      <c r="C775" s="16">
        <f>'03_原始数据'!C775</f>
        <v/>
      </c>
      <c r="D775" s="16">
        <f>'03_原始数据'!E775</f>
        <v/>
      </c>
      <c r="E775" s="39">
        <f>_xlfn.PERCENTRANK.INC('03_原始数据'!$E$5:$E$873,'03_原始数据'!E775)</f>
        <v/>
      </c>
      <c r="F775" s="16">
        <f>IF(True,AVERAGE('03_原始数据'!$E$716:$E$775),"")</f>
        <v/>
      </c>
      <c r="G775" s="16">
        <f>IF(True,STDEV('03_原始数据'!$E$716:$E$775),"")</f>
        <v/>
      </c>
    </row>
    <row r="776" ht="17" customHeight="1">
      <c r="A776" s="40">
        <f>'03_原始数据'!A776</f>
        <v/>
      </c>
      <c r="B776" s="21">
        <f>'03_原始数据'!B776</f>
        <v/>
      </c>
      <c r="C776" s="21">
        <f>'03_原始数据'!C776</f>
        <v/>
      </c>
      <c r="D776" s="21">
        <f>'03_原始数据'!E776</f>
        <v/>
      </c>
      <c r="E776" s="41">
        <f>_xlfn.PERCENTRANK.INC('03_原始数据'!$E$5:$E$873,'03_原始数据'!E776)</f>
        <v/>
      </c>
      <c r="F776" s="21">
        <f>IF(True,AVERAGE('03_原始数据'!$E$717:$E$776),"")</f>
        <v/>
      </c>
      <c r="G776" s="21">
        <f>IF(True,STDEV('03_原始数据'!$E$717:$E$776),"")</f>
        <v/>
      </c>
    </row>
    <row r="777" ht="17" customHeight="1">
      <c r="A777" s="38">
        <f>'03_原始数据'!A777</f>
        <v/>
      </c>
      <c r="B777" s="16">
        <f>'03_原始数据'!B777</f>
        <v/>
      </c>
      <c r="C777" s="16">
        <f>'03_原始数据'!C777</f>
        <v/>
      </c>
      <c r="D777" s="16">
        <f>'03_原始数据'!E777</f>
        <v/>
      </c>
      <c r="E777" s="39">
        <f>_xlfn.PERCENTRANK.INC('03_原始数据'!$E$5:$E$873,'03_原始数据'!E777)</f>
        <v/>
      </c>
      <c r="F777" s="16">
        <f>IF(True,AVERAGE('03_原始数据'!$E$718:$E$777),"")</f>
        <v/>
      </c>
      <c r="G777" s="16">
        <f>IF(True,STDEV('03_原始数据'!$E$718:$E$777),"")</f>
        <v/>
      </c>
    </row>
    <row r="778" ht="17" customHeight="1">
      <c r="A778" s="40">
        <f>'03_原始数据'!A778</f>
        <v/>
      </c>
      <c r="B778" s="21">
        <f>'03_原始数据'!B778</f>
        <v/>
      </c>
      <c r="C778" s="21">
        <f>'03_原始数据'!C778</f>
        <v/>
      </c>
      <c r="D778" s="21">
        <f>'03_原始数据'!E778</f>
        <v/>
      </c>
      <c r="E778" s="41">
        <f>_xlfn.PERCENTRANK.INC('03_原始数据'!$E$5:$E$873,'03_原始数据'!E778)</f>
        <v/>
      </c>
      <c r="F778" s="21">
        <f>IF(True,AVERAGE('03_原始数据'!$E$719:$E$778),"")</f>
        <v/>
      </c>
      <c r="G778" s="21">
        <f>IF(True,STDEV('03_原始数据'!$E$719:$E$778),"")</f>
        <v/>
      </c>
    </row>
    <row r="779" ht="17" customHeight="1">
      <c r="A779" s="38">
        <f>'03_原始数据'!A779</f>
        <v/>
      </c>
      <c r="B779" s="16">
        <f>'03_原始数据'!B779</f>
        <v/>
      </c>
      <c r="C779" s="16">
        <f>'03_原始数据'!C779</f>
        <v/>
      </c>
      <c r="D779" s="16">
        <f>'03_原始数据'!E779</f>
        <v/>
      </c>
      <c r="E779" s="39">
        <f>_xlfn.PERCENTRANK.INC('03_原始数据'!$E$5:$E$873,'03_原始数据'!E779)</f>
        <v/>
      </c>
      <c r="F779" s="16">
        <f>IF(True,AVERAGE('03_原始数据'!$E$720:$E$779),"")</f>
        <v/>
      </c>
      <c r="G779" s="16">
        <f>IF(True,STDEV('03_原始数据'!$E$720:$E$779),"")</f>
        <v/>
      </c>
    </row>
    <row r="780" ht="17" customHeight="1">
      <c r="A780" s="40">
        <f>'03_原始数据'!A780</f>
        <v/>
      </c>
      <c r="B780" s="21">
        <f>'03_原始数据'!B780</f>
        <v/>
      </c>
      <c r="C780" s="21">
        <f>'03_原始数据'!C780</f>
        <v/>
      </c>
      <c r="D780" s="21">
        <f>'03_原始数据'!E780</f>
        <v/>
      </c>
      <c r="E780" s="41">
        <f>_xlfn.PERCENTRANK.INC('03_原始数据'!$E$5:$E$873,'03_原始数据'!E780)</f>
        <v/>
      </c>
      <c r="F780" s="21">
        <f>IF(True,AVERAGE('03_原始数据'!$E$721:$E$780),"")</f>
        <v/>
      </c>
      <c r="G780" s="21">
        <f>IF(True,STDEV('03_原始数据'!$E$721:$E$780),"")</f>
        <v/>
      </c>
    </row>
    <row r="781" ht="17" customHeight="1">
      <c r="A781" s="38">
        <f>'03_原始数据'!A781</f>
        <v/>
      </c>
      <c r="B781" s="16">
        <f>'03_原始数据'!B781</f>
        <v/>
      </c>
      <c r="C781" s="16">
        <f>'03_原始数据'!C781</f>
        <v/>
      </c>
      <c r="D781" s="16">
        <f>'03_原始数据'!E781</f>
        <v/>
      </c>
      <c r="E781" s="39">
        <f>_xlfn.PERCENTRANK.INC('03_原始数据'!$E$5:$E$873,'03_原始数据'!E781)</f>
        <v/>
      </c>
      <c r="F781" s="16">
        <f>IF(True,AVERAGE('03_原始数据'!$E$722:$E$781),"")</f>
        <v/>
      </c>
      <c r="G781" s="16">
        <f>IF(True,STDEV('03_原始数据'!$E$722:$E$781),"")</f>
        <v/>
      </c>
    </row>
    <row r="782" ht="17" customHeight="1">
      <c r="A782" s="40">
        <f>'03_原始数据'!A782</f>
        <v/>
      </c>
      <c r="B782" s="21">
        <f>'03_原始数据'!B782</f>
        <v/>
      </c>
      <c r="C782" s="21">
        <f>'03_原始数据'!C782</f>
        <v/>
      </c>
      <c r="D782" s="21">
        <f>'03_原始数据'!E782</f>
        <v/>
      </c>
      <c r="E782" s="41">
        <f>_xlfn.PERCENTRANK.INC('03_原始数据'!$E$5:$E$873,'03_原始数据'!E782)</f>
        <v/>
      </c>
      <c r="F782" s="21">
        <f>IF(True,AVERAGE('03_原始数据'!$E$723:$E$782),"")</f>
        <v/>
      </c>
      <c r="G782" s="21">
        <f>IF(True,STDEV('03_原始数据'!$E$723:$E$782),"")</f>
        <v/>
      </c>
    </row>
    <row r="783" ht="17" customHeight="1">
      <c r="A783" s="38">
        <f>'03_原始数据'!A783</f>
        <v/>
      </c>
      <c r="B783" s="16">
        <f>'03_原始数据'!B783</f>
        <v/>
      </c>
      <c r="C783" s="16">
        <f>'03_原始数据'!C783</f>
        <v/>
      </c>
      <c r="D783" s="16">
        <f>'03_原始数据'!E783</f>
        <v/>
      </c>
      <c r="E783" s="39">
        <f>_xlfn.PERCENTRANK.INC('03_原始数据'!$E$5:$E$873,'03_原始数据'!E783)</f>
        <v/>
      </c>
      <c r="F783" s="16">
        <f>IF(True,AVERAGE('03_原始数据'!$E$724:$E$783),"")</f>
        <v/>
      </c>
      <c r="G783" s="16">
        <f>IF(True,STDEV('03_原始数据'!$E$724:$E$783),"")</f>
        <v/>
      </c>
    </row>
    <row r="784" ht="17" customHeight="1">
      <c r="A784" s="40">
        <f>'03_原始数据'!A784</f>
        <v/>
      </c>
      <c r="B784" s="21">
        <f>'03_原始数据'!B784</f>
        <v/>
      </c>
      <c r="C784" s="21">
        <f>'03_原始数据'!C784</f>
        <v/>
      </c>
      <c r="D784" s="21">
        <f>'03_原始数据'!E784</f>
        <v/>
      </c>
      <c r="E784" s="41">
        <f>_xlfn.PERCENTRANK.INC('03_原始数据'!$E$5:$E$873,'03_原始数据'!E784)</f>
        <v/>
      </c>
      <c r="F784" s="21">
        <f>IF(True,AVERAGE('03_原始数据'!$E$725:$E$784),"")</f>
        <v/>
      </c>
      <c r="G784" s="21">
        <f>IF(True,STDEV('03_原始数据'!$E$725:$E$784),"")</f>
        <v/>
      </c>
    </row>
    <row r="785" ht="17" customHeight="1">
      <c r="A785" s="38">
        <f>'03_原始数据'!A785</f>
        <v/>
      </c>
      <c r="B785" s="16">
        <f>'03_原始数据'!B785</f>
        <v/>
      </c>
      <c r="C785" s="16">
        <f>'03_原始数据'!C785</f>
        <v/>
      </c>
      <c r="D785" s="16">
        <f>'03_原始数据'!E785</f>
        <v/>
      </c>
      <c r="E785" s="39">
        <f>_xlfn.PERCENTRANK.INC('03_原始数据'!$E$5:$E$873,'03_原始数据'!E785)</f>
        <v/>
      </c>
      <c r="F785" s="16">
        <f>IF(True,AVERAGE('03_原始数据'!$E$726:$E$785),"")</f>
        <v/>
      </c>
      <c r="G785" s="16">
        <f>IF(True,STDEV('03_原始数据'!$E$726:$E$785),"")</f>
        <v/>
      </c>
    </row>
    <row r="786" ht="17" customHeight="1">
      <c r="A786" s="40">
        <f>'03_原始数据'!A786</f>
        <v/>
      </c>
      <c r="B786" s="21">
        <f>'03_原始数据'!B786</f>
        <v/>
      </c>
      <c r="C786" s="21">
        <f>'03_原始数据'!C786</f>
        <v/>
      </c>
      <c r="D786" s="21">
        <f>'03_原始数据'!E786</f>
        <v/>
      </c>
      <c r="E786" s="41">
        <f>_xlfn.PERCENTRANK.INC('03_原始数据'!$E$5:$E$873,'03_原始数据'!E786)</f>
        <v/>
      </c>
      <c r="F786" s="21">
        <f>IF(True,AVERAGE('03_原始数据'!$E$727:$E$786),"")</f>
        <v/>
      </c>
      <c r="G786" s="21">
        <f>IF(True,STDEV('03_原始数据'!$E$727:$E$786),"")</f>
        <v/>
      </c>
    </row>
    <row r="787" ht="17" customHeight="1">
      <c r="A787" s="38">
        <f>'03_原始数据'!A787</f>
        <v/>
      </c>
      <c r="B787" s="16">
        <f>'03_原始数据'!B787</f>
        <v/>
      </c>
      <c r="C787" s="16">
        <f>'03_原始数据'!C787</f>
        <v/>
      </c>
      <c r="D787" s="16">
        <f>'03_原始数据'!E787</f>
        <v/>
      </c>
      <c r="E787" s="39">
        <f>_xlfn.PERCENTRANK.INC('03_原始数据'!$E$5:$E$873,'03_原始数据'!E787)</f>
        <v/>
      </c>
      <c r="F787" s="16">
        <f>IF(True,AVERAGE('03_原始数据'!$E$728:$E$787),"")</f>
        <v/>
      </c>
      <c r="G787" s="16">
        <f>IF(True,STDEV('03_原始数据'!$E$728:$E$787),"")</f>
        <v/>
      </c>
    </row>
    <row r="788" ht="17" customHeight="1">
      <c r="A788" s="40">
        <f>'03_原始数据'!A788</f>
        <v/>
      </c>
      <c r="B788" s="21">
        <f>'03_原始数据'!B788</f>
        <v/>
      </c>
      <c r="C788" s="21">
        <f>'03_原始数据'!C788</f>
        <v/>
      </c>
      <c r="D788" s="21">
        <f>'03_原始数据'!E788</f>
        <v/>
      </c>
      <c r="E788" s="41">
        <f>_xlfn.PERCENTRANK.INC('03_原始数据'!$E$5:$E$873,'03_原始数据'!E788)</f>
        <v/>
      </c>
      <c r="F788" s="21">
        <f>IF(True,AVERAGE('03_原始数据'!$E$729:$E$788),"")</f>
        <v/>
      </c>
      <c r="G788" s="21">
        <f>IF(True,STDEV('03_原始数据'!$E$729:$E$788),"")</f>
        <v/>
      </c>
    </row>
    <row r="789" ht="17" customHeight="1">
      <c r="A789" s="38">
        <f>'03_原始数据'!A789</f>
        <v/>
      </c>
      <c r="B789" s="16">
        <f>'03_原始数据'!B789</f>
        <v/>
      </c>
      <c r="C789" s="16">
        <f>'03_原始数据'!C789</f>
        <v/>
      </c>
      <c r="D789" s="16">
        <f>'03_原始数据'!E789</f>
        <v/>
      </c>
      <c r="E789" s="39">
        <f>_xlfn.PERCENTRANK.INC('03_原始数据'!$E$5:$E$873,'03_原始数据'!E789)</f>
        <v/>
      </c>
      <c r="F789" s="16">
        <f>IF(True,AVERAGE('03_原始数据'!$E$730:$E$789),"")</f>
        <v/>
      </c>
      <c r="G789" s="16">
        <f>IF(True,STDEV('03_原始数据'!$E$730:$E$789),"")</f>
        <v/>
      </c>
    </row>
    <row r="790" ht="17" customHeight="1">
      <c r="A790" s="40">
        <f>'03_原始数据'!A790</f>
        <v/>
      </c>
      <c r="B790" s="21">
        <f>'03_原始数据'!B790</f>
        <v/>
      </c>
      <c r="C790" s="21">
        <f>'03_原始数据'!C790</f>
        <v/>
      </c>
      <c r="D790" s="21">
        <f>'03_原始数据'!E790</f>
        <v/>
      </c>
      <c r="E790" s="41">
        <f>_xlfn.PERCENTRANK.INC('03_原始数据'!$E$5:$E$873,'03_原始数据'!E790)</f>
        <v/>
      </c>
      <c r="F790" s="21">
        <f>IF(True,AVERAGE('03_原始数据'!$E$731:$E$790),"")</f>
        <v/>
      </c>
      <c r="G790" s="21">
        <f>IF(True,STDEV('03_原始数据'!$E$731:$E$790),"")</f>
        <v/>
      </c>
    </row>
    <row r="791" ht="17" customHeight="1">
      <c r="A791" s="38">
        <f>'03_原始数据'!A791</f>
        <v/>
      </c>
      <c r="B791" s="16">
        <f>'03_原始数据'!B791</f>
        <v/>
      </c>
      <c r="C791" s="16">
        <f>'03_原始数据'!C791</f>
        <v/>
      </c>
      <c r="D791" s="16">
        <f>'03_原始数据'!E791</f>
        <v/>
      </c>
      <c r="E791" s="39">
        <f>_xlfn.PERCENTRANK.INC('03_原始数据'!$E$5:$E$873,'03_原始数据'!E791)</f>
        <v/>
      </c>
      <c r="F791" s="16">
        <f>IF(True,AVERAGE('03_原始数据'!$E$732:$E$791),"")</f>
        <v/>
      </c>
      <c r="G791" s="16">
        <f>IF(True,STDEV('03_原始数据'!$E$732:$E$791),"")</f>
        <v/>
      </c>
    </row>
    <row r="792" ht="17" customHeight="1">
      <c r="A792" s="40">
        <f>'03_原始数据'!A792</f>
        <v/>
      </c>
      <c r="B792" s="21">
        <f>'03_原始数据'!B792</f>
        <v/>
      </c>
      <c r="C792" s="21">
        <f>'03_原始数据'!C792</f>
        <v/>
      </c>
      <c r="D792" s="21">
        <f>'03_原始数据'!E792</f>
        <v/>
      </c>
      <c r="E792" s="41">
        <f>_xlfn.PERCENTRANK.INC('03_原始数据'!$E$5:$E$873,'03_原始数据'!E792)</f>
        <v/>
      </c>
      <c r="F792" s="21">
        <f>IF(True,AVERAGE('03_原始数据'!$E$733:$E$792),"")</f>
        <v/>
      </c>
      <c r="G792" s="21">
        <f>IF(True,STDEV('03_原始数据'!$E$733:$E$792),"")</f>
        <v/>
      </c>
    </row>
    <row r="793" ht="17" customHeight="1">
      <c r="A793" s="38">
        <f>'03_原始数据'!A793</f>
        <v/>
      </c>
      <c r="B793" s="16">
        <f>'03_原始数据'!B793</f>
        <v/>
      </c>
      <c r="C793" s="16">
        <f>'03_原始数据'!C793</f>
        <v/>
      </c>
      <c r="D793" s="16">
        <f>'03_原始数据'!E793</f>
        <v/>
      </c>
      <c r="E793" s="39">
        <f>_xlfn.PERCENTRANK.INC('03_原始数据'!$E$5:$E$873,'03_原始数据'!E793)</f>
        <v/>
      </c>
      <c r="F793" s="16">
        <f>IF(True,AVERAGE('03_原始数据'!$E$734:$E$793),"")</f>
        <v/>
      </c>
      <c r="G793" s="16">
        <f>IF(True,STDEV('03_原始数据'!$E$734:$E$793),"")</f>
        <v/>
      </c>
    </row>
    <row r="794" ht="17" customHeight="1">
      <c r="A794" s="40">
        <f>'03_原始数据'!A794</f>
        <v/>
      </c>
      <c r="B794" s="21">
        <f>'03_原始数据'!B794</f>
        <v/>
      </c>
      <c r="C794" s="21">
        <f>'03_原始数据'!C794</f>
        <v/>
      </c>
      <c r="D794" s="21">
        <f>'03_原始数据'!E794</f>
        <v/>
      </c>
      <c r="E794" s="41">
        <f>_xlfn.PERCENTRANK.INC('03_原始数据'!$E$5:$E$873,'03_原始数据'!E794)</f>
        <v/>
      </c>
      <c r="F794" s="21">
        <f>IF(True,AVERAGE('03_原始数据'!$E$735:$E$794),"")</f>
        <v/>
      </c>
      <c r="G794" s="21">
        <f>IF(True,STDEV('03_原始数据'!$E$735:$E$794),"")</f>
        <v/>
      </c>
    </row>
    <row r="795" ht="17" customHeight="1">
      <c r="A795" s="38">
        <f>'03_原始数据'!A795</f>
        <v/>
      </c>
      <c r="B795" s="16">
        <f>'03_原始数据'!B795</f>
        <v/>
      </c>
      <c r="C795" s="16">
        <f>'03_原始数据'!C795</f>
        <v/>
      </c>
      <c r="D795" s="16">
        <f>'03_原始数据'!E795</f>
        <v/>
      </c>
      <c r="E795" s="39">
        <f>_xlfn.PERCENTRANK.INC('03_原始数据'!$E$5:$E$873,'03_原始数据'!E795)</f>
        <v/>
      </c>
      <c r="F795" s="16">
        <f>IF(True,AVERAGE('03_原始数据'!$E$736:$E$795),"")</f>
        <v/>
      </c>
      <c r="G795" s="16">
        <f>IF(True,STDEV('03_原始数据'!$E$736:$E$795),"")</f>
        <v/>
      </c>
    </row>
    <row r="796" ht="17" customHeight="1">
      <c r="A796" s="40">
        <f>'03_原始数据'!A796</f>
        <v/>
      </c>
      <c r="B796" s="21">
        <f>'03_原始数据'!B796</f>
        <v/>
      </c>
      <c r="C796" s="21">
        <f>'03_原始数据'!C796</f>
        <v/>
      </c>
      <c r="D796" s="21">
        <f>'03_原始数据'!E796</f>
        <v/>
      </c>
      <c r="E796" s="41">
        <f>_xlfn.PERCENTRANK.INC('03_原始数据'!$E$5:$E$873,'03_原始数据'!E796)</f>
        <v/>
      </c>
      <c r="F796" s="21">
        <f>IF(True,AVERAGE('03_原始数据'!$E$737:$E$796),"")</f>
        <v/>
      </c>
      <c r="G796" s="21">
        <f>IF(True,STDEV('03_原始数据'!$E$737:$E$796),"")</f>
        <v/>
      </c>
    </row>
    <row r="797" ht="17" customHeight="1">
      <c r="A797" s="38">
        <f>'03_原始数据'!A797</f>
        <v/>
      </c>
      <c r="B797" s="16">
        <f>'03_原始数据'!B797</f>
        <v/>
      </c>
      <c r="C797" s="16">
        <f>'03_原始数据'!C797</f>
        <v/>
      </c>
      <c r="D797" s="16">
        <f>'03_原始数据'!E797</f>
        <v/>
      </c>
      <c r="E797" s="39">
        <f>_xlfn.PERCENTRANK.INC('03_原始数据'!$E$5:$E$873,'03_原始数据'!E797)</f>
        <v/>
      </c>
      <c r="F797" s="16">
        <f>IF(True,AVERAGE('03_原始数据'!$E$738:$E$797),"")</f>
        <v/>
      </c>
      <c r="G797" s="16">
        <f>IF(True,STDEV('03_原始数据'!$E$738:$E$797),"")</f>
        <v/>
      </c>
    </row>
    <row r="798" ht="17" customHeight="1">
      <c r="A798" s="40">
        <f>'03_原始数据'!A798</f>
        <v/>
      </c>
      <c r="B798" s="21">
        <f>'03_原始数据'!B798</f>
        <v/>
      </c>
      <c r="C798" s="21">
        <f>'03_原始数据'!C798</f>
        <v/>
      </c>
      <c r="D798" s="21">
        <f>'03_原始数据'!E798</f>
        <v/>
      </c>
      <c r="E798" s="41">
        <f>_xlfn.PERCENTRANK.INC('03_原始数据'!$E$5:$E$873,'03_原始数据'!E798)</f>
        <v/>
      </c>
      <c r="F798" s="21">
        <f>IF(True,AVERAGE('03_原始数据'!$E$739:$E$798),"")</f>
        <v/>
      </c>
      <c r="G798" s="21">
        <f>IF(True,STDEV('03_原始数据'!$E$739:$E$798),"")</f>
        <v/>
      </c>
    </row>
    <row r="799" ht="17" customHeight="1">
      <c r="A799" s="38">
        <f>'03_原始数据'!A799</f>
        <v/>
      </c>
      <c r="B799" s="16">
        <f>'03_原始数据'!B799</f>
        <v/>
      </c>
      <c r="C799" s="16">
        <f>'03_原始数据'!C799</f>
        <v/>
      </c>
      <c r="D799" s="16">
        <f>'03_原始数据'!E799</f>
        <v/>
      </c>
      <c r="E799" s="39">
        <f>_xlfn.PERCENTRANK.INC('03_原始数据'!$E$5:$E$873,'03_原始数据'!E799)</f>
        <v/>
      </c>
      <c r="F799" s="16">
        <f>IF(True,AVERAGE('03_原始数据'!$E$740:$E$799),"")</f>
        <v/>
      </c>
      <c r="G799" s="16">
        <f>IF(True,STDEV('03_原始数据'!$E$740:$E$799),"")</f>
        <v/>
      </c>
    </row>
    <row r="800" ht="17" customHeight="1">
      <c r="A800" s="40">
        <f>'03_原始数据'!A800</f>
        <v/>
      </c>
      <c r="B800" s="21">
        <f>'03_原始数据'!B800</f>
        <v/>
      </c>
      <c r="C800" s="21">
        <f>'03_原始数据'!C800</f>
        <v/>
      </c>
      <c r="D800" s="21">
        <f>'03_原始数据'!E800</f>
        <v/>
      </c>
      <c r="E800" s="41">
        <f>_xlfn.PERCENTRANK.INC('03_原始数据'!$E$5:$E$873,'03_原始数据'!E800)</f>
        <v/>
      </c>
      <c r="F800" s="21">
        <f>IF(True,AVERAGE('03_原始数据'!$E$741:$E$800),"")</f>
        <v/>
      </c>
      <c r="G800" s="21">
        <f>IF(True,STDEV('03_原始数据'!$E$741:$E$800),"")</f>
        <v/>
      </c>
    </row>
    <row r="801" ht="17" customHeight="1">
      <c r="A801" s="38">
        <f>'03_原始数据'!A801</f>
        <v/>
      </c>
      <c r="B801" s="16">
        <f>'03_原始数据'!B801</f>
        <v/>
      </c>
      <c r="C801" s="16">
        <f>'03_原始数据'!C801</f>
        <v/>
      </c>
      <c r="D801" s="16">
        <f>'03_原始数据'!E801</f>
        <v/>
      </c>
      <c r="E801" s="39">
        <f>_xlfn.PERCENTRANK.INC('03_原始数据'!$E$5:$E$873,'03_原始数据'!E801)</f>
        <v/>
      </c>
      <c r="F801" s="16">
        <f>IF(True,AVERAGE('03_原始数据'!$E$742:$E$801),"")</f>
        <v/>
      </c>
      <c r="G801" s="16">
        <f>IF(True,STDEV('03_原始数据'!$E$742:$E$801),"")</f>
        <v/>
      </c>
    </row>
    <row r="802" ht="17" customHeight="1">
      <c r="A802" s="40">
        <f>'03_原始数据'!A802</f>
        <v/>
      </c>
      <c r="B802" s="21">
        <f>'03_原始数据'!B802</f>
        <v/>
      </c>
      <c r="C802" s="21">
        <f>'03_原始数据'!C802</f>
        <v/>
      </c>
      <c r="D802" s="21">
        <f>'03_原始数据'!E802</f>
        <v/>
      </c>
      <c r="E802" s="41">
        <f>_xlfn.PERCENTRANK.INC('03_原始数据'!$E$5:$E$873,'03_原始数据'!E802)</f>
        <v/>
      </c>
      <c r="F802" s="21">
        <f>IF(True,AVERAGE('03_原始数据'!$E$743:$E$802),"")</f>
        <v/>
      </c>
      <c r="G802" s="21">
        <f>IF(True,STDEV('03_原始数据'!$E$743:$E$802),"")</f>
        <v/>
      </c>
    </row>
    <row r="803" ht="17" customHeight="1">
      <c r="A803" s="38">
        <f>'03_原始数据'!A803</f>
        <v/>
      </c>
      <c r="B803" s="16">
        <f>'03_原始数据'!B803</f>
        <v/>
      </c>
      <c r="C803" s="16">
        <f>'03_原始数据'!C803</f>
        <v/>
      </c>
      <c r="D803" s="16">
        <f>'03_原始数据'!E803</f>
        <v/>
      </c>
      <c r="E803" s="39">
        <f>_xlfn.PERCENTRANK.INC('03_原始数据'!$E$5:$E$873,'03_原始数据'!E803)</f>
        <v/>
      </c>
      <c r="F803" s="16">
        <f>IF(True,AVERAGE('03_原始数据'!$E$744:$E$803),"")</f>
        <v/>
      </c>
      <c r="G803" s="16">
        <f>IF(True,STDEV('03_原始数据'!$E$744:$E$803),"")</f>
        <v/>
      </c>
    </row>
    <row r="804" ht="17" customHeight="1">
      <c r="A804" s="40">
        <f>'03_原始数据'!A804</f>
        <v/>
      </c>
      <c r="B804" s="21">
        <f>'03_原始数据'!B804</f>
        <v/>
      </c>
      <c r="C804" s="21">
        <f>'03_原始数据'!C804</f>
        <v/>
      </c>
      <c r="D804" s="21">
        <f>'03_原始数据'!E804</f>
        <v/>
      </c>
      <c r="E804" s="41">
        <f>_xlfn.PERCENTRANK.INC('03_原始数据'!$E$5:$E$873,'03_原始数据'!E804)</f>
        <v/>
      </c>
      <c r="F804" s="21">
        <f>IF(True,AVERAGE('03_原始数据'!$E$745:$E$804),"")</f>
        <v/>
      </c>
      <c r="G804" s="21">
        <f>IF(True,STDEV('03_原始数据'!$E$745:$E$804),"")</f>
        <v/>
      </c>
    </row>
    <row r="805" ht="17" customHeight="1">
      <c r="A805" s="38">
        <f>'03_原始数据'!A805</f>
        <v/>
      </c>
      <c r="B805" s="16">
        <f>'03_原始数据'!B805</f>
        <v/>
      </c>
      <c r="C805" s="16">
        <f>'03_原始数据'!C805</f>
        <v/>
      </c>
      <c r="D805" s="16">
        <f>'03_原始数据'!E805</f>
        <v/>
      </c>
      <c r="E805" s="39">
        <f>_xlfn.PERCENTRANK.INC('03_原始数据'!$E$5:$E$873,'03_原始数据'!E805)</f>
        <v/>
      </c>
      <c r="F805" s="16">
        <f>IF(True,AVERAGE('03_原始数据'!$E$746:$E$805),"")</f>
        <v/>
      </c>
      <c r="G805" s="16">
        <f>IF(True,STDEV('03_原始数据'!$E$746:$E$805),"")</f>
        <v/>
      </c>
    </row>
    <row r="806" ht="17" customHeight="1">
      <c r="A806" s="40">
        <f>'03_原始数据'!A806</f>
        <v/>
      </c>
      <c r="B806" s="21">
        <f>'03_原始数据'!B806</f>
        <v/>
      </c>
      <c r="C806" s="21">
        <f>'03_原始数据'!C806</f>
        <v/>
      </c>
      <c r="D806" s="21">
        <f>'03_原始数据'!E806</f>
        <v/>
      </c>
      <c r="E806" s="41">
        <f>_xlfn.PERCENTRANK.INC('03_原始数据'!$E$5:$E$873,'03_原始数据'!E806)</f>
        <v/>
      </c>
      <c r="F806" s="21">
        <f>IF(True,AVERAGE('03_原始数据'!$E$747:$E$806),"")</f>
        <v/>
      </c>
      <c r="G806" s="21">
        <f>IF(True,STDEV('03_原始数据'!$E$747:$E$806),"")</f>
        <v/>
      </c>
    </row>
    <row r="807" ht="17" customHeight="1">
      <c r="A807" s="38">
        <f>'03_原始数据'!A807</f>
        <v/>
      </c>
      <c r="B807" s="16">
        <f>'03_原始数据'!B807</f>
        <v/>
      </c>
      <c r="C807" s="16">
        <f>'03_原始数据'!C807</f>
        <v/>
      </c>
      <c r="D807" s="16">
        <f>'03_原始数据'!E807</f>
        <v/>
      </c>
      <c r="E807" s="39">
        <f>_xlfn.PERCENTRANK.INC('03_原始数据'!$E$5:$E$873,'03_原始数据'!E807)</f>
        <v/>
      </c>
      <c r="F807" s="16">
        <f>IF(True,AVERAGE('03_原始数据'!$E$748:$E$807),"")</f>
        <v/>
      </c>
      <c r="G807" s="16">
        <f>IF(True,STDEV('03_原始数据'!$E$748:$E$807),"")</f>
        <v/>
      </c>
    </row>
    <row r="808" ht="17" customHeight="1">
      <c r="A808" s="40">
        <f>'03_原始数据'!A808</f>
        <v/>
      </c>
      <c r="B808" s="21">
        <f>'03_原始数据'!B808</f>
        <v/>
      </c>
      <c r="C808" s="21">
        <f>'03_原始数据'!C808</f>
        <v/>
      </c>
      <c r="D808" s="21">
        <f>'03_原始数据'!E808</f>
        <v/>
      </c>
      <c r="E808" s="41">
        <f>_xlfn.PERCENTRANK.INC('03_原始数据'!$E$5:$E$873,'03_原始数据'!E808)</f>
        <v/>
      </c>
      <c r="F808" s="21">
        <f>IF(True,AVERAGE('03_原始数据'!$E$749:$E$808),"")</f>
        <v/>
      </c>
      <c r="G808" s="21">
        <f>IF(True,STDEV('03_原始数据'!$E$749:$E$808),"")</f>
        <v/>
      </c>
    </row>
    <row r="809" ht="17" customHeight="1">
      <c r="A809" s="38">
        <f>'03_原始数据'!A809</f>
        <v/>
      </c>
      <c r="B809" s="16">
        <f>'03_原始数据'!B809</f>
        <v/>
      </c>
      <c r="C809" s="16">
        <f>'03_原始数据'!C809</f>
        <v/>
      </c>
      <c r="D809" s="16">
        <f>'03_原始数据'!E809</f>
        <v/>
      </c>
      <c r="E809" s="39">
        <f>_xlfn.PERCENTRANK.INC('03_原始数据'!$E$5:$E$873,'03_原始数据'!E809)</f>
        <v/>
      </c>
      <c r="F809" s="16">
        <f>IF(True,AVERAGE('03_原始数据'!$E$750:$E$809),"")</f>
        <v/>
      </c>
      <c r="G809" s="16">
        <f>IF(True,STDEV('03_原始数据'!$E$750:$E$809),"")</f>
        <v/>
      </c>
    </row>
    <row r="810" ht="17" customHeight="1">
      <c r="A810" s="40">
        <f>'03_原始数据'!A810</f>
        <v/>
      </c>
      <c r="B810" s="21">
        <f>'03_原始数据'!B810</f>
        <v/>
      </c>
      <c r="C810" s="21">
        <f>'03_原始数据'!C810</f>
        <v/>
      </c>
      <c r="D810" s="21">
        <f>'03_原始数据'!E810</f>
        <v/>
      </c>
      <c r="E810" s="41">
        <f>_xlfn.PERCENTRANK.INC('03_原始数据'!$E$5:$E$873,'03_原始数据'!E810)</f>
        <v/>
      </c>
      <c r="F810" s="21">
        <f>IF(True,AVERAGE('03_原始数据'!$E$751:$E$810),"")</f>
        <v/>
      </c>
      <c r="G810" s="21">
        <f>IF(True,STDEV('03_原始数据'!$E$751:$E$810),"")</f>
        <v/>
      </c>
    </row>
    <row r="811" ht="17" customHeight="1">
      <c r="A811" s="38">
        <f>'03_原始数据'!A811</f>
        <v/>
      </c>
      <c r="B811" s="16">
        <f>'03_原始数据'!B811</f>
        <v/>
      </c>
      <c r="C811" s="16">
        <f>'03_原始数据'!C811</f>
        <v/>
      </c>
      <c r="D811" s="16">
        <f>'03_原始数据'!E811</f>
        <v/>
      </c>
      <c r="E811" s="39">
        <f>_xlfn.PERCENTRANK.INC('03_原始数据'!$E$5:$E$873,'03_原始数据'!E811)</f>
        <v/>
      </c>
      <c r="F811" s="16">
        <f>IF(True,AVERAGE('03_原始数据'!$E$752:$E$811),"")</f>
        <v/>
      </c>
      <c r="G811" s="16">
        <f>IF(True,STDEV('03_原始数据'!$E$752:$E$811),"")</f>
        <v/>
      </c>
    </row>
    <row r="812" ht="17" customHeight="1">
      <c r="A812" s="40">
        <f>'03_原始数据'!A812</f>
        <v/>
      </c>
      <c r="B812" s="21">
        <f>'03_原始数据'!B812</f>
        <v/>
      </c>
      <c r="C812" s="21">
        <f>'03_原始数据'!C812</f>
        <v/>
      </c>
      <c r="D812" s="21">
        <f>'03_原始数据'!E812</f>
        <v/>
      </c>
      <c r="E812" s="41">
        <f>_xlfn.PERCENTRANK.INC('03_原始数据'!$E$5:$E$873,'03_原始数据'!E812)</f>
        <v/>
      </c>
      <c r="F812" s="21">
        <f>IF(True,AVERAGE('03_原始数据'!$E$753:$E$812),"")</f>
        <v/>
      </c>
      <c r="G812" s="21">
        <f>IF(True,STDEV('03_原始数据'!$E$753:$E$812),"")</f>
        <v/>
      </c>
    </row>
    <row r="813" ht="17" customHeight="1">
      <c r="A813" s="38">
        <f>'03_原始数据'!A813</f>
        <v/>
      </c>
      <c r="B813" s="16">
        <f>'03_原始数据'!B813</f>
        <v/>
      </c>
      <c r="C813" s="16">
        <f>'03_原始数据'!C813</f>
        <v/>
      </c>
      <c r="D813" s="16">
        <f>'03_原始数据'!E813</f>
        <v/>
      </c>
      <c r="E813" s="39">
        <f>_xlfn.PERCENTRANK.INC('03_原始数据'!$E$5:$E$873,'03_原始数据'!E813)</f>
        <v/>
      </c>
      <c r="F813" s="16">
        <f>IF(True,AVERAGE('03_原始数据'!$E$754:$E$813),"")</f>
        <v/>
      </c>
      <c r="G813" s="16">
        <f>IF(True,STDEV('03_原始数据'!$E$754:$E$813),"")</f>
        <v/>
      </c>
    </row>
    <row r="814" ht="17" customHeight="1">
      <c r="A814" s="40">
        <f>'03_原始数据'!A814</f>
        <v/>
      </c>
      <c r="B814" s="21">
        <f>'03_原始数据'!B814</f>
        <v/>
      </c>
      <c r="C814" s="21">
        <f>'03_原始数据'!C814</f>
        <v/>
      </c>
      <c r="D814" s="21">
        <f>'03_原始数据'!E814</f>
        <v/>
      </c>
      <c r="E814" s="41">
        <f>_xlfn.PERCENTRANK.INC('03_原始数据'!$E$5:$E$873,'03_原始数据'!E814)</f>
        <v/>
      </c>
      <c r="F814" s="21">
        <f>IF(True,AVERAGE('03_原始数据'!$E$755:$E$814),"")</f>
        <v/>
      </c>
      <c r="G814" s="21">
        <f>IF(True,STDEV('03_原始数据'!$E$755:$E$814),"")</f>
        <v/>
      </c>
    </row>
    <row r="815" ht="17" customHeight="1">
      <c r="A815" s="38">
        <f>'03_原始数据'!A815</f>
        <v/>
      </c>
      <c r="B815" s="16">
        <f>'03_原始数据'!B815</f>
        <v/>
      </c>
      <c r="C815" s="16">
        <f>'03_原始数据'!C815</f>
        <v/>
      </c>
      <c r="D815" s="16">
        <f>'03_原始数据'!E815</f>
        <v/>
      </c>
      <c r="E815" s="39">
        <f>_xlfn.PERCENTRANK.INC('03_原始数据'!$E$5:$E$873,'03_原始数据'!E815)</f>
        <v/>
      </c>
      <c r="F815" s="16">
        <f>IF(True,AVERAGE('03_原始数据'!$E$756:$E$815),"")</f>
        <v/>
      </c>
      <c r="G815" s="16">
        <f>IF(True,STDEV('03_原始数据'!$E$756:$E$815),"")</f>
        <v/>
      </c>
    </row>
    <row r="816" ht="17" customHeight="1">
      <c r="A816" s="40">
        <f>'03_原始数据'!A816</f>
        <v/>
      </c>
      <c r="B816" s="21">
        <f>'03_原始数据'!B816</f>
        <v/>
      </c>
      <c r="C816" s="21">
        <f>'03_原始数据'!C816</f>
        <v/>
      </c>
      <c r="D816" s="21">
        <f>'03_原始数据'!E816</f>
        <v/>
      </c>
      <c r="E816" s="41">
        <f>_xlfn.PERCENTRANK.INC('03_原始数据'!$E$5:$E$873,'03_原始数据'!E816)</f>
        <v/>
      </c>
      <c r="F816" s="21">
        <f>IF(True,AVERAGE('03_原始数据'!$E$757:$E$816),"")</f>
        <v/>
      </c>
      <c r="G816" s="21">
        <f>IF(True,STDEV('03_原始数据'!$E$757:$E$816),"")</f>
        <v/>
      </c>
    </row>
    <row r="817" ht="17" customHeight="1">
      <c r="A817" s="38">
        <f>'03_原始数据'!A817</f>
        <v/>
      </c>
      <c r="B817" s="16">
        <f>'03_原始数据'!B817</f>
        <v/>
      </c>
      <c r="C817" s="16">
        <f>'03_原始数据'!C817</f>
        <v/>
      </c>
      <c r="D817" s="16">
        <f>'03_原始数据'!E817</f>
        <v/>
      </c>
      <c r="E817" s="39">
        <f>_xlfn.PERCENTRANK.INC('03_原始数据'!$E$5:$E$873,'03_原始数据'!E817)</f>
        <v/>
      </c>
      <c r="F817" s="16">
        <f>IF(True,AVERAGE('03_原始数据'!$E$758:$E$817),"")</f>
        <v/>
      </c>
      <c r="G817" s="16">
        <f>IF(True,STDEV('03_原始数据'!$E$758:$E$817),"")</f>
        <v/>
      </c>
    </row>
    <row r="818" ht="17" customHeight="1">
      <c r="A818" s="40">
        <f>'03_原始数据'!A818</f>
        <v/>
      </c>
      <c r="B818" s="21">
        <f>'03_原始数据'!B818</f>
        <v/>
      </c>
      <c r="C818" s="21">
        <f>'03_原始数据'!C818</f>
        <v/>
      </c>
      <c r="D818" s="21">
        <f>'03_原始数据'!E818</f>
        <v/>
      </c>
      <c r="E818" s="41">
        <f>_xlfn.PERCENTRANK.INC('03_原始数据'!$E$5:$E$873,'03_原始数据'!E818)</f>
        <v/>
      </c>
      <c r="F818" s="21">
        <f>IF(True,AVERAGE('03_原始数据'!$E$759:$E$818),"")</f>
        <v/>
      </c>
      <c r="G818" s="21">
        <f>IF(True,STDEV('03_原始数据'!$E$759:$E$818),"")</f>
        <v/>
      </c>
    </row>
    <row r="819" ht="17" customHeight="1">
      <c r="A819" s="38">
        <f>'03_原始数据'!A819</f>
        <v/>
      </c>
      <c r="B819" s="16">
        <f>'03_原始数据'!B819</f>
        <v/>
      </c>
      <c r="C819" s="16">
        <f>'03_原始数据'!C819</f>
        <v/>
      </c>
      <c r="D819" s="16">
        <f>'03_原始数据'!E819</f>
        <v/>
      </c>
      <c r="E819" s="39">
        <f>_xlfn.PERCENTRANK.INC('03_原始数据'!$E$5:$E$873,'03_原始数据'!E819)</f>
        <v/>
      </c>
      <c r="F819" s="16">
        <f>IF(True,AVERAGE('03_原始数据'!$E$760:$E$819),"")</f>
        <v/>
      </c>
      <c r="G819" s="16">
        <f>IF(True,STDEV('03_原始数据'!$E$760:$E$819),"")</f>
        <v/>
      </c>
    </row>
    <row r="820" ht="17" customHeight="1">
      <c r="A820" s="40">
        <f>'03_原始数据'!A820</f>
        <v/>
      </c>
      <c r="B820" s="21">
        <f>'03_原始数据'!B820</f>
        <v/>
      </c>
      <c r="C820" s="21">
        <f>'03_原始数据'!C820</f>
        <v/>
      </c>
      <c r="D820" s="21">
        <f>'03_原始数据'!E820</f>
        <v/>
      </c>
      <c r="E820" s="41">
        <f>_xlfn.PERCENTRANK.INC('03_原始数据'!$E$5:$E$873,'03_原始数据'!E820)</f>
        <v/>
      </c>
      <c r="F820" s="21">
        <f>IF(True,AVERAGE('03_原始数据'!$E$761:$E$820),"")</f>
        <v/>
      </c>
      <c r="G820" s="21">
        <f>IF(True,STDEV('03_原始数据'!$E$761:$E$820),"")</f>
        <v/>
      </c>
    </row>
    <row r="821" ht="17" customHeight="1">
      <c r="A821" s="38">
        <f>'03_原始数据'!A821</f>
        <v/>
      </c>
      <c r="B821" s="16">
        <f>'03_原始数据'!B821</f>
        <v/>
      </c>
      <c r="C821" s="16">
        <f>'03_原始数据'!C821</f>
        <v/>
      </c>
      <c r="D821" s="16">
        <f>'03_原始数据'!E821</f>
        <v/>
      </c>
      <c r="E821" s="39">
        <f>_xlfn.PERCENTRANK.INC('03_原始数据'!$E$5:$E$873,'03_原始数据'!E821)</f>
        <v/>
      </c>
      <c r="F821" s="16">
        <f>IF(True,AVERAGE('03_原始数据'!$E$762:$E$821),"")</f>
        <v/>
      </c>
      <c r="G821" s="16">
        <f>IF(True,STDEV('03_原始数据'!$E$762:$E$821),"")</f>
        <v/>
      </c>
    </row>
    <row r="822" ht="17" customHeight="1">
      <c r="A822" s="40">
        <f>'03_原始数据'!A822</f>
        <v/>
      </c>
      <c r="B822" s="21">
        <f>'03_原始数据'!B822</f>
        <v/>
      </c>
      <c r="C822" s="21">
        <f>'03_原始数据'!C822</f>
        <v/>
      </c>
      <c r="D822" s="21">
        <f>'03_原始数据'!E822</f>
        <v/>
      </c>
      <c r="E822" s="41">
        <f>_xlfn.PERCENTRANK.INC('03_原始数据'!$E$5:$E$873,'03_原始数据'!E822)</f>
        <v/>
      </c>
      <c r="F822" s="21">
        <f>IF(True,AVERAGE('03_原始数据'!$E$763:$E$822),"")</f>
        <v/>
      </c>
      <c r="G822" s="21">
        <f>IF(True,STDEV('03_原始数据'!$E$763:$E$822),"")</f>
        <v/>
      </c>
    </row>
    <row r="823" ht="17" customHeight="1">
      <c r="A823" s="38">
        <f>'03_原始数据'!A823</f>
        <v/>
      </c>
      <c r="B823" s="16">
        <f>'03_原始数据'!B823</f>
        <v/>
      </c>
      <c r="C823" s="16">
        <f>'03_原始数据'!C823</f>
        <v/>
      </c>
      <c r="D823" s="16">
        <f>'03_原始数据'!E823</f>
        <v/>
      </c>
      <c r="E823" s="39">
        <f>_xlfn.PERCENTRANK.INC('03_原始数据'!$E$5:$E$873,'03_原始数据'!E823)</f>
        <v/>
      </c>
      <c r="F823" s="16">
        <f>IF(True,AVERAGE('03_原始数据'!$E$764:$E$823),"")</f>
        <v/>
      </c>
      <c r="G823" s="16">
        <f>IF(True,STDEV('03_原始数据'!$E$764:$E$823),"")</f>
        <v/>
      </c>
    </row>
    <row r="824" ht="17" customHeight="1">
      <c r="A824" s="40">
        <f>'03_原始数据'!A824</f>
        <v/>
      </c>
      <c r="B824" s="21">
        <f>'03_原始数据'!B824</f>
        <v/>
      </c>
      <c r="C824" s="21">
        <f>'03_原始数据'!C824</f>
        <v/>
      </c>
      <c r="D824" s="21">
        <f>'03_原始数据'!E824</f>
        <v/>
      </c>
      <c r="E824" s="41">
        <f>_xlfn.PERCENTRANK.INC('03_原始数据'!$E$5:$E$873,'03_原始数据'!E824)</f>
        <v/>
      </c>
      <c r="F824" s="21">
        <f>IF(True,AVERAGE('03_原始数据'!$E$765:$E$824),"")</f>
        <v/>
      </c>
      <c r="G824" s="21">
        <f>IF(True,STDEV('03_原始数据'!$E$765:$E$824),"")</f>
        <v/>
      </c>
    </row>
    <row r="825" ht="17" customHeight="1">
      <c r="A825" s="38">
        <f>'03_原始数据'!A825</f>
        <v/>
      </c>
      <c r="B825" s="16">
        <f>'03_原始数据'!B825</f>
        <v/>
      </c>
      <c r="C825" s="16">
        <f>'03_原始数据'!C825</f>
        <v/>
      </c>
      <c r="D825" s="16">
        <f>'03_原始数据'!E825</f>
        <v/>
      </c>
      <c r="E825" s="39">
        <f>_xlfn.PERCENTRANK.INC('03_原始数据'!$E$5:$E$873,'03_原始数据'!E825)</f>
        <v/>
      </c>
      <c r="F825" s="16">
        <f>IF(True,AVERAGE('03_原始数据'!$E$766:$E$825),"")</f>
        <v/>
      </c>
      <c r="G825" s="16">
        <f>IF(True,STDEV('03_原始数据'!$E$766:$E$825),"")</f>
        <v/>
      </c>
    </row>
    <row r="826" ht="17" customHeight="1">
      <c r="A826" s="40">
        <f>'03_原始数据'!A826</f>
        <v/>
      </c>
      <c r="B826" s="21">
        <f>'03_原始数据'!B826</f>
        <v/>
      </c>
      <c r="C826" s="21">
        <f>'03_原始数据'!C826</f>
        <v/>
      </c>
      <c r="D826" s="21">
        <f>'03_原始数据'!E826</f>
        <v/>
      </c>
      <c r="E826" s="41">
        <f>_xlfn.PERCENTRANK.INC('03_原始数据'!$E$5:$E$873,'03_原始数据'!E826)</f>
        <v/>
      </c>
      <c r="F826" s="21">
        <f>IF(True,AVERAGE('03_原始数据'!$E$767:$E$826),"")</f>
        <v/>
      </c>
      <c r="G826" s="21">
        <f>IF(True,STDEV('03_原始数据'!$E$767:$E$826),"")</f>
        <v/>
      </c>
    </row>
    <row r="827" ht="17" customHeight="1">
      <c r="A827" s="38">
        <f>'03_原始数据'!A827</f>
        <v/>
      </c>
      <c r="B827" s="16">
        <f>'03_原始数据'!B827</f>
        <v/>
      </c>
      <c r="C827" s="16">
        <f>'03_原始数据'!C827</f>
        <v/>
      </c>
      <c r="D827" s="16">
        <f>'03_原始数据'!E827</f>
        <v/>
      </c>
      <c r="E827" s="39">
        <f>_xlfn.PERCENTRANK.INC('03_原始数据'!$E$5:$E$873,'03_原始数据'!E827)</f>
        <v/>
      </c>
      <c r="F827" s="16">
        <f>IF(True,AVERAGE('03_原始数据'!$E$768:$E$827),"")</f>
        <v/>
      </c>
      <c r="G827" s="16">
        <f>IF(True,STDEV('03_原始数据'!$E$768:$E$827),"")</f>
        <v/>
      </c>
    </row>
    <row r="828" ht="17" customHeight="1">
      <c r="A828" s="40">
        <f>'03_原始数据'!A828</f>
        <v/>
      </c>
      <c r="B828" s="21">
        <f>'03_原始数据'!B828</f>
        <v/>
      </c>
      <c r="C828" s="21">
        <f>'03_原始数据'!C828</f>
        <v/>
      </c>
      <c r="D828" s="21">
        <f>'03_原始数据'!E828</f>
        <v/>
      </c>
      <c r="E828" s="41">
        <f>_xlfn.PERCENTRANK.INC('03_原始数据'!$E$5:$E$873,'03_原始数据'!E828)</f>
        <v/>
      </c>
      <c r="F828" s="21">
        <f>IF(True,AVERAGE('03_原始数据'!$E$769:$E$828),"")</f>
        <v/>
      </c>
      <c r="G828" s="21">
        <f>IF(True,STDEV('03_原始数据'!$E$769:$E$828),"")</f>
        <v/>
      </c>
    </row>
    <row r="829" ht="17" customHeight="1">
      <c r="A829" s="38">
        <f>'03_原始数据'!A829</f>
        <v/>
      </c>
      <c r="B829" s="16">
        <f>'03_原始数据'!B829</f>
        <v/>
      </c>
      <c r="C829" s="16">
        <f>'03_原始数据'!C829</f>
        <v/>
      </c>
      <c r="D829" s="16">
        <f>'03_原始数据'!E829</f>
        <v/>
      </c>
      <c r="E829" s="39">
        <f>_xlfn.PERCENTRANK.INC('03_原始数据'!$E$5:$E$873,'03_原始数据'!E829)</f>
        <v/>
      </c>
      <c r="F829" s="16">
        <f>IF(True,AVERAGE('03_原始数据'!$E$770:$E$829),"")</f>
        <v/>
      </c>
      <c r="G829" s="16">
        <f>IF(True,STDEV('03_原始数据'!$E$770:$E$829),"")</f>
        <v/>
      </c>
    </row>
    <row r="830" ht="17" customHeight="1">
      <c r="A830" s="40">
        <f>'03_原始数据'!A830</f>
        <v/>
      </c>
      <c r="B830" s="21">
        <f>'03_原始数据'!B830</f>
        <v/>
      </c>
      <c r="C830" s="21">
        <f>'03_原始数据'!C830</f>
        <v/>
      </c>
      <c r="D830" s="21">
        <f>'03_原始数据'!E830</f>
        <v/>
      </c>
      <c r="E830" s="41">
        <f>_xlfn.PERCENTRANK.INC('03_原始数据'!$E$5:$E$873,'03_原始数据'!E830)</f>
        <v/>
      </c>
      <c r="F830" s="21">
        <f>IF(True,AVERAGE('03_原始数据'!$E$771:$E$830),"")</f>
        <v/>
      </c>
      <c r="G830" s="21">
        <f>IF(True,STDEV('03_原始数据'!$E$771:$E$830),"")</f>
        <v/>
      </c>
    </row>
    <row r="831" ht="17" customHeight="1">
      <c r="A831" s="38">
        <f>'03_原始数据'!A831</f>
        <v/>
      </c>
      <c r="B831" s="16">
        <f>'03_原始数据'!B831</f>
        <v/>
      </c>
      <c r="C831" s="16">
        <f>'03_原始数据'!C831</f>
        <v/>
      </c>
      <c r="D831" s="16">
        <f>'03_原始数据'!E831</f>
        <v/>
      </c>
      <c r="E831" s="39">
        <f>_xlfn.PERCENTRANK.INC('03_原始数据'!$E$5:$E$873,'03_原始数据'!E831)</f>
        <v/>
      </c>
      <c r="F831" s="16">
        <f>IF(True,AVERAGE('03_原始数据'!$E$772:$E$831),"")</f>
        <v/>
      </c>
      <c r="G831" s="16">
        <f>IF(True,STDEV('03_原始数据'!$E$772:$E$831),"")</f>
        <v/>
      </c>
    </row>
    <row r="832" ht="17" customHeight="1">
      <c r="A832" s="40">
        <f>'03_原始数据'!A832</f>
        <v/>
      </c>
      <c r="B832" s="21">
        <f>'03_原始数据'!B832</f>
        <v/>
      </c>
      <c r="C832" s="21">
        <f>'03_原始数据'!C832</f>
        <v/>
      </c>
      <c r="D832" s="21">
        <f>'03_原始数据'!E832</f>
        <v/>
      </c>
      <c r="E832" s="41">
        <f>_xlfn.PERCENTRANK.INC('03_原始数据'!$E$5:$E$873,'03_原始数据'!E832)</f>
        <v/>
      </c>
      <c r="F832" s="21">
        <f>IF(True,AVERAGE('03_原始数据'!$E$773:$E$832),"")</f>
        <v/>
      </c>
      <c r="G832" s="21">
        <f>IF(True,STDEV('03_原始数据'!$E$773:$E$832),"")</f>
        <v/>
      </c>
    </row>
    <row r="833" ht="17" customHeight="1">
      <c r="A833" s="38">
        <f>'03_原始数据'!A833</f>
        <v/>
      </c>
      <c r="B833" s="16">
        <f>'03_原始数据'!B833</f>
        <v/>
      </c>
      <c r="C833" s="16">
        <f>'03_原始数据'!C833</f>
        <v/>
      </c>
      <c r="D833" s="16">
        <f>'03_原始数据'!E833</f>
        <v/>
      </c>
      <c r="E833" s="39">
        <f>_xlfn.PERCENTRANK.INC('03_原始数据'!$E$5:$E$873,'03_原始数据'!E833)</f>
        <v/>
      </c>
      <c r="F833" s="16">
        <f>IF(True,AVERAGE('03_原始数据'!$E$774:$E$833),"")</f>
        <v/>
      </c>
      <c r="G833" s="16">
        <f>IF(True,STDEV('03_原始数据'!$E$774:$E$833),"")</f>
        <v/>
      </c>
    </row>
    <row r="834" ht="17" customHeight="1">
      <c r="A834" s="40">
        <f>'03_原始数据'!A834</f>
        <v/>
      </c>
      <c r="B834" s="21">
        <f>'03_原始数据'!B834</f>
        <v/>
      </c>
      <c r="C834" s="21">
        <f>'03_原始数据'!C834</f>
        <v/>
      </c>
      <c r="D834" s="21">
        <f>'03_原始数据'!E834</f>
        <v/>
      </c>
      <c r="E834" s="41">
        <f>_xlfn.PERCENTRANK.INC('03_原始数据'!$E$5:$E$873,'03_原始数据'!E834)</f>
        <v/>
      </c>
      <c r="F834" s="21">
        <f>IF(True,AVERAGE('03_原始数据'!$E$775:$E$834),"")</f>
        <v/>
      </c>
      <c r="G834" s="21">
        <f>IF(True,STDEV('03_原始数据'!$E$775:$E$834),"")</f>
        <v/>
      </c>
    </row>
    <row r="835" ht="17" customHeight="1">
      <c r="A835" s="38">
        <f>'03_原始数据'!A835</f>
        <v/>
      </c>
      <c r="B835" s="16">
        <f>'03_原始数据'!B835</f>
        <v/>
      </c>
      <c r="C835" s="16">
        <f>'03_原始数据'!C835</f>
        <v/>
      </c>
      <c r="D835" s="16">
        <f>'03_原始数据'!E835</f>
        <v/>
      </c>
      <c r="E835" s="39">
        <f>_xlfn.PERCENTRANK.INC('03_原始数据'!$E$5:$E$873,'03_原始数据'!E835)</f>
        <v/>
      </c>
      <c r="F835" s="16">
        <f>IF(True,AVERAGE('03_原始数据'!$E$776:$E$835),"")</f>
        <v/>
      </c>
      <c r="G835" s="16">
        <f>IF(True,STDEV('03_原始数据'!$E$776:$E$835),"")</f>
        <v/>
      </c>
    </row>
    <row r="836" ht="17" customHeight="1">
      <c r="A836" s="40">
        <f>'03_原始数据'!A836</f>
        <v/>
      </c>
      <c r="B836" s="21">
        <f>'03_原始数据'!B836</f>
        <v/>
      </c>
      <c r="C836" s="21">
        <f>'03_原始数据'!C836</f>
        <v/>
      </c>
      <c r="D836" s="21">
        <f>'03_原始数据'!E836</f>
        <v/>
      </c>
      <c r="E836" s="41">
        <f>_xlfn.PERCENTRANK.INC('03_原始数据'!$E$5:$E$873,'03_原始数据'!E836)</f>
        <v/>
      </c>
      <c r="F836" s="21">
        <f>IF(True,AVERAGE('03_原始数据'!$E$777:$E$836),"")</f>
        <v/>
      </c>
      <c r="G836" s="21">
        <f>IF(True,STDEV('03_原始数据'!$E$777:$E$836),"")</f>
        <v/>
      </c>
    </row>
    <row r="837" ht="17" customHeight="1">
      <c r="A837" s="38">
        <f>'03_原始数据'!A837</f>
        <v/>
      </c>
      <c r="B837" s="16">
        <f>'03_原始数据'!B837</f>
        <v/>
      </c>
      <c r="C837" s="16">
        <f>'03_原始数据'!C837</f>
        <v/>
      </c>
      <c r="D837" s="16">
        <f>'03_原始数据'!E837</f>
        <v/>
      </c>
      <c r="E837" s="39">
        <f>_xlfn.PERCENTRANK.INC('03_原始数据'!$E$5:$E$873,'03_原始数据'!E837)</f>
        <v/>
      </c>
      <c r="F837" s="16">
        <f>IF(True,AVERAGE('03_原始数据'!$E$778:$E$837),"")</f>
        <v/>
      </c>
      <c r="G837" s="16">
        <f>IF(True,STDEV('03_原始数据'!$E$778:$E$837),"")</f>
        <v/>
      </c>
    </row>
    <row r="838" ht="17" customHeight="1">
      <c r="A838" s="40">
        <f>'03_原始数据'!A838</f>
        <v/>
      </c>
      <c r="B838" s="21">
        <f>'03_原始数据'!B838</f>
        <v/>
      </c>
      <c r="C838" s="21">
        <f>'03_原始数据'!C838</f>
        <v/>
      </c>
      <c r="D838" s="21">
        <f>'03_原始数据'!E838</f>
        <v/>
      </c>
      <c r="E838" s="41">
        <f>_xlfn.PERCENTRANK.INC('03_原始数据'!$E$5:$E$873,'03_原始数据'!E838)</f>
        <v/>
      </c>
      <c r="F838" s="21">
        <f>IF(True,AVERAGE('03_原始数据'!$E$779:$E$838),"")</f>
        <v/>
      </c>
      <c r="G838" s="21">
        <f>IF(True,STDEV('03_原始数据'!$E$779:$E$838),"")</f>
        <v/>
      </c>
    </row>
    <row r="839" ht="17" customHeight="1">
      <c r="A839" s="38">
        <f>'03_原始数据'!A839</f>
        <v/>
      </c>
      <c r="B839" s="16">
        <f>'03_原始数据'!B839</f>
        <v/>
      </c>
      <c r="C839" s="16">
        <f>'03_原始数据'!C839</f>
        <v/>
      </c>
      <c r="D839" s="16">
        <f>'03_原始数据'!E839</f>
        <v/>
      </c>
      <c r="E839" s="39">
        <f>_xlfn.PERCENTRANK.INC('03_原始数据'!$E$5:$E$873,'03_原始数据'!E839)</f>
        <v/>
      </c>
      <c r="F839" s="16">
        <f>IF(True,AVERAGE('03_原始数据'!$E$780:$E$839),"")</f>
        <v/>
      </c>
      <c r="G839" s="16">
        <f>IF(True,STDEV('03_原始数据'!$E$780:$E$839),"")</f>
        <v/>
      </c>
    </row>
    <row r="840" ht="17" customHeight="1">
      <c r="A840" s="40">
        <f>'03_原始数据'!A840</f>
        <v/>
      </c>
      <c r="B840" s="21">
        <f>'03_原始数据'!B840</f>
        <v/>
      </c>
      <c r="C840" s="21">
        <f>'03_原始数据'!C840</f>
        <v/>
      </c>
      <c r="D840" s="21">
        <f>'03_原始数据'!E840</f>
        <v/>
      </c>
      <c r="E840" s="41">
        <f>_xlfn.PERCENTRANK.INC('03_原始数据'!$E$5:$E$873,'03_原始数据'!E840)</f>
        <v/>
      </c>
      <c r="F840" s="21">
        <f>IF(True,AVERAGE('03_原始数据'!$E$781:$E$840),"")</f>
        <v/>
      </c>
      <c r="G840" s="21">
        <f>IF(True,STDEV('03_原始数据'!$E$781:$E$840),"")</f>
        <v/>
      </c>
    </row>
    <row r="841" ht="17" customHeight="1">
      <c r="A841" s="38">
        <f>'03_原始数据'!A841</f>
        <v/>
      </c>
      <c r="B841" s="16">
        <f>'03_原始数据'!B841</f>
        <v/>
      </c>
      <c r="C841" s="16">
        <f>'03_原始数据'!C841</f>
        <v/>
      </c>
      <c r="D841" s="16">
        <f>'03_原始数据'!E841</f>
        <v/>
      </c>
      <c r="E841" s="39">
        <f>_xlfn.PERCENTRANK.INC('03_原始数据'!$E$5:$E$873,'03_原始数据'!E841)</f>
        <v/>
      </c>
      <c r="F841" s="16">
        <f>IF(True,AVERAGE('03_原始数据'!$E$782:$E$841),"")</f>
        <v/>
      </c>
      <c r="G841" s="16">
        <f>IF(True,STDEV('03_原始数据'!$E$782:$E$841),"")</f>
        <v/>
      </c>
    </row>
    <row r="842" ht="17" customHeight="1">
      <c r="A842" s="40">
        <f>'03_原始数据'!A842</f>
        <v/>
      </c>
      <c r="B842" s="21">
        <f>'03_原始数据'!B842</f>
        <v/>
      </c>
      <c r="C842" s="21">
        <f>'03_原始数据'!C842</f>
        <v/>
      </c>
      <c r="D842" s="21">
        <f>'03_原始数据'!E842</f>
        <v/>
      </c>
      <c r="E842" s="41">
        <f>_xlfn.PERCENTRANK.INC('03_原始数据'!$E$5:$E$873,'03_原始数据'!E842)</f>
        <v/>
      </c>
      <c r="F842" s="21">
        <f>IF(True,AVERAGE('03_原始数据'!$E$783:$E$842),"")</f>
        <v/>
      </c>
      <c r="G842" s="21">
        <f>IF(True,STDEV('03_原始数据'!$E$783:$E$842),"")</f>
        <v/>
      </c>
    </row>
    <row r="843" ht="17" customHeight="1">
      <c r="A843" s="38">
        <f>'03_原始数据'!A843</f>
        <v/>
      </c>
      <c r="B843" s="16">
        <f>'03_原始数据'!B843</f>
        <v/>
      </c>
      <c r="C843" s="16">
        <f>'03_原始数据'!C843</f>
        <v/>
      </c>
      <c r="D843" s="16">
        <f>'03_原始数据'!E843</f>
        <v/>
      </c>
      <c r="E843" s="39">
        <f>_xlfn.PERCENTRANK.INC('03_原始数据'!$E$5:$E$873,'03_原始数据'!E843)</f>
        <v/>
      </c>
      <c r="F843" s="16">
        <f>IF(True,AVERAGE('03_原始数据'!$E$784:$E$843),"")</f>
        <v/>
      </c>
      <c r="G843" s="16">
        <f>IF(True,STDEV('03_原始数据'!$E$784:$E$843),"")</f>
        <v/>
      </c>
    </row>
    <row r="844" ht="17" customHeight="1">
      <c r="A844" s="40">
        <f>'03_原始数据'!A844</f>
        <v/>
      </c>
      <c r="B844" s="21">
        <f>'03_原始数据'!B844</f>
        <v/>
      </c>
      <c r="C844" s="21">
        <f>'03_原始数据'!C844</f>
        <v/>
      </c>
      <c r="D844" s="21">
        <f>'03_原始数据'!E844</f>
        <v/>
      </c>
      <c r="E844" s="41">
        <f>_xlfn.PERCENTRANK.INC('03_原始数据'!$E$5:$E$873,'03_原始数据'!E844)</f>
        <v/>
      </c>
      <c r="F844" s="21">
        <f>IF(True,AVERAGE('03_原始数据'!$E$785:$E$844),"")</f>
        <v/>
      </c>
      <c r="G844" s="21">
        <f>IF(True,STDEV('03_原始数据'!$E$785:$E$844),"")</f>
        <v/>
      </c>
    </row>
    <row r="845" ht="17" customHeight="1">
      <c r="A845" s="38">
        <f>'03_原始数据'!A845</f>
        <v/>
      </c>
      <c r="B845" s="16">
        <f>'03_原始数据'!B845</f>
        <v/>
      </c>
      <c r="C845" s="16">
        <f>'03_原始数据'!C845</f>
        <v/>
      </c>
      <c r="D845" s="16">
        <f>'03_原始数据'!E845</f>
        <v/>
      </c>
      <c r="E845" s="39">
        <f>_xlfn.PERCENTRANK.INC('03_原始数据'!$E$5:$E$873,'03_原始数据'!E845)</f>
        <v/>
      </c>
      <c r="F845" s="16">
        <f>IF(True,AVERAGE('03_原始数据'!$E$786:$E$845),"")</f>
        <v/>
      </c>
      <c r="G845" s="16">
        <f>IF(True,STDEV('03_原始数据'!$E$786:$E$845),"")</f>
        <v/>
      </c>
    </row>
    <row r="846" ht="17" customHeight="1">
      <c r="A846" s="40">
        <f>'03_原始数据'!A846</f>
        <v/>
      </c>
      <c r="B846" s="21">
        <f>'03_原始数据'!B846</f>
        <v/>
      </c>
      <c r="C846" s="21">
        <f>'03_原始数据'!C846</f>
        <v/>
      </c>
      <c r="D846" s="21">
        <f>'03_原始数据'!E846</f>
        <v/>
      </c>
      <c r="E846" s="41">
        <f>_xlfn.PERCENTRANK.INC('03_原始数据'!$E$5:$E$873,'03_原始数据'!E846)</f>
        <v/>
      </c>
      <c r="F846" s="21">
        <f>IF(True,AVERAGE('03_原始数据'!$E$787:$E$846),"")</f>
        <v/>
      </c>
      <c r="G846" s="21">
        <f>IF(True,STDEV('03_原始数据'!$E$787:$E$846),"")</f>
        <v/>
      </c>
    </row>
    <row r="847" ht="17" customHeight="1">
      <c r="A847" s="38">
        <f>'03_原始数据'!A847</f>
        <v/>
      </c>
      <c r="B847" s="16">
        <f>'03_原始数据'!B847</f>
        <v/>
      </c>
      <c r="C847" s="16">
        <f>'03_原始数据'!C847</f>
        <v/>
      </c>
      <c r="D847" s="16">
        <f>'03_原始数据'!E847</f>
        <v/>
      </c>
      <c r="E847" s="39">
        <f>_xlfn.PERCENTRANK.INC('03_原始数据'!$E$5:$E$873,'03_原始数据'!E847)</f>
        <v/>
      </c>
      <c r="F847" s="16">
        <f>IF(True,AVERAGE('03_原始数据'!$E$788:$E$847),"")</f>
        <v/>
      </c>
      <c r="G847" s="16">
        <f>IF(True,STDEV('03_原始数据'!$E$788:$E$847),"")</f>
        <v/>
      </c>
    </row>
    <row r="848" ht="17" customHeight="1">
      <c r="A848" s="40">
        <f>'03_原始数据'!A848</f>
        <v/>
      </c>
      <c r="B848" s="21">
        <f>'03_原始数据'!B848</f>
        <v/>
      </c>
      <c r="C848" s="21">
        <f>'03_原始数据'!C848</f>
        <v/>
      </c>
      <c r="D848" s="21">
        <f>'03_原始数据'!E848</f>
        <v/>
      </c>
      <c r="E848" s="41">
        <f>_xlfn.PERCENTRANK.INC('03_原始数据'!$E$5:$E$873,'03_原始数据'!E848)</f>
        <v/>
      </c>
      <c r="F848" s="21">
        <f>IF(True,AVERAGE('03_原始数据'!$E$789:$E$848),"")</f>
        <v/>
      </c>
      <c r="G848" s="21">
        <f>IF(True,STDEV('03_原始数据'!$E$789:$E$848),"")</f>
        <v/>
      </c>
    </row>
    <row r="849" ht="17" customHeight="1">
      <c r="A849" s="38">
        <f>'03_原始数据'!A849</f>
        <v/>
      </c>
      <c r="B849" s="16">
        <f>'03_原始数据'!B849</f>
        <v/>
      </c>
      <c r="C849" s="16">
        <f>'03_原始数据'!C849</f>
        <v/>
      </c>
      <c r="D849" s="16">
        <f>'03_原始数据'!E849</f>
        <v/>
      </c>
      <c r="E849" s="39">
        <f>_xlfn.PERCENTRANK.INC('03_原始数据'!$E$5:$E$873,'03_原始数据'!E849)</f>
        <v/>
      </c>
      <c r="F849" s="16">
        <f>IF(True,AVERAGE('03_原始数据'!$E$790:$E$849),"")</f>
        <v/>
      </c>
      <c r="G849" s="16">
        <f>IF(True,STDEV('03_原始数据'!$E$790:$E$849),"")</f>
        <v/>
      </c>
    </row>
    <row r="850" ht="17" customHeight="1">
      <c r="A850" s="40">
        <f>'03_原始数据'!A850</f>
        <v/>
      </c>
      <c r="B850" s="21">
        <f>'03_原始数据'!B850</f>
        <v/>
      </c>
      <c r="C850" s="21">
        <f>'03_原始数据'!C850</f>
        <v/>
      </c>
      <c r="D850" s="21">
        <f>'03_原始数据'!E850</f>
        <v/>
      </c>
      <c r="E850" s="41">
        <f>_xlfn.PERCENTRANK.INC('03_原始数据'!$E$5:$E$873,'03_原始数据'!E850)</f>
        <v/>
      </c>
      <c r="F850" s="21">
        <f>IF(True,AVERAGE('03_原始数据'!$E$791:$E$850),"")</f>
        <v/>
      </c>
      <c r="G850" s="21">
        <f>IF(True,STDEV('03_原始数据'!$E$791:$E$850),"")</f>
        <v/>
      </c>
    </row>
    <row r="851" ht="17" customHeight="1">
      <c r="A851" s="38">
        <f>'03_原始数据'!A851</f>
        <v/>
      </c>
      <c r="B851" s="16">
        <f>'03_原始数据'!B851</f>
        <v/>
      </c>
      <c r="C851" s="16">
        <f>'03_原始数据'!C851</f>
        <v/>
      </c>
      <c r="D851" s="16">
        <f>'03_原始数据'!E851</f>
        <v/>
      </c>
      <c r="E851" s="39">
        <f>_xlfn.PERCENTRANK.INC('03_原始数据'!$E$5:$E$873,'03_原始数据'!E851)</f>
        <v/>
      </c>
      <c r="F851" s="16">
        <f>IF(True,AVERAGE('03_原始数据'!$E$792:$E$851),"")</f>
        <v/>
      </c>
      <c r="G851" s="16">
        <f>IF(True,STDEV('03_原始数据'!$E$792:$E$851),"")</f>
        <v/>
      </c>
    </row>
    <row r="852" ht="17" customHeight="1">
      <c r="A852" s="40">
        <f>'03_原始数据'!A852</f>
        <v/>
      </c>
      <c r="B852" s="21">
        <f>'03_原始数据'!B852</f>
        <v/>
      </c>
      <c r="C852" s="21">
        <f>'03_原始数据'!C852</f>
        <v/>
      </c>
      <c r="D852" s="21">
        <f>'03_原始数据'!E852</f>
        <v/>
      </c>
      <c r="E852" s="41">
        <f>_xlfn.PERCENTRANK.INC('03_原始数据'!$E$5:$E$873,'03_原始数据'!E852)</f>
        <v/>
      </c>
      <c r="F852" s="21">
        <f>IF(True,AVERAGE('03_原始数据'!$E$793:$E$852),"")</f>
        <v/>
      </c>
      <c r="G852" s="21">
        <f>IF(True,STDEV('03_原始数据'!$E$793:$E$852),"")</f>
        <v/>
      </c>
    </row>
    <row r="853" ht="17" customHeight="1">
      <c r="A853" s="38">
        <f>'03_原始数据'!A853</f>
        <v/>
      </c>
      <c r="B853" s="16">
        <f>'03_原始数据'!B853</f>
        <v/>
      </c>
      <c r="C853" s="16">
        <f>'03_原始数据'!C853</f>
        <v/>
      </c>
      <c r="D853" s="16">
        <f>'03_原始数据'!E853</f>
        <v/>
      </c>
      <c r="E853" s="39">
        <f>_xlfn.PERCENTRANK.INC('03_原始数据'!$E$5:$E$873,'03_原始数据'!E853)</f>
        <v/>
      </c>
      <c r="F853" s="16">
        <f>IF(True,AVERAGE('03_原始数据'!$E$794:$E$853),"")</f>
        <v/>
      </c>
      <c r="G853" s="16">
        <f>IF(True,STDEV('03_原始数据'!$E$794:$E$853),"")</f>
        <v/>
      </c>
    </row>
    <row r="854" ht="17" customHeight="1">
      <c r="A854" s="40">
        <f>'03_原始数据'!A854</f>
        <v/>
      </c>
      <c r="B854" s="21">
        <f>'03_原始数据'!B854</f>
        <v/>
      </c>
      <c r="C854" s="21">
        <f>'03_原始数据'!C854</f>
        <v/>
      </c>
      <c r="D854" s="21">
        <f>'03_原始数据'!E854</f>
        <v/>
      </c>
      <c r="E854" s="41">
        <f>_xlfn.PERCENTRANK.INC('03_原始数据'!$E$5:$E$873,'03_原始数据'!E854)</f>
        <v/>
      </c>
      <c r="F854" s="21">
        <f>IF(True,AVERAGE('03_原始数据'!$E$795:$E$854),"")</f>
        <v/>
      </c>
      <c r="G854" s="21">
        <f>IF(True,STDEV('03_原始数据'!$E$795:$E$854),"")</f>
        <v/>
      </c>
    </row>
    <row r="855" ht="17" customHeight="1">
      <c r="A855" s="38">
        <f>'03_原始数据'!A855</f>
        <v/>
      </c>
      <c r="B855" s="16">
        <f>'03_原始数据'!B855</f>
        <v/>
      </c>
      <c r="C855" s="16">
        <f>'03_原始数据'!C855</f>
        <v/>
      </c>
      <c r="D855" s="16">
        <f>'03_原始数据'!E855</f>
        <v/>
      </c>
      <c r="E855" s="39">
        <f>_xlfn.PERCENTRANK.INC('03_原始数据'!$E$5:$E$873,'03_原始数据'!E855)</f>
        <v/>
      </c>
      <c r="F855" s="16">
        <f>IF(True,AVERAGE('03_原始数据'!$E$796:$E$855),"")</f>
        <v/>
      </c>
      <c r="G855" s="16">
        <f>IF(True,STDEV('03_原始数据'!$E$796:$E$855),"")</f>
        <v/>
      </c>
    </row>
    <row r="856" ht="17" customHeight="1">
      <c r="A856" s="40">
        <f>'03_原始数据'!A856</f>
        <v/>
      </c>
      <c r="B856" s="21">
        <f>'03_原始数据'!B856</f>
        <v/>
      </c>
      <c r="C856" s="21">
        <f>'03_原始数据'!C856</f>
        <v/>
      </c>
      <c r="D856" s="21">
        <f>'03_原始数据'!E856</f>
        <v/>
      </c>
      <c r="E856" s="41">
        <f>_xlfn.PERCENTRANK.INC('03_原始数据'!$E$5:$E$873,'03_原始数据'!E856)</f>
        <v/>
      </c>
      <c r="F856" s="21">
        <f>IF(True,AVERAGE('03_原始数据'!$E$797:$E$856),"")</f>
        <v/>
      </c>
      <c r="G856" s="21">
        <f>IF(True,STDEV('03_原始数据'!$E$797:$E$856),"")</f>
        <v/>
      </c>
    </row>
    <row r="857" ht="17" customHeight="1">
      <c r="A857" s="38">
        <f>'03_原始数据'!A857</f>
        <v/>
      </c>
      <c r="B857" s="16">
        <f>'03_原始数据'!B857</f>
        <v/>
      </c>
      <c r="C857" s="16">
        <f>'03_原始数据'!C857</f>
        <v/>
      </c>
      <c r="D857" s="16">
        <f>'03_原始数据'!E857</f>
        <v/>
      </c>
      <c r="E857" s="39">
        <f>_xlfn.PERCENTRANK.INC('03_原始数据'!$E$5:$E$873,'03_原始数据'!E857)</f>
        <v/>
      </c>
      <c r="F857" s="16">
        <f>IF(True,AVERAGE('03_原始数据'!$E$798:$E$857),"")</f>
        <v/>
      </c>
      <c r="G857" s="16">
        <f>IF(True,STDEV('03_原始数据'!$E$798:$E$857),"")</f>
        <v/>
      </c>
    </row>
    <row r="858" ht="17" customHeight="1">
      <c r="A858" s="40">
        <f>'03_原始数据'!A858</f>
        <v/>
      </c>
      <c r="B858" s="21">
        <f>'03_原始数据'!B858</f>
        <v/>
      </c>
      <c r="C858" s="21">
        <f>'03_原始数据'!C858</f>
        <v/>
      </c>
      <c r="D858" s="21">
        <f>'03_原始数据'!E858</f>
        <v/>
      </c>
      <c r="E858" s="41">
        <f>_xlfn.PERCENTRANK.INC('03_原始数据'!$E$5:$E$873,'03_原始数据'!E858)</f>
        <v/>
      </c>
      <c r="F858" s="21">
        <f>IF(True,AVERAGE('03_原始数据'!$E$799:$E$858),"")</f>
        <v/>
      </c>
      <c r="G858" s="21">
        <f>IF(True,STDEV('03_原始数据'!$E$799:$E$858),"")</f>
        <v/>
      </c>
    </row>
    <row r="859" ht="17" customHeight="1">
      <c r="A859" s="38">
        <f>'03_原始数据'!A859</f>
        <v/>
      </c>
      <c r="B859" s="16">
        <f>'03_原始数据'!B859</f>
        <v/>
      </c>
      <c r="C859" s="16">
        <f>'03_原始数据'!C859</f>
        <v/>
      </c>
      <c r="D859" s="16">
        <f>'03_原始数据'!E859</f>
        <v/>
      </c>
      <c r="E859" s="39">
        <f>_xlfn.PERCENTRANK.INC('03_原始数据'!$E$5:$E$873,'03_原始数据'!E859)</f>
        <v/>
      </c>
      <c r="F859" s="16">
        <f>IF(True,AVERAGE('03_原始数据'!$E$800:$E$859),"")</f>
        <v/>
      </c>
      <c r="G859" s="16">
        <f>IF(True,STDEV('03_原始数据'!$E$800:$E$859),"")</f>
        <v/>
      </c>
    </row>
    <row r="860" ht="17" customHeight="1">
      <c r="A860" s="40">
        <f>'03_原始数据'!A860</f>
        <v/>
      </c>
      <c r="B860" s="21">
        <f>'03_原始数据'!B860</f>
        <v/>
      </c>
      <c r="C860" s="21">
        <f>'03_原始数据'!C860</f>
        <v/>
      </c>
      <c r="D860" s="21">
        <f>'03_原始数据'!E860</f>
        <v/>
      </c>
      <c r="E860" s="41">
        <f>_xlfn.PERCENTRANK.INC('03_原始数据'!$E$5:$E$873,'03_原始数据'!E860)</f>
        <v/>
      </c>
      <c r="F860" s="21">
        <f>IF(True,AVERAGE('03_原始数据'!$E$801:$E$860),"")</f>
        <v/>
      </c>
      <c r="G860" s="21">
        <f>IF(True,STDEV('03_原始数据'!$E$801:$E$860),"")</f>
        <v/>
      </c>
    </row>
    <row r="861" ht="17" customHeight="1">
      <c r="A861" s="38">
        <f>'03_原始数据'!A861</f>
        <v/>
      </c>
      <c r="B861" s="16">
        <f>'03_原始数据'!B861</f>
        <v/>
      </c>
      <c r="C861" s="16">
        <f>'03_原始数据'!C861</f>
        <v/>
      </c>
      <c r="D861" s="16">
        <f>'03_原始数据'!E861</f>
        <v/>
      </c>
      <c r="E861" s="39">
        <f>_xlfn.PERCENTRANK.INC('03_原始数据'!$E$5:$E$873,'03_原始数据'!E861)</f>
        <v/>
      </c>
      <c r="F861" s="16">
        <f>IF(True,AVERAGE('03_原始数据'!$E$802:$E$861),"")</f>
        <v/>
      </c>
      <c r="G861" s="16">
        <f>IF(True,STDEV('03_原始数据'!$E$802:$E$861),"")</f>
        <v/>
      </c>
    </row>
    <row r="862" ht="17" customHeight="1">
      <c r="A862" s="40">
        <f>'03_原始数据'!A862</f>
        <v/>
      </c>
      <c r="B862" s="21">
        <f>'03_原始数据'!B862</f>
        <v/>
      </c>
      <c r="C862" s="21">
        <f>'03_原始数据'!C862</f>
        <v/>
      </c>
      <c r="D862" s="21">
        <f>'03_原始数据'!E862</f>
        <v/>
      </c>
      <c r="E862" s="41">
        <f>_xlfn.PERCENTRANK.INC('03_原始数据'!$E$5:$E$873,'03_原始数据'!E862)</f>
        <v/>
      </c>
      <c r="F862" s="21">
        <f>IF(True,AVERAGE('03_原始数据'!$E$803:$E$862),"")</f>
        <v/>
      </c>
      <c r="G862" s="21">
        <f>IF(True,STDEV('03_原始数据'!$E$803:$E$862),"")</f>
        <v/>
      </c>
    </row>
    <row r="863" ht="17" customHeight="1">
      <c r="A863" s="38">
        <f>'03_原始数据'!A863</f>
        <v/>
      </c>
      <c r="B863" s="16">
        <f>'03_原始数据'!B863</f>
        <v/>
      </c>
      <c r="C863" s="16">
        <f>'03_原始数据'!C863</f>
        <v/>
      </c>
      <c r="D863" s="16">
        <f>'03_原始数据'!E863</f>
        <v/>
      </c>
      <c r="E863" s="39">
        <f>_xlfn.PERCENTRANK.INC('03_原始数据'!$E$5:$E$873,'03_原始数据'!E863)</f>
        <v/>
      </c>
      <c r="F863" s="16">
        <f>IF(True,AVERAGE('03_原始数据'!$E$804:$E$863),"")</f>
        <v/>
      </c>
      <c r="G863" s="16">
        <f>IF(True,STDEV('03_原始数据'!$E$804:$E$863),"")</f>
        <v/>
      </c>
    </row>
    <row r="864" ht="17" customHeight="1">
      <c r="A864" s="40">
        <f>'03_原始数据'!A864</f>
        <v/>
      </c>
      <c r="B864" s="21">
        <f>'03_原始数据'!B864</f>
        <v/>
      </c>
      <c r="C864" s="21">
        <f>'03_原始数据'!C864</f>
        <v/>
      </c>
      <c r="D864" s="21">
        <f>'03_原始数据'!E864</f>
        <v/>
      </c>
      <c r="E864" s="41">
        <f>_xlfn.PERCENTRANK.INC('03_原始数据'!$E$5:$E$873,'03_原始数据'!E864)</f>
        <v/>
      </c>
      <c r="F864" s="21">
        <f>IF(True,AVERAGE('03_原始数据'!$E$805:$E$864),"")</f>
        <v/>
      </c>
      <c r="G864" s="21">
        <f>IF(True,STDEV('03_原始数据'!$E$805:$E$864),"")</f>
        <v/>
      </c>
    </row>
    <row r="865" ht="17" customHeight="1">
      <c r="A865" s="38">
        <f>'03_原始数据'!A865</f>
        <v/>
      </c>
      <c r="B865" s="16">
        <f>'03_原始数据'!B865</f>
        <v/>
      </c>
      <c r="C865" s="16">
        <f>'03_原始数据'!C865</f>
        <v/>
      </c>
      <c r="D865" s="16">
        <f>'03_原始数据'!E865</f>
        <v/>
      </c>
      <c r="E865" s="39">
        <f>_xlfn.PERCENTRANK.INC('03_原始数据'!$E$5:$E$873,'03_原始数据'!E865)</f>
        <v/>
      </c>
      <c r="F865" s="16">
        <f>IF(True,AVERAGE('03_原始数据'!$E$806:$E$865),"")</f>
        <v/>
      </c>
      <c r="G865" s="16">
        <f>IF(True,STDEV('03_原始数据'!$E$806:$E$865),"")</f>
        <v/>
      </c>
    </row>
    <row r="866" ht="17" customHeight="1">
      <c r="A866" s="40">
        <f>'03_原始数据'!A866</f>
        <v/>
      </c>
      <c r="B866" s="21">
        <f>'03_原始数据'!B866</f>
        <v/>
      </c>
      <c r="C866" s="21">
        <f>'03_原始数据'!C866</f>
        <v/>
      </c>
      <c r="D866" s="21">
        <f>'03_原始数据'!E866</f>
        <v/>
      </c>
      <c r="E866" s="41">
        <f>_xlfn.PERCENTRANK.INC('03_原始数据'!$E$5:$E$873,'03_原始数据'!E866)</f>
        <v/>
      </c>
      <c r="F866" s="21">
        <f>IF(True,AVERAGE('03_原始数据'!$E$807:$E$866),"")</f>
        <v/>
      </c>
      <c r="G866" s="21">
        <f>IF(True,STDEV('03_原始数据'!$E$807:$E$866),"")</f>
        <v/>
      </c>
    </row>
    <row r="867" ht="17" customHeight="1">
      <c r="A867" s="38">
        <f>'03_原始数据'!A867</f>
        <v/>
      </c>
      <c r="B867" s="16">
        <f>'03_原始数据'!B867</f>
        <v/>
      </c>
      <c r="C867" s="16">
        <f>'03_原始数据'!C867</f>
        <v/>
      </c>
      <c r="D867" s="16">
        <f>'03_原始数据'!E867</f>
        <v/>
      </c>
      <c r="E867" s="39">
        <f>_xlfn.PERCENTRANK.INC('03_原始数据'!$E$5:$E$873,'03_原始数据'!E867)</f>
        <v/>
      </c>
      <c r="F867" s="16">
        <f>IF(True,AVERAGE('03_原始数据'!$E$808:$E$867),"")</f>
        <v/>
      </c>
      <c r="G867" s="16">
        <f>IF(True,STDEV('03_原始数据'!$E$808:$E$867),"")</f>
        <v/>
      </c>
    </row>
    <row r="868" ht="17" customHeight="1">
      <c r="A868" s="40">
        <f>'03_原始数据'!A868</f>
        <v/>
      </c>
      <c r="B868" s="21">
        <f>'03_原始数据'!B868</f>
        <v/>
      </c>
      <c r="C868" s="21">
        <f>'03_原始数据'!C868</f>
        <v/>
      </c>
      <c r="D868" s="21">
        <f>'03_原始数据'!E868</f>
        <v/>
      </c>
      <c r="E868" s="41">
        <f>_xlfn.PERCENTRANK.INC('03_原始数据'!$E$5:$E$873,'03_原始数据'!E868)</f>
        <v/>
      </c>
      <c r="F868" s="21">
        <f>IF(True,AVERAGE('03_原始数据'!$E$809:$E$868),"")</f>
        <v/>
      </c>
      <c r="G868" s="21">
        <f>IF(True,STDEV('03_原始数据'!$E$809:$E$868),"")</f>
        <v/>
      </c>
    </row>
    <row r="869" ht="17" customHeight="1">
      <c r="A869" s="38">
        <f>'03_原始数据'!A869</f>
        <v/>
      </c>
      <c r="B869" s="16">
        <f>'03_原始数据'!B869</f>
        <v/>
      </c>
      <c r="C869" s="16">
        <f>'03_原始数据'!C869</f>
        <v/>
      </c>
      <c r="D869" s="16">
        <f>'03_原始数据'!E869</f>
        <v/>
      </c>
      <c r="E869" s="39">
        <f>_xlfn.PERCENTRANK.INC('03_原始数据'!$E$5:$E$873,'03_原始数据'!E869)</f>
        <v/>
      </c>
      <c r="F869" s="16">
        <f>IF(True,AVERAGE('03_原始数据'!$E$810:$E$869),"")</f>
        <v/>
      </c>
      <c r="G869" s="16">
        <f>IF(True,STDEV('03_原始数据'!$E$810:$E$869),"")</f>
        <v/>
      </c>
    </row>
    <row r="870" ht="17" customHeight="1">
      <c r="A870" s="40">
        <f>'03_原始数据'!A870</f>
        <v/>
      </c>
      <c r="B870" s="21">
        <f>'03_原始数据'!B870</f>
        <v/>
      </c>
      <c r="C870" s="21">
        <f>'03_原始数据'!C870</f>
        <v/>
      </c>
      <c r="D870" s="21">
        <f>'03_原始数据'!E870</f>
        <v/>
      </c>
      <c r="E870" s="41">
        <f>_xlfn.PERCENTRANK.INC('03_原始数据'!$E$5:$E$873,'03_原始数据'!E870)</f>
        <v/>
      </c>
      <c r="F870" s="21">
        <f>IF(True,AVERAGE('03_原始数据'!$E$811:$E$870),"")</f>
        <v/>
      </c>
      <c r="G870" s="21">
        <f>IF(True,STDEV('03_原始数据'!$E$811:$E$870),"")</f>
        <v/>
      </c>
    </row>
    <row r="871" ht="17" customHeight="1">
      <c r="A871" s="38">
        <f>'03_原始数据'!A871</f>
        <v/>
      </c>
      <c r="B871" s="16">
        <f>'03_原始数据'!B871</f>
        <v/>
      </c>
      <c r="C871" s="16">
        <f>'03_原始数据'!C871</f>
        <v/>
      </c>
      <c r="D871" s="16">
        <f>'03_原始数据'!E871</f>
        <v/>
      </c>
      <c r="E871" s="39">
        <f>_xlfn.PERCENTRANK.INC('03_原始数据'!$E$5:$E$873,'03_原始数据'!E871)</f>
        <v/>
      </c>
      <c r="F871" s="16">
        <f>IF(True,AVERAGE('03_原始数据'!$E$812:$E$871),"")</f>
        <v/>
      </c>
      <c r="G871" s="16">
        <f>IF(True,STDEV('03_原始数据'!$E$812:$E$871),"")</f>
        <v/>
      </c>
    </row>
    <row r="872" ht="17" customHeight="1">
      <c r="A872" s="40">
        <f>'03_原始数据'!A872</f>
        <v/>
      </c>
      <c r="B872" s="21">
        <f>'03_原始数据'!B872</f>
        <v/>
      </c>
      <c r="C872" s="21">
        <f>'03_原始数据'!C872</f>
        <v/>
      </c>
      <c r="D872" s="21">
        <f>'03_原始数据'!E872</f>
        <v/>
      </c>
      <c r="E872" s="41">
        <f>_xlfn.PERCENTRANK.INC('03_原始数据'!$E$5:$E$873,'03_原始数据'!E872)</f>
        <v/>
      </c>
      <c r="F872" s="21">
        <f>IF(True,AVERAGE('03_原始数据'!$E$813:$E$872),"")</f>
        <v/>
      </c>
      <c r="G872" s="21">
        <f>IF(True,STDEV('03_原始数据'!$E$813:$E$872),"")</f>
        <v/>
      </c>
    </row>
    <row r="873" ht="17" customHeight="1">
      <c r="A873" s="38">
        <f>'03_原始数据'!A873</f>
        <v/>
      </c>
      <c r="B873" s="16">
        <f>'03_原始数据'!B873</f>
        <v/>
      </c>
      <c r="C873" s="16">
        <f>'03_原始数据'!C873</f>
        <v/>
      </c>
      <c r="D873" s="16">
        <f>'03_原始数据'!E873</f>
        <v/>
      </c>
      <c r="E873" s="39">
        <f>_xlfn.PERCENTRANK.INC('03_原始数据'!$E$5:$E$873,'03_原始数据'!E873)</f>
        <v/>
      </c>
      <c r="F873" s="16">
        <f>IF(True,AVERAGE('03_原始数据'!$E$814:$E$873),"")</f>
        <v/>
      </c>
      <c r="G873" s="16">
        <f>IF(True,STDEV('03_原始数据'!$E$814:$E$873),"")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563EB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  <col width="10" customWidth="1" min="4" max="4"/>
    <col width="16" customWidth="1" min="5" max="5"/>
    <col width="30" customWidth="1" min="6" max="6"/>
  </cols>
  <sheetData>
    <row r="1" ht="30" customHeight="1">
      <c r="A1" s="1" t="inlineStr">
        <is>
          <t>历史分位表</t>
        </is>
      </c>
    </row>
    <row r="2" ht="20" customHeight="1">
      <c r="A2" s="2" t="inlineStr">
        <is>
          <t>同一张表同时给出「价差处于什么位置」和「对应多少钱」，便于业务直接引用。</t>
        </is>
      </c>
    </row>
    <row r="4" ht="26" customHeight="1">
      <c r="A4" s="5" t="inlineStr">
        <is>
          <t>分位</t>
        </is>
      </c>
      <c r="B4" s="5" t="inlineStr">
        <is>
          <t>加工价差 元/吨</t>
        </is>
      </c>
      <c r="C4" s="5" t="inlineStr">
        <is>
          <t>含义</t>
        </is>
      </c>
      <c r="D4" s="5" t="inlineStr">
        <is>
          <t>分位</t>
        </is>
      </c>
      <c r="E4" s="5" t="inlineStr">
        <is>
          <t>加工价差 元/吨</t>
        </is>
      </c>
      <c r="F4" s="5" t="inlineStr">
        <is>
          <t>含义</t>
        </is>
      </c>
    </row>
    <row r="5" ht="17" customHeight="1">
      <c r="A5" s="42" t="inlineStr">
        <is>
          <t>0%</t>
        </is>
      </c>
      <c r="B5" s="16">
        <f>_xlfn.PERCENTILE.INC('03_原始数据'!$E$5:$E$873,0)</f>
        <v/>
      </c>
      <c r="C5" s="7" t="inlineStr">
        <is>
          <t>历史最低</t>
        </is>
      </c>
      <c r="D5" s="42" t="inlineStr">
        <is>
          <t>50%</t>
        </is>
      </c>
      <c r="E5" s="16">
        <f>_xlfn.PERCENTILE.INC('03_原始数据'!$E$5:$E$873,0.5)</f>
        <v/>
      </c>
      <c r="F5" s="7" t="inlineStr">
        <is>
          <t>中位</t>
        </is>
      </c>
    </row>
    <row r="6" ht="17" customHeight="1">
      <c r="A6" s="43" t="inlineStr">
        <is>
          <t>1%</t>
        </is>
      </c>
      <c r="B6" s="21">
        <f>_xlfn.PERCENTILE.INC('03_原始数据'!$E$5:$E$873,0.01)</f>
        <v/>
      </c>
      <c r="C6" s="9" t="inlineStr">
        <is>
          <t>极低</t>
        </is>
      </c>
      <c r="D6" s="43" t="inlineStr">
        <is>
          <t>75%</t>
        </is>
      </c>
      <c r="E6" s="21">
        <f>_xlfn.PERCENTILE.INC('03_原始数据'!$E$5:$E$873,0.75)</f>
        <v/>
      </c>
      <c r="F6" s="9" t="inlineStr">
        <is>
          <t>上四分位</t>
        </is>
      </c>
    </row>
    <row r="7" ht="17" customHeight="1">
      <c r="A7" s="42" t="inlineStr">
        <is>
          <t>5%</t>
        </is>
      </c>
      <c r="B7" s="16">
        <f>_xlfn.PERCENTILE.INC('03_原始数据'!$E$5:$E$873,0.05)</f>
        <v/>
      </c>
      <c r="C7" s="7" t="inlineStr">
        <is>
          <t>极低（历史 5% 以下）</t>
        </is>
      </c>
      <c r="D7" s="42" t="inlineStr">
        <is>
          <t>90%</t>
        </is>
      </c>
      <c r="E7" s="16">
        <f>_xlfn.PERCENTILE.INC('03_原始数据'!$E$5:$E$873,0.9)</f>
        <v/>
      </c>
      <c r="F7" s="7" t="inlineStr">
        <is>
          <t>偏高</t>
        </is>
      </c>
    </row>
    <row r="8" ht="17" customHeight="1">
      <c r="A8" s="43" t="inlineStr">
        <is>
          <t>10%</t>
        </is>
      </c>
      <c r="B8" s="21">
        <f>_xlfn.PERCENTILE.INC('03_原始数据'!$E$5:$E$873,0.1)</f>
        <v/>
      </c>
      <c r="C8" s="9" t="inlineStr">
        <is>
          <t>偏低</t>
        </is>
      </c>
      <c r="D8" s="43" t="inlineStr">
        <is>
          <t>95%</t>
        </is>
      </c>
      <c r="E8" s="21">
        <f>_xlfn.PERCENTILE.INC('03_原始数据'!$E$5:$E$873,0.95)</f>
        <v/>
      </c>
      <c r="F8" s="9" t="inlineStr">
        <is>
          <t>极高</t>
        </is>
      </c>
    </row>
    <row r="9" ht="17" customHeight="1">
      <c r="A9" s="42" t="inlineStr">
        <is>
          <t>25%</t>
        </is>
      </c>
      <c r="B9" s="16">
        <f>_xlfn.PERCENTILE.INC('03_原始数据'!$E$5:$E$873,0.25)</f>
        <v/>
      </c>
      <c r="C9" s="7" t="inlineStr">
        <is>
          <t>下四分位</t>
        </is>
      </c>
      <c r="D9" s="42" t="inlineStr">
        <is>
          <t>100%</t>
        </is>
      </c>
      <c r="E9" s="16">
        <f>_xlfn.PERCENTILE.INC('03_原始数据'!$E$5:$E$873,1)</f>
        <v/>
      </c>
      <c r="F9" s="7" t="inlineStr">
        <is>
          <t>历史最高</t>
        </is>
      </c>
    </row>
    <row r="11">
      <c r="A11" s="44" t="inlineStr">
        <is>
          <t>定位</t>
        </is>
      </c>
    </row>
    <row r="12" ht="26" customHeight="1">
      <c r="A12" s="5" t="inlineStr">
        <is>
          <t>指标</t>
        </is>
      </c>
      <c r="B12" s="5" t="inlineStr">
        <is>
          <t>数值</t>
        </is>
      </c>
      <c r="C12" s="5" t="inlineStr">
        <is>
          <t>公式说明</t>
        </is>
      </c>
    </row>
    <row r="13" ht="17" customHeight="1">
      <c r="A13" s="7" t="inlineStr">
        <is>
          <t>最新价差</t>
        </is>
      </c>
      <c r="B13" s="45">
        <f>'03_原始数据'!E873</f>
        <v/>
      </c>
      <c r="C13" s="7" t="inlineStr">
        <is>
          <t>直接引用最后一行</t>
        </is>
      </c>
    </row>
    <row r="14" ht="17" customHeight="1">
      <c r="A14" s="9" t="inlineStr">
        <is>
          <t>最新分位</t>
        </is>
      </c>
      <c r="B14" s="46">
        <f>_xlfn.PERCENTRANK.INC('03_原始数据'!$E$5:$E$873,'03_原始数据'!E873)</f>
        <v/>
      </c>
      <c r="C14" s="9" t="inlineStr">
        <is>
          <t>PERCENTRANK.INC：与 Python 的 pct_rank 定义一致</t>
        </is>
      </c>
    </row>
    <row r="15" ht="17" customHeight="1">
      <c r="A15" s="7" t="inlineStr">
        <is>
          <t>均值</t>
        </is>
      </c>
      <c r="B15" s="45">
        <f>AVERAGE('03_原始数据'!E5:E873)</f>
        <v/>
      </c>
      <c r="C15" s="7" t="inlineStr">
        <is>
          <t>全样本算术均值</t>
        </is>
      </c>
    </row>
    <row r="16" ht="17" customHeight="1">
      <c r="A16" s="9" t="inlineStr">
        <is>
          <t>标准差(样本)</t>
        </is>
      </c>
      <c r="B16" s="46">
        <f>STDEV('03_原始数据'!E5:E873)</f>
        <v/>
      </c>
      <c r="C16" s="9" t="inlineStr">
        <is>
          <t>STDEV = 样本标准差；STDEV.P 为总体</t>
        </is>
      </c>
    </row>
    <row r="17" ht="17" customHeight="1">
      <c r="A17" s="7" t="inlineStr">
        <is>
          <t>偏度</t>
        </is>
      </c>
      <c r="B17" s="45">
        <f>SKEW('03_原始数据'!E5:E873)</f>
        <v/>
      </c>
      <c r="C17" s="7" t="inlineStr">
        <is>
          <t>&gt;0 右偏，说明高位出现过极端值</t>
        </is>
      </c>
    </row>
    <row r="18" ht="17" customHeight="1">
      <c r="A18" s="9" t="inlineStr">
        <is>
          <t>峰度</t>
        </is>
      </c>
      <c r="B18" s="46">
        <f>KURT('03_原始数据'!E5:E873)</f>
        <v/>
      </c>
      <c r="C18" s="9" t="inlineStr">
        <is>
          <t>超额峰度，&gt;0 厚尾</t>
        </is>
      </c>
    </row>
    <row r="19" ht="17" customHeight="1">
      <c r="A19" s="7" t="inlineStr">
        <is>
          <t>样本数 N</t>
        </is>
      </c>
      <c r="B19" s="45">
        <f>COUNT('03_原始数据'!E5:E873)</f>
        <v/>
      </c>
      <c r="C19" s="7" t="inlineStr">
        <is>
          <t>成对有效价格数</t>
        </is>
      </c>
    </row>
    <row r="20" ht="17" customHeight="1">
      <c r="A20" s="9" t="inlineStr">
        <is>
          <t>IQR</t>
        </is>
      </c>
      <c r="B20" s="46">
        <f>_xlfn.PERCENTILE.INC('03_原始数据'!E5:E873,0.75)-_xlfn.PERCENTILE.INC('03_原始数据'!E5:E873,0.25)</f>
        <v/>
      </c>
      <c r="C20" s="9" t="inlineStr">
        <is>
          <t>四分位距，抗极端值</t>
        </is>
      </c>
    </row>
    <row r="21" ht="17" customHeight="1">
      <c r="A21" s="7" t="inlineStr">
        <is>
          <t>当前价差／P50 比值</t>
        </is>
      </c>
      <c r="B21" s="45">
        <f>'03_原始数据'!E873/_xlfn.PERCENTILE.INC('03_原始数据'!E$5:E$873,0.5)</f>
        <v/>
      </c>
      <c r="C21" s="7" t="inlineStr">
        <is>
          <t>相对中位水平的位置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563EB"/>
    <outlinePr summaryBelow="1" summaryRight="1"/>
    <pageSetUpPr/>
  </sheetPr>
  <dimension ref="A1:Q87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0" customWidth="1" min="5" max="5"/>
    <col width="46" customWidth="1" min="6" max="6"/>
    <col width="13" customWidth="1" min="7" max="7"/>
    <col width="13" customWidth="1" min="8" max="8"/>
  </cols>
  <sheetData>
    <row r="1" ht="30" customHeight="1">
      <c r="A1" s="1" t="inlineStr">
        <is>
          <t>水平相关 vs 收益率相关</t>
        </is>
      </c>
    </row>
    <row r="2" ht="20" customHeight="1">
      <c r="A2" s="2" t="inlineStr">
        <is>
          <t>这两个数字不可互相替代：水平高相关多半来自共同趋势，收益率才反映逐期传导。</t>
        </is>
      </c>
    </row>
    <row r="3">
      <c r="N3" s="12" t="inlineStr">
        <is>
          <t>辅助：PX 秩</t>
        </is>
      </c>
      <c r="O3" s="12" t="inlineStr">
        <is>
          <t>辅助：PTA 秩</t>
        </is>
      </c>
      <c r="P3" s="12" t="inlineStr">
        <is>
          <t>辅助：Δ%PX 秩</t>
        </is>
      </c>
      <c r="Q3" s="12" t="inlineStr">
        <is>
          <t>辅助：Δ%PTA 秩</t>
        </is>
      </c>
    </row>
    <row r="4" ht="26" customHeight="1">
      <c r="A4" s="5" t="inlineStr">
        <is>
          <t>口径</t>
        </is>
      </c>
      <c r="B4" s="5" t="inlineStr">
        <is>
          <t>Pearson r</t>
        </is>
      </c>
      <c r="C4" s="5" t="inlineStr">
        <is>
          <t>R²</t>
        </is>
      </c>
      <c r="D4" s="5" t="inlineStr">
        <is>
          <t>N</t>
        </is>
      </c>
      <c r="E4" s="5" t="inlineStr">
        <is>
          <t>t 统计量</t>
        </is>
      </c>
      <c r="F4" s="5" t="inlineStr">
        <is>
          <t>p 值（双尾）</t>
        </is>
      </c>
      <c r="G4" s="5" t="inlineStr">
        <is>
          <t>95%CI 下限</t>
        </is>
      </c>
      <c r="H4" s="5" t="inlineStr">
        <is>
          <t>95%CI 上限</t>
        </is>
      </c>
    </row>
    <row r="5" ht="17" customHeight="1">
      <c r="A5" s="7" t="inlineStr">
        <is>
          <t>价格水平（PX vs PTA）</t>
        </is>
      </c>
      <c r="B5" s="17">
        <f>CORREL('03_原始数据'!$B$5:$B$873,'03_原始数据'!$C$5:$C$873)</f>
        <v/>
      </c>
      <c r="C5" s="17">
        <f>RSQ('03_原始数据'!$C$5:$C$873,'03_原始数据'!$B$5:$B$873)</f>
        <v/>
      </c>
      <c r="D5" s="47">
        <f>COUNT('03_原始数据'!$B$5:$B$873)</f>
        <v/>
      </c>
      <c r="E5" s="17">
        <f>B5*SQRT((D5-2)/(1-B5^2))</f>
        <v/>
      </c>
      <c r="F5" s="48">
        <f>IF(D5&gt;2,_xlfn.T.DIST.2T(ABS(E5),D5-2),"NA")</f>
        <v/>
      </c>
      <c r="G5" s="17">
        <f>TANH(ATANH(B5)-_xlfn.NORM.S.INV(1-Alpha/2)/SQRT(D5-3))</f>
        <v/>
      </c>
      <c r="H5" s="17">
        <f>TANH(ATANH(B5)+_xlfn.NORM.S.INV(1-Alpha/2)/SQRT(D5-3))</f>
        <v/>
      </c>
      <c r="N5" s="49" t="n">
        <v>767.5</v>
      </c>
      <c r="O5" s="49" t="n">
        <v>690</v>
      </c>
      <c r="P5" s="49" t="n"/>
      <c r="Q5" s="49" t="n"/>
    </row>
    <row r="6" ht="17" customHeight="1">
      <c r="A6" s="9" t="inlineStr">
        <is>
          <t>日收益率（Δ%PX vs Δ%PTA）</t>
        </is>
      </c>
      <c r="B6" s="22">
        <f>CORREL('03_原始数据'!$G$6:$G$873,'03_原始数据'!$H$6:$H$873)</f>
        <v/>
      </c>
      <c r="C6" s="22">
        <f>RSQ('03_原始数据'!$H$6:$H$873,'03_原始数据'!$G$6:$G$873)</f>
        <v/>
      </c>
      <c r="D6" s="50">
        <f>COUNT('03_原始数据'!$G$6:$G$873)</f>
        <v/>
      </c>
      <c r="E6" s="22">
        <f>B6*SQRT((D6-2)/(1-B6^2))</f>
        <v/>
      </c>
      <c r="F6" s="51">
        <f>IF(D6&gt;2,_xlfn.T.DIST.2T(ABS(E6),D6-2),"NA")</f>
        <v/>
      </c>
      <c r="G6" s="22">
        <f>TANH(ATANH(B6)-_xlfn.NORM.S.INV(1-Alpha/2)/SQRT(D6-3))</f>
        <v/>
      </c>
      <c r="H6" s="22">
        <f>TANH(ATANH(B6)+_xlfn.NORM.S.INV(1-Alpha/2)/SQRT(D6-3))</f>
        <v/>
      </c>
      <c r="N6" s="49" t="n">
        <v>767.5</v>
      </c>
      <c r="O6" s="49" t="n">
        <v>643</v>
      </c>
      <c r="P6" s="49" t="n">
        <v>767</v>
      </c>
      <c r="Q6" s="49" t="n">
        <v>643</v>
      </c>
    </row>
    <row r="7" ht="17" customHeight="1">
      <c r="A7" s="7" t="inlineStr">
        <is>
          <t>价差 vs PX 水平</t>
        </is>
      </c>
      <c r="B7" s="17">
        <f>CORREL('03_原始数据'!$B$5:$B$873,'03_原始数据'!$E$5:$E$873)</f>
        <v/>
      </c>
      <c r="C7" s="17">
        <f>RSQ('03_原始数据'!$E$5:$E$873,'03_原始数据'!$B$5:$B$873)</f>
        <v/>
      </c>
      <c r="D7" s="47">
        <f>COUNT('03_原始数据'!$B$5:$B$873)</f>
        <v/>
      </c>
      <c r="E7" s="17">
        <f>B7*SQRT((D7-2)/(1-B7^2))</f>
        <v/>
      </c>
      <c r="F7" s="48">
        <f>IF(D7&gt;2,_xlfn.T.DIST.2T(ABS(E7),D7-2),"NA")</f>
        <v/>
      </c>
      <c r="G7" s="17">
        <f>TANH(ATANH(B7)-_xlfn.NORM.S.INV(1-Alpha/2)/SQRT(D7-3))</f>
        <v/>
      </c>
      <c r="H7" s="17">
        <f>TANH(ATANH(B7)+_xlfn.NORM.S.INV(1-Alpha/2)/SQRT(D7-3))</f>
        <v/>
      </c>
      <c r="N7" s="49" t="n">
        <v>760</v>
      </c>
      <c r="O7" s="49" t="n">
        <v>642</v>
      </c>
      <c r="P7" s="49" t="n">
        <v>760</v>
      </c>
      <c r="Q7" s="49" t="n">
        <v>642</v>
      </c>
    </row>
    <row r="8">
      <c r="A8" s="52" t="inlineStr">
        <is>
          <t>Spearman 秩相关（抗异常值）</t>
        </is>
      </c>
      <c r="N8" s="49" t="n">
        <v>760</v>
      </c>
      <c r="O8" s="49" t="n">
        <v>564</v>
      </c>
      <c r="P8" s="49" t="n">
        <v>760</v>
      </c>
      <c r="Q8" s="49" t="n">
        <v>564</v>
      </c>
    </row>
    <row r="9" ht="26" customHeight="1">
      <c r="A9" s="5" t="inlineStr">
        <is>
          <t>口径</t>
        </is>
      </c>
      <c r="B9" s="5" t="inlineStr">
        <is>
          <t>Spearman ρ</t>
        </is>
      </c>
      <c r="C9" s="5" t="inlineStr">
        <is>
          <t>N</t>
        </is>
      </c>
      <c r="D9" s="5" t="inlineStr">
        <is>
          <t>说明</t>
        </is>
      </c>
      <c r="N9" s="49" t="n">
        <v>760</v>
      </c>
      <c r="O9" s="49" t="n">
        <v>530</v>
      </c>
      <c r="P9" s="49" t="n">
        <v>760</v>
      </c>
      <c r="Q9" s="49" t="n">
        <v>530</v>
      </c>
    </row>
    <row r="10" ht="17" customHeight="1">
      <c r="A10" s="7" t="inlineStr">
        <is>
          <t>价格水平</t>
        </is>
      </c>
      <c r="B10" s="17">
        <f>CORREL($N$5:$N$873,$O$5:$O$873)</f>
        <v/>
      </c>
      <c r="C10" s="47">
        <f>COUNT('03_原始数据'!$B$5:$B$873)</f>
        <v/>
      </c>
      <c r="D10" s="7" t="inlineStr">
        <is>
          <t>秩为数据属性（并列取平均秩），放在灰字辅助列 N/O；本格仍为活公式</t>
        </is>
      </c>
      <c r="N10" s="49" t="n">
        <v>760</v>
      </c>
      <c r="O10" s="49" t="n">
        <v>539</v>
      </c>
      <c r="P10" s="49" t="n">
        <v>760</v>
      </c>
      <c r="Q10" s="49" t="n">
        <v>539</v>
      </c>
    </row>
    <row r="11" ht="17" customHeight="1">
      <c r="A11" s="9" t="inlineStr">
        <is>
          <t>日收益率</t>
        </is>
      </c>
      <c r="B11" s="22">
        <f>CORREL($P$6:$P$873,$Q$6:$Q$873)</f>
        <v/>
      </c>
      <c r="C11" s="50">
        <f>COUNT('03_原始数据'!$G$6:$G$873)</f>
        <v/>
      </c>
      <c r="D11" s="9" t="inlineStr">
        <is>
          <t>同上；收益率的辅助秩在 P/Q。替换数据后请同步重算辅助秩</t>
        </is>
      </c>
      <c r="N11" s="49" t="n">
        <v>760</v>
      </c>
      <c r="O11" s="49" t="n">
        <v>538</v>
      </c>
      <c r="P11" s="49" t="n">
        <v>760</v>
      </c>
      <c r="Q11" s="49" t="n">
        <v>538</v>
      </c>
    </row>
    <row r="12">
      <c r="N12" s="49" t="n">
        <v>760</v>
      </c>
      <c r="O12" s="49" t="n">
        <v>536</v>
      </c>
      <c r="P12" s="49" t="n">
        <v>760</v>
      </c>
      <c r="Q12" s="49" t="n">
        <v>536</v>
      </c>
    </row>
    <row r="13">
      <c r="N13" s="49" t="n">
        <v>760</v>
      </c>
      <c r="O13" s="49" t="n">
        <v>531</v>
      </c>
      <c r="P13" s="49" t="n">
        <v>760</v>
      </c>
      <c r="Q13" s="49" t="n">
        <v>531</v>
      </c>
    </row>
    <row r="14">
      <c r="A14" s="52" t="inlineStr">
        <is>
          <t>有效样本量校正（Pyper &amp; Peterman）</t>
        </is>
      </c>
      <c r="N14" s="49" t="n">
        <v>760</v>
      </c>
      <c r="O14" s="49" t="n">
        <v>525</v>
      </c>
      <c r="P14" s="49" t="n">
        <v>760</v>
      </c>
      <c r="Q14" s="49" t="n">
        <v>525</v>
      </c>
    </row>
    <row r="15" ht="26" customHeight="1">
      <c r="A15" s="5" t="inlineStr">
        <is>
          <t>口径</t>
        </is>
      </c>
      <c r="B15" s="5" t="inlineStr">
        <is>
          <t>原始 N</t>
        </is>
      </c>
      <c r="C15" s="5" t="inlineStr">
        <is>
          <t>ρ(PX)</t>
        </is>
      </c>
      <c r="D15" s="5" t="inlineStr">
        <is>
          <t>ρ(PTA)</t>
        </is>
      </c>
      <c r="E15" s="5" t="inlineStr">
        <is>
          <t>有效 N</t>
        </is>
      </c>
      <c r="F15" s="5" t="inlineStr">
        <is>
          <t>说明</t>
        </is>
      </c>
      <c r="N15" s="49" t="n">
        <v>760</v>
      </c>
      <c r="O15" s="49" t="n">
        <v>525</v>
      </c>
      <c r="P15" s="49" t="n">
        <v>760</v>
      </c>
      <c r="Q15" s="49" t="n">
        <v>525</v>
      </c>
    </row>
    <row r="16" ht="17" customHeight="1">
      <c r="A16" s="7" t="inlineStr">
        <is>
          <t>价格水平</t>
        </is>
      </c>
      <c r="B16" s="47">
        <f>COUNT('03_原始数据'!$B$5:$B$873)</f>
        <v/>
      </c>
      <c r="C16" s="31">
        <f>CORREL('03_原始数据'!$B$5:$B$873,ROW('03_原始数据'!$B$5:$B$873))</f>
        <v/>
      </c>
      <c r="D16" s="31">
        <f>CORREL('03_原始数据'!$C$5:$C$873,ROW('03_原始数据'!$C$5:$C$873))</f>
        <v/>
      </c>
      <c r="E16" s="33">
        <f>B16*(1-C16*D16)/(1+C16*D16)</f>
        <v/>
      </c>
      <c r="F16" s="7" t="inlineStr">
        <is>
          <t>自相关越高，有效样本越少，显著性容易被高估</t>
        </is>
      </c>
      <c r="N16" s="49" t="n">
        <v>760</v>
      </c>
      <c r="O16" s="49" t="n">
        <v>525</v>
      </c>
      <c r="P16" s="49" t="n">
        <v>760</v>
      </c>
      <c r="Q16" s="49" t="n">
        <v>525</v>
      </c>
    </row>
    <row r="17" ht="17" customHeight="1">
      <c r="A17" s="9" t="inlineStr">
        <is>
          <t>日收益率</t>
        </is>
      </c>
      <c r="B17" s="50">
        <f>COUNT('03_原始数据'!$G$6:$G$873)</f>
        <v/>
      </c>
      <c r="C17" s="34">
        <f>CORREL('03_原始数据'!$G$6:$G$873,ROW('03_原始数据'!$G$6:$G$873))</f>
        <v/>
      </c>
      <c r="D17" s="34">
        <f>CORREL('03_原始数据'!$H$6:$H$873,ROW('03_原始数据'!$H$6:$H$873))</f>
        <v/>
      </c>
      <c r="E17" s="53">
        <f>B17*(1-C17*D17)/(1+C17*D17)</f>
        <v/>
      </c>
      <c r="F17" s="9" t="inlineStr">
        <is>
          <t>自相关越高，有效样本越少，显著性容易被高估</t>
        </is>
      </c>
      <c r="N17" s="49" t="n">
        <v>760</v>
      </c>
      <c r="O17" s="49" t="n">
        <v>527</v>
      </c>
      <c r="P17" s="49" t="n">
        <v>760</v>
      </c>
      <c r="Q17" s="49" t="n">
        <v>527</v>
      </c>
    </row>
    <row r="18">
      <c r="N18" s="49" t="n">
        <v>760</v>
      </c>
      <c r="O18" s="49" t="n">
        <v>540</v>
      </c>
      <c r="P18" s="49" t="n">
        <v>760</v>
      </c>
      <c r="Q18" s="49" t="n">
        <v>540</v>
      </c>
    </row>
    <row r="19">
      <c r="N19" s="49" t="n">
        <v>760</v>
      </c>
      <c r="O19" s="49" t="n">
        <v>545</v>
      </c>
      <c r="P19" s="49" t="n">
        <v>760</v>
      </c>
      <c r="Q19" s="49" t="n">
        <v>545</v>
      </c>
    </row>
    <row r="20">
      <c r="N20" s="49" t="n">
        <v>647</v>
      </c>
      <c r="O20" s="49" t="n">
        <v>578</v>
      </c>
      <c r="P20" s="49" t="n">
        <v>647</v>
      </c>
      <c r="Q20" s="49" t="n">
        <v>578</v>
      </c>
    </row>
    <row r="21">
      <c r="N21" s="49" t="n">
        <v>647</v>
      </c>
      <c r="O21" s="49" t="n">
        <v>578</v>
      </c>
      <c r="P21" s="49" t="n">
        <v>647</v>
      </c>
      <c r="Q21" s="49" t="n">
        <v>578</v>
      </c>
    </row>
    <row r="22">
      <c r="N22" s="49" t="n">
        <v>647</v>
      </c>
      <c r="O22" s="49" t="n">
        <v>597.5</v>
      </c>
      <c r="P22" s="49" t="n">
        <v>647</v>
      </c>
      <c r="Q22" s="49" t="n">
        <v>597.5</v>
      </c>
    </row>
    <row r="23">
      <c r="N23" s="49" t="n">
        <v>647</v>
      </c>
      <c r="O23" s="49" t="n">
        <v>597.5</v>
      </c>
      <c r="P23" s="49" t="n">
        <v>647</v>
      </c>
      <c r="Q23" s="49" t="n">
        <v>597.5</v>
      </c>
    </row>
    <row r="24">
      <c r="N24" s="49" t="n">
        <v>647</v>
      </c>
      <c r="O24" s="49" t="n">
        <v>600</v>
      </c>
      <c r="P24" s="49" t="n">
        <v>647</v>
      </c>
      <c r="Q24" s="49" t="n">
        <v>600</v>
      </c>
    </row>
    <row r="25">
      <c r="N25" s="49" t="n">
        <v>647</v>
      </c>
      <c r="O25" s="49" t="n">
        <v>580</v>
      </c>
      <c r="P25" s="49" t="n">
        <v>647</v>
      </c>
      <c r="Q25" s="49" t="n">
        <v>580</v>
      </c>
    </row>
    <row r="26">
      <c r="N26" s="49" t="n">
        <v>647</v>
      </c>
      <c r="O26" s="49" t="n">
        <v>568</v>
      </c>
      <c r="P26" s="49" t="n">
        <v>647</v>
      </c>
      <c r="Q26" s="49" t="n">
        <v>568</v>
      </c>
    </row>
    <row r="27">
      <c r="N27" s="49" t="n">
        <v>647</v>
      </c>
      <c r="O27" s="49" t="n">
        <v>557.5</v>
      </c>
      <c r="P27" s="49" t="n">
        <v>647</v>
      </c>
      <c r="Q27" s="49" t="n">
        <v>557.5</v>
      </c>
    </row>
    <row r="28">
      <c r="N28" s="49" t="n">
        <v>647</v>
      </c>
      <c r="O28" s="49" t="n">
        <v>557.5</v>
      </c>
      <c r="P28" s="49" t="n">
        <v>647</v>
      </c>
      <c r="Q28" s="49" t="n">
        <v>557.5</v>
      </c>
    </row>
    <row r="29">
      <c r="N29" s="49" t="n">
        <v>647</v>
      </c>
      <c r="O29" s="49" t="n">
        <v>560</v>
      </c>
      <c r="P29" s="49" t="n">
        <v>647</v>
      </c>
      <c r="Q29" s="49" t="n">
        <v>560</v>
      </c>
    </row>
    <row r="30">
      <c r="N30" s="49" t="n">
        <v>647</v>
      </c>
      <c r="O30" s="49" t="n">
        <v>537</v>
      </c>
      <c r="P30" s="49" t="n">
        <v>647</v>
      </c>
      <c r="Q30" s="49" t="n">
        <v>537</v>
      </c>
    </row>
    <row r="31">
      <c r="N31" s="49" t="n">
        <v>647</v>
      </c>
      <c r="O31" s="49" t="n">
        <v>572</v>
      </c>
      <c r="P31" s="49" t="n">
        <v>647</v>
      </c>
      <c r="Q31" s="49" t="n">
        <v>572</v>
      </c>
    </row>
    <row r="32">
      <c r="N32" s="49" t="n">
        <v>647</v>
      </c>
      <c r="O32" s="49" t="n">
        <v>599</v>
      </c>
      <c r="P32" s="49" t="n">
        <v>647</v>
      </c>
      <c r="Q32" s="49" t="n">
        <v>599</v>
      </c>
    </row>
    <row r="33">
      <c r="N33" s="49" t="n">
        <v>647</v>
      </c>
      <c r="O33" s="49" t="n">
        <v>698.5</v>
      </c>
      <c r="P33" s="49" t="n">
        <v>647</v>
      </c>
      <c r="Q33" s="49" t="n">
        <v>697.5</v>
      </c>
    </row>
    <row r="34">
      <c r="N34" s="49" t="n">
        <v>647</v>
      </c>
      <c r="O34" s="49" t="n">
        <v>700</v>
      </c>
      <c r="P34" s="49" t="n">
        <v>647</v>
      </c>
      <c r="Q34" s="49" t="n">
        <v>699</v>
      </c>
    </row>
    <row r="35">
      <c r="N35" s="49" t="n">
        <v>647</v>
      </c>
      <c r="O35" s="49" t="n">
        <v>708</v>
      </c>
      <c r="P35" s="49" t="n">
        <v>647</v>
      </c>
      <c r="Q35" s="49" t="n">
        <v>707</v>
      </c>
    </row>
    <row r="36">
      <c r="N36" s="49" t="n">
        <v>647</v>
      </c>
      <c r="O36" s="49" t="n">
        <v>551.5</v>
      </c>
      <c r="P36" s="49" t="n">
        <v>647</v>
      </c>
      <c r="Q36" s="49" t="n">
        <v>551.5</v>
      </c>
    </row>
    <row r="37">
      <c r="N37" s="49" t="n">
        <v>647</v>
      </c>
      <c r="O37" s="49" t="n">
        <v>551.5</v>
      </c>
      <c r="P37" s="49" t="n">
        <v>647</v>
      </c>
      <c r="Q37" s="49" t="n">
        <v>551.5</v>
      </c>
    </row>
    <row r="38">
      <c r="N38" s="49" t="n">
        <v>647</v>
      </c>
      <c r="O38" s="49" t="n">
        <v>507.5</v>
      </c>
      <c r="P38" s="49" t="n">
        <v>647</v>
      </c>
      <c r="Q38" s="49" t="n">
        <v>507.5</v>
      </c>
    </row>
    <row r="39">
      <c r="N39" s="49" t="n">
        <v>647</v>
      </c>
      <c r="O39" s="49" t="n">
        <v>507.5</v>
      </c>
      <c r="P39" s="49" t="n">
        <v>647</v>
      </c>
      <c r="Q39" s="49" t="n">
        <v>507.5</v>
      </c>
    </row>
    <row r="40">
      <c r="N40" s="49" t="n">
        <v>647</v>
      </c>
      <c r="O40" s="49" t="n">
        <v>488</v>
      </c>
      <c r="P40" s="49" t="n">
        <v>647</v>
      </c>
      <c r="Q40" s="49" t="n">
        <v>488</v>
      </c>
    </row>
    <row r="41">
      <c r="N41" s="49" t="n">
        <v>647</v>
      </c>
      <c r="O41" s="49" t="n">
        <v>466</v>
      </c>
      <c r="P41" s="49" t="n">
        <v>647</v>
      </c>
      <c r="Q41" s="49" t="n">
        <v>466</v>
      </c>
    </row>
    <row r="42">
      <c r="N42" s="49" t="n">
        <v>470</v>
      </c>
      <c r="O42" s="49" t="n">
        <v>459</v>
      </c>
      <c r="P42" s="49" t="n">
        <v>470</v>
      </c>
      <c r="Q42" s="49" t="n">
        <v>459</v>
      </c>
    </row>
    <row r="43">
      <c r="N43" s="49" t="n">
        <v>470</v>
      </c>
      <c r="O43" s="49" t="n">
        <v>459</v>
      </c>
      <c r="P43" s="49" t="n">
        <v>470</v>
      </c>
      <c r="Q43" s="49" t="n">
        <v>459</v>
      </c>
    </row>
    <row r="44">
      <c r="N44" s="49" t="n">
        <v>470</v>
      </c>
      <c r="O44" s="49" t="n">
        <v>459</v>
      </c>
      <c r="P44" s="49" t="n">
        <v>470</v>
      </c>
      <c r="Q44" s="49" t="n">
        <v>459</v>
      </c>
    </row>
    <row r="45">
      <c r="N45" s="49" t="n">
        <v>470</v>
      </c>
      <c r="O45" s="49" t="n">
        <v>462</v>
      </c>
      <c r="P45" s="49" t="n">
        <v>470</v>
      </c>
      <c r="Q45" s="49" t="n">
        <v>462</v>
      </c>
    </row>
    <row r="46">
      <c r="N46" s="49" t="n">
        <v>470</v>
      </c>
      <c r="O46" s="49" t="n">
        <v>462</v>
      </c>
      <c r="P46" s="49" t="n">
        <v>470</v>
      </c>
      <c r="Q46" s="49" t="n">
        <v>462</v>
      </c>
    </row>
    <row r="47">
      <c r="N47" s="49" t="n">
        <v>470</v>
      </c>
      <c r="O47" s="49" t="n">
        <v>462</v>
      </c>
      <c r="P47" s="49" t="n">
        <v>470</v>
      </c>
      <c r="Q47" s="49" t="n">
        <v>462</v>
      </c>
    </row>
    <row r="48">
      <c r="N48" s="49" t="n">
        <v>470</v>
      </c>
      <c r="O48" s="49" t="n">
        <v>467</v>
      </c>
      <c r="P48" s="49" t="n">
        <v>470</v>
      </c>
      <c r="Q48" s="49" t="n">
        <v>467</v>
      </c>
    </row>
    <row r="49">
      <c r="N49" s="49" t="n">
        <v>470</v>
      </c>
      <c r="O49" s="49" t="n">
        <v>484</v>
      </c>
      <c r="P49" s="49" t="n">
        <v>470</v>
      </c>
      <c r="Q49" s="49" t="n">
        <v>484</v>
      </c>
    </row>
    <row r="50">
      <c r="N50" s="49" t="n">
        <v>470</v>
      </c>
      <c r="O50" s="49" t="n">
        <v>480.5</v>
      </c>
      <c r="P50" s="49" t="n">
        <v>470</v>
      </c>
      <c r="Q50" s="49" t="n">
        <v>480.5</v>
      </c>
    </row>
    <row r="51">
      <c r="N51" s="49" t="n">
        <v>470</v>
      </c>
      <c r="O51" s="49" t="n">
        <v>480.5</v>
      </c>
      <c r="P51" s="49" t="n">
        <v>470</v>
      </c>
      <c r="Q51" s="49" t="n">
        <v>480.5</v>
      </c>
    </row>
    <row r="52">
      <c r="N52" s="49" t="n">
        <v>470</v>
      </c>
      <c r="O52" s="49" t="n">
        <v>454.5</v>
      </c>
      <c r="P52" s="49" t="n">
        <v>470</v>
      </c>
      <c r="Q52" s="49" t="n">
        <v>454.5</v>
      </c>
    </row>
    <row r="53">
      <c r="N53" s="49" t="n">
        <v>470</v>
      </c>
      <c r="O53" s="49" t="n">
        <v>454.5</v>
      </c>
      <c r="P53" s="49" t="n">
        <v>470</v>
      </c>
      <c r="Q53" s="49" t="n">
        <v>454.5</v>
      </c>
    </row>
    <row r="54">
      <c r="N54" s="49" t="n">
        <v>470</v>
      </c>
      <c r="O54" s="49" t="n">
        <v>457</v>
      </c>
      <c r="P54" s="49" t="n">
        <v>470</v>
      </c>
      <c r="Q54" s="49" t="n">
        <v>457</v>
      </c>
    </row>
    <row r="55">
      <c r="N55" s="49" t="n">
        <v>470</v>
      </c>
      <c r="O55" s="49" t="n">
        <v>471</v>
      </c>
      <c r="P55" s="49" t="n">
        <v>470</v>
      </c>
      <c r="Q55" s="49" t="n">
        <v>471</v>
      </c>
    </row>
    <row r="56">
      <c r="N56" s="49" t="n">
        <v>470</v>
      </c>
      <c r="O56" s="49" t="n">
        <v>478</v>
      </c>
      <c r="P56" s="49" t="n">
        <v>470</v>
      </c>
      <c r="Q56" s="49" t="n">
        <v>478</v>
      </c>
    </row>
    <row r="57">
      <c r="N57" s="49" t="n">
        <v>470</v>
      </c>
      <c r="O57" s="49" t="n">
        <v>478</v>
      </c>
      <c r="P57" s="49" t="n">
        <v>470</v>
      </c>
      <c r="Q57" s="49" t="n">
        <v>478</v>
      </c>
    </row>
    <row r="58">
      <c r="N58" s="49" t="n">
        <v>470</v>
      </c>
      <c r="O58" s="49" t="n">
        <v>478</v>
      </c>
      <c r="P58" s="49" t="n">
        <v>470</v>
      </c>
      <c r="Q58" s="49" t="n">
        <v>478</v>
      </c>
    </row>
    <row r="59">
      <c r="N59" s="49" t="n">
        <v>470</v>
      </c>
      <c r="O59" s="49" t="n">
        <v>543.5</v>
      </c>
      <c r="P59" s="49" t="n">
        <v>470</v>
      </c>
      <c r="Q59" s="49" t="n">
        <v>543.5</v>
      </c>
    </row>
    <row r="60">
      <c r="N60" s="49" t="n">
        <v>470</v>
      </c>
      <c r="O60" s="49" t="n">
        <v>543.5</v>
      </c>
      <c r="P60" s="49" t="n">
        <v>470</v>
      </c>
      <c r="Q60" s="49" t="n">
        <v>543.5</v>
      </c>
    </row>
    <row r="61">
      <c r="N61" s="49" t="n">
        <v>470</v>
      </c>
      <c r="O61" s="49" t="n">
        <v>566.5</v>
      </c>
      <c r="P61" s="49" t="n">
        <v>470</v>
      </c>
      <c r="Q61" s="49" t="n">
        <v>566.5</v>
      </c>
    </row>
    <row r="62">
      <c r="N62" s="49" t="n">
        <v>470</v>
      </c>
      <c r="O62" s="49" t="n">
        <v>566.5</v>
      </c>
      <c r="P62" s="49" t="n">
        <v>470</v>
      </c>
      <c r="Q62" s="49" t="n">
        <v>566.5</v>
      </c>
    </row>
    <row r="63">
      <c r="N63" s="49" t="n">
        <v>470</v>
      </c>
      <c r="O63" s="49" t="n">
        <v>635</v>
      </c>
      <c r="P63" s="49" t="n">
        <v>470</v>
      </c>
      <c r="Q63" s="49" t="n">
        <v>635</v>
      </c>
    </row>
    <row r="64">
      <c r="N64" s="49" t="n">
        <v>563.5</v>
      </c>
      <c r="O64" s="49" t="n">
        <v>589.5</v>
      </c>
      <c r="P64" s="49" t="n">
        <v>563.5</v>
      </c>
      <c r="Q64" s="49" t="n">
        <v>589.5</v>
      </c>
    </row>
    <row r="65">
      <c r="N65" s="49" t="n">
        <v>563.5</v>
      </c>
      <c r="O65" s="49" t="n">
        <v>589.5</v>
      </c>
      <c r="P65" s="49" t="n">
        <v>563.5</v>
      </c>
      <c r="Q65" s="49" t="n">
        <v>589.5</v>
      </c>
    </row>
    <row r="66">
      <c r="N66" s="49" t="n">
        <v>563.5</v>
      </c>
      <c r="O66" s="49" t="n">
        <v>611</v>
      </c>
      <c r="P66" s="49" t="n">
        <v>563.5</v>
      </c>
      <c r="Q66" s="49" t="n">
        <v>611</v>
      </c>
    </row>
    <row r="67">
      <c r="N67" s="49" t="n">
        <v>563.5</v>
      </c>
      <c r="O67" s="49" t="n">
        <v>562.5</v>
      </c>
      <c r="P67" s="49" t="n">
        <v>563.5</v>
      </c>
      <c r="Q67" s="49" t="n">
        <v>562.5</v>
      </c>
    </row>
    <row r="68">
      <c r="N68" s="49" t="n">
        <v>563.5</v>
      </c>
      <c r="O68" s="49" t="n">
        <v>562.5</v>
      </c>
      <c r="P68" s="49" t="n">
        <v>563.5</v>
      </c>
      <c r="Q68" s="49" t="n">
        <v>562.5</v>
      </c>
    </row>
    <row r="69">
      <c r="N69" s="49" t="n">
        <v>563.5</v>
      </c>
      <c r="O69" s="49" t="n">
        <v>560</v>
      </c>
      <c r="P69" s="49" t="n">
        <v>563.5</v>
      </c>
      <c r="Q69" s="49" t="n">
        <v>560</v>
      </c>
    </row>
    <row r="70">
      <c r="N70" s="49" t="n">
        <v>563.5</v>
      </c>
      <c r="O70" s="49" t="n">
        <v>560</v>
      </c>
      <c r="P70" s="49" t="n">
        <v>563.5</v>
      </c>
      <c r="Q70" s="49" t="n">
        <v>560</v>
      </c>
    </row>
    <row r="71">
      <c r="N71" s="49" t="n">
        <v>563.5</v>
      </c>
      <c r="O71" s="49" t="n">
        <v>487</v>
      </c>
      <c r="P71" s="49" t="n">
        <v>563.5</v>
      </c>
      <c r="Q71" s="49" t="n">
        <v>487</v>
      </c>
    </row>
    <row r="72">
      <c r="N72" s="49" t="n">
        <v>563.5</v>
      </c>
      <c r="O72" s="49" t="n">
        <v>476</v>
      </c>
      <c r="P72" s="49" t="n">
        <v>563.5</v>
      </c>
      <c r="Q72" s="49" t="n">
        <v>476</v>
      </c>
    </row>
    <row r="73">
      <c r="N73" s="49" t="n">
        <v>563.5</v>
      </c>
      <c r="O73" s="49" t="n">
        <v>475</v>
      </c>
      <c r="P73" s="49" t="n">
        <v>563.5</v>
      </c>
      <c r="Q73" s="49" t="n">
        <v>475</v>
      </c>
    </row>
    <row r="74">
      <c r="N74" s="49" t="n">
        <v>563.5</v>
      </c>
      <c r="O74" s="49" t="n">
        <v>482</v>
      </c>
      <c r="P74" s="49" t="n">
        <v>563.5</v>
      </c>
      <c r="Q74" s="49" t="n">
        <v>482</v>
      </c>
    </row>
    <row r="75">
      <c r="N75" s="49" t="n">
        <v>563.5</v>
      </c>
      <c r="O75" s="49" t="n">
        <v>485</v>
      </c>
      <c r="P75" s="49" t="n">
        <v>563.5</v>
      </c>
      <c r="Q75" s="49" t="n">
        <v>485</v>
      </c>
    </row>
    <row r="76">
      <c r="N76" s="49" t="n">
        <v>563.5</v>
      </c>
      <c r="O76" s="49" t="n">
        <v>494</v>
      </c>
      <c r="P76" s="49" t="n">
        <v>563.5</v>
      </c>
      <c r="Q76" s="49" t="n">
        <v>494</v>
      </c>
    </row>
    <row r="77">
      <c r="N77" s="49" t="n">
        <v>563.5</v>
      </c>
      <c r="O77" s="49" t="n">
        <v>495</v>
      </c>
      <c r="P77" s="49" t="n">
        <v>563.5</v>
      </c>
      <c r="Q77" s="49" t="n">
        <v>495</v>
      </c>
    </row>
    <row r="78">
      <c r="N78" s="49" t="n">
        <v>563.5</v>
      </c>
      <c r="O78" s="49" t="n">
        <v>505</v>
      </c>
      <c r="P78" s="49" t="n">
        <v>563.5</v>
      </c>
      <c r="Q78" s="49" t="n">
        <v>505</v>
      </c>
    </row>
    <row r="79">
      <c r="N79" s="49" t="n">
        <v>563.5</v>
      </c>
      <c r="O79" s="49" t="n">
        <v>529</v>
      </c>
      <c r="P79" s="49" t="n">
        <v>563.5</v>
      </c>
      <c r="Q79" s="49" t="n">
        <v>529</v>
      </c>
    </row>
    <row r="80">
      <c r="N80" s="49" t="n">
        <v>563.5</v>
      </c>
      <c r="O80" s="49" t="n">
        <v>554</v>
      </c>
      <c r="P80" s="49" t="n">
        <v>563.5</v>
      </c>
      <c r="Q80" s="49" t="n">
        <v>554</v>
      </c>
    </row>
    <row r="81">
      <c r="N81" s="49" t="n">
        <v>563.5</v>
      </c>
      <c r="O81" s="49" t="n">
        <v>570.5</v>
      </c>
      <c r="P81" s="49" t="n">
        <v>563.5</v>
      </c>
      <c r="Q81" s="49" t="n">
        <v>570.5</v>
      </c>
    </row>
    <row r="82">
      <c r="N82" s="49" t="n">
        <v>563.5</v>
      </c>
      <c r="O82" s="49" t="n">
        <v>570.5</v>
      </c>
      <c r="P82" s="49" t="n">
        <v>563.5</v>
      </c>
      <c r="Q82" s="49" t="n">
        <v>570.5</v>
      </c>
    </row>
    <row r="83">
      <c r="N83" s="49" t="n">
        <v>563.5</v>
      </c>
      <c r="O83" s="49" t="n">
        <v>680</v>
      </c>
      <c r="P83" s="49" t="n">
        <v>563.5</v>
      </c>
      <c r="Q83" s="49" t="n">
        <v>680</v>
      </c>
    </row>
    <row r="84">
      <c r="N84" s="49" t="n">
        <v>563.5</v>
      </c>
      <c r="O84" s="49" t="n">
        <v>680</v>
      </c>
      <c r="P84" s="49" t="n">
        <v>563.5</v>
      </c>
      <c r="Q84" s="49" t="n">
        <v>680</v>
      </c>
    </row>
    <row r="85">
      <c r="N85" s="49" t="n">
        <v>563.5</v>
      </c>
      <c r="O85" s="49" t="n">
        <v>680</v>
      </c>
      <c r="P85" s="49" t="n">
        <v>563.5</v>
      </c>
      <c r="Q85" s="49" t="n">
        <v>680</v>
      </c>
    </row>
    <row r="86">
      <c r="N86" s="49" t="n">
        <v>563.5</v>
      </c>
      <c r="O86" s="49" t="n">
        <v>676</v>
      </c>
      <c r="P86" s="49" t="n">
        <v>563.5</v>
      </c>
      <c r="Q86" s="49" t="n">
        <v>676</v>
      </c>
    </row>
    <row r="87">
      <c r="N87" s="49" t="n">
        <v>592.5</v>
      </c>
      <c r="O87" s="49" t="n">
        <v>669.5</v>
      </c>
      <c r="P87" s="49" t="n">
        <v>592.5</v>
      </c>
      <c r="Q87" s="49" t="n">
        <v>669.5</v>
      </c>
    </row>
    <row r="88">
      <c r="N88" s="49" t="n">
        <v>592.5</v>
      </c>
      <c r="O88" s="49" t="n">
        <v>669.5</v>
      </c>
      <c r="P88" s="49" t="n">
        <v>592.5</v>
      </c>
      <c r="Q88" s="49" t="n">
        <v>669.5</v>
      </c>
    </row>
    <row r="89">
      <c r="N89" s="49" t="n">
        <v>592.5</v>
      </c>
      <c r="O89" s="49" t="n">
        <v>658</v>
      </c>
      <c r="P89" s="49" t="n">
        <v>592.5</v>
      </c>
      <c r="Q89" s="49" t="n">
        <v>658</v>
      </c>
    </row>
    <row r="90">
      <c r="N90" s="49" t="n">
        <v>592.5</v>
      </c>
      <c r="O90" s="49" t="n">
        <v>633</v>
      </c>
      <c r="P90" s="49" t="n">
        <v>592.5</v>
      </c>
      <c r="Q90" s="49" t="n">
        <v>633</v>
      </c>
    </row>
    <row r="91">
      <c r="N91" s="49" t="n">
        <v>592.5</v>
      </c>
      <c r="O91" s="49" t="n">
        <v>618</v>
      </c>
      <c r="P91" s="49" t="n">
        <v>592.5</v>
      </c>
      <c r="Q91" s="49" t="n">
        <v>618</v>
      </c>
    </row>
    <row r="92">
      <c r="N92" s="49" t="n">
        <v>592.5</v>
      </c>
      <c r="O92" s="49" t="n">
        <v>618</v>
      </c>
      <c r="P92" s="49" t="n">
        <v>592.5</v>
      </c>
      <c r="Q92" s="49" t="n">
        <v>618</v>
      </c>
    </row>
    <row r="93">
      <c r="N93" s="49" t="n">
        <v>592.5</v>
      </c>
      <c r="O93" s="49" t="n">
        <v>618</v>
      </c>
      <c r="P93" s="49" t="n">
        <v>592.5</v>
      </c>
      <c r="Q93" s="49" t="n">
        <v>618</v>
      </c>
    </row>
    <row r="94">
      <c r="N94" s="49" t="n">
        <v>592.5</v>
      </c>
      <c r="O94" s="49" t="n">
        <v>618</v>
      </c>
      <c r="P94" s="49" t="n">
        <v>592.5</v>
      </c>
      <c r="Q94" s="49" t="n">
        <v>618</v>
      </c>
    </row>
    <row r="95">
      <c r="N95" s="49" t="n">
        <v>592.5</v>
      </c>
      <c r="O95" s="49" t="n">
        <v>618</v>
      </c>
      <c r="P95" s="49" t="n">
        <v>592.5</v>
      </c>
      <c r="Q95" s="49" t="n">
        <v>618</v>
      </c>
    </row>
    <row r="96">
      <c r="N96" s="49" t="n">
        <v>592.5</v>
      </c>
      <c r="O96" s="49" t="n">
        <v>618</v>
      </c>
      <c r="P96" s="49" t="n">
        <v>592.5</v>
      </c>
      <c r="Q96" s="49" t="n">
        <v>618</v>
      </c>
    </row>
    <row r="97">
      <c r="N97" s="49" t="n">
        <v>592.5</v>
      </c>
      <c r="O97" s="49" t="n">
        <v>618</v>
      </c>
      <c r="P97" s="49" t="n">
        <v>592.5</v>
      </c>
      <c r="Q97" s="49" t="n">
        <v>618</v>
      </c>
    </row>
    <row r="98">
      <c r="N98" s="49" t="n">
        <v>592.5</v>
      </c>
      <c r="O98" s="49" t="n">
        <v>618</v>
      </c>
      <c r="P98" s="49" t="n">
        <v>592.5</v>
      </c>
      <c r="Q98" s="49" t="n">
        <v>618</v>
      </c>
    </row>
    <row r="99">
      <c r="N99" s="49" t="n">
        <v>592.5</v>
      </c>
      <c r="O99" s="49" t="n">
        <v>618</v>
      </c>
      <c r="P99" s="49" t="n">
        <v>592.5</v>
      </c>
      <c r="Q99" s="49" t="n">
        <v>618</v>
      </c>
    </row>
    <row r="100">
      <c r="N100" s="49" t="n">
        <v>592.5</v>
      </c>
      <c r="O100" s="49" t="n">
        <v>618</v>
      </c>
      <c r="P100" s="49" t="n">
        <v>592.5</v>
      </c>
      <c r="Q100" s="49" t="n">
        <v>618</v>
      </c>
    </row>
    <row r="101">
      <c r="N101" s="49" t="n">
        <v>592.5</v>
      </c>
      <c r="O101" s="49" t="n">
        <v>618</v>
      </c>
      <c r="P101" s="49" t="n">
        <v>592.5</v>
      </c>
      <c r="Q101" s="49" t="n">
        <v>618</v>
      </c>
    </row>
    <row r="102">
      <c r="N102" s="49" t="n">
        <v>592.5</v>
      </c>
      <c r="O102" s="49" t="n">
        <v>587.5</v>
      </c>
      <c r="P102" s="49" t="n">
        <v>592.5</v>
      </c>
      <c r="Q102" s="49" t="n">
        <v>587.5</v>
      </c>
    </row>
    <row r="103">
      <c r="N103" s="49" t="n">
        <v>592.5</v>
      </c>
      <c r="O103" s="49" t="n">
        <v>587.5</v>
      </c>
      <c r="P103" s="49" t="n">
        <v>592.5</v>
      </c>
      <c r="Q103" s="49" t="n">
        <v>587.5</v>
      </c>
    </row>
    <row r="104">
      <c r="N104" s="49" t="n">
        <v>592.5</v>
      </c>
      <c r="O104" s="49" t="n">
        <v>612</v>
      </c>
      <c r="P104" s="49" t="n">
        <v>592.5</v>
      </c>
      <c r="Q104" s="49" t="n">
        <v>612</v>
      </c>
    </row>
    <row r="105">
      <c r="N105" s="49" t="n">
        <v>647</v>
      </c>
      <c r="O105" s="49" t="n">
        <v>609</v>
      </c>
      <c r="P105" s="49" t="n">
        <v>647</v>
      </c>
      <c r="Q105" s="49" t="n">
        <v>609</v>
      </c>
    </row>
    <row r="106">
      <c r="N106" s="49" t="n">
        <v>647</v>
      </c>
      <c r="O106" s="49" t="n">
        <v>550</v>
      </c>
      <c r="P106" s="49" t="n">
        <v>647</v>
      </c>
      <c r="Q106" s="49" t="n">
        <v>550</v>
      </c>
    </row>
    <row r="107">
      <c r="N107" s="49" t="n">
        <v>647</v>
      </c>
      <c r="O107" s="49" t="n">
        <v>575</v>
      </c>
      <c r="P107" s="49" t="n">
        <v>647</v>
      </c>
      <c r="Q107" s="49" t="n">
        <v>575</v>
      </c>
    </row>
    <row r="108">
      <c r="N108" s="49" t="n">
        <v>647</v>
      </c>
      <c r="O108" s="49" t="n">
        <v>575</v>
      </c>
      <c r="P108" s="49" t="n">
        <v>647</v>
      </c>
      <c r="Q108" s="49" t="n">
        <v>575</v>
      </c>
    </row>
    <row r="109">
      <c r="N109" s="49" t="n">
        <v>563.5</v>
      </c>
      <c r="O109" s="49" t="n">
        <v>633</v>
      </c>
      <c r="P109" s="49" t="n">
        <v>563.5</v>
      </c>
      <c r="Q109" s="49" t="n">
        <v>633</v>
      </c>
    </row>
    <row r="110">
      <c r="N110" s="49" t="n">
        <v>563.5</v>
      </c>
      <c r="O110" s="49" t="n">
        <v>633</v>
      </c>
      <c r="P110" s="49" t="n">
        <v>563.5</v>
      </c>
      <c r="Q110" s="49" t="n">
        <v>633</v>
      </c>
    </row>
    <row r="111">
      <c r="N111" s="49" t="n">
        <v>563.5</v>
      </c>
      <c r="O111" s="49" t="n">
        <v>591</v>
      </c>
      <c r="P111" s="49" t="n">
        <v>563.5</v>
      </c>
      <c r="Q111" s="49" t="n">
        <v>591</v>
      </c>
    </row>
    <row r="112">
      <c r="N112" s="49" t="n">
        <v>563.5</v>
      </c>
      <c r="O112" s="49" t="n">
        <v>542</v>
      </c>
      <c r="P112" s="49" t="n">
        <v>563.5</v>
      </c>
      <c r="Q112" s="49" t="n">
        <v>542</v>
      </c>
    </row>
    <row r="113">
      <c r="N113" s="49" t="n">
        <v>563.5</v>
      </c>
      <c r="O113" s="49" t="n">
        <v>549</v>
      </c>
      <c r="P113" s="49" t="n">
        <v>563.5</v>
      </c>
      <c r="Q113" s="49" t="n">
        <v>549</v>
      </c>
    </row>
    <row r="114">
      <c r="N114" s="49" t="n">
        <v>563.5</v>
      </c>
      <c r="O114" s="49" t="n">
        <v>519</v>
      </c>
      <c r="P114" s="49" t="n">
        <v>563.5</v>
      </c>
      <c r="Q114" s="49" t="n">
        <v>519</v>
      </c>
    </row>
    <row r="115">
      <c r="N115" s="49" t="n">
        <v>563.5</v>
      </c>
      <c r="O115" s="49" t="n">
        <v>516.5</v>
      </c>
      <c r="P115" s="49" t="n">
        <v>563.5</v>
      </c>
      <c r="Q115" s="49" t="n">
        <v>516.5</v>
      </c>
    </row>
    <row r="116">
      <c r="N116" s="49" t="n">
        <v>563.5</v>
      </c>
      <c r="O116" s="49" t="n">
        <v>516.5</v>
      </c>
      <c r="P116" s="49" t="n">
        <v>563.5</v>
      </c>
      <c r="Q116" s="49" t="n">
        <v>516.5</v>
      </c>
    </row>
    <row r="117">
      <c r="N117" s="49" t="n">
        <v>563.5</v>
      </c>
      <c r="O117" s="49" t="n">
        <v>497</v>
      </c>
      <c r="P117" s="49" t="n">
        <v>563.5</v>
      </c>
      <c r="Q117" s="49" t="n">
        <v>497</v>
      </c>
    </row>
    <row r="118">
      <c r="N118" s="49" t="n">
        <v>563.5</v>
      </c>
      <c r="O118" s="49" t="n">
        <v>498</v>
      </c>
      <c r="P118" s="49" t="n">
        <v>563.5</v>
      </c>
      <c r="Q118" s="49" t="n">
        <v>498</v>
      </c>
    </row>
    <row r="119">
      <c r="N119" s="49" t="n">
        <v>563.5</v>
      </c>
      <c r="O119" s="49" t="n">
        <v>514</v>
      </c>
      <c r="P119" s="49" t="n">
        <v>563.5</v>
      </c>
      <c r="Q119" s="49" t="n">
        <v>514</v>
      </c>
    </row>
    <row r="120">
      <c r="N120" s="49" t="n">
        <v>563.5</v>
      </c>
      <c r="O120" s="49" t="n">
        <v>553</v>
      </c>
      <c r="P120" s="49" t="n">
        <v>563.5</v>
      </c>
      <c r="Q120" s="49" t="n">
        <v>553</v>
      </c>
    </row>
    <row r="121">
      <c r="N121" s="49" t="n">
        <v>563.5</v>
      </c>
      <c r="O121" s="49" t="n">
        <v>593</v>
      </c>
      <c r="P121" s="49" t="n">
        <v>563.5</v>
      </c>
      <c r="Q121" s="49" t="n">
        <v>593</v>
      </c>
    </row>
    <row r="122">
      <c r="N122" s="49" t="n">
        <v>563.5</v>
      </c>
      <c r="O122" s="49" t="n">
        <v>595</v>
      </c>
      <c r="P122" s="49" t="n">
        <v>563.5</v>
      </c>
      <c r="Q122" s="49" t="n">
        <v>595</v>
      </c>
    </row>
    <row r="123">
      <c r="N123" s="49" t="n">
        <v>563.5</v>
      </c>
      <c r="O123" s="49" t="n">
        <v>583</v>
      </c>
      <c r="P123" s="49" t="n">
        <v>563.5</v>
      </c>
      <c r="Q123" s="49" t="n">
        <v>583</v>
      </c>
    </row>
    <row r="124">
      <c r="N124" s="49" t="n">
        <v>563.5</v>
      </c>
      <c r="O124" s="49" t="n">
        <v>501</v>
      </c>
      <c r="P124" s="49" t="n">
        <v>563.5</v>
      </c>
      <c r="Q124" s="49" t="n">
        <v>501</v>
      </c>
    </row>
    <row r="125">
      <c r="N125" s="49" t="n">
        <v>541.5</v>
      </c>
      <c r="O125" s="49" t="n">
        <v>501</v>
      </c>
      <c r="P125" s="49" t="n">
        <v>541.5</v>
      </c>
      <c r="Q125" s="49" t="n">
        <v>501</v>
      </c>
    </row>
    <row r="126">
      <c r="N126" s="49" t="n">
        <v>541.5</v>
      </c>
      <c r="O126" s="49" t="n">
        <v>501</v>
      </c>
      <c r="P126" s="49" t="n">
        <v>541.5</v>
      </c>
      <c r="Q126" s="49" t="n">
        <v>501</v>
      </c>
    </row>
    <row r="127">
      <c r="N127" s="49" t="n">
        <v>541.5</v>
      </c>
      <c r="O127" s="49" t="n">
        <v>512</v>
      </c>
      <c r="P127" s="49" t="n">
        <v>541.5</v>
      </c>
      <c r="Q127" s="49" t="n">
        <v>512</v>
      </c>
    </row>
    <row r="128">
      <c r="N128" s="49" t="n">
        <v>541.5</v>
      </c>
      <c r="O128" s="49" t="n">
        <v>512</v>
      </c>
      <c r="P128" s="49" t="n">
        <v>541.5</v>
      </c>
      <c r="Q128" s="49" t="n">
        <v>512</v>
      </c>
    </row>
    <row r="129">
      <c r="N129" s="49" t="n">
        <v>647</v>
      </c>
      <c r="O129" s="49" t="n">
        <v>512</v>
      </c>
      <c r="P129" s="49" t="n">
        <v>647</v>
      </c>
      <c r="Q129" s="49" t="n">
        <v>512</v>
      </c>
    </row>
    <row r="130">
      <c r="N130" s="49" t="n">
        <v>647</v>
      </c>
      <c r="O130" s="49" t="n">
        <v>534</v>
      </c>
      <c r="P130" s="49" t="n">
        <v>647</v>
      </c>
      <c r="Q130" s="49" t="n">
        <v>534</v>
      </c>
    </row>
    <row r="131">
      <c r="N131" s="49" t="n">
        <v>647</v>
      </c>
      <c r="O131" s="49" t="n">
        <v>669.5</v>
      </c>
      <c r="P131" s="49" t="n">
        <v>647</v>
      </c>
      <c r="Q131" s="49" t="n">
        <v>669.5</v>
      </c>
    </row>
    <row r="132">
      <c r="N132" s="49" t="n">
        <v>647</v>
      </c>
      <c r="O132" s="49" t="n">
        <v>669.5</v>
      </c>
      <c r="P132" s="49" t="n">
        <v>647</v>
      </c>
      <c r="Q132" s="49" t="n">
        <v>669.5</v>
      </c>
    </row>
    <row r="133">
      <c r="N133" s="49" t="n">
        <v>647</v>
      </c>
      <c r="O133" s="49" t="n">
        <v>692</v>
      </c>
      <c r="P133" s="49" t="n">
        <v>647</v>
      </c>
      <c r="Q133" s="49" t="n">
        <v>691</v>
      </c>
    </row>
    <row r="134">
      <c r="N134" s="49" t="n">
        <v>647</v>
      </c>
      <c r="O134" s="49" t="n">
        <v>692</v>
      </c>
      <c r="P134" s="49" t="n">
        <v>647</v>
      </c>
      <c r="Q134" s="49" t="n">
        <v>691</v>
      </c>
    </row>
    <row r="135">
      <c r="N135" s="49" t="n">
        <v>647</v>
      </c>
      <c r="O135" s="49" t="n">
        <v>692</v>
      </c>
      <c r="P135" s="49" t="n">
        <v>647</v>
      </c>
      <c r="Q135" s="49" t="n">
        <v>691</v>
      </c>
    </row>
    <row r="136">
      <c r="N136" s="49" t="n">
        <v>647</v>
      </c>
      <c r="O136" s="49" t="n">
        <v>675</v>
      </c>
      <c r="P136" s="49" t="n">
        <v>647</v>
      </c>
      <c r="Q136" s="49" t="n">
        <v>675</v>
      </c>
    </row>
    <row r="137">
      <c r="N137" s="49" t="n">
        <v>647</v>
      </c>
      <c r="O137" s="49" t="n">
        <v>672.5</v>
      </c>
      <c r="P137" s="49" t="n">
        <v>647</v>
      </c>
      <c r="Q137" s="49" t="n">
        <v>672.5</v>
      </c>
    </row>
    <row r="138">
      <c r="N138" s="49" t="n">
        <v>647</v>
      </c>
      <c r="O138" s="49" t="n">
        <v>672.5</v>
      </c>
      <c r="P138" s="49" t="n">
        <v>647</v>
      </c>
      <c r="Q138" s="49" t="n">
        <v>672.5</v>
      </c>
    </row>
    <row r="139">
      <c r="N139" s="49" t="n">
        <v>647</v>
      </c>
      <c r="O139" s="49" t="n">
        <v>665</v>
      </c>
      <c r="P139" s="49" t="n">
        <v>647</v>
      </c>
      <c r="Q139" s="49" t="n">
        <v>665</v>
      </c>
    </row>
    <row r="140">
      <c r="N140" s="49" t="n">
        <v>647</v>
      </c>
      <c r="O140" s="49" t="n">
        <v>586</v>
      </c>
      <c r="P140" s="49" t="n">
        <v>647</v>
      </c>
      <c r="Q140" s="49" t="n">
        <v>586</v>
      </c>
    </row>
    <row r="141">
      <c r="N141" s="49" t="n">
        <v>647</v>
      </c>
      <c r="O141" s="49" t="n">
        <v>641</v>
      </c>
      <c r="P141" s="49" t="n">
        <v>647</v>
      </c>
      <c r="Q141" s="49" t="n">
        <v>641</v>
      </c>
    </row>
    <row r="142">
      <c r="N142" s="49" t="n">
        <v>647</v>
      </c>
      <c r="O142" s="49" t="n">
        <v>646</v>
      </c>
      <c r="P142" s="49" t="n">
        <v>647</v>
      </c>
      <c r="Q142" s="49" t="n">
        <v>646</v>
      </c>
    </row>
    <row r="143">
      <c r="N143" s="49" t="n">
        <v>647</v>
      </c>
      <c r="O143" s="49" t="n">
        <v>646</v>
      </c>
      <c r="P143" s="49" t="n">
        <v>647</v>
      </c>
      <c r="Q143" s="49" t="n">
        <v>646</v>
      </c>
    </row>
    <row r="144">
      <c r="N144" s="49" t="n">
        <v>647</v>
      </c>
      <c r="O144" s="49" t="n">
        <v>646</v>
      </c>
      <c r="P144" s="49" t="n">
        <v>647</v>
      </c>
      <c r="Q144" s="49" t="n">
        <v>646</v>
      </c>
    </row>
    <row r="145">
      <c r="N145" s="49" t="n">
        <v>647</v>
      </c>
      <c r="O145" s="49" t="n">
        <v>631</v>
      </c>
      <c r="P145" s="49" t="n">
        <v>647</v>
      </c>
      <c r="Q145" s="49" t="n">
        <v>631</v>
      </c>
    </row>
    <row r="146">
      <c r="N146" s="49" t="n">
        <v>647</v>
      </c>
      <c r="O146" s="49" t="n">
        <v>630</v>
      </c>
      <c r="P146" s="49" t="n">
        <v>647</v>
      </c>
      <c r="Q146" s="49" t="n">
        <v>630</v>
      </c>
    </row>
    <row r="147">
      <c r="N147" s="49" t="n">
        <v>647</v>
      </c>
      <c r="O147" s="49" t="n">
        <v>624.5</v>
      </c>
      <c r="P147" s="49" t="n">
        <v>647</v>
      </c>
      <c r="Q147" s="49" t="n">
        <v>624.5</v>
      </c>
    </row>
    <row r="148">
      <c r="N148" s="49" t="n">
        <v>647</v>
      </c>
      <c r="O148" s="49" t="n">
        <v>624.5</v>
      </c>
      <c r="P148" s="49" t="n">
        <v>647</v>
      </c>
      <c r="Q148" s="49" t="n">
        <v>624.5</v>
      </c>
    </row>
    <row r="149">
      <c r="N149" s="49" t="n">
        <v>647</v>
      </c>
      <c r="O149" s="49" t="n">
        <v>596</v>
      </c>
      <c r="P149" s="49" t="n">
        <v>647</v>
      </c>
      <c r="Q149" s="49" t="n">
        <v>596</v>
      </c>
    </row>
    <row r="150">
      <c r="N150" s="49" t="n">
        <v>647</v>
      </c>
      <c r="O150" s="49" t="n">
        <v>604.5</v>
      </c>
      <c r="P150" s="49" t="n">
        <v>647</v>
      </c>
      <c r="Q150" s="49" t="n">
        <v>604.5</v>
      </c>
    </row>
    <row r="151">
      <c r="N151" s="49" t="n">
        <v>647</v>
      </c>
      <c r="O151" s="49" t="n">
        <v>604.5</v>
      </c>
      <c r="P151" s="49" t="n">
        <v>647</v>
      </c>
      <c r="Q151" s="49" t="n">
        <v>604.5</v>
      </c>
    </row>
    <row r="152">
      <c r="N152" s="49" t="n">
        <v>647</v>
      </c>
      <c r="O152" s="49" t="n">
        <v>604.5</v>
      </c>
      <c r="P152" s="49" t="n">
        <v>647</v>
      </c>
      <c r="Q152" s="49" t="n">
        <v>604.5</v>
      </c>
    </row>
    <row r="153">
      <c r="N153" s="49" t="n">
        <v>647</v>
      </c>
      <c r="O153" s="49" t="n">
        <v>604.5</v>
      </c>
      <c r="P153" s="49" t="n">
        <v>647</v>
      </c>
      <c r="Q153" s="49" t="n">
        <v>604.5</v>
      </c>
    </row>
    <row r="154">
      <c r="N154" s="49" t="n">
        <v>647</v>
      </c>
      <c r="O154" s="49" t="n">
        <v>604.5</v>
      </c>
      <c r="P154" s="49" t="n">
        <v>647</v>
      </c>
      <c r="Q154" s="49" t="n">
        <v>604.5</v>
      </c>
    </row>
    <row r="155">
      <c r="N155" s="49" t="n">
        <v>647</v>
      </c>
      <c r="O155" s="49" t="n">
        <v>604.5</v>
      </c>
      <c r="P155" s="49" t="n">
        <v>647</v>
      </c>
      <c r="Q155" s="49" t="n">
        <v>604.5</v>
      </c>
    </row>
    <row r="156">
      <c r="N156" s="49" t="n">
        <v>647</v>
      </c>
      <c r="O156" s="49" t="n">
        <v>546</v>
      </c>
      <c r="P156" s="49" t="n">
        <v>647</v>
      </c>
      <c r="Q156" s="49" t="n">
        <v>546</v>
      </c>
    </row>
    <row r="157">
      <c r="N157" s="49" t="n">
        <v>647</v>
      </c>
      <c r="O157" s="49" t="n">
        <v>547.5</v>
      </c>
      <c r="P157" s="49" t="n">
        <v>647</v>
      </c>
      <c r="Q157" s="49" t="n">
        <v>547.5</v>
      </c>
    </row>
    <row r="158">
      <c r="N158" s="49" t="n">
        <v>647</v>
      </c>
      <c r="O158" s="49" t="n">
        <v>547.5</v>
      </c>
      <c r="P158" s="49" t="n">
        <v>647</v>
      </c>
      <c r="Q158" s="49" t="n">
        <v>547.5</v>
      </c>
    </row>
    <row r="159">
      <c r="N159" s="49" t="n">
        <v>647</v>
      </c>
      <c r="O159" s="49" t="n">
        <v>528</v>
      </c>
      <c r="P159" s="49" t="n">
        <v>647</v>
      </c>
      <c r="Q159" s="49" t="n">
        <v>528</v>
      </c>
    </row>
    <row r="160">
      <c r="N160" s="49" t="n">
        <v>647</v>
      </c>
      <c r="O160" s="49" t="n">
        <v>521</v>
      </c>
      <c r="P160" s="49" t="n">
        <v>647</v>
      </c>
      <c r="Q160" s="49" t="n">
        <v>521</v>
      </c>
    </row>
    <row r="161">
      <c r="N161" s="49" t="n">
        <v>647</v>
      </c>
      <c r="O161" s="49" t="n">
        <v>518</v>
      </c>
      <c r="P161" s="49" t="n">
        <v>647</v>
      </c>
      <c r="Q161" s="49" t="n">
        <v>518</v>
      </c>
    </row>
    <row r="162">
      <c r="N162" s="49" t="n">
        <v>647</v>
      </c>
      <c r="O162" s="49" t="n">
        <v>496</v>
      </c>
      <c r="P162" s="49" t="n">
        <v>647</v>
      </c>
      <c r="Q162" s="49" t="n">
        <v>496</v>
      </c>
    </row>
    <row r="163">
      <c r="N163" s="49" t="n">
        <v>647</v>
      </c>
      <c r="O163" s="49" t="n">
        <v>503</v>
      </c>
      <c r="P163" s="49" t="n">
        <v>647</v>
      </c>
      <c r="Q163" s="49" t="n">
        <v>503</v>
      </c>
    </row>
    <row r="164">
      <c r="N164" s="49" t="n">
        <v>647</v>
      </c>
      <c r="O164" s="49" t="n">
        <v>515</v>
      </c>
      <c r="P164" s="49" t="n">
        <v>647</v>
      </c>
      <c r="Q164" s="49" t="n">
        <v>515</v>
      </c>
    </row>
    <row r="165">
      <c r="N165" s="49" t="n">
        <v>647</v>
      </c>
      <c r="O165" s="49" t="n">
        <v>533</v>
      </c>
      <c r="P165" s="49" t="n">
        <v>647</v>
      </c>
      <c r="Q165" s="49" t="n">
        <v>533</v>
      </c>
    </row>
    <row r="166">
      <c r="N166" s="49" t="n">
        <v>647</v>
      </c>
      <c r="O166" s="49" t="n">
        <v>578</v>
      </c>
      <c r="P166" s="49" t="n">
        <v>647</v>
      </c>
      <c r="Q166" s="49" t="n">
        <v>578</v>
      </c>
    </row>
    <row r="167">
      <c r="N167" s="49" t="n">
        <v>647</v>
      </c>
      <c r="O167" s="49" t="n">
        <v>583</v>
      </c>
      <c r="P167" s="49" t="n">
        <v>647</v>
      </c>
      <c r="Q167" s="49" t="n">
        <v>583</v>
      </c>
    </row>
    <row r="168">
      <c r="N168" s="49" t="n">
        <v>647</v>
      </c>
      <c r="O168" s="49" t="n">
        <v>583</v>
      </c>
      <c r="P168" s="49" t="n">
        <v>647</v>
      </c>
      <c r="Q168" s="49" t="n">
        <v>583</v>
      </c>
    </row>
    <row r="169">
      <c r="N169" s="49" t="n">
        <v>647</v>
      </c>
      <c r="O169" s="49" t="n">
        <v>581</v>
      </c>
      <c r="P169" s="49" t="n">
        <v>647</v>
      </c>
      <c r="Q169" s="49" t="n">
        <v>581</v>
      </c>
    </row>
    <row r="170">
      <c r="N170" s="49" t="n">
        <v>647</v>
      </c>
      <c r="O170" s="49" t="n">
        <v>628</v>
      </c>
      <c r="P170" s="49" t="n">
        <v>647</v>
      </c>
      <c r="Q170" s="49" t="n">
        <v>628</v>
      </c>
    </row>
    <row r="171">
      <c r="N171" s="49" t="n">
        <v>647</v>
      </c>
      <c r="O171" s="49" t="n">
        <v>653</v>
      </c>
      <c r="P171" s="49" t="n">
        <v>647</v>
      </c>
      <c r="Q171" s="49" t="n">
        <v>653</v>
      </c>
    </row>
    <row r="172">
      <c r="N172" s="49" t="n">
        <v>647</v>
      </c>
      <c r="O172" s="49" t="n">
        <v>653</v>
      </c>
      <c r="P172" s="49" t="n">
        <v>647</v>
      </c>
      <c r="Q172" s="49" t="n">
        <v>653</v>
      </c>
    </row>
    <row r="173">
      <c r="N173" s="49" t="n">
        <v>647</v>
      </c>
      <c r="O173" s="49" t="n">
        <v>650</v>
      </c>
      <c r="P173" s="49" t="n">
        <v>647</v>
      </c>
      <c r="Q173" s="49" t="n">
        <v>650</v>
      </c>
    </row>
    <row r="174">
      <c r="N174" s="49" t="n">
        <v>647</v>
      </c>
      <c r="O174" s="49" t="n">
        <v>684.5</v>
      </c>
      <c r="P174" s="49" t="n">
        <v>647</v>
      </c>
      <c r="Q174" s="49" t="n">
        <v>684.5</v>
      </c>
    </row>
    <row r="175">
      <c r="N175" s="49" t="n">
        <v>647</v>
      </c>
      <c r="O175" s="49" t="n">
        <v>684.5</v>
      </c>
      <c r="P175" s="49" t="n">
        <v>647</v>
      </c>
      <c r="Q175" s="49" t="n">
        <v>684.5</v>
      </c>
    </row>
    <row r="176">
      <c r="N176" s="49" t="n">
        <v>647</v>
      </c>
      <c r="O176" s="49" t="n">
        <v>660</v>
      </c>
      <c r="P176" s="49" t="n">
        <v>647</v>
      </c>
      <c r="Q176" s="49" t="n">
        <v>660</v>
      </c>
    </row>
    <row r="177">
      <c r="N177" s="49" t="n">
        <v>647</v>
      </c>
      <c r="O177" s="49" t="n">
        <v>575</v>
      </c>
      <c r="P177" s="49" t="n">
        <v>647</v>
      </c>
      <c r="Q177" s="49" t="n">
        <v>575</v>
      </c>
    </row>
    <row r="178">
      <c r="N178" s="49" t="n">
        <v>647</v>
      </c>
      <c r="O178" s="49" t="n">
        <v>609</v>
      </c>
      <c r="P178" s="49" t="n">
        <v>647</v>
      </c>
      <c r="Q178" s="49" t="n">
        <v>609</v>
      </c>
    </row>
    <row r="179">
      <c r="N179" s="49" t="n">
        <v>647</v>
      </c>
      <c r="O179" s="49" t="n">
        <v>609</v>
      </c>
      <c r="P179" s="49" t="n">
        <v>647</v>
      </c>
      <c r="Q179" s="49" t="n">
        <v>609</v>
      </c>
    </row>
    <row r="180">
      <c r="N180" s="49" t="n">
        <v>647</v>
      </c>
      <c r="O180" s="49" t="n">
        <v>640</v>
      </c>
      <c r="P180" s="49" t="n">
        <v>647</v>
      </c>
      <c r="Q180" s="49" t="n">
        <v>640</v>
      </c>
    </row>
    <row r="181">
      <c r="N181" s="49" t="n">
        <v>647</v>
      </c>
      <c r="O181" s="49" t="n">
        <v>637</v>
      </c>
      <c r="P181" s="49" t="n">
        <v>647</v>
      </c>
      <c r="Q181" s="49" t="n">
        <v>637</v>
      </c>
    </row>
    <row r="182">
      <c r="N182" s="49" t="n">
        <v>647</v>
      </c>
      <c r="O182" s="49" t="n">
        <v>663</v>
      </c>
      <c r="P182" s="49" t="n">
        <v>647</v>
      </c>
      <c r="Q182" s="49" t="n">
        <v>663</v>
      </c>
    </row>
    <row r="183">
      <c r="N183" s="49" t="n">
        <v>647</v>
      </c>
      <c r="O183" s="49" t="n">
        <v>663</v>
      </c>
      <c r="P183" s="49" t="n">
        <v>647</v>
      </c>
      <c r="Q183" s="49" t="n">
        <v>663</v>
      </c>
    </row>
    <row r="184">
      <c r="N184" s="49" t="n">
        <v>647</v>
      </c>
      <c r="O184" s="49" t="n">
        <v>663</v>
      </c>
      <c r="P184" s="49" t="n">
        <v>647</v>
      </c>
      <c r="Q184" s="49" t="n">
        <v>663</v>
      </c>
    </row>
    <row r="185">
      <c r="N185" s="49" t="n">
        <v>647</v>
      </c>
      <c r="O185" s="49" t="n">
        <v>656</v>
      </c>
      <c r="P185" s="49" t="n">
        <v>647</v>
      </c>
      <c r="Q185" s="49" t="n">
        <v>656</v>
      </c>
    </row>
    <row r="186">
      <c r="N186" s="49" t="n">
        <v>647</v>
      </c>
      <c r="O186" s="49" t="n">
        <v>636</v>
      </c>
      <c r="P186" s="49" t="n">
        <v>647</v>
      </c>
      <c r="Q186" s="49" t="n">
        <v>636</v>
      </c>
    </row>
    <row r="187">
      <c r="N187" s="49" t="n">
        <v>647</v>
      </c>
      <c r="O187" s="49" t="n">
        <v>585</v>
      </c>
      <c r="P187" s="49" t="n">
        <v>647</v>
      </c>
      <c r="Q187" s="49" t="n">
        <v>585</v>
      </c>
    </row>
    <row r="188">
      <c r="N188" s="49" t="n">
        <v>647</v>
      </c>
      <c r="O188" s="49" t="n">
        <v>644</v>
      </c>
      <c r="P188" s="49" t="n">
        <v>647</v>
      </c>
      <c r="Q188" s="49" t="n">
        <v>644</v>
      </c>
    </row>
    <row r="189">
      <c r="N189" s="49" t="n">
        <v>647</v>
      </c>
      <c r="O189" s="49" t="n">
        <v>659</v>
      </c>
      <c r="P189" s="49" t="n">
        <v>647</v>
      </c>
      <c r="Q189" s="49" t="n">
        <v>659</v>
      </c>
    </row>
    <row r="190">
      <c r="N190" s="49" t="n">
        <v>647</v>
      </c>
      <c r="O190" s="49" t="n">
        <v>653</v>
      </c>
      <c r="P190" s="49" t="n">
        <v>647</v>
      </c>
      <c r="Q190" s="49" t="n">
        <v>653</v>
      </c>
    </row>
    <row r="191">
      <c r="N191" s="49" t="n">
        <v>647</v>
      </c>
      <c r="O191" s="49" t="n">
        <v>651</v>
      </c>
      <c r="P191" s="49" t="n">
        <v>647</v>
      </c>
      <c r="Q191" s="49" t="n">
        <v>651</v>
      </c>
    </row>
    <row r="192">
      <c r="N192" s="49" t="n">
        <v>647</v>
      </c>
      <c r="O192" s="49" t="n">
        <v>682.5</v>
      </c>
      <c r="P192" s="49" t="n">
        <v>647</v>
      </c>
      <c r="Q192" s="49" t="n">
        <v>682.5</v>
      </c>
    </row>
    <row r="193">
      <c r="N193" s="49" t="n">
        <v>647</v>
      </c>
      <c r="O193" s="49" t="n">
        <v>682.5</v>
      </c>
      <c r="P193" s="49" t="n">
        <v>647</v>
      </c>
      <c r="Q193" s="49" t="n">
        <v>682.5</v>
      </c>
    </row>
    <row r="194">
      <c r="N194" s="49" t="n">
        <v>705</v>
      </c>
      <c r="O194" s="49" t="n">
        <v>694</v>
      </c>
      <c r="P194" s="49" t="n">
        <v>705</v>
      </c>
      <c r="Q194" s="49" t="n">
        <v>693</v>
      </c>
    </row>
    <row r="195">
      <c r="N195" s="49" t="n">
        <v>705</v>
      </c>
      <c r="O195" s="49" t="n">
        <v>698.5</v>
      </c>
      <c r="P195" s="49" t="n">
        <v>705</v>
      </c>
      <c r="Q195" s="49" t="n">
        <v>697.5</v>
      </c>
    </row>
    <row r="196">
      <c r="N196" s="49" t="n">
        <v>705</v>
      </c>
      <c r="O196" s="49" t="n">
        <v>704</v>
      </c>
      <c r="P196" s="49" t="n">
        <v>705</v>
      </c>
      <c r="Q196" s="49" t="n">
        <v>703</v>
      </c>
    </row>
    <row r="197">
      <c r="N197" s="49" t="n">
        <v>705</v>
      </c>
      <c r="O197" s="49" t="n">
        <v>710</v>
      </c>
      <c r="P197" s="49" t="n">
        <v>705</v>
      </c>
      <c r="Q197" s="49" t="n">
        <v>709</v>
      </c>
    </row>
    <row r="198">
      <c r="N198" s="49" t="n">
        <v>705</v>
      </c>
      <c r="O198" s="49" t="n">
        <v>722</v>
      </c>
      <c r="P198" s="49" t="n">
        <v>705</v>
      </c>
      <c r="Q198" s="49" t="n">
        <v>721</v>
      </c>
    </row>
    <row r="199">
      <c r="N199" s="49" t="n">
        <v>705</v>
      </c>
      <c r="O199" s="49" t="n">
        <v>719.5</v>
      </c>
      <c r="P199" s="49" t="n">
        <v>705</v>
      </c>
      <c r="Q199" s="49" t="n">
        <v>718.5</v>
      </c>
    </row>
    <row r="200">
      <c r="N200" s="49" t="n">
        <v>705</v>
      </c>
      <c r="O200" s="49" t="n">
        <v>719.5</v>
      </c>
      <c r="P200" s="49" t="n">
        <v>705</v>
      </c>
      <c r="Q200" s="49" t="n">
        <v>718.5</v>
      </c>
    </row>
    <row r="201">
      <c r="N201" s="49" t="n">
        <v>705</v>
      </c>
      <c r="O201" s="49" t="n">
        <v>707</v>
      </c>
      <c r="P201" s="49" t="n">
        <v>705</v>
      </c>
      <c r="Q201" s="49" t="n">
        <v>706</v>
      </c>
    </row>
    <row r="202">
      <c r="N202" s="49" t="n">
        <v>705</v>
      </c>
      <c r="O202" s="49" t="n">
        <v>666</v>
      </c>
      <c r="P202" s="49" t="n">
        <v>705</v>
      </c>
      <c r="Q202" s="49" t="n">
        <v>666</v>
      </c>
    </row>
    <row r="203">
      <c r="N203" s="49" t="n">
        <v>705</v>
      </c>
      <c r="O203" s="49" t="n">
        <v>649</v>
      </c>
      <c r="P203" s="49" t="n">
        <v>705</v>
      </c>
      <c r="Q203" s="49" t="n">
        <v>649</v>
      </c>
    </row>
    <row r="204">
      <c r="N204" s="49" t="n">
        <v>705</v>
      </c>
      <c r="O204" s="49" t="n">
        <v>655</v>
      </c>
      <c r="P204" s="49" t="n">
        <v>705</v>
      </c>
      <c r="Q204" s="49" t="n">
        <v>655</v>
      </c>
    </row>
    <row r="205">
      <c r="N205" s="49" t="n">
        <v>705</v>
      </c>
      <c r="O205" s="49" t="n">
        <v>657</v>
      </c>
      <c r="P205" s="49" t="n">
        <v>705</v>
      </c>
      <c r="Q205" s="49" t="n">
        <v>657</v>
      </c>
    </row>
    <row r="206">
      <c r="N206" s="49" t="n">
        <v>723.5</v>
      </c>
      <c r="O206" s="49" t="n">
        <v>628</v>
      </c>
      <c r="P206" s="49" t="n">
        <v>723.5</v>
      </c>
      <c r="Q206" s="49" t="n">
        <v>628</v>
      </c>
    </row>
    <row r="207">
      <c r="N207" s="49" t="n">
        <v>723.5</v>
      </c>
      <c r="O207" s="49" t="n">
        <v>628</v>
      </c>
      <c r="P207" s="49" t="n">
        <v>723.5</v>
      </c>
      <c r="Q207" s="49" t="n">
        <v>628</v>
      </c>
    </row>
    <row r="208">
      <c r="N208" s="49" t="n">
        <v>723.5</v>
      </c>
      <c r="O208" s="49" t="n">
        <v>593</v>
      </c>
      <c r="P208" s="49" t="n">
        <v>723.5</v>
      </c>
      <c r="Q208" s="49" t="n">
        <v>593</v>
      </c>
    </row>
    <row r="209">
      <c r="N209" s="49" t="n">
        <v>723.5</v>
      </c>
      <c r="O209" s="49" t="n">
        <v>601</v>
      </c>
      <c r="P209" s="49" t="n">
        <v>723.5</v>
      </c>
      <c r="Q209" s="49" t="n">
        <v>601</v>
      </c>
    </row>
    <row r="210">
      <c r="N210" s="49" t="n">
        <v>723.5</v>
      </c>
      <c r="O210" s="49" t="n">
        <v>593</v>
      </c>
      <c r="P210" s="49" t="n">
        <v>723.5</v>
      </c>
      <c r="Q210" s="49" t="n">
        <v>593</v>
      </c>
    </row>
    <row r="211">
      <c r="N211" s="49" t="n">
        <v>723.5</v>
      </c>
      <c r="O211" s="49" t="n">
        <v>569</v>
      </c>
      <c r="P211" s="49" t="n">
        <v>723.5</v>
      </c>
      <c r="Q211" s="49" t="n">
        <v>569</v>
      </c>
    </row>
    <row r="212">
      <c r="N212" s="49" t="n">
        <v>723.5</v>
      </c>
      <c r="O212" s="49" t="n">
        <v>555.5</v>
      </c>
      <c r="P212" s="49" t="n">
        <v>723.5</v>
      </c>
      <c r="Q212" s="49" t="n">
        <v>555.5</v>
      </c>
    </row>
    <row r="213">
      <c r="N213" s="49" t="n">
        <v>723.5</v>
      </c>
      <c r="O213" s="49" t="n">
        <v>555.5</v>
      </c>
      <c r="P213" s="49" t="n">
        <v>723.5</v>
      </c>
      <c r="Q213" s="49" t="n">
        <v>555.5</v>
      </c>
    </row>
    <row r="214">
      <c r="N214" s="49" t="n">
        <v>723.5</v>
      </c>
      <c r="O214" s="49" t="n">
        <v>510</v>
      </c>
      <c r="P214" s="49" t="n">
        <v>723.5</v>
      </c>
      <c r="Q214" s="49" t="n">
        <v>510</v>
      </c>
    </row>
    <row r="215">
      <c r="N215" s="49" t="n">
        <v>723.5</v>
      </c>
      <c r="O215" s="49" t="n">
        <v>520</v>
      </c>
      <c r="P215" s="49" t="n">
        <v>723.5</v>
      </c>
      <c r="Q215" s="49" t="n">
        <v>520</v>
      </c>
    </row>
    <row r="216">
      <c r="N216" s="49" t="n">
        <v>723.5</v>
      </c>
      <c r="O216" s="49" t="n">
        <v>522.5</v>
      </c>
      <c r="P216" s="49" t="n">
        <v>723.5</v>
      </c>
      <c r="Q216" s="49" t="n">
        <v>522.5</v>
      </c>
    </row>
    <row r="217">
      <c r="N217" s="49" t="n">
        <v>723.5</v>
      </c>
      <c r="O217" s="49" t="n">
        <v>522.5</v>
      </c>
      <c r="P217" s="49" t="n">
        <v>723.5</v>
      </c>
      <c r="Q217" s="49" t="n">
        <v>522.5</v>
      </c>
    </row>
    <row r="218">
      <c r="N218" s="49" t="n">
        <v>518</v>
      </c>
      <c r="O218" s="49" t="n">
        <v>491</v>
      </c>
      <c r="P218" s="49" t="n">
        <v>518</v>
      </c>
      <c r="Q218" s="49" t="n">
        <v>491</v>
      </c>
    </row>
    <row r="219">
      <c r="N219" s="49" t="n">
        <v>518</v>
      </c>
      <c r="O219" s="49" t="n">
        <v>509</v>
      </c>
      <c r="P219" s="49" t="n">
        <v>518</v>
      </c>
      <c r="Q219" s="49" t="n">
        <v>509</v>
      </c>
    </row>
    <row r="220">
      <c r="N220" s="49" t="n">
        <v>518</v>
      </c>
      <c r="O220" s="49" t="n">
        <v>506</v>
      </c>
      <c r="P220" s="49" t="n">
        <v>518</v>
      </c>
      <c r="Q220" s="49" t="n">
        <v>506</v>
      </c>
    </row>
    <row r="221">
      <c r="N221" s="49" t="n">
        <v>518</v>
      </c>
      <c r="O221" s="49" t="n">
        <v>472</v>
      </c>
      <c r="P221" s="49" t="n">
        <v>518</v>
      </c>
      <c r="Q221" s="49" t="n">
        <v>472</v>
      </c>
    </row>
    <row r="222">
      <c r="N222" s="49" t="n">
        <v>518</v>
      </c>
      <c r="O222" s="49" t="n">
        <v>456</v>
      </c>
      <c r="P222" s="49" t="n">
        <v>518</v>
      </c>
      <c r="Q222" s="49" t="n">
        <v>456</v>
      </c>
    </row>
    <row r="223">
      <c r="N223" s="49" t="n">
        <v>518</v>
      </c>
      <c r="O223" s="49" t="n">
        <v>453</v>
      </c>
      <c r="P223" s="49" t="n">
        <v>518</v>
      </c>
      <c r="Q223" s="49" t="n">
        <v>453</v>
      </c>
    </row>
    <row r="224">
      <c r="N224" s="49" t="n">
        <v>518</v>
      </c>
      <c r="O224" s="49" t="n">
        <v>451.5</v>
      </c>
      <c r="P224" s="49" t="n">
        <v>518</v>
      </c>
      <c r="Q224" s="49" t="n">
        <v>451.5</v>
      </c>
    </row>
    <row r="225">
      <c r="N225" s="49" t="n">
        <v>518</v>
      </c>
      <c r="O225" s="49" t="n">
        <v>451.5</v>
      </c>
      <c r="P225" s="49" t="n">
        <v>518</v>
      </c>
      <c r="Q225" s="49" t="n">
        <v>451.5</v>
      </c>
    </row>
    <row r="226">
      <c r="N226" s="49" t="n">
        <v>518</v>
      </c>
      <c r="O226" s="49" t="n">
        <v>449</v>
      </c>
      <c r="P226" s="49" t="n">
        <v>518</v>
      </c>
      <c r="Q226" s="49" t="n">
        <v>449</v>
      </c>
    </row>
    <row r="227">
      <c r="N227" s="49" t="n">
        <v>518</v>
      </c>
      <c r="O227" s="49" t="n">
        <v>450</v>
      </c>
      <c r="P227" s="49" t="n">
        <v>518</v>
      </c>
      <c r="Q227" s="49" t="n">
        <v>450</v>
      </c>
    </row>
    <row r="228">
      <c r="N228" s="49" t="n">
        <v>518</v>
      </c>
      <c r="O228" s="49" t="n">
        <v>448</v>
      </c>
      <c r="P228" s="49" t="n">
        <v>518</v>
      </c>
      <c r="Q228" s="49" t="n">
        <v>448</v>
      </c>
    </row>
    <row r="229">
      <c r="N229" s="49" t="n">
        <v>518</v>
      </c>
      <c r="O229" s="49" t="n">
        <v>446</v>
      </c>
      <c r="P229" s="49" t="n">
        <v>518</v>
      </c>
      <c r="Q229" s="49" t="n">
        <v>446</v>
      </c>
    </row>
    <row r="230">
      <c r="N230" s="49" t="n">
        <v>518</v>
      </c>
      <c r="O230" s="49" t="n">
        <v>447</v>
      </c>
      <c r="P230" s="49" t="n">
        <v>518</v>
      </c>
      <c r="Q230" s="49" t="n">
        <v>447</v>
      </c>
    </row>
    <row r="231">
      <c r="N231" s="49" t="n">
        <v>470</v>
      </c>
      <c r="O231" s="49" t="n">
        <v>444</v>
      </c>
      <c r="P231" s="49" t="n">
        <v>470</v>
      </c>
      <c r="Q231" s="49" t="n">
        <v>444</v>
      </c>
    </row>
    <row r="232">
      <c r="N232" s="49" t="n">
        <v>470</v>
      </c>
      <c r="O232" s="49" t="n">
        <v>435</v>
      </c>
      <c r="P232" s="49" t="n">
        <v>470</v>
      </c>
      <c r="Q232" s="49" t="n">
        <v>435</v>
      </c>
    </row>
    <row r="233">
      <c r="N233" s="49" t="n">
        <v>470</v>
      </c>
      <c r="O233" s="49" t="n">
        <v>442</v>
      </c>
      <c r="P233" s="49" t="n">
        <v>470</v>
      </c>
      <c r="Q233" s="49" t="n">
        <v>442</v>
      </c>
    </row>
    <row r="234">
      <c r="N234" s="49" t="n">
        <v>470</v>
      </c>
      <c r="O234" s="49" t="n">
        <v>434</v>
      </c>
      <c r="P234" s="49" t="n">
        <v>470</v>
      </c>
      <c r="Q234" s="49" t="n">
        <v>434</v>
      </c>
    </row>
    <row r="235">
      <c r="N235" s="49" t="n">
        <v>470</v>
      </c>
      <c r="O235" s="49" t="n">
        <v>432</v>
      </c>
      <c r="P235" s="49" t="n">
        <v>470</v>
      </c>
      <c r="Q235" s="49" t="n">
        <v>432</v>
      </c>
    </row>
    <row r="236">
      <c r="N236" s="49" t="n">
        <v>470</v>
      </c>
      <c r="O236" s="49" t="n">
        <v>440</v>
      </c>
      <c r="P236" s="49" t="n">
        <v>470</v>
      </c>
      <c r="Q236" s="49" t="n">
        <v>440</v>
      </c>
    </row>
    <row r="237">
      <c r="N237" s="49" t="n">
        <v>470</v>
      </c>
      <c r="O237" s="49" t="n">
        <v>443</v>
      </c>
      <c r="P237" s="49" t="n">
        <v>470</v>
      </c>
      <c r="Q237" s="49" t="n">
        <v>443</v>
      </c>
    </row>
    <row r="238">
      <c r="N238" s="49" t="n">
        <v>470</v>
      </c>
      <c r="O238" s="49" t="n">
        <v>438</v>
      </c>
      <c r="P238" s="49" t="n">
        <v>470</v>
      </c>
      <c r="Q238" s="49" t="n">
        <v>438</v>
      </c>
    </row>
    <row r="239">
      <c r="N239" s="49" t="n">
        <v>470</v>
      </c>
      <c r="O239" s="49" t="n">
        <v>438</v>
      </c>
      <c r="P239" s="49" t="n">
        <v>470</v>
      </c>
      <c r="Q239" s="49" t="n">
        <v>438</v>
      </c>
    </row>
    <row r="240">
      <c r="N240" s="49" t="n">
        <v>448</v>
      </c>
      <c r="O240" s="49" t="n">
        <v>438</v>
      </c>
      <c r="P240" s="49" t="n">
        <v>448</v>
      </c>
      <c r="Q240" s="49" t="n">
        <v>438</v>
      </c>
    </row>
    <row r="241">
      <c r="N241" s="49" t="n">
        <v>448</v>
      </c>
      <c r="O241" s="49" t="n">
        <v>415</v>
      </c>
      <c r="P241" s="49" t="n">
        <v>448</v>
      </c>
      <c r="Q241" s="49" t="n">
        <v>415</v>
      </c>
    </row>
    <row r="242">
      <c r="N242" s="49" t="n">
        <v>448</v>
      </c>
      <c r="O242" s="49" t="n">
        <v>393</v>
      </c>
      <c r="P242" s="49" t="n">
        <v>448</v>
      </c>
      <c r="Q242" s="49" t="n">
        <v>393</v>
      </c>
    </row>
    <row r="243">
      <c r="N243" s="49" t="n">
        <v>448</v>
      </c>
      <c r="O243" s="49" t="n">
        <v>369</v>
      </c>
      <c r="P243" s="49" t="n">
        <v>448</v>
      </c>
      <c r="Q243" s="49" t="n">
        <v>369</v>
      </c>
    </row>
    <row r="244">
      <c r="N244" s="49" t="n">
        <v>448</v>
      </c>
      <c r="O244" s="49" t="n">
        <v>332</v>
      </c>
      <c r="P244" s="49" t="n">
        <v>448</v>
      </c>
      <c r="Q244" s="49" t="n">
        <v>332</v>
      </c>
    </row>
    <row r="245">
      <c r="N245" s="49" t="n">
        <v>424.5</v>
      </c>
      <c r="O245" s="49" t="n">
        <v>328</v>
      </c>
      <c r="P245" s="49" t="n">
        <v>424.5</v>
      </c>
      <c r="Q245" s="49" t="n">
        <v>328</v>
      </c>
    </row>
    <row r="246">
      <c r="N246" s="49" t="n">
        <v>424.5</v>
      </c>
      <c r="O246" s="49" t="n">
        <v>263</v>
      </c>
      <c r="P246" s="49" t="n">
        <v>424.5</v>
      </c>
      <c r="Q246" s="49" t="n">
        <v>263</v>
      </c>
    </row>
    <row r="247">
      <c r="N247" s="49" t="n">
        <v>424.5</v>
      </c>
      <c r="O247" s="49" t="n">
        <v>148</v>
      </c>
      <c r="P247" s="49" t="n">
        <v>424.5</v>
      </c>
      <c r="Q247" s="49" t="n">
        <v>148</v>
      </c>
    </row>
    <row r="248">
      <c r="N248" s="49" t="n">
        <v>424.5</v>
      </c>
      <c r="O248" s="49" t="n">
        <v>140</v>
      </c>
      <c r="P248" s="49" t="n">
        <v>424.5</v>
      </c>
      <c r="Q248" s="49" t="n">
        <v>140</v>
      </c>
    </row>
    <row r="249">
      <c r="N249" s="49" t="n">
        <v>424.5</v>
      </c>
      <c r="O249" s="49" t="n">
        <v>168</v>
      </c>
      <c r="P249" s="49" t="n">
        <v>424.5</v>
      </c>
      <c r="Q249" s="49" t="n">
        <v>168</v>
      </c>
    </row>
    <row r="250">
      <c r="N250" s="49" t="n">
        <v>424.5</v>
      </c>
      <c r="O250" s="49" t="n">
        <v>177.5</v>
      </c>
      <c r="P250" s="49" t="n">
        <v>424.5</v>
      </c>
      <c r="Q250" s="49" t="n">
        <v>177.5</v>
      </c>
    </row>
    <row r="251">
      <c r="N251" s="49" t="n">
        <v>424.5</v>
      </c>
      <c r="O251" s="49" t="n">
        <v>177.5</v>
      </c>
      <c r="P251" s="49" t="n">
        <v>424.5</v>
      </c>
      <c r="Q251" s="49" t="n">
        <v>177.5</v>
      </c>
    </row>
    <row r="252">
      <c r="N252" s="49" t="n">
        <v>424.5</v>
      </c>
      <c r="O252" s="49" t="n">
        <v>177.5</v>
      </c>
      <c r="P252" s="49" t="n">
        <v>424.5</v>
      </c>
      <c r="Q252" s="49" t="n">
        <v>177.5</v>
      </c>
    </row>
    <row r="253">
      <c r="N253" s="49" t="n">
        <v>424.5</v>
      </c>
      <c r="O253" s="49" t="n">
        <v>177.5</v>
      </c>
      <c r="P253" s="49" t="n">
        <v>424.5</v>
      </c>
      <c r="Q253" s="49" t="n">
        <v>177.5</v>
      </c>
    </row>
    <row r="254">
      <c r="N254" s="49" t="n">
        <v>424.5</v>
      </c>
      <c r="O254" s="49" t="n">
        <v>186.5</v>
      </c>
      <c r="P254" s="49" t="n">
        <v>424.5</v>
      </c>
      <c r="Q254" s="49" t="n">
        <v>186.5</v>
      </c>
    </row>
    <row r="255">
      <c r="N255" s="49" t="n">
        <v>424.5</v>
      </c>
      <c r="O255" s="49" t="n">
        <v>186.5</v>
      </c>
      <c r="P255" s="49" t="n">
        <v>424.5</v>
      </c>
      <c r="Q255" s="49" t="n">
        <v>186.5</v>
      </c>
    </row>
    <row r="256">
      <c r="N256" s="49" t="n">
        <v>424.5</v>
      </c>
      <c r="O256" s="49" t="n">
        <v>166.5</v>
      </c>
      <c r="P256" s="49" t="n">
        <v>424.5</v>
      </c>
      <c r="Q256" s="49" t="n">
        <v>166.5</v>
      </c>
    </row>
    <row r="257">
      <c r="N257" s="49" t="n">
        <v>328.5</v>
      </c>
      <c r="O257" s="49" t="n">
        <v>166.5</v>
      </c>
      <c r="P257" s="49" t="n">
        <v>328.5</v>
      </c>
      <c r="Q257" s="49" t="n">
        <v>166.5</v>
      </c>
    </row>
    <row r="258">
      <c r="N258" s="49" t="n">
        <v>328.5</v>
      </c>
      <c r="O258" s="49" t="n">
        <v>236</v>
      </c>
      <c r="P258" s="49" t="n">
        <v>328.5</v>
      </c>
      <c r="Q258" s="49" t="n">
        <v>236</v>
      </c>
    </row>
    <row r="259">
      <c r="N259" s="49" t="n">
        <v>328.5</v>
      </c>
      <c r="O259" s="49" t="n">
        <v>234</v>
      </c>
      <c r="P259" s="49" t="n">
        <v>328.5</v>
      </c>
      <c r="Q259" s="49" t="n">
        <v>234</v>
      </c>
    </row>
    <row r="260">
      <c r="N260" s="49" t="n">
        <v>328.5</v>
      </c>
      <c r="O260" s="49" t="n">
        <v>248</v>
      </c>
      <c r="P260" s="49" t="n">
        <v>328.5</v>
      </c>
      <c r="Q260" s="49" t="n">
        <v>248</v>
      </c>
    </row>
    <row r="261">
      <c r="N261" s="49" t="n">
        <v>328.5</v>
      </c>
      <c r="O261" s="49" t="n">
        <v>287.5</v>
      </c>
      <c r="P261" s="49" t="n">
        <v>328.5</v>
      </c>
      <c r="Q261" s="49" t="n">
        <v>287.5</v>
      </c>
    </row>
    <row r="262">
      <c r="N262" s="49" t="n">
        <v>328.5</v>
      </c>
      <c r="O262" s="49" t="n">
        <v>287.5</v>
      </c>
      <c r="P262" s="49" t="n">
        <v>328.5</v>
      </c>
      <c r="Q262" s="49" t="n">
        <v>287.5</v>
      </c>
    </row>
    <row r="263">
      <c r="N263" s="49" t="n">
        <v>328.5</v>
      </c>
      <c r="O263" s="49" t="n">
        <v>287.5</v>
      </c>
      <c r="P263" s="49" t="n">
        <v>328.5</v>
      </c>
      <c r="Q263" s="49" t="n">
        <v>287.5</v>
      </c>
    </row>
    <row r="264">
      <c r="N264" s="49" t="n">
        <v>328.5</v>
      </c>
      <c r="O264" s="49" t="n">
        <v>287.5</v>
      </c>
      <c r="P264" s="49" t="n">
        <v>328.5</v>
      </c>
      <c r="Q264" s="49" t="n">
        <v>287.5</v>
      </c>
    </row>
    <row r="265">
      <c r="N265" s="49" t="n">
        <v>328.5</v>
      </c>
      <c r="O265" s="49" t="n">
        <v>287.5</v>
      </c>
      <c r="P265" s="49" t="n">
        <v>328.5</v>
      </c>
      <c r="Q265" s="49" t="n">
        <v>287.5</v>
      </c>
    </row>
    <row r="266">
      <c r="N266" s="49" t="n">
        <v>328.5</v>
      </c>
      <c r="O266" s="49" t="n">
        <v>287.5</v>
      </c>
      <c r="P266" s="49" t="n">
        <v>328.5</v>
      </c>
      <c r="Q266" s="49" t="n">
        <v>287.5</v>
      </c>
    </row>
    <row r="267">
      <c r="N267" s="49" t="n">
        <v>323</v>
      </c>
      <c r="O267" s="49" t="n">
        <v>423</v>
      </c>
      <c r="P267" s="49" t="n">
        <v>323</v>
      </c>
      <c r="Q267" s="49" t="n">
        <v>423</v>
      </c>
    </row>
    <row r="268">
      <c r="N268" s="49" t="n">
        <v>218.5</v>
      </c>
      <c r="O268" s="49" t="n">
        <v>414</v>
      </c>
      <c r="P268" s="49" t="n">
        <v>218.5</v>
      </c>
      <c r="Q268" s="49" t="n">
        <v>414</v>
      </c>
    </row>
    <row r="269">
      <c r="N269" s="49" t="n">
        <v>218.5</v>
      </c>
      <c r="O269" s="49" t="n">
        <v>410.5</v>
      </c>
      <c r="P269" s="49" t="n">
        <v>218.5</v>
      </c>
      <c r="Q269" s="49" t="n">
        <v>410.5</v>
      </c>
    </row>
    <row r="270">
      <c r="N270" s="49" t="n">
        <v>218.5</v>
      </c>
      <c r="O270" s="49" t="n">
        <v>410.5</v>
      </c>
      <c r="P270" s="49" t="n">
        <v>218.5</v>
      </c>
      <c r="Q270" s="49" t="n">
        <v>410.5</v>
      </c>
    </row>
    <row r="271">
      <c r="N271" s="49" t="n">
        <v>218.5</v>
      </c>
      <c r="O271" s="49" t="n">
        <v>412</v>
      </c>
      <c r="P271" s="49" t="n">
        <v>218.5</v>
      </c>
      <c r="Q271" s="49" t="n">
        <v>412</v>
      </c>
    </row>
    <row r="272">
      <c r="N272" s="49" t="n">
        <v>218.5</v>
      </c>
      <c r="O272" s="49" t="n">
        <v>353</v>
      </c>
      <c r="P272" s="49" t="n">
        <v>218.5</v>
      </c>
      <c r="Q272" s="49" t="n">
        <v>353</v>
      </c>
    </row>
    <row r="273">
      <c r="N273" s="49" t="n">
        <v>218.5</v>
      </c>
      <c r="O273" s="49" t="n">
        <v>326</v>
      </c>
      <c r="P273" s="49" t="n">
        <v>218.5</v>
      </c>
      <c r="Q273" s="49" t="n">
        <v>326</v>
      </c>
    </row>
    <row r="274">
      <c r="N274" s="49" t="n">
        <v>218.5</v>
      </c>
      <c r="O274" s="49" t="n">
        <v>247</v>
      </c>
      <c r="P274" s="49" t="n">
        <v>218.5</v>
      </c>
      <c r="Q274" s="49" t="n">
        <v>247</v>
      </c>
    </row>
    <row r="275">
      <c r="N275" s="49" t="n">
        <v>384</v>
      </c>
      <c r="O275" s="49" t="n">
        <v>269</v>
      </c>
      <c r="P275" s="49" t="n">
        <v>384</v>
      </c>
      <c r="Q275" s="49" t="n">
        <v>269</v>
      </c>
    </row>
    <row r="276">
      <c r="N276" s="49" t="n">
        <v>384</v>
      </c>
      <c r="O276" s="49" t="n">
        <v>261.5</v>
      </c>
      <c r="P276" s="49" t="n">
        <v>384</v>
      </c>
      <c r="Q276" s="49" t="n">
        <v>261.5</v>
      </c>
    </row>
    <row r="277">
      <c r="N277" s="49" t="n">
        <v>384</v>
      </c>
      <c r="O277" s="49" t="n">
        <v>261.5</v>
      </c>
      <c r="P277" s="49" t="n">
        <v>384</v>
      </c>
      <c r="Q277" s="49" t="n">
        <v>261.5</v>
      </c>
    </row>
    <row r="278">
      <c r="N278" s="49" t="n">
        <v>384</v>
      </c>
      <c r="O278" s="49" t="n">
        <v>298</v>
      </c>
      <c r="P278" s="49" t="n">
        <v>384</v>
      </c>
      <c r="Q278" s="49" t="n">
        <v>298</v>
      </c>
    </row>
    <row r="279">
      <c r="N279" s="49" t="n">
        <v>384</v>
      </c>
      <c r="O279" s="49" t="n">
        <v>297</v>
      </c>
      <c r="P279" s="49" t="n">
        <v>384</v>
      </c>
      <c r="Q279" s="49" t="n">
        <v>297</v>
      </c>
    </row>
    <row r="280">
      <c r="N280" s="49" t="n">
        <v>384</v>
      </c>
      <c r="O280" s="49" t="n">
        <v>295</v>
      </c>
      <c r="P280" s="49" t="n">
        <v>384</v>
      </c>
      <c r="Q280" s="49" t="n">
        <v>295</v>
      </c>
    </row>
    <row r="281">
      <c r="N281" s="49" t="n">
        <v>384</v>
      </c>
      <c r="O281" s="49" t="n">
        <v>284</v>
      </c>
      <c r="P281" s="49" t="n">
        <v>384</v>
      </c>
      <c r="Q281" s="49" t="n">
        <v>284</v>
      </c>
    </row>
    <row r="282">
      <c r="N282" s="49" t="n">
        <v>296.5</v>
      </c>
      <c r="O282" s="49" t="n">
        <v>242.5</v>
      </c>
      <c r="P282" s="49" t="n">
        <v>296.5</v>
      </c>
      <c r="Q282" s="49" t="n">
        <v>242.5</v>
      </c>
    </row>
    <row r="283">
      <c r="N283" s="49" t="n">
        <v>296.5</v>
      </c>
      <c r="O283" s="49" t="n">
        <v>242.5</v>
      </c>
      <c r="P283" s="49" t="n">
        <v>296.5</v>
      </c>
      <c r="Q283" s="49" t="n">
        <v>242.5</v>
      </c>
    </row>
    <row r="284">
      <c r="N284" s="49" t="n">
        <v>296.5</v>
      </c>
      <c r="O284" s="49" t="n">
        <v>259</v>
      </c>
      <c r="P284" s="49" t="n">
        <v>296.5</v>
      </c>
      <c r="Q284" s="49" t="n">
        <v>259</v>
      </c>
    </row>
    <row r="285">
      <c r="N285" s="49" t="n">
        <v>296.5</v>
      </c>
      <c r="O285" s="49" t="n">
        <v>257</v>
      </c>
      <c r="P285" s="49" t="n">
        <v>296.5</v>
      </c>
      <c r="Q285" s="49" t="n">
        <v>257</v>
      </c>
    </row>
    <row r="286">
      <c r="N286" s="49" t="n">
        <v>296.5</v>
      </c>
      <c r="O286" s="49" t="n">
        <v>257</v>
      </c>
      <c r="P286" s="49" t="n">
        <v>296.5</v>
      </c>
      <c r="Q286" s="49" t="n">
        <v>257</v>
      </c>
    </row>
    <row r="287">
      <c r="N287" s="49" t="n">
        <v>296.5</v>
      </c>
      <c r="O287" s="49" t="n">
        <v>257</v>
      </c>
      <c r="P287" s="49" t="n">
        <v>296.5</v>
      </c>
      <c r="Q287" s="49" t="n">
        <v>257</v>
      </c>
    </row>
    <row r="288">
      <c r="N288" s="49" t="n">
        <v>296.5</v>
      </c>
      <c r="O288" s="49" t="n">
        <v>198.5</v>
      </c>
      <c r="P288" s="49" t="n">
        <v>296.5</v>
      </c>
      <c r="Q288" s="49" t="n">
        <v>198.5</v>
      </c>
    </row>
    <row r="289">
      <c r="N289" s="49" t="n">
        <v>296.5</v>
      </c>
      <c r="O289" s="49" t="n">
        <v>231</v>
      </c>
      <c r="P289" s="49" t="n">
        <v>296.5</v>
      </c>
      <c r="Q289" s="49" t="n">
        <v>231</v>
      </c>
    </row>
    <row r="290">
      <c r="N290" s="49" t="n">
        <v>296.5</v>
      </c>
      <c r="O290" s="49" t="n">
        <v>277.5</v>
      </c>
      <c r="P290" s="49" t="n">
        <v>296.5</v>
      </c>
      <c r="Q290" s="49" t="n">
        <v>277.5</v>
      </c>
    </row>
    <row r="291">
      <c r="N291" s="49" t="n">
        <v>296.5</v>
      </c>
      <c r="O291" s="49" t="n">
        <v>277.5</v>
      </c>
      <c r="P291" s="49" t="n">
        <v>296.5</v>
      </c>
      <c r="Q291" s="49" t="n">
        <v>277.5</v>
      </c>
    </row>
    <row r="292">
      <c r="N292" s="49" t="n">
        <v>296.5</v>
      </c>
      <c r="O292" s="49" t="n">
        <v>277.5</v>
      </c>
      <c r="P292" s="49" t="n">
        <v>296.5</v>
      </c>
      <c r="Q292" s="49" t="n">
        <v>277.5</v>
      </c>
    </row>
    <row r="293">
      <c r="N293" s="49" t="n">
        <v>296.5</v>
      </c>
      <c r="O293" s="49" t="n">
        <v>210</v>
      </c>
      <c r="P293" s="49" t="n">
        <v>296.5</v>
      </c>
      <c r="Q293" s="49" t="n">
        <v>210</v>
      </c>
    </row>
    <row r="294">
      <c r="N294" s="49" t="n">
        <v>296.5</v>
      </c>
      <c r="O294" s="49" t="n">
        <v>188.5</v>
      </c>
      <c r="P294" s="49" t="n">
        <v>296.5</v>
      </c>
      <c r="Q294" s="49" t="n">
        <v>188.5</v>
      </c>
    </row>
    <row r="295">
      <c r="N295" s="49" t="n">
        <v>296.5</v>
      </c>
      <c r="O295" s="49" t="n">
        <v>188.5</v>
      </c>
      <c r="P295" s="49" t="n">
        <v>296.5</v>
      </c>
      <c r="Q295" s="49" t="n">
        <v>188.5</v>
      </c>
    </row>
    <row r="296">
      <c r="N296" s="49" t="n">
        <v>296.5</v>
      </c>
      <c r="O296" s="49" t="n">
        <v>181</v>
      </c>
      <c r="P296" s="49" t="n">
        <v>296.5</v>
      </c>
      <c r="Q296" s="49" t="n">
        <v>181</v>
      </c>
    </row>
    <row r="297">
      <c r="N297" s="49" t="n">
        <v>296.5</v>
      </c>
      <c r="O297" s="49" t="n">
        <v>175</v>
      </c>
      <c r="P297" s="49" t="n">
        <v>296.5</v>
      </c>
      <c r="Q297" s="49" t="n">
        <v>175</v>
      </c>
    </row>
    <row r="298">
      <c r="N298" s="49" t="n">
        <v>296.5</v>
      </c>
      <c r="O298" s="49" t="n">
        <v>197</v>
      </c>
      <c r="P298" s="49" t="n">
        <v>296.5</v>
      </c>
      <c r="Q298" s="49" t="n">
        <v>197</v>
      </c>
    </row>
    <row r="299">
      <c r="N299" s="49" t="n">
        <v>296.5</v>
      </c>
      <c r="O299" s="49" t="n">
        <v>207</v>
      </c>
      <c r="P299" s="49" t="n">
        <v>296.5</v>
      </c>
      <c r="Q299" s="49" t="n">
        <v>207</v>
      </c>
    </row>
    <row r="300">
      <c r="N300" s="49" t="n">
        <v>296.5</v>
      </c>
      <c r="O300" s="49" t="n">
        <v>207</v>
      </c>
      <c r="P300" s="49" t="n">
        <v>296.5</v>
      </c>
      <c r="Q300" s="49" t="n">
        <v>207</v>
      </c>
    </row>
    <row r="301">
      <c r="N301" s="49" t="n">
        <v>296.5</v>
      </c>
      <c r="O301" s="49" t="n">
        <v>207</v>
      </c>
      <c r="P301" s="49" t="n">
        <v>296.5</v>
      </c>
      <c r="Q301" s="49" t="n">
        <v>207</v>
      </c>
    </row>
    <row r="302">
      <c r="N302" s="49" t="n">
        <v>296.5</v>
      </c>
      <c r="O302" s="49" t="n">
        <v>147</v>
      </c>
      <c r="P302" s="49" t="n">
        <v>296.5</v>
      </c>
      <c r="Q302" s="49" t="n">
        <v>147</v>
      </c>
    </row>
    <row r="303">
      <c r="N303" s="49" t="n">
        <v>296.5</v>
      </c>
      <c r="O303" s="49" t="n">
        <v>169</v>
      </c>
      <c r="P303" s="49" t="n">
        <v>296.5</v>
      </c>
      <c r="Q303" s="49" t="n">
        <v>169</v>
      </c>
    </row>
    <row r="304">
      <c r="N304" s="49" t="n">
        <v>296.5</v>
      </c>
      <c r="O304" s="49" t="n">
        <v>137</v>
      </c>
      <c r="P304" s="49" t="n">
        <v>296.5</v>
      </c>
      <c r="Q304" s="49" t="n">
        <v>137</v>
      </c>
    </row>
    <row r="305">
      <c r="N305" s="49" t="n">
        <v>296.5</v>
      </c>
      <c r="O305" s="49" t="n">
        <v>137</v>
      </c>
      <c r="P305" s="49" t="n">
        <v>296.5</v>
      </c>
      <c r="Q305" s="49" t="n">
        <v>137</v>
      </c>
    </row>
    <row r="306">
      <c r="N306" s="49" t="n">
        <v>184.5</v>
      </c>
      <c r="O306" s="49" t="n">
        <v>137</v>
      </c>
      <c r="P306" s="49" t="n">
        <v>184.5</v>
      </c>
      <c r="Q306" s="49" t="n">
        <v>137</v>
      </c>
    </row>
    <row r="307">
      <c r="N307" s="49" t="n">
        <v>184.5</v>
      </c>
      <c r="O307" s="49" t="n">
        <v>151.5</v>
      </c>
      <c r="P307" s="49" t="n">
        <v>184.5</v>
      </c>
      <c r="Q307" s="49" t="n">
        <v>151.5</v>
      </c>
    </row>
    <row r="308">
      <c r="N308" s="49" t="n">
        <v>184.5</v>
      </c>
      <c r="O308" s="49" t="n">
        <v>151.5</v>
      </c>
      <c r="P308" s="49" t="n">
        <v>184.5</v>
      </c>
      <c r="Q308" s="49" t="n">
        <v>151.5</v>
      </c>
    </row>
    <row r="309">
      <c r="N309" s="49" t="n">
        <v>184.5</v>
      </c>
      <c r="O309" s="49" t="n">
        <v>151.5</v>
      </c>
      <c r="P309" s="49" t="n">
        <v>184.5</v>
      </c>
      <c r="Q309" s="49" t="n">
        <v>151.5</v>
      </c>
    </row>
    <row r="310">
      <c r="N310" s="49" t="n">
        <v>184.5</v>
      </c>
      <c r="O310" s="49" t="n">
        <v>151.5</v>
      </c>
      <c r="P310" s="49" t="n">
        <v>184.5</v>
      </c>
      <c r="Q310" s="49" t="n">
        <v>151.5</v>
      </c>
    </row>
    <row r="311">
      <c r="N311" s="49" t="n">
        <v>184.5</v>
      </c>
      <c r="O311" s="49" t="n">
        <v>102</v>
      </c>
      <c r="P311" s="49" t="n">
        <v>184.5</v>
      </c>
      <c r="Q311" s="49" t="n">
        <v>102</v>
      </c>
    </row>
    <row r="312">
      <c r="N312" s="49" t="n">
        <v>184.5</v>
      </c>
      <c r="O312" s="49" t="n">
        <v>109.5</v>
      </c>
      <c r="P312" s="49" t="n">
        <v>184.5</v>
      </c>
      <c r="Q312" s="49" t="n">
        <v>109.5</v>
      </c>
    </row>
    <row r="313">
      <c r="N313" s="49" t="n">
        <v>184.5</v>
      </c>
      <c r="O313" s="49" t="n">
        <v>109.5</v>
      </c>
      <c r="P313" s="49" t="n">
        <v>184.5</v>
      </c>
      <c r="Q313" s="49" t="n">
        <v>109.5</v>
      </c>
    </row>
    <row r="314">
      <c r="N314" s="49" t="n">
        <v>184.5</v>
      </c>
      <c r="O314" s="49" t="n">
        <v>127.5</v>
      </c>
      <c r="P314" s="49" t="n">
        <v>184.5</v>
      </c>
      <c r="Q314" s="49" t="n">
        <v>127.5</v>
      </c>
    </row>
    <row r="315">
      <c r="N315" s="49" t="n">
        <v>184.5</v>
      </c>
      <c r="O315" s="49" t="n">
        <v>127.5</v>
      </c>
      <c r="P315" s="49" t="n">
        <v>184.5</v>
      </c>
      <c r="Q315" s="49" t="n">
        <v>127.5</v>
      </c>
    </row>
    <row r="316">
      <c r="N316" s="49" t="n">
        <v>184.5</v>
      </c>
      <c r="O316" s="49" t="n">
        <v>127.5</v>
      </c>
      <c r="P316" s="49" t="n">
        <v>184.5</v>
      </c>
      <c r="Q316" s="49" t="n">
        <v>127.5</v>
      </c>
    </row>
    <row r="317">
      <c r="N317" s="49" t="n">
        <v>184.5</v>
      </c>
      <c r="O317" s="49" t="n">
        <v>127.5</v>
      </c>
      <c r="P317" s="49" t="n">
        <v>184.5</v>
      </c>
      <c r="Q317" s="49" t="n">
        <v>127.5</v>
      </c>
    </row>
    <row r="318">
      <c r="N318" s="49" t="n">
        <v>184.5</v>
      </c>
      <c r="O318" s="49" t="n">
        <v>184</v>
      </c>
      <c r="P318" s="49" t="n">
        <v>184.5</v>
      </c>
      <c r="Q318" s="49" t="n">
        <v>184</v>
      </c>
    </row>
    <row r="319">
      <c r="N319" s="49" t="n">
        <v>184.5</v>
      </c>
      <c r="O319" s="49" t="n">
        <v>192.5</v>
      </c>
      <c r="P319" s="49" t="n">
        <v>184.5</v>
      </c>
      <c r="Q319" s="49" t="n">
        <v>192.5</v>
      </c>
    </row>
    <row r="320">
      <c r="N320" s="49" t="n">
        <v>184.5</v>
      </c>
      <c r="O320" s="49" t="n">
        <v>192.5</v>
      </c>
      <c r="P320" s="49" t="n">
        <v>184.5</v>
      </c>
      <c r="Q320" s="49" t="n">
        <v>192.5</v>
      </c>
    </row>
    <row r="321">
      <c r="N321" s="49" t="n">
        <v>184.5</v>
      </c>
      <c r="O321" s="49" t="n">
        <v>204.5</v>
      </c>
      <c r="P321" s="49" t="n">
        <v>184.5</v>
      </c>
      <c r="Q321" s="49" t="n">
        <v>204.5</v>
      </c>
    </row>
    <row r="322">
      <c r="N322" s="49" t="n">
        <v>184.5</v>
      </c>
      <c r="O322" s="49" t="n">
        <v>204.5</v>
      </c>
      <c r="P322" s="49" t="n">
        <v>184.5</v>
      </c>
      <c r="Q322" s="49" t="n">
        <v>204.5</v>
      </c>
    </row>
    <row r="323">
      <c r="N323" s="49" t="n">
        <v>184.5</v>
      </c>
      <c r="O323" s="49" t="n">
        <v>209</v>
      </c>
      <c r="P323" s="49" t="n">
        <v>184.5</v>
      </c>
      <c r="Q323" s="49" t="n">
        <v>209</v>
      </c>
    </row>
    <row r="324">
      <c r="N324" s="49" t="n">
        <v>184.5</v>
      </c>
      <c r="O324" s="49" t="n">
        <v>200</v>
      </c>
      <c r="P324" s="49" t="n">
        <v>184.5</v>
      </c>
      <c r="Q324" s="49" t="n">
        <v>200</v>
      </c>
    </row>
    <row r="325">
      <c r="N325" s="49" t="n">
        <v>184.5</v>
      </c>
      <c r="O325" s="49" t="n">
        <v>157.5</v>
      </c>
      <c r="P325" s="49" t="n">
        <v>184.5</v>
      </c>
      <c r="Q325" s="49" t="n">
        <v>157.5</v>
      </c>
    </row>
    <row r="326">
      <c r="N326" s="49" t="n">
        <v>172.5</v>
      </c>
      <c r="O326" s="49" t="n">
        <v>157.5</v>
      </c>
      <c r="P326" s="49" t="n">
        <v>172.5</v>
      </c>
      <c r="Q326" s="49" t="n">
        <v>157.5</v>
      </c>
    </row>
    <row r="327">
      <c r="N327" s="49" t="n">
        <v>172.5</v>
      </c>
      <c r="O327" s="49" t="n">
        <v>172.5</v>
      </c>
      <c r="P327" s="49" t="n">
        <v>172.5</v>
      </c>
      <c r="Q327" s="49" t="n">
        <v>172.5</v>
      </c>
    </row>
    <row r="328">
      <c r="N328" s="49" t="n">
        <v>172.5</v>
      </c>
      <c r="O328" s="49" t="n">
        <v>172.5</v>
      </c>
      <c r="P328" s="49" t="n">
        <v>172.5</v>
      </c>
      <c r="Q328" s="49" t="n">
        <v>172.5</v>
      </c>
    </row>
    <row r="329">
      <c r="N329" s="49" t="n">
        <v>172.5</v>
      </c>
      <c r="O329" s="49" t="n">
        <v>172.5</v>
      </c>
      <c r="P329" s="49" t="n">
        <v>172.5</v>
      </c>
      <c r="Q329" s="49" t="n">
        <v>172.5</v>
      </c>
    </row>
    <row r="330">
      <c r="N330" s="49" t="n">
        <v>166.5</v>
      </c>
      <c r="O330" s="49" t="n">
        <v>172.5</v>
      </c>
      <c r="P330" s="49" t="n">
        <v>166.5</v>
      </c>
      <c r="Q330" s="49" t="n">
        <v>172.5</v>
      </c>
    </row>
    <row r="331">
      <c r="N331" s="49" t="n">
        <v>166.5</v>
      </c>
      <c r="O331" s="49" t="n">
        <v>181</v>
      </c>
      <c r="P331" s="49" t="n">
        <v>166.5</v>
      </c>
      <c r="Q331" s="49" t="n">
        <v>181</v>
      </c>
    </row>
    <row r="332">
      <c r="N332" s="49" t="n">
        <v>166.5</v>
      </c>
      <c r="O332" s="49" t="n">
        <v>181</v>
      </c>
      <c r="P332" s="49" t="n">
        <v>166.5</v>
      </c>
      <c r="Q332" s="49" t="n">
        <v>181</v>
      </c>
    </row>
    <row r="333">
      <c r="N333" s="49" t="n">
        <v>166.5</v>
      </c>
      <c r="O333" s="49" t="n">
        <v>190</v>
      </c>
      <c r="P333" s="49" t="n">
        <v>166.5</v>
      </c>
      <c r="Q333" s="49" t="n">
        <v>190</v>
      </c>
    </row>
    <row r="334">
      <c r="N334" s="49" t="n">
        <v>166.5</v>
      </c>
      <c r="O334" s="49" t="n">
        <v>227</v>
      </c>
      <c r="P334" s="49" t="n">
        <v>166.5</v>
      </c>
      <c r="Q334" s="49" t="n">
        <v>227</v>
      </c>
    </row>
    <row r="335">
      <c r="N335" s="49" t="n">
        <v>166.5</v>
      </c>
      <c r="O335" s="49" t="n">
        <v>254</v>
      </c>
      <c r="P335" s="49" t="n">
        <v>166.5</v>
      </c>
      <c r="Q335" s="49" t="n">
        <v>254</v>
      </c>
    </row>
    <row r="336">
      <c r="N336" s="49" t="n">
        <v>166.5</v>
      </c>
      <c r="O336" s="49" t="n">
        <v>300</v>
      </c>
      <c r="P336" s="49" t="n">
        <v>166.5</v>
      </c>
      <c r="Q336" s="49" t="n">
        <v>300</v>
      </c>
    </row>
    <row r="337">
      <c r="N337" s="49" t="n">
        <v>166.5</v>
      </c>
      <c r="O337" s="49" t="n">
        <v>321</v>
      </c>
      <c r="P337" s="49" t="n">
        <v>166.5</v>
      </c>
      <c r="Q337" s="49" t="n">
        <v>321</v>
      </c>
    </row>
    <row r="338">
      <c r="N338" s="49" t="n">
        <v>296.5</v>
      </c>
      <c r="O338" s="49" t="n">
        <v>366</v>
      </c>
      <c r="P338" s="49" t="n">
        <v>296.5</v>
      </c>
      <c r="Q338" s="49" t="n">
        <v>366</v>
      </c>
    </row>
    <row r="339">
      <c r="N339" s="49" t="n">
        <v>296.5</v>
      </c>
      <c r="O339" s="49" t="n">
        <v>366</v>
      </c>
      <c r="P339" s="49" t="n">
        <v>296.5</v>
      </c>
      <c r="Q339" s="49" t="n">
        <v>366</v>
      </c>
    </row>
    <row r="340">
      <c r="N340" s="49" t="n">
        <v>296.5</v>
      </c>
      <c r="O340" s="49" t="n">
        <v>366</v>
      </c>
      <c r="P340" s="49" t="n">
        <v>296.5</v>
      </c>
      <c r="Q340" s="49" t="n">
        <v>366</v>
      </c>
    </row>
    <row r="341">
      <c r="N341" s="49" t="n">
        <v>296.5</v>
      </c>
      <c r="O341" s="49" t="n">
        <v>358.5</v>
      </c>
      <c r="P341" s="49" t="n">
        <v>296.5</v>
      </c>
      <c r="Q341" s="49" t="n">
        <v>358.5</v>
      </c>
    </row>
    <row r="342">
      <c r="N342" s="49" t="n">
        <v>296.5</v>
      </c>
      <c r="O342" s="49" t="n">
        <v>358.5</v>
      </c>
      <c r="P342" s="49" t="n">
        <v>296.5</v>
      </c>
      <c r="Q342" s="49" t="n">
        <v>358.5</v>
      </c>
    </row>
    <row r="343">
      <c r="N343" s="49" t="n">
        <v>296.5</v>
      </c>
      <c r="O343" s="49" t="n">
        <v>349</v>
      </c>
      <c r="P343" s="49" t="n">
        <v>296.5</v>
      </c>
      <c r="Q343" s="49" t="n">
        <v>349</v>
      </c>
    </row>
    <row r="344">
      <c r="N344" s="49" t="n">
        <v>296.5</v>
      </c>
      <c r="O344" s="49" t="n">
        <v>343</v>
      </c>
      <c r="P344" s="49" t="n">
        <v>296.5</v>
      </c>
      <c r="Q344" s="49" t="n">
        <v>343</v>
      </c>
    </row>
    <row r="345">
      <c r="N345" s="49" t="n">
        <v>296.5</v>
      </c>
      <c r="O345" s="49" t="n">
        <v>314.5</v>
      </c>
      <c r="P345" s="49" t="n">
        <v>296.5</v>
      </c>
      <c r="Q345" s="49" t="n">
        <v>314.5</v>
      </c>
    </row>
    <row r="346">
      <c r="N346" s="49" t="n">
        <v>296.5</v>
      </c>
      <c r="O346" s="49" t="n">
        <v>314.5</v>
      </c>
      <c r="P346" s="49" t="n">
        <v>296.5</v>
      </c>
      <c r="Q346" s="49" t="n">
        <v>314.5</v>
      </c>
    </row>
    <row r="347">
      <c r="N347" s="49" t="n">
        <v>296.5</v>
      </c>
      <c r="O347" s="49" t="n">
        <v>314.5</v>
      </c>
      <c r="P347" s="49" t="n">
        <v>296.5</v>
      </c>
      <c r="Q347" s="49" t="n">
        <v>314.5</v>
      </c>
    </row>
    <row r="348">
      <c r="N348" s="49" t="n">
        <v>296.5</v>
      </c>
      <c r="O348" s="49" t="n">
        <v>314.5</v>
      </c>
      <c r="P348" s="49" t="n">
        <v>296.5</v>
      </c>
      <c r="Q348" s="49" t="n">
        <v>314.5</v>
      </c>
    </row>
    <row r="349">
      <c r="N349" s="49" t="n">
        <v>296.5</v>
      </c>
      <c r="O349" s="49" t="n">
        <v>314.5</v>
      </c>
      <c r="P349" s="49" t="n">
        <v>296.5</v>
      </c>
      <c r="Q349" s="49" t="n">
        <v>314.5</v>
      </c>
    </row>
    <row r="350">
      <c r="N350" s="49" t="n">
        <v>296.5</v>
      </c>
      <c r="O350" s="49" t="n">
        <v>314.5</v>
      </c>
      <c r="P350" s="49" t="n">
        <v>296.5</v>
      </c>
      <c r="Q350" s="49" t="n">
        <v>314.5</v>
      </c>
    </row>
    <row r="351">
      <c r="N351" s="49" t="n">
        <v>296.5</v>
      </c>
      <c r="O351" s="49" t="n">
        <v>314.5</v>
      </c>
      <c r="P351" s="49" t="n">
        <v>296.5</v>
      </c>
      <c r="Q351" s="49" t="n">
        <v>314.5</v>
      </c>
    </row>
    <row r="352">
      <c r="N352" s="49" t="n">
        <v>296.5</v>
      </c>
      <c r="O352" s="49" t="n">
        <v>314.5</v>
      </c>
      <c r="P352" s="49" t="n">
        <v>296.5</v>
      </c>
      <c r="Q352" s="49" t="n">
        <v>314.5</v>
      </c>
    </row>
    <row r="353">
      <c r="N353" s="49" t="n">
        <v>353.5</v>
      </c>
      <c r="O353" s="49" t="n">
        <v>296</v>
      </c>
      <c r="P353" s="49" t="n">
        <v>353.5</v>
      </c>
      <c r="Q353" s="49" t="n">
        <v>296</v>
      </c>
    </row>
    <row r="354">
      <c r="N354" s="49" t="n">
        <v>353.5</v>
      </c>
      <c r="O354" s="49" t="n">
        <v>299</v>
      </c>
      <c r="P354" s="49" t="n">
        <v>353.5</v>
      </c>
      <c r="Q354" s="49" t="n">
        <v>299</v>
      </c>
    </row>
    <row r="355">
      <c r="N355" s="49" t="n">
        <v>353.5</v>
      </c>
      <c r="O355" s="49" t="n">
        <v>331</v>
      </c>
      <c r="P355" s="49" t="n">
        <v>353.5</v>
      </c>
      <c r="Q355" s="49" t="n">
        <v>331</v>
      </c>
    </row>
    <row r="356">
      <c r="N356" s="49" t="n">
        <v>353.5</v>
      </c>
      <c r="O356" s="49" t="n">
        <v>383</v>
      </c>
      <c r="P356" s="49" t="n">
        <v>353.5</v>
      </c>
      <c r="Q356" s="49" t="n">
        <v>383</v>
      </c>
    </row>
    <row r="357">
      <c r="N357" s="49" t="n">
        <v>353.5</v>
      </c>
      <c r="O357" s="49" t="n">
        <v>381.5</v>
      </c>
      <c r="P357" s="49" t="n">
        <v>353.5</v>
      </c>
      <c r="Q357" s="49" t="n">
        <v>381.5</v>
      </c>
    </row>
    <row r="358">
      <c r="N358" s="49" t="n">
        <v>353.5</v>
      </c>
      <c r="O358" s="49" t="n">
        <v>381.5</v>
      </c>
      <c r="P358" s="49" t="n">
        <v>353.5</v>
      </c>
      <c r="Q358" s="49" t="n">
        <v>381.5</v>
      </c>
    </row>
    <row r="359">
      <c r="N359" s="49" t="n">
        <v>353.5</v>
      </c>
      <c r="O359" s="49" t="n">
        <v>350</v>
      </c>
      <c r="P359" s="49" t="n">
        <v>353.5</v>
      </c>
      <c r="Q359" s="49" t="n">
        <v>350</v>
      </c>
    </row>
    <row r="360">
      <c r="N360" s="49" t="n">
        <v>353.5</v>
      </c>
      <c r="O360" s="49" t="n">
        <v>364</v>
      </c>
      <c r="P360" s="49" t="n">
        <v>353.5</v>
      </c>
      <c r="Q360" s="49" t="n">
        <v>364</v>
      </c>
    </row>
    <row r="361">
      <c r="N361" s="49" t="n">
        <v>353.5</v>
      </c>
      <c r="O361" s="49" t="n">
        <v>376</v>
      </c>
      <c r="P361" s="49" t="n">
        <v>353.5</v>
      </c>
      <c r="Q361" s="49" t="n">
        <v>376</v>
      </c>
    </row>
    <row r="362">
      <c r="N362" s="49" t="n">
        <v>353.5</v>
      </c>
      <c r="O362" s="49" t="n">
        <v>387</v>
      </c>
      <c r="P362" s="49" t="n">
        <v>353.5</v>
      </c>
      <c r="Q362" s="49" t="n">
        <v>387</v>
      </c>
    </row>
    <row r="363">
      <c r="N363" s="49" t="n">
        <v>353.5</v>
      </c>
      <c r="O363" s="49" t="n">
        <v>384</v>
      </c>
      <c r="P363" s="49" t="n">
        <v>353.5</v>
      </c>
      <c r="Q363" s="49" t="n">
        <v>384</v>
      </c>
    </row>
    <row r="364">
      <c r="N364" s="49" t="n">
        <v>353.5</v>
      </c>
      <c r="O364" s="49" t="n">
        <v>385</v>
      </c>
      <c r="P364" s="49" t="n">
        <v>353.5</v>
      </c>
      <c r="Q364" s="49" t="n">
        <v>385</v>
      </c>
    </row>
    <row r="365">
      <c r="N365" s="49" t="n">
        <v>353.5</v>
      </c>
      <c r="O365" s="49" t="n">
        <v>371</v>
      </c>
      <c r="P365" s="49" t="n">
        <v>353.5</v>
      </c>
      <c r="Q365" s="49" t="n">
        <v>371</v>
      </c>
    </row>
    <row r="366">
      <c r="N366" s="49" t="n">
        <v>353.5</v>
      </c>
      <c r="O366" s="49" t="n">
        <v>339</v>
      </c>
      <c r="P366" s="49" t="n">
        <v>353.5</v>
      </c>
      <c r="Q366" s="49" t="n">
        <v>339</v>
      </c>
    </row>
    <row r="367">
      <c r="N367" s="49" t="n">
        <v>353.5</v>
      </c>
      <c r="O367" s="49" t="n">
        <v>337.5</v>
      </c>
      <c r="P367" s="49" t="n">
        <v>353.5</v>
      </c>
      <c r="Q367" s="49" t="n">
        <v>337.5</v>
      </c>
    </row>
    <row r="368">
      <c r="N368" s="49" t="n">
        <v>353.5</v>
      </c>
      <c r="O368" s="49" t="n">
        <v>337.5</v>
      </c>
      <c r="P368" s="49" t="n">
        <v>353.5</v>
      </c>
      <c r="Q368" s="49" t="n">
        <v>337.5</v>
      </c>
    </row>
    <row r="369">
      <c r="N369" s="49" t="n">
        <v>353.5</v>
      </c>
      <c r="O369" s="49" t="n">
        <v>303.5</v>
      </c>
      <c r="P369" s="49" t="n">
        <v>353.5</v>
      </c>
      <c r="Q369" s="49" t="n">
        <v>303.5</v>
      </c>
    </row>
    <row r="370">
      <c r="N370" s="49" t="n">
        <v>353.5</v>
      </c>
      <c r="O370" s="49" t="n">
        <v>303.5</v>
      </c>
      <c r="P370" s="49" t="n">
        <v>353.5</v>
      </c>
      <c r="Q370" s="49" t="n">
        <v>303.5</v>
      </c>
    </row>
    <row r="371">
      <c r="N371" s="49" t="n">
        <v>384</v>
      </c>
      <c r="O371" s="49" t="n">
        <v>319</v>
      </c>
      <c r="P371" s="49" t="n">
        <v>384</v>
      </c>
      <c r="Q371" s="49" t="n">
        <v>319</v>
      </c>
    </row>
    <row r="372">
      <c r="N372" s="49" t="n">
        <v>384</v>
      </c>
      <c r="O372" s="49" t="n">
        <v>322</v>
      </c>
      <c r="P372" s="49" t="n">
        <v>384</v>
      </c>
      <c r="Q372" s="49" t="n">
        <v>322</v>
      </c>
    </row>
    <row r="373">
      <c r="N373" s="49" t="n">
        <v>384</v>
      </c>
      <c r="O373" s="49" t="n">
        <v>244.5</v>
      </c>
      <c r="P373" s="49" t="n">
        <v>384</v>
      </c>
      <c r="Q373" s="49" t="n">
        <v>244.5</v>
      </c>
    </row>
    <row r="374">
      <c r="N374" s="49" t="n">
        <v>384</v>
      </c>
      <c r="O374" s="49" t="n">
        <v>244.5</v>
      </c>
      <c r="P374" s="49" t="n">
        <v>384</v>
      </c>
      <c r="Q374" s="49" t="n">
        <v>244.5</v>
      </c>
    </row>
    <row r="375">
      <c r="N375" s="49" t="n">
        <v>384</v>
      </c>
      <c r="O375" s="49" t="n">
        <v>230</v>
      </c>
      <c r="P375" s="49" t="n">
        <v>384</v>
      </c>
      <c r="Q375" s="49" t="n">
        <v>230</v>
      </c>
    </row>
    <row r="376">
      <c r="N376" s="49" t="n">
        <v>384</v>
      </c>
      <c r="O376" s="49" t="n">
        <v>213</v>
      </c>
      <c r="P376" s="49" t="n">
        <v>384</v>
      </c>
      <c r="Q376" s="49" t="n">
        <v>213</v>
      </c>
    </row>
    <row r="377">
      <c r="N377" s="49" t="n">
        <v>384</v>
      </c>
      <c r="O377" s="49" t="n">
        <v>183</v>
      </c>
      <c r="P377" s="49" t="n">
        <v>384</v>
      </c>
      <c r="Q377" s="49" t="n">
        <v>183</v>
      </c>
    </row>
    <row r="378">
      <c r="N378" s="49" t="n">
        <v>384</v>
      </c>
      <c r="O378" s="49" t="n">
        <v>141.5</v>
      </c>
      <c r="P378" s="49" t="n">
        <v>384</v>
      </c>
      <c r="Q378" s="49" t="n">
        <v>141.5</v>
      </c>
    </row>
    <row r="379">
      <c r="N379" s="49" t="n">
        <v>384</v>
      </c>
      <c r="O379" s="49" t="n">
        <v>141.5</v>
      </c>
      <c r="P379" s="49" t="n">
        <v>384</v>
      </c>
      <c r="Q379" s="49" t="n">
        <v>141.5</v>
      </c>
    </row>
    <row r="380">
      <c r="N380" s="49" t="n">
        <v>384</v>
      </c>
      <c r="O380" s="49" t="n">
        <v>185</v>
      </c>
      <c r="P380" s="49" t="n">
        <v>384</v>
      </c>
      <c r="Q380" s="49" t="n">
        <v>185</v>
      </c>
    </row>
    <row r="381">
      <c r="N381" s="49" t="n">
        <v>384</v>
      </c>
      <c r="O381" s="49" t="n">
        <v>194</v>
      </c>
      <c r="P381" s="49" t="n">
        <v>384</v>
      </c>
      <c r="Q381" s="49" t="n">
        <v>194</v>
      </c>
    </row>
    <row r="382">
      <c r="N382" s="49" t="n">
        <v>384</v>
      </c>
      <c r="O382" s="49" t="n">
        <v>219</v>
      </c>
      <c r="P382" s="49" t="n">
        <v>384</v>
      </c>
      <c r="Q382" s="49" t="n">
        <v>219</v>
      </c>
    </row>
    <row r="383">
      <c r="N383" s="49" t="n">
        <v>218.5</v>
      </c>
      <c r="O383" s="49" t="n">
        <v>211</v>
      </c>
      <c r="P383" s="49" t="n">
        <v>218.5</v>
      </c>
      <c r="Q383" s="49" t="n">
        <v>211</v>
      </c>
    </row>
    <row r="384">
      <c r="N384" s="49" t="n">
        <v>218.5</v>
      </c>
      <c r="O384" s="49" t="n">
        <v>212</v>
      </c>
      <c r="P384" s="49" t="n">
        <v>218.5</v>
      </c>
      <c r="Q384" s="49" t="n">
        <v>212</v>
      </c>
    </row>
    <row r="385">
      <c r="N385" s="49" t="n">
        <v>218.5</v>
      </c>
      <c r="O385" s="49" t="n">
        <v>232.5</v>
      </c>
      <c r="P385" s="49" t="n">
        <v>218.5</v>
      </c>
      <c r="Q385" s="49" t="n">
        <v>232.5</v>
      </c>
    </row>
    <row r="386">
      <c r="N386" s="49" t="n">
        <v>218.5</v>
      </c>
      <c r="O386" s="49" t="n">
        <v>232.5</v>
      </c>
      <c r="P386" s="49" t="n">
        <v>218.5</v>
      </c>
      <c r="Q386" s="49" t="n">
        <v>232.5</v>
      </c>
    </row>
    <row r="387">
      <c r="N387" s="49" t="n">
        <v>218.5</v>
      </c>
      <c r="O387" s="49" t="n">
        <v>251</v>
      </c>
      <c r="P387" s="49" t="n">
        <v>218.5</v>
      </c>
      <c r="Q387" s="49" t="n">
        <v>251</v>
      </c>
    </row>
    <row r="388">
      <c r="N388" s="49" t="n">
        <v>218.5</v>
      </c>
      <c r="O388" s="49" t="n">
        <v>268</v>
      </c>
      <c r="P388" s="49" t="n">
        <v>218.5</v>
      </c>
      <c r="Q388" s="49" t="n">
        <v>268</v>
      </c>
    </row>
    <row r="389">
      <c r="N389" s="49" t="n">
        <v>218.5</v>
      </c>
      <c r="O389" s="49" t="n">
        <v>270</v>
      </c>
      <c r="P389" s="49" t="n">
        <v>218.5</v>
      </c>
      <c r="Q389" s="49" t="n">
        <v>270</v>
      </c>
    </row>
    <row r="390">
      <c r="N390" s="49" t="n">
        <v>218.5</v>
      </c>
      <c r="O390" s="49" t="n">
        <v>264</v>
      </c>
      <c r="P390" s="49" t="n">
        <v>218.5</v>
      </c>
      <c r="Q390" s="49" t="n">
        <v>264</v>
      </c>
    </row>
    <row r="391">
      <c r="N391" s="49" t="n">
        <v>218.5</v>
      </c>
      <c r="O391" s="49" t="n">
        <v>222</v>
      </c>
      <c r="P391" s="49" t="n">
        <v>218.5</v>
      </c>
      <c r="Q391" s="49" t="n">
        <v>222</v>
      </c>
    </row>
    <row r="392">
      <c r="N392" s="49" t="n">
        <v>218.5</v>
      </c>
      <c r="O392" s="49" t="n">
        <v>266</v>
      </c>
      <c r="P392" s="49" t="n">
        <v>218.5</v>
      </c>
      <c r="Q392" s="49" t="n">
        <v>266</v>
      </c>
    </row>
    <row r="393">
      <c r="N393" s="49" t="n">
        <v>218.5</v>
      </c>
      <c r="O393" s="49" t="n">
        <v>281</v>
      </c>
      <c r="P393" s="49" t="n">
        <v>218.5</v>
      </c>
      <c r="Q393" s="49" t="n">
        <v>281</v>
      </c>
    </row>
    <row r="394">
      <c r="N394" s="49" t="n">
        <v>218.5</v>
      </c>
      <c r="O394" s="49" t="n">
        <v>225.5</v>
      </c>
      <c r="P394" s="49" t="n">
        <v>218.5</v>
      </c>
      <c r="Q394" s="49" t="n">
        <v>225.5</v>
      </c>
    </row>
    <row r="395">
      <c r="N395" s="49" t="n">
        <v>218.5</v>
      </c>
      <c r="O395" s="49" t="n">
        <v>225.5</v>
      </c>
      <c r="P395" s="49" t="n">
        <v>218.5</v>
      </c>
      <c r="Q395" s="49" t="n">
        <v>225.5</v>
      </c>
    </row>
    <row r="396">
      <c r="N396" s="49" t="n">
        <v>218.5</v>
      </c>
      <c r="O396" s="49" t="n">
        <v>120</v>
      </c>
      <c r="P396" s="49" t="n">
        <v>218.5</v>
      </c>
      <c r="Q396" s="49" t="n">
        <v>120</v>
      </c>
    </row>
    <row r="397">
      <c r="N397" s="49" t="n">
        <v>218.5</v>
      </c>
      <c r="O397" s="49" t="n">
        <v>101</v>
      </c>
      <c r="P397" s="49" t="n">
        <v>218.5</v>
      </c>
      <c r="Q397" s="49" t="n">
        <v>101</v>
      </c>
    </row>
    <row r="398">
      <c r="N398" s="49" t="n">
        <v>218.5</v>
      </c>
      <c r="O398" s="49" t="n">
        <v>25</v>
      </c>
      <c r="P398" s="49" t="n">
        <v>218.5</v>
      </c>
      <c r="Q398" s="49" t="n">
        <v>25</v>
      </c>
    </row>
    <row r="399">
      <c r="N399" s="49" t="n">
        <v>54</v>
      </c>
      <c r="O399" s="49" t="n">
        <v>22</v>
      </c>
      <c r="P399" s="49" t="n">
        <v>54</v>
      </c>
      <c r="Q399" s="49" t="n">
        <v>22</v>
      </c>
    </row>
    <row r="400">
      <c r="N400" s="49" t="n">
        <v>54</v>
      </c>
      <c r="O400" s="49" t="n">
        <v>7</v>
      </c>
      <c r="P400" s="49" t="n">
        <v>54</v>
      </c>
      <c r="Q400" s="49" t="n">
        <v>7</v>
      </c>
    </row>
    <row r="401">
      <c r="N401" s="49" t="n">
        <v>54</v>
      </c>
      <c r="O401" s="49" t="n">
        <v>11</v>
      </c>
      <c r="P401" s="49" t="n">
        <v>54</v>
      </c>
      <c r="Q401" s="49" t="n">
        <v>11</v>
      </c>
    </row>
    <row r="402">
      <c r="N402" s="49" t="n">
        <v>54</v>
      </c>
      <c r="O402" s="49" t="n">
        <v>5</v>
      </c>
      <c r="P402" s="49" t="n">
        <v>54</v>
      </c>
      <c r="Q402" s="49" t="n">
        <v>5</v>
      </c>
    </row>
    <row r="403">
      <c r="N403" s="49" t="n">
        <v>54</v>
      </c>
      <c r="O403" s="49" t="n">
        <v>1</v>
      </c>
      <c r="P403" s="49" t="n">
        <v>54</v>
      </c>
      <c r="Q403" s="49" t="n">
        <v>1</v>
      </c>
    </row>
    <row r="404">
      <c r="N404" s="49" t="n">
        <v>54</v>
      </c>
      <c r="O404" s="49" t="n">
        <v>3</v>
      </c>
      <c r="P404" s="49" t="n">
        <v>54</v>
      </c>
      <c r="Q404" s="49" t="n">
        <v>3</v>
      </c>
    </row>
    <row r="405">
      <c r="N405" s="49" t="n">
        <v>54</v>
      </c>
      <c r="O405" s="49" t="n">
        <v>4</v>
      </c>
      <c r="P405" s="49" t="n">
        <v>54</v>
      </c>
      <c r="Q405" s="49" t="n">
        <v>4</v>
      </c>
    </row>
    <row r="406">
      <c r="N406" s="49" t="n">
        <v>54</v>
      </c>
      <c r="O406" s="49" t="n">
        <v>6</v>
      </c>
      <c r="P406" s="49" t="n">
        <v>54</v>
      </c>
      <c r="Q406" s="49" t="n">
        <v>6</v>
      </c>
    </row>
    <row r="407">
      <c r="N407" s="49" t="n">
        <v>54</v>
      </c>
      <c r="O407" s="49" t="n">
        <v>2</v>
      </c>
      <c r="P407" s="49" t="n">
        <v>54</v>
      </c>
      <c r="Q407" s="49" t="n">
        <v>2</v>
      </c>
    </row>
    <row r="408">
      <c r="N408" s="49" t="n">
        <v>54</v>
      </c>
      <c r="O408" s="49" t="n">
        <v>10</v>
      </c>
      <c r="P408" s="49" t="n">
        <v>54</v>
      </c>
      <c r="Q408" s="49" t="n">
        <v>10</v>
      </c>
    </row>
    <row r="409">
      <c r="N409" s="49" t="n">
        <v>54</v>
      </c>
      <c r="O409" s="49" t="n">
        <v>8</v>
      </c>
      <c r="P409" s="49" t="n">
        <v>54</v>
      </c>
      <c r="Q409" s="49" t="n">
        <v>8</v>
      </c>
    </row>
    <row r="410">
      <c r="N410" s="49" t="n">
        <v>54</v>
      </c>
      <c r="O410" s="49" t="n">
        <v>24</v>
      </c>
      <c r="P410" s="49" t="n">
        <v>54</v>
      </c>
      <c r="Q410" s="49" t="n">
        <v>24</v>
      </c>
    </row>
    <row r="411">
      <c r="N411" s="49" t="n">
        <v>54</v>
      </c>
      <c r="O411" s="49" t="n">
        <v>43</v>
      </c>
      <c r="P411" s="49" t="n">
        <v>54</v>
      </c>
      <c r="Q411" s="49" t="n">
        <v>43</v>
      </c>
    </row>
    <row r="412">
      <c r="N412" s="49" t="n">
        <v>54</v>
      </c>
      <c r="O412" s="49" t="n">
        <v>42</v>
      </c>
      <c r="P412" s="49" t="n">
        <v>54</v>
      </c>
      <c r="Q412" s="49" t="n">
        <v>42</v>
      </c>
    </row>
    <row r="413">
      <c r="N413" s="49" t="n">
        <v>54</v>
      </c>
      <c r="O413" s="49" t="n">
        <v>48</v>
      </c>
      <c r="P413" s="49" t="n">
        <v>54</v>
      </c>
      <c r="Q413" s="49" t="n">
        <v>48</v>
      </c>
    </row>
    <row r="414">
      <c r="N414" s="49" t="n">
        <v>54</v>
      </c>
      <c r="O414" s="49" t="n">
        <v>48</v>
      </c>
      <c r="P414" s="49" t="n">
        <v>54</v>
      </c>
      <c r="Q414" s="49" t="n">
        <v>48</v>
      </c>
    </row>
    <row r="415">
      <c r="N415" s="49" t="n">
        <v>54</v>
      </c>
      <c r="O415" s="49" t="n">
        <v>48</v>
      </c>
      <c r="P415" s="49" t="n">
        <v>54</v>
      </c>
      <c r="Q415" s="49" t="n">
        <v>48</v>
      </c>
    </row>
    <row r="416">
      <c r="N416" s="49" t="n">
        <v>54</v>
      </c>
      <c r="O416" s="49" t="n">
        <v>46</v>
      </c>
      <c r="P416" s="49" t="n">
        <v>54</v>
      </c>
      <c r="Q416" s="49" t="n">
        <v>46</v>
      </c>
    </row>
    <row r="417">
      <c r="N417" s="49" t="n">
        <v>3</v>
      </c>
      <c r="O417" s="49" t="n">
        <v>28</v>
      </c>
      <c r="P417" s="49" t="n">
        <v>3</v>
      </c>
      <c r="Q417" s="49" t="n">
        <v>28</v>
      </c>
    </row>
    <row r="418">
      <c r="N418" s="49" t="n">
        <v>3</v>
      </c>
      <c r="O418" s="49" t="n">
        <v>35</v>
      </c>
      <c r="P418" s="49" t="n">
        <v>3</v>
      </c>
      <c r="Q418" s="49" t="n">
        <v>35</v>
      </c>
    </row>
    <row r="419">
      <c r="N419" s="49" t="n">
        <v>3</v>
      </c>
      <c r="O419" s="49" t="n">
        <v>107</v>
      </c>
      <c r="P419" s="49" t="n">
        <v>3</v>
      </c>
      <c r="Q419" s="49" t="n">
        <v>107</v>
      </c>
    </row>
    <row r="420">
      <c r="N420" s="49" t="n">
        <v>3</v>
      </c>
      <c r="O420" s="49" t="n">
        <v>145</v>
      </c>
      <c r="P420" s="49" t="n">
        <v>3</v>
      </c>
      <c r="Q420" s="49" t="n">
        <v>145</v>
      </c>
    </row>
    <row r="421">
      <c r="N421" s="49" t="n">
        <v>3</v>
      </c>
      <c r="O421" s="49" t="n">
        <v>249</v>
      </c>
      <c r="P421" s="49" t="n">
        <v>3</v>
      </c>
      <c r="Q421" s="49" t="n">
        <v>249</v>
      </c>
    </row>
    <row r="422">
      <c r="N422" s="49" t="n">
        <v>22</v>
      </c>
      <c r="O422" s="49" t="n">
        <v>272.5</v>
      </c>
      <c r="P422" s="49" t="n">
        <v>22</v>
      </c>
      <c r="Q422" s="49" t="n">
        <v>272.5</v>
      </c>
    </row>
    <row r="423">
      <c r="N423" s="49" t="n">
        <v>22</v>
      </c>
      <c r="O423" s="49" t="n">
        <v>272.5</v>
      </c>
      <c r="P423" s="49" t="n">
        <v>22</v>
      </c>
      <c r="Q423" s="49" t="n">
        <v>272.5</v>
      </c>
    </row>
    <row r="424">
      <c r="N424" s="49" t="n">
        <v>22</v>
      </c>
      <c r="O424" s="49" t="n">
        <v>310</v>
      </c>
      <c r="P424" s="49" t="n">
        <v>22</v>
      </c>
      <c r="Q424" s="49" t="n">
        <v>310</v>
      </c>
    </row>
    <row r="425">
      <c r="N425" s="49" t="n">
        <v>89.5</v>
      </c>
      <c r="O425" s="49" t="n">
        <v>324</v>
      </c>
      <c r="P425" s="49" t="n">
        <v>89.5</v>
      </c>
      <c r="Q425" s="49" t="n">
        <v>324</v>
      </c>
    </row>
    <row r="426">
      <c r="N426" s="49" t="n">
        <v>89.5</v>
      </c>
      <c r="O426" s="49" t="n">
        <v>320</v>
      </c>
      <c r="P426" s="49" t="n">
        <v>89.5</v>
      </c>
      <c r="Q426" s="49" t="n">
        <v>320</v>
      </c>
    </row>
    <row r="427">
      <c r="N427" s="49" t="n">
        <v>89.5</v>
      </c>
      <c r="O427" s="49" t="n">
        <v>323</v>
      </c>
      <c r="P427" s="49" t="n">
        <v>89.5</v>
      </c>
      <c r="Q427" s="49" t="n">
        <v>323</v>
      </c>
    </row>
    <row r="428">
      <c r="N428" s="49" t="n">
        <v>89.5</v>
      </c>
      <c r="O428" s="49" t="n">
        <v>309</v>
      </c>
      <c r="P428" s="49" t="n">
        <v>89.5</v>
      </c>
      <c r="Q428" s="49" t="n">
        <v>309</v>
      </c>
    </row>
    <row r="429">
      <c r="N429" s="49" t="n">
        <v>89.5</v>
      </c>
      <c r="O429" s="49" t="n">
        <v>272.5</v>
      </c>
      <c r="P429" s="49" t="n">
        <v>89.5</v>
      </c>
      <c r="Q429" s="49" t="n">
        <v>272.5</v>
      </c>
    </row>
    <row r="430">
      <c r="N430" s="49" t="n">
        <v>89.5</v>
      </c>
      <c r="O430" s="49" t="n">
        <v>277.5</v>
      </c>
      <c r="P430" s="49" t="n">
        <v>89.5</v>
      </c>
      <c r="Q430" s="49" t="n">
        <v>277.5</v>
      </c>
    </row>
    <row r="431">
      <c r="N431" s="49" t="n">
        <v>89.5</v>
      </c>
      <c r="O431" s="49" t="n">
        <v>272.5</v>
      </c>
      <c r="P431" s="49" t="n">
        <v>89.5</v>
      </c>
      <c r="Q431" s="49" t="n">
        <v>272.5</v>
      </c>
    </row>
    <row r="432">
      <c r="N432" s="49" t="n">
        <v>89.5</v>
      </c>
      <c r="O432" s="49" t="n">
        <v>280</v>
      </c>
      <c r="P432" s="49" t="n">
        <v>89.5</v>
      </c>
      <c r="Q432" s="49" t="n">
        <v>280</v>
      </c>
    </row>
    <row r="433">
      <c r="N433" s="49" t="n">
        <v>89.5</v>
      </c>
      <c r="O433" s="49" t="n">
        <v>293</v>
      </c>
      <c r="P433" s="49" t="n">
        <v>89.5</v>
      </c>
      <c r="Q433" s="49" t="n">
        <v>293</v>
      </c>
    </row>
    <row r="434">
      <c r="N434" s="49" t="n">
        <v>89.5</v>
      </c>
      <c r="O434" s="49" t="n">
        <v>253</v>
      </c>
      <c r="P434" s="49" t="n">
        <v>89.5</v>
      </c>
      <c r="Q434" s="49" t="n">
        <v>253</v>
      </c>
    </row>
    <row r="435">
      <c r="N435" s="49" t="n">
        <v>89.5</v>
      </c>
      <c r="O435" s="49" t="n">
        <v>306.5</v>
      </c>
      <c r="P435" s="49" t="n">
        <v>89.5</v>
      </c>
      <c r="Q435" s="49" t="n">
        <v>306.5</v>
      </c>
    </row>
    <row r="436">
      <c r="N436" s="49" t="n">
        <v>89.5</v>
      </c>
      <c r="O436" s="49" t="n">
        <v>301.5</v>
      </c>
      <c r="P436" s="49" t="n">
        <v>89.5</v>
      </c>
      <c r="Q436" s="49" t="n">
        <v>301.5</v>
      </c>
    </row>
    <row r="437">
      <c r="N437" s="49" t="n">
        <v>89.5</v>
      </c>
      <c r="O437" s="49" t="n">
        <v>306.5</v>
      </c>
      <c r="P437" s="49" t="n">
        <v>89.5</v>
      </c>
      <c r="Q437" s="49" t="n">
        <v>306.5</v>
      </c>
    </row>
    <row r="438">
      <c r="N438" s="49" t="n">
        <v>89.5</v>
      </c>
      <c r="O438" s="49" t="n">
        <v>301.5</v>
      </c>
      <c r="P438" s="49" t="n">
        <v>89.5</v>
      </c>
      <c r="Q438" s="49" t="n">
        <v>301.5</v>
      </c>
    </row>
    <row r="439">
      <c r="N439" s="49" t="n">
        <v>130.5</v>
      </c>
      <c r="O439" s="49" t="n">
        <v>294</v>
      </c>
      <c r="P439" s="49" t="n">
        <v>130.5</v>
      </c>
      <c r="Q439" s="49" t="n">
        <v>294</v>
      </c>
    </row>
    <row r="440">
      <c r="N440" s="49" t="n">
        <v>130.5</v>
      </c>
      <c r="O440" s="49" t="n">
        <v>255</v>
      </c>
      <c r="P440" s="49" t="n">
        <v>130.5</v>
      </c>
      <c r="Q440" s="49" t="n">
        <v>255</v>
      </c>
    </row>
    <row r="441">
      <c r="N441" s="49" t="n">
        <v>130.5</v>
      </c>
      <c r="O441" s="49" t="n">
        <v>238.5</v>
      </c>
      <c r="P441" s="49" t="n">
        <v>130.5</v>
      </c>
      <c r="Q441" s="49" t="n">
        <v>238.5</v>
      </c>
    </row>
    <row r="442">
      <c r="N442" s="49" t="n">
        <v>130.5</v>
      </c>
      <c r="O442" s="49" t="n">
        <v>260</v>
      </c>
      <c r="P442" s="49" t="n">
        <v>130.5</v>
      </c>
      <c r="Q442" s="49" t="n">
        <v>260</v>
      </c>
    </row>
    <row r="443">
      <c r="N443" s="49" t="n">
        <v>130.5</v>
      </c>
      <c r="O443" s="49" t="n">
        <v>238.5</v>
      </c>
      <c r="P443" s="49" t="n">
        <v>130.5</v>
      </c>
      <c r="Q443" s="49" t="n">
        <v>238.5</v>
      </c>
    </row>
    <row r="444">
      <c r="N444" s="49" t="n">
        <v>130.5</v>
      </c>
      <c r="O444" s="49" t="n">
        <v>246</v>
      </c>
      <c r="P444" s="49" t="n">
        <v>130.5</v>
      </c>
      <c r="Q444" s="49" t="n">
        <v>246</v>
      </c>
    </row>
    <row r="445">
      <c r="N445" s="49" t="n">
        <v>130.5</v>
      </c>
      <c r="O445" s="49" t="n">
        <v>237</v>
      </c>
      <c r="P445" s="49" t="n">
        <v>130.5</v>
      </c>
      <c r="Q445" s="49" t="n">
        <v>237</v>
      </c>
    </row>
    <row r="446">
      <c r="N446" s="49" t="n">
        <v>130.5</v>
      </c>
      <c r="O446" s="49" t="n">
        <v>228</v>
      </c>
      <c r="P446" s="49" t="n">
        <v>130.5</v>
      </c>
      <c r="Q446" s="49" t="n">
        <v>228</v>
      </c>
    </row>
    <row r="447">
      <c r="N447" s="49" t="n">
        <v>130.5</v>
      </c>
      <c r="O447" s="49" t="n">
        <v>240.5</v>
      </c>
      <c r="P447" s="49" t="n">
        <v>130.5</v>
      </c>
      <c r="Q447" s="49" t="n">
        <v>240.5</v>
      </c>
    </row>
    <row r="448">
      <c r="N448" s="49" t="n">
        <v>130.5</v>
      </c>
      <c r="O448" s="49" t="n">
        <v>292</v>
      </c>
      <c r="P448" s="49" t="n">
        <v>130.5</v>
      </c>
      <c r="Q448" s="49" t="n">
        <v>292</v>
      </c>
    </row>
    <row r="449">
      <c r="N449" s="49" t="n">
        <v>130.5</v>
      </c>
      <c r="O449" s="49" t="n">
        <v>240.5</v>
      </c>
      <c r="P449" s="49" t="n">
        <v>130.5</v>
      </c>
      <c r="Q449" s="49" t="n">
        <v>240.5</v>
      </c>
    </row>
    <row r="450">
      <c r="N450" s="49" t="n">
        <v>130.5</v>
      </c>
      <c r="O450" s="49" t="n">
        <v>325</v>
      </c>
      <c r="P450" s="49" t="n">
        <v>130.5</v>
      </c>
      <c r="Q450" s="49" t="n">
        <v>325</v>
      </c>
    </row>
    <row r="451">
      <c r="N451" s="49" t="n">
        <v>130.5</v>
      </c>
      <c r="O451" s="49" t="n">
        <v>341</v>
      </c>
      <c r="P451" s="49" t="n">
        <v>130.5</v>
      </c>
      <c r="Q451" s="49" t="n">
        <v>341</v>
      </c>
    </row>
    <row r="452">
      <c r="N452" s="49" t="n">
        <v>130.5</v>
      </c>
      <c r="O452" s="49" t="n">
        <v>396</v>
      </c>
      <c r="P452" s="49" t="n">
        <v>130.5</v>
      </c>
      <c r="Q452" s="49" t="n">
        <v>396</v>
      </c>
    </row>
    <row r="453">
      <c r="N453" s="49" t="n">
        <v>130.5</v>
      </c>
      <c r="O453" s="49" t="n">
        <v>417.5</v>
      </c>
      <c r="P453" s="49" t="n">
        <v>130.5</v>
      </c>
      <c r="Q453" s="49" t="n">
        <v>417.5</v>
      </c>
    </row>
    <row r="454">
      <c r="N454" s="49" t="n">
        <v>130.5</v>
      </c>
      <c r="O454" s="49" t="n">
        <v>424</v>
      </c>
      <c r="P454" s="49" t="n">
        <v>130.5</v>
      </c>
      <c r="Q454" s="49" t="n">
        <v>424</v>
      </c>
    </row>
    <row r="455">
      <c r="N455" s="49" t="n">
        <v>130.5</v>
      </c>
      <c r="O455" s="49" t="n">
        <v>417.5</v>
      </c>
      <c r="P455" s="49" t="n">
        <v>130.5</v>
      </c>
      <c r="Q455" s="49" t="n">
        <v>417.5</v>
      </c>
    </row>
    <row r="456">
      <c r="N456" s="49" t="n">
        <v>296.5</v>
      </c>
      <c r="O456" s="49" t="n">
        <v>425</v>
      </c>
      <c r="P456" s="49" t="n">
        <v>296.5</v>
      </c>
      <c r="Q456" s="49" t="n">
        <v>425</v>
      </c>
    </row>
    <row r="457">
      <c r="N457" s="49" t="n">
        <v>296.5</v>
      </c>
      <c r="O457" s="49" t="n">
        <v>379.5</v>
      </c>
      <c r="P457" s="49" t="n">
        <v>296.5</v>
      </c>
      <c r="Q457" s="49" t="n">
        <v>379.5</v>
      </c>
    </row>
    <row r="458">
      <c r="N458" s="49" t="n">
        <v>296.5</v>
      </c>
      <c r="O458" s="49" t="n">
        <v>379.5</v>
      </c>
      <c r="P458" s="49" t="n">
        <v>296.5</v>
      </c>
      <c r="Q458" s="49" t="n">
        <v>379.5</v>
      </c>
    </row>
    <row r="459">
      <c r="N459" s="49" t="n">
        <v>296.5</v>
      </c>
      <c r="O459" s="49" t="n">
        <v>362.5</v>
      </c>
      <c r="P459" s="49" t="n">
        <v>296.5</v>
      </c>
      <c r="Q459" s="49" t="n">
        <v>362.5</v>
      </c>
    </row>
    <row r="460">
      <c r="N460" s="49" t="n">
        <v>296.5</v>
      </c>
      <c r="O460" s="49" t="n">
        <v>368</v>
      </c>
      <c r="P460" s="49" t="n">
        <v>296.5</v>
      </c>
      <c r="Q460" s="49" t="n">
        <v>368</v>
      </c>
    </row>
    <row r="461">
      <c r="N461" s="49" t="n">
        <v>296.5</v>
      </c>
      <c r="O461" s="49" t="n">
        <v>362.5</v>
      </c>
      <c r="P461" s="49" t="n">
        <v>296.5</v>
      </c>
      <c r="Q461" s="49" t="n">
        <v>362.5</v>
      </c>
    </row>
    <row r="462">
      <c r="N462" s="49" t="n">
        <v>296.5</v>
      </c>
      <c r="O462" s="49" t="n">
        <v>377</v>
      </c>
      <c r="P462" s="49" t="n">
        <v>296.5</v>
      </c>
      <c r="Q462" s="49" t="n">
        <v>377</v>
      </c>
    </row>
    <row r="463">
      <c r="N463" s="49" t="n">
        <v>256.5</v>
      </c>
      <c r="O463" s="49" t="n">
        <v>360</v>
      </c>
      <c r="P463" s="49" t="n">
        <v>256.5</v>
      </c>
      <c r="Q463" s="49" t="n">
        <v>360</v>
      </c>
    </row>
    <row r="464">
      <c r="N464" s="49" t="n">
        <v>256.5</v>
      </c>
      <c r="O464" s="49" t="n">
        <v>334.5</v>
      </c>
      <c r="P464" s="49" t="n">
        <v>256.5</v>
      </c>
      <c r="Q464" s="49" t="n">
        <v>334.5</v>
      </c>
    </row>
    <row r="465">
      <c r="N465" s="49" t="n">
        <v>256.5</v>
      </c>
      <c r="O465" s="49" t="n">
        <v>334.5</v>
      </c>
      <c r="P465" s="49" t="n">
        <v>256.5</v>
      </c>
      <c r="Q465" s="49" t="n">
        <v>334.5</v>
      </c>
    </row>
    <row r="466">
      <c r="N466" s="49" t="n">
        <v>256.5</v>
      </c>
      <c r="O466" s="49" t="n">
        <v>334.5</v>
      </c>
      <c r="P466" s="49" t="n">
        <v>256.5</v>
      </c>
      <c r="Q466" s="49" t="n">
        <v>334.5</v>
      </c>
    </row>
    <row r="467">
      <c r="N467" s="49" t="n">
        <v>256.5</v>
      </c>
      <c r="O467" s="49" t="n">
        <v>334.5</v>
      </c>
      <c r="P467" s="49" t="n">
        <v>256.5</v>
      </c>
      <c r="Q467" s="49" t="n">
        <v>334.5</v>
      </c>
    </row>
    <row r="468">
      <c r="N468" s="49" t="n">
        <v>256.5</v>
      </c>
      <c r="O468" s="49" t="n">
        <v>308</v>
      </c>
      <c r="P468" s="49" t="n">
        <v>256.5</v>
      </c>
      <c r="Q468" s="49" t="n">
        <v>308</v>
      </c>
    </row>
    <row r="469">
      <c r="N469" s="49" t="n">
        <v>256.5</v>
      </c>
      <c r="O469" s="49" t="n">
        <v>291</v>
      </c>
      <c r="P469" s="49" t="n">
        <v>256.5</v>
      </c>
      <c r="Q469" s="49" t="n">
        <v>291</v>
      </c>
    </row>
    <row r="470">
      <c r="N470" s="49" t="n">
        <v>256.5</v>
      </c>
      <c r="O470" s="49" t="n">
        <v>215.5</v>
      </c>
      <c r="P470" s="49" t="n">
        <v>256.5</v>
      </c>
      <c r="Q470" s="49" t="n">
        <v>215.5</v>
      </c>
    </row>
    <row r="471">
      <c r="N471" s="49" t="n">
        <v>256.5</v>
      </c>
      <c r="O471" s="49" t="n">
        <v>215.5</v>
      </c>
      <c r="P471" s="49" t="n">
        <v>256.5</v>
      </c>
      <c r="Q471" s="49" t="n">
        <v>215.5</v>
      </c>
    </row>
    <row r="472">
      <c r="N472" s="49" t="n">
        <v>256.5</v>
      </c>
      <c r="O472" s="49" t="n">
        <v>215.5</v>
      </c>
      <c r="P472" s="49" t="n">
        <v>256.5</v>
      </c>
      <c r="Q472" s="49" t="n">
        <v>215.5</v>
      </c>
    </row>
    <row r="473">
      <c r="N473" s="49" t="n">
        <v>256.5</v>
      </c>
      <c r="O473" s="49" t="n">
        <v>215.5</v>
      </c>
      <c r="P473" s="49" t="n">
        <v>256.5</v>
      </c>
      <c r="Q473" s="49" t="n">
        <v>215.5</v>
      </c>
    </row>
    <row r="474">
      <c r="N474" s="49" t="n">
        <v>256.5</v>
      </c>
      <c r="O474" s="49" t="n">
        <v>170</v>
      </c>
      <c r="P474" s="49" t="n">
        <v>256.5</v>
      </c>
      <c r="Q474" s="49" t="n">
        <v>170</v>
      </c>
    </row>
    <row r="475">
      <c r="N475" s="49" t="n">
        <v>256.5</v>
      </c>
      <c r="O475" s="49" t="n">
        <v>131.5</v>
      </c>
      <c r="P475" s="49" t="n">
        <v>256.5</v>
      </c>
      <c r="Q475" s="49" t="n">
        <v>131.5</v>
      </c>
    </row>
    <row r="476">
      <c r="N476" s="49" t="n">
        <v>256.5</v>
      </c>
      <c r="O476" s="49" t="n">
        <v>131.5</v>
      </c>
      <c r="P476" s="49" t="n">
        <v>256.5</v>
      </c>
      <c r="Q476" s="49" t="n">
        <v>131.5</v>
      </c>
    </row>
    <row r="477">
      <c r="N477" s="49" t="n">
        <v>256.5</v>
      </c>
      <c r="O477" s="49" t="n">
        <v>154.5</v>
      </c>
      <c r="P477" s="49" t="n">
        <v>256.5</v>
      </c>
      <c r="Q477" s="49" t="n">
        <v>154.5</v>
      </c>
    </row>
    <row r="478">
      <c r="N478" s="49" t="n">
        <v>256.5</v>
      </c>
      <c r="O478" s="49" t="n">
        <v>165</v>
      </c>
      <c r="P478" s="49" t="n">
        <v>256.5</v>
      </c>
      <c r="Q478" s="49" t="n">
        <v>165</v>
      </c>
    </row>
    <row r="479">
      <c r="N479" s="49" t="n">
        <v>256.5</v>
      </c>
      <c r="O479" s="49" t="n">
        <v>154.5</v>
      </c>
      <c r="P479" s="49" t="n">
        <v>256.5</v>
      </c>
      <c r="Q479" s="49" t="n">
        <v>154.5</v>
      </c>
    </row>
    <row r="480">
      <c r="N480" s="49" t="n">
        <v>256.5</v>
      </c>
      <c r="O480" s="49" t="n">
        <v>198.5</v>
      </c>
      <c r="P480" s="49" t="n">
        <v>256.5</v>
      </c>
      <c r="Q480" s="49" t="n">
        <v>198.5</v>
      </c>
    </row>
    <row r="481">
      <c r="N481" s="49" t="n">
        <v>256.5</v>
      </c>
      <c r="O481" s="49" t="n">
        <v>195</v>
      </c>
      <c r="P481" s="49" t="n">
        <v>256.5</v>
      </c>
      <c r="Q481" s="49" t="n">
        <v>195</v>
      </c>
    </row>
    <row r="482">
      <c r="N482" s="49" t="n">
        <v>256.5</v>
      </c>
      <c r="O482" s="49" t="n">
        <v>202</v>
      </c>
      <c r="P482" s="49" t="n">
        <v>256.5</v>
      </c>
      <c r="Q482" s="49" t="n">
        <v>202</v>
      </c>
    </row>
    <row r="483">
      <c r="N483" s="49" t="n">
        <v>256.5</v>
      </c>
      <c r="O483" s="49" t="n">
        <v>202</v>
      </c>
      <c r="P483" s="49" t="n">
        <v>256.5</v>
      </c>
      <c r="Q483" s="49" t="n">
        <v>202</v>
      </c>
    </row>
    <row r="484">
      <c r="N484" s="49" t="n">
        <v>256.5</v>
      </c>
      <c r="O484" s="49" t="n">
        <v>229</v>
      </c>
      <c r="P484" s="49" t="n">
        <v>256.5</v>
      </c>
      <c r="Q484" s="49" t="n">
        <v>229</v>
      </c>
    </row>
    <row r="485">
      <c r="N485" s="49" t="n">
        <v>256.5</v>
      </c>
      <c r="O485" s="49" t="n">
        <v>202</v>
      </c>
      <c r="P485" s="49" t="n">
        <v>256.5</v>
      </c>
      <c r="Q485" s="49" t="n">
        <v>202</v>
      </c>
    </row>
    <row r="486">
      <c r="N486" s="49" t="n">
        <v>256.5</v>
      </c>
      <c r="O486" s="49" t="n">
        <v>223</v>
      </c>
      <c r="P486" s="49" t="n">
        <v>256.5</v>
      </c>
      <c r="Q486" s="49" t="n">
        <v>223</v>
      </c>
    </row>
    <row r="487">
      <c r="N487" s="49" t="n">
        <v>256.5</v>
      </c>
      <c r="O487" s="49" t="n">
        <v>224</v>
      </c>
      <c r="P487" s="49" t="n">
        <v>256.5</v>
      </c>
      <c r="Q487" s="49" t="n">
        <v>224</v>
      </c>
    </row>
    <row r="488">
      <c r="N488" s="49" t="n">
        <v>256.5</v>
      </c>
      <c r="O488" s="49" t="n">
        <v>250</v>
      </c>
      <c r="P488" s="49" t="n">
        <v>256.5</v>
      </c>
      <c r="Q488" s="49" t="n">
        <v>250</v>
      </c>
    </row>
    <row r="489">
      <c r="N489" s="49" t="n">
        <v>256.5</v>
      </c>
      <c r="O489" s="49" t="n">
        <v>220.5</v>
      </c>
      <c r="P489" s="49" t="n">
        <v>256.5</v>
      </c>
      <c r="Q489" s="49" t="n">
        <v>220.5</v>
      </c>
    </row>
    <row r="490">
      <c r="N490" s="49" t="n">
        <v>130.5</v>
      </c>
      <c r="O490" s="49" t="n">
        <v>196</v>
      </c>
      <c r="P490" s="49" t="n">
        <v>130.5</v>
      </c>
      <c r="Q490" s="49" t="n">
        <v>196</v>
      </c>
    </row>
    <row r="491">
      <c r="N491" s="49" t="n">
        <v>256.5</v>
      </c>
      <c r="O491" s="49" t="n">
        <v>220.5</v>
      </c>
      <c r="P491" s="49" t="n">
        <v>256.5</v>
      </c>
      <c r="Q491" s="49" t="n">
        <v>220.5</v>
      </c>
    </row>
    <row r="492">
      <c r="N492" s="49" t="n">
        <v>130.5</v>
      </c>
      <c r="O492" s="49" t="n">
        <v>191</v>
      </c>
      <c r="P492" s="49" t="n">
        <v>130.5</v>
      </c>
      <c r="Q492" s="49" t="n">
        <v>191</v>
      </c>
    </row>
    <row r="493">
      <c r="N493" s="49" t="n">
        <v>130.5</v>
      </c>
      <c r="O493" s="49" t="n">
        <v>156</v>
      </c>
      <c r="P493" s="49" t="n">
        <v>130.5</v>
      </c>
      <c r="Q493" s="49" t="n">
        <v>156</v>
      </c>
    </row>
    <row r="494">
      <c r="N494" s="49" t="n">
        <v>130.5</v>
      </c>
      <c r="O494" s="49" t="n">
        <v>163</v>
      </c>
      <c r="P494" s="49" t="n">
        <v>130.5</v>
      </c>
      <c r="Q494" s="49" t="n">
        <v>163</v>
      </c>
    </row>
    <row r="495">
      <c r="N495" s="49" t="n">
        <v>130.5</v>
      </c>
      <c r="O495" s="49" t="n">
        <v>163</v>
      </c>
      <c r="P495" s="49" t="n">
        <v>130.5</v>
      </c>
      <c r="Q495" s="49" t="n">
        <v>163</v>
      </c>
    </row>
    <row r="496">
      <c r="N496" s="49" t="n">
        <v>130.5</v>
      </c>
      <c r="O496" s="49" t="n">
        <v>139</v>
      </c>
      <c r="P496" s="49" t="n">
        <v>130.5</v>
      </c>
      <c r="Q496" s="49" t="n">
        <v>139</v>
      </c>
    </row>
    <row r="497">
      <c r="N497" s="49" t="n">
        <v>130.5</v>
      </c>
      <c r="O497" s="49" t="n">
        <v>163</v>
      </c>
      <c r="P497" s="49" t="n">
        <v>130.5</v>
      </c>
      <c r="Q497" s="49" t="n">
        <v>163</v>
      </c>
    </row>
    <row r="498">
      <c r="N498" s="49" t="n">
        <v>130.5</v>
      </c>
      <c r="O498" s="49" t="n">
        <v>144</v>
      </c>
      <c r="P498" s="49" t="n">
        <v>130.5</v>
      </c>
      <c r="Q498" s="49" t="n">
        <v>144</v>
      </c>
    </row>
    <row r="499">
      <c r="N499" s="49" t="n">
        <v>130.5</v>
      </c>
      <c r="O499" s="49" t="n">
        <v>124.5</v>
      </c>
      <c r="P499" s="49" t="n">
        <v>130.5</v>
      </c>
      <c r="Q499" s="49" t="n">
        <v>124.5</v>
      </c>
    </row>
    <row r="500">
      <c r="N500" s="49" t="n">
        <v>130.5</v>
      </c>
      <c r="O500" s="49" t="n">
        <v>124.5</v>
      </c>
      <c r="P500" s="49" t="n">
        <v>130.5</v>
      </c>
      <c r="Q500" s="49" t="n">
        <v>124.5</v>
      </c>
    </row>
    <row r="501">
      <c r="N501" s="49" t="n">
        <v>130.5</v>
      </c>
      <c r="O501" s="49" t="n">
        <v>116.5</v>
      </c>
      <c r="P501" s="49" t="n">
        <v>130.5</v>
      </c>
      <c r="Q501" s="49" t="n">
        <v>116.5</v>
      </c>
    </row>
    <row r="502">
      <c r="N502" s="49" t="n">
        <v>130.5</v>
      </c>
      <c r="O502" s="49" t="n">
        <v>122</v>
      </c>
      <c r="P502" s="49" t="n">
        <v>130.5</v>
      </c>
      <c r="Q502" s="49" t="n">
        <v>122</v>
      </c>
    </row>
    <row r="503">
      <c r="N503" s="49" t="n">
        <v>130.5</v>
      </c>
      <c r="O503" s="49" t="n">
        <v>116.5</v>
      </c>
      <c r="P503" s="49" t="n">
        <v>130.5</v>
      </c>
      <c r="Q503" s="49" t="n">
        <v>116.5</v>
      </c>
    </row>
    <row r="504">
      <c r="N504" s="49" t="n">
        <v>130.5</v>
      </c>
      <c r="O504" s="49" t="n">
        <v>119</v>
      </c>
      <c r="P504" s="49" t="n">
        <v>130.5</v>
      </c>
      <c r="Q504" s="49" t="n">
        <v>119</v>
      </c>
    </row>
    <row r="505">
      <c r="N505" s="49" t="n">
        <v>130.5</v>
      </c>
      <c r="O505" s="49" t="n">
        <v>121</v>
      </c>
      <c r="P505" s="49" t="n">
        <v>130.5</v>
      </c>
      <c r="Q505" s="49" t="n">
        <v>121</v>
      </c>
    </row>
    <row r="506">
      <c r="N506" s="49" t="n">
        <v>130.5</v>
      </c>
      <c r="O506" s="49" t="n">
        <v>123</v>
      </c>
      <c r="P506" s="49" t="n">
        <v>130.5</v>
      </c>
      <c r="Q506" s="49" t="n">
        <v>123</v>
      </c>
    </row>
    <row r="507">
      <c r="N507" s="49" t="n">
        <v>130.5</v>
      </c>
      <c r="O507" s="49" t="n">
        <v>160</v>
      </c>
      <c r="P507" s="49" t="n">
        <v>130.5</v>
      </c>
      <c r="Q507" s="49" t="n">
        <v>160</v>
      </c>
    </row>
    <row r="508">
      <c r="N508" s="49" t="n">
        <v>130.5</v>
      </c>
      <c r="O508" s="49" t="n">
        <v>160</v>
      </c>
      <c r="P508" s="49" t="n">
        <v>130.5</v>
      </c>
      <c r="Q508" s="49" t="n">
        <v>160</v>
      </c>
    </row>
    <row r="509">
      <c r="N509" s="49" t="n">
        <v>130.5</v>
      </c>
      <c r="O509" s="49" t="n">
        <v>160</v>
      </c>
      <c r="P509" s="49" t="n">
        <v>130.5</v>
      </c>
      <c r="Q509" s="49" t="n">
        <v>160</v>
      </c>
    </row>
    <row r="510">
      <c r="N510" s="49" t="n">
        <v>130.5</v>
      </c>
      <c r="O510" s="49" t="n">
        <v>218</v>
      </c>
      <c r="P510" s="49" t="n">
        <v>130.5</v>
      </c>
      <c r="Q510" s="49" t="n">
        <v>218</v>
      </c>
    </row>
    <row r="511">
      <c r="N511" s="49" t="n">
        <v>130.5</v>
      </c>
      <c r="O511" s="49" t="n">
        <v>282</v>
      </c>
      <c r="P511" s="49" t="n">
        <v>130.5</v>
      </c>
      <c r="Q511" s="49" t="n">
        <v>282</v>
      </c>
    </row>
    <row r="512">
      <c r="N512" s="49" t="n">
        <v>130.5</v>
      </c>
      <c r="O512" s="49" t="n">
        <v>275</v>
      </c>
      <c r="P512" s="49" t="n">
        <v>130.5</v>
      </c>
      <c r="Q512" s="49" t="n">
        <v>275</v>
      </c>
    </row>
    <row r="513">
      <c r="N513" s="49" t="n">
        <v>130.5</v>
      </c>
      <c r="O513" s="49" t="n">
        <v>266</v>
      </c>
      <c r="P513" s="49" t="n">
        <v>130.5</v>
      </c>
      <c r="Q513" s="49" t="n">
        <v>266</v>
      </c>
    </row>
    <row r="514">
      <c r="N514" s="49" t="n">
        <v>218.5</v>
      </c>
      <c r="O514" s="49" t="n">
        <v>252</v>
      </c>
      <c r="P514" s="49" t="n">
        <v>218.5</v>
      </c>
      <c r="Q514" s="49" t="n">
        <v>252</v>
      </c>
    </row>
    <row r="515">
      <c r="N515" s="49" t="n">
        <v>130.5</v>
      </c>
      <c r="O515" s="49" t="n">
        <v>266</v>
      </c>
      <c r="P515" s="49" t="n">
        <v>130.5</v>
      </c>
      <c r="Q515" s="49" t="n">
        <v>266</v>
      </c>
    </row>
    <row r="516">
      <c r="N516" s="49" t="n">
        <v>218.5</v>
      </c>
      <c r="O516" s="49" t="n">
        <v>146</v>
      </c>
      <c r="P516" s="49" t="n">
        <v>218.5</v>
      </c>
      <c r="Q516" s="49" t="n">
        <v>146</v>
      </c>
    </row>
    <row r="517">
      <c r="N517" s="49" t="n">
        <v>218.5</v>
      </c>
      <c r="O517" s="49" t="n">
        <v>149</v>
      </c>
      <c r="P517" s="49" t="n">
        <v>218.5</v>
      </c>
      <c r="Q517" s="49" t="n">
        <v>149</v>
      </c>
    </row>
    <row r="518">
      <c r="N518" s="49" t="n">
        <v>218.5</v>
      </c>
      <c r="O518" s="49" t="n">
        <v>143</v>
      </c>
      <c r="P518" s="49" t="n">
        <v>218.5</v>
      </c>
      <c r="Q518" s="49" t="n">
        <v>143</v>
      </c>
    </row>
    <row r="519">
      <c r="N519" s="49" t="n">
        <v>218.5</v>
      </c>
      <c r="O519" s="49" t="n">
        <v>134.5</v>
      </c>
      <c r="P519" s="49" t="n">
        <v>218.5</v>
      </c>
      <c r="Q519" s="49" t="n">
        <v>134.5</v>
      </c>
    </row>
    <row r="520">
      <c r="N520" s="49" t="n">
        <v>218.5</v>
      </c>
      <c r="O520" s="49" t="n">
        <v>133</v>
      </c>
      <c r="P520" s="49" t="n">
        <v>218.5</v>
      </c>
      <c r="Q520" s="49" t="n">
        <v>133</v>
      </c>
    </row>
    <row r="521">
      <c r="N521" s="49" t="n">
        <v>218.5</v>
      </c>
      <c r="O521" s="49" t="n">
        <v>134.5</v>
      </c>
      <c r="P521" s="49" t="n">
        <v>218.5</v>
      </c>
      <c r="Q521" s="49" t="n">
        <v>134.5</v>
      </c>
    </row>
    <row r="522">
      <c r="N522" s="49" t="n">
        <v>218.5</v>
      </c>
      <c r="O522" s="49" t="n">
        <v>118</v>
      </c>
      <c r="P522" s="49" t="n">
        <v>218.5</v>
      </c>
      <c r="Q522" s="49" t="n">
        <v>118</v>
      </c>
    </row>
    <row r="523">
      <c r="N523" s="49" t="n">
        <v>218.5</v>
      </c>
      <c r="O523" s="49" t="n">
        <v>81</v>
      </c>
      <c r="P523" s="49" t="n">
        <v>218.5</v>
      </c>
      <c r="Q523" s="49" t="n">
        <v>81</v>
      </c>
    </row>
    <row r="524">
      <c r="N524" s="49" t="n">
        <v>218.5</v>
      </c>
      <c r="O524" s="49" t="n">
        <v>90</v>
      </c>
      <c r="P524" s="49" t="n">
        <v>218.5</v>
      </c>
      <c r="Q524" s="49" t="n">
        <v>90</v>
      </c>
    </row>
    <row r="525">
      <c r="N525" s="49" t="n">
        <v>218.5</v>
      </c>
      <c r="O525" s="49" t="n">
        <v>90</v>
      </c>
      <c r="P525" s="49" t="n">
        <v>218.5</v>
      </c>
      <c r="Q525" s="49" t="n">
        <v>90</v>
      </c>
    </row>
    <row r="526">
      <c r="N526" s="49" t="n">
        <v>218.5</v>
      </c>
      <c r="O526" s="49" t="n">
        <v>76</v>
      </c>
      <c r="P526" s="49" t="n">
        <v>218.5</v>
      </c>
      <c r="Q526" s="49" t="n">
        <v>76</v>
      </c>
    </row>
    <row r="527">
      <c r="N527" s="49" t="n">
        <v>218.5</v>
      </c>
      <c r="O527" s="49" t="n">
        <v>90</v>
      </c>
      <c r="P527" s="49" t="n">
        <v>218.5</v>
      </c>
      <c r="Q527" s="49" t="n">
        <v>90</v>
      </c>
    </row>
    <row r="528">
      <c r="N528" s="49" t="n">
        <v>218.5</v>
      </c>
      <c r="O528" s="49" t="n">
        <v>71</v>
      </c>
      <c r="P528" s="49" t="n">
        <v>218.5</v>
      </c>
      <c r="Q528" s="49" t="n">
        <v>71</v>
      </c>
    </row>
    <row r="529">
      <c r="N529" s="49" t="n">
        <v>218.5</v>
      </c>
      <c r="O529" s="49" t="n">
        <v>72</v>
      </c>
      <c r="P529" s="49" t="n">
        <v>218.5</v>
      </c>
      <c r="Q529" s="49" t="n">
        <v>72</v>
      </c>
    </row>
    <row r="530">
      <c r="N530" s="49" t="n">
        <v>218.5</v>
      </c>
      <c r="O530" s="49" t="n">
        <v>88</v>
      </c>
      <c r="P530" s="49" t="n">
        <v>218.5</v>
      </c>
      <c r="Q530" s="49" t="n">
        <v>88</v>
      </c>
    </row>
    <row r="531">
      <c r="N531" s="49" t="n">
        <v>218.5</v>
      </c>
      <c r="O531" s="49" t="n">
        <v>82.5</v>
      </c>
      <c r="P531" s="49" t="n">
        <v>218.5</v>
      </c>
      <c r="Q531" s="49" t="n">
        <v>82.5</v>
      </c>
    </row>
    <row r="532">
      <c r="N532" s="49" t="n">
        <v>218.5</v>
      </c>
      <c r="O532" s="49" t="n">
        <v>70</v>
      </c>
      <c r="P532" s="49" t="n">
        <v>218.5</v>
      </c>
      <c r="Q532" s="49" t="n">
        <v>70</v>
      </c>
    </row>
    <row r="533">
      <c r="N533" s="49" t="n">
        <v>218.5</v>
      </c>
      <c r="O533" s="49" t="n">
        <v>82.5</v>
      </c>
      <c r="P533" s="49" t="n">
        <v>218.5</v>
      </c>
      <c r="Q533" s="49" t="n">
        <v>82.5</v>
      </c>
    </row>
    <row r="534">
      <c r="N534" s="49" t="n">
        <v>218.5</v>
      </c>
      <c r="O534" s="49" t="n">
        <v>65</v>
      </c>
      <c r="P534" s="49" t="n">
        <v>218.5</v>
      </c>
      <c r="Q534" s="49" t="n">
        <v>65</v>
      </c>
    </row>
    <row r="535">
      <c r="N535" s="49" t="n">
        <v>218.5</v>
      </c>
      <c r="O535" s="49" t="n">
        <v>62</v>
      </c>
      <c r="P535" s="49" t="n">
        <v>218.5</v>
      </c>
      <c r="Q535" s="49" t="n">
        <v>62</v>
      </c>
    </row>
    <row r="536">
      <c r="N536" s="49" t="n">
        <v>218.5</v>
      </c>
      <c r="O536" s="49" t="n">
        <v>45</v>
      </c>
      <c r="P536" s="49" t="n">
        <v>218.5</v>
      </c>
      <c r="Q536" s="49" t="n">
        <v>45</v>
      </c>
    </row>
    <row r="537">
      <c r="N537" s="49" t="n">
        <v>218.5</v>
      </c>
      <c r="O537" s="49" t="n">
        <v>73.5</v>
      </c>
      <c r="P537" s="49" t="n">
        <v>218.5</v>
      </c>
      <c r="Q537" s="49" t="n">
        <v>73.5</v>
      </c>
    </row>
    <row r="538">
      <c r="N538" s="49" t="n">
        <v>218.5</v>
      </c>
      <c r="O538" s="49" t="n">
        <v>80</v>
      </c>
      <c r="P538" s="49" t="n">
        <v>218.5</v>
      </c>
      <c r="Q538" s="49" t="n">
        <v>80</v>
      </c>
    </row>
    <row r="539">
      <c r="N539" s="49" t="n">
        <v>218.5</v>
      </c>
      <c r="O539" s="49" t="n">
        <v>73.5</v>
      </c>
      <c r="P539" s="49" t="n">
        <v>218.5</v>
      </c>
      <c r="Q539" s="49" t="n">
        <v>73.5</v>
      </c>
    </row>
    <row r="540">
      <c r="N540" s="49" t="n">
        <v>54</v>
      </c>
      <c r="O540" s="49" t="n">
        <v>61</v>
      </c>
      <c r="P540" s="49" t="n">
        <v>54</v>
      </c>
      <c r="Q540" s="49" t="n">
        <v>61</v>
      </c>
    </row>
    <row r="541">
      <c r="N541" s="49" t="n">
        <v>54</v>
      </c>
      <c r="O541" s="49" t="n">
        <v>55.5</v>
      </c>
      <c r="P541" s="49" t="n">
        <v>54</v>
      </c>
      <c r="Q541" s="49" t="n">
        <v>55.5</v>
      </c>
    </row>
    <row r="542">
      <c r="N542" s="49" t="n">
        <v>54</v>
      </c>
      <c r="O542" s="49" t="n">
        <v>55.5</v>
      </c>
      <c r="P542" s="49" t="n">
        <v>54</v>
      </c>
      <c r="Q542" s="49" t="n">
        <v>55.5</v>
      </c>
    </row>
    <row r="543">
      <c r="N543" s="49" t="n">
        <v>54</v>
      </c>
      <c r="O543" s="49" t="n">
        <v>55.5</v>
      </c>
      <c r="P543" s="49" t="n">
        <v>54</v>
      </c>
      <c r="Q543" s="49" t="n">
        <v>55.5</v>
      </c>
    </row>
    <row r="544">
      <c r="N544" s="49" t="n">
        <v>54</v>
      </c>
      <c r="O544" s="49" t="n">
        <v>55.5</v>
      </c>
      <c r="P544" s="49" t="n">
        <v>54</v>
      </c>
      <c r="Q544" s="49" t="n">
        <v>55.5</v>
      </c>
    </row>
    <row r="545">
      <c r="N545" s="49" t="n">
        <v>54</v>
      </c>
      <c r="O545" s="49" t="n">
        <v>55.5</v>
      </c>
      <c r="P545" s="49" t="n">
        <v>54</v>
      </c>
      <c r="Q545" s="49" t="n">
        <v>55.5</v>
      </c>
    </row>
    <row r="546">
      <c r="N546" s="49" t="n">
        <v>54</v>
      </c>
      <c r="O546" s="49" t="n">
        <v>55.5</v>
      </c>
      <c r="P546" s="49" t="n">
        <v>54</v>
      </c>
      <c r="Q546" s="49" t="n">
        <v>55.5</v>
      </c>
    </row>
    <row r="547">
      <c r="N547" s="49" t="n">
        <v>54</v>
      </c>
      <c r="O547" s="49" t="n">
        <v>55.5</v>
      </c>
      <c r="P547" s="49" t="n">
        <v>54</v>
      </c>
      <c r="Q547" s="49" t="n">
        <v>55.5</v>
      </c>
    </row>
    <row r="548">
      <c r="N548" s="49" t="n">
        <v>54</v>
      </c>
      <c r="O548" s="49" t="n">
        <v>55.5</v>
      </c>
      <c r="P548" s="49" t="n">
        <v>54</v>
      </c>
      <c r="Q548" s="49" t="n">
        <v>55.5</v>
      </c>
    </row>
    <row r="549">
      <c r="N549" s="49" t="n">
        <v>54</v>
      </c>
      <c r="O549" s="49" t="n">
        <v>40.5</v>
      </c>
      <c r="P549" s="49" t="n">
        <v>54</v>
      </c>
      <c r="Q549" s="49" t="n">
        <v>40.5</v>
      </c>
    </row>
    <row r="550">
      <c r="N550" s="49" t="n">
        <v>54</v>
      </c>
      <c r="O550" s="49" t="n">
        <v>26.5</v>
      </c>
      <c r="P550" s="49" t="n">
        <v>54</v>
      </c>
      <c r="Q550" s="49" t="n">
        <v>26.5</v>
      </c>
    </row>
    <row r="551">
      <c r="N551" s="49" t="n">
        <v>54</v>
      </c>
      <c r="O551" s="49" t="n">
        <v>40.5</v>
      </c>
      <c r="P551" s="49" t="n">
        <v>54</v>
      </c>
      <c r="Q551" s="49" t="n">
        <v>40.5</v>
      </c>
    </row>
    <row r="552">
      <c r="N552" s="49" t="n">
        <v>54</v>
      </c>
      <c r="O552" s="49" t="n">
        <v>26.5</v>
      </c>
      <c r="P552" s="49" t="n">
        <v>54</v>
      </c>
      <c r="Q552" s="49" t="n">
        <v>26.5</v>
      </c>
    </row>
    <row r="553">
      <c r="N553" s="49" t="n">
        <v>54</v>
      </c>
      <c r="O553" s="49" t="n">
        <v>23</v>
      </c>
      <c r="P553" s="49" t="n">
        <v>54</v>
      </c>
      <c r="Q553" s="49" t="n">
        <v>23</v>
      </c>
    </row>
    <row r="554">
      <c r="N554" s="49" t="n">
        <v>54</v>
      </c>
      <c r="O554" s="49" t="n">
        <v>18</v>
      </c>
      <c r="P554" s="49" t="n">
        <v>54</v>
      </c>
      <c r="Q554" s="49" t="n">
        <v>18</v>
      </c>
    </row>
    <row r="555">
      <c r="N555" s="49" t="n">
        <v>54</v>
      </c>
      <c r="O555" s="49" t="n">
        <v>14</v>
      </c>
      <c r="P555" s="49" t="n">
        <v>54</v>
      </c>
      <c r="Q555" s="49" t="n">
        <v>14</v>
      </c>
    </row>
    <row r="556">
      <c r="N556" s="49" t="n">
        <v>54</v>
      </c>
      <c r="O556" s="49" t="n">
        <v>15.5</v>
      </c>
      <c r="P556" s="49" t="n">
        <v>54</v>
      </c>
      <c r="Q556" s="49" t="n">
        <v>15.5</v>
      </c>
    </row>
    <row r="557">
      <c r="N557" s="49" t="n">
        <v>54</v>
      </c>
      <c r="O557" s="49" t="n">
        <v>13</v>
      </c>
      <c r="P557" s="49" t="n">
        <v>54</v>
      </c>
      <c r="Q557" s="49" t="n">
        <v>13</v>
      </c>
    </row>
    <row r="558">
      <c r="N558" s="49" t="n">
        <v>54</v>
      </c>
      <c r="O558" s="49" t="n">
        <v>15.5</v>
      </c>
      <c r="P558" s="49" t="n">
        <v>54</v>
      </c>
      <c r="Q558" s="49" t="n">
        <v>15.5</v>
      </c>
    </row>
    <row r="559">
      <c r="N559" s="49" t="n">
        <v>11</v>
      </c>
      <c r="O559" s="49" t="n">
        <v>9</v>
      </c>
      <c r="P559" s="49" t="n">
        <v>11</v>
      </c>
      <c r="Q559" s="49" t="n">
        <v>9</v>
      </c>
    </row>
    <row r="560">
      <c r="N560" s="49" t="n">
        <v>11</v>
      </c>
      <c r="O560" s="49" t="n">
        <v>12</v>
      </c>
      <c r="P560" s="49" t="n">
        <v>11</v>
      </c>
      <c r="Q560" s="49" t="n">
        <v>12</v>
      </c>
    </row>
    <row r="561">
      <c r="N561" s="49" t="n">
        <v>11</v>
      </c>
      <c r="O561" s="49" t="n">
        <v>17</v>
      </c>
      <c r="P561" s="49" t="n">
        <v>11</v>
      </c>
      <c r="Q561" s="49" t="n">
        <v>17</v>
      </c>
    </row>
    <row r="562">
      <c r="N562" s="49" t="n">
        <v>11</v>
      </c>
      <c r="O562" s="49" t="n">
        <v>19.5</v>
      </c>
      <c r="P562" s="49" t="n">
        <v>11</v>
      </c>
      <c r="Q562" s="49" t="n">
        <v>19.5</v>
      </c>
    </row>
    <row r="563">
      <c r="N563" s="49" t="n">
        <v>11</v>
      </c>
      <c r="O563" s="49" t="n">
        <v>21</v>
      </c>
      <c r="P563" s="49" t="n">
        <v>11</v>
      </c>
      <c r="Q563" s="49" t="n">
        <v>21</v>
      </c>
    </row>
    <row r="564">
      <c r="N564" s="49" t="n">
        <v>11</v>
      </c>
      <c r="O564" s="49" t="n">
        <v>19.5</v>
      </c>
      <c r="P564" s="49" t="n">
        <v>11</v>
      </c>
      <c r="Q564" s="49" t="n">
        <v>19.5</v>
      </c>
    </row>
    <row r="565">
      <c r="N565" s="49" t="n">
        <v>11</v>
      </c>
      <c r="O565" s="49" t="n">
        <v>29</v>
      </c>
      <c r="P565" s="49" t="n">
        <v>11</v>
      </c>
      <c r="Q565" s="49" t="n">
        <v>29</v>
      </c>
    </row>
    <row r="566">
      <c r="N566" s="49" t="n">
        <v>11</v>
      </c>
      <c r="O566" s="49" t="n">
        <v>36</v>
      </c>
      <c r="P566" s="49" t="n">
        <v>11</v>
      </c>
      <c r="Q566" s="49" t="n">
        <v>36</v>
      </c>
    </row>
    <row r="567">
      <c r="N567" s="49" t="n">
        <v>11</v>
      </c>
      <c r="O567" s="49" t="n">
        <v>33</v>
      </c>
      <c r="P567" s="49" t="n">
        <v>11</v>
      </c>
      <c r="Q567" s="49" t="n">
        <v>33</v>
      </c>
    </row>
    <row r="568">
      <c r="N568" s="49" t="n">
        <v>11</v>
      </c>
      <c r="O568" s="49" t="n">
        <v>31.5</v>
      </c>
      <c r="P568" s="49" t="n">
        <v>11</v>
      </c>
      <c r="Q568" s="49" t="n">
        <v>31.5</v>
      </c>
    </row>
    <row r="569">
      <c r="N569" s="49" t="n">
        <v>22</v>
      </c>
      <c r="O569" s="49" t="n">
        <v>30</v>
      </c>
      <c r="P569" s="49" t="n">
        <v>22</v>
      </c>
      <c r="Q569" s="49" t="n">
        <v>30</v>
      </c>
    </row>
    <row r="570">
      <c r="N570" s="49" t="n">
        <v>11</v>
      </c>
      <c r="O570" s="49" t="n">
        <v>31.5</v>
      </c>
      <c r="P570" s="49" t="n">
        <v>11</v>
      </c>
      <c r="Q570" s="49" t="n">
        <v>31.5</v>
      </c>
    </row>
    <row r="571">
      <c r="N571" s="49" t="n">
        <v>22</v>
      </c>
      <c r="O571" s="49" t="n">
        <v>37</v>
      </c>
      <c r="P571" s="49" t="n">
        <v>22</v>
      </c>
      <c r="Q571" s="49" t="n">
        <v>37</v>
      </c>
    </row>
    <row r="572">
      <c r="N572" s="49" t="n">
        <v>22</v>
      </c>
      <c r="O572" s="49" t="n">
        <v>44</v>
      </c>
      <c r="P572" s="49" t="n">
        <v>22</v>
      </c>
      <c r="Q572" s="49" t="n">
        <v>44</v>
      </c>
    </row>
    <row r="573">
      <c r="N573" s="49" t="n">
        <v>22</v>
      </c>
      <c r="O573" s="49" t="n">
        <v>34</v>
      </c>
      <c r="P573" s="49" t="n">
        <v>22</v>
      </c>
      <c r="Q573" s="49" t="n">
        <v>34</v>
      </c>
    </row>
    <row r="574">
      <c r="N574" s="49" t="n">
        <v>22</v>
      </c>
      <c r="O574" s="49" t="n">
        <v>38.5</v>
      </c>
      <c r="P574" s="49" t="n">
        <v>22</v>
      </c>
      <c r="Q574" s="49" t="n">
        <v>38.5</v>
      </c>
    </row>
    <row r="575">
      <c r="N575" s="49" t="n">
        <v>22</v>
      </c>
      <c r="O575" s="49" t="n">
        <v>60</v>
      </c>
      <c r="P575" s="49" t="n">
        <v>22</v>
      </c>
      <c r="Q575" s="49" t="n">
        <v>60</v>
      </c>
    </row>
    <row r="576">
      <c r="N576" s="49" t="n">
        <v>22</v>
      </c>
      <c r="O576" s="49" t="n">
        <v>38.5</v>
      </c>
      <c r="P576" s="49" t="n">
        <v>22</v>
      </c>
      <c r="Q576" s="49" t="n">
        <v>38.5</v>
      </c>
    </row>
    <row r="577">
      <c r="N577" s="49" t="n">
        <v>22</v>
      </c>
      <c r="O577" s="49" t="n">
        <v>84</v>
      </c>
      <c r="P577" s="49" t="n">
        <v>22</v>
      </c>
      <c r="Q577" s="49" t="n">
        <v>84</v>
      </c>
    </row>
    <row r="578">
      <c r="N578" s="49" t="n">
        <v>54</v>
      </c>
      <c r="O578" s="49" t="n">
        <v>78</v>
      </c>
      <c r="P578" s="49" t="n">
        <v>54</v>
      </c>
      <c r="Q578" s="49" t="n">
        <v>78</v>
      </c>
    </row>
    <row r="579">
      <c r="N579" s="49" t="n">
        <v>54</v>
      </c>
      <c r="O579" s="49" t="n">
        <v>75</v>
      </c>
      <c r="P579" s="49" t="n">
        <v>54</v>
      </c>
      <c r="Q579" s="49" t="n">
        <v>75</v>
      </c>
    </row>
    <row r="580">
      <c r="N580" s="49" t="n">
        <v>54</v>
      </c>
      <c r="O580" s="49" t="n">
        <v>50.5</v>
      </c>
      <c r="P580" s="49" t="n">
        <v>54</v>
      </c>
      <c r="Q580" s="49" t="n">
        <v>50.5</v>
      </c>
    </row>
    <row r="581">
      <c r="N581" s="49" t="n">
        <v>54</v>
      </c>
      <c r="O581" s="49" t="n">
        <v>100</v>
      </c>
      <c r="P581" s="49" t="n">
        <v>54</v>
      </c>
      <c r="Q581" s="49" t="n">
        <v>100</v>
      </c>
    </row>
    <row r="582">
      <c r="N582" s="49" t="n">
        <v>54</v>
      </c>
      <c r="O582" s="49" t="n">
        <v>50.5</v>
      </c>
      <c r="P582" s="49" t="n">
        <v>54</v>
      </c>
      <c r="Q582" s="49" t="n">
        <v>50.5</v>
      </c>
    </row>
    <row r="583">
      <c r="N583" s="49" t="n">
        <v>54</v>
      </c>
      <c r="O583" s="49" t="n">
        <v>85</v>
      </c>
      <c r="P583" s="49" t="n">
        <v>54</v>
      </c>
      <c r="Q583" s="49" t="n">
        <v>85</v>
      </c>
    </row>
    <row r="584">
      <c r="N584" s="49" t="n">
        <v>54</v>
      </c>
      <c r="O584" s="49" t="n">
        <v>69</v>
      </c>
      <c r="P584" s="49" t="n">
        <v>54</v>
      </c>
      <c r="Q584" s="49" t="n">
        <v>69</v>
      </c>
    </row>
    <row r="585">
      <c r="N585" s="49" t="n">
        <v>54</v>
      </c>
      <c r="O585" s="49" t="n">
        <v>87</v>
      </c>
      <c r="P585" s="49" t="n">
        <v>54</v>
      </c>
      <c r="Q585" s="49" t="n">
        <v>87</v>
      </c>
    </row>
    <row r="586">
      <c r="N586" s="49" t="n">
        <v>54</v>
      </c>
      <c r="O586" s="49" t="n">
        <v>97.5</v>
      </c>
      <c r="P586" s="49" t="n">
        <v>54</v>
      </c>
      <c r="Q586" s="49" t="n">
        <v>97.5</v>
      </c>
    </row>
    <row r="587">
      <c r="N587" s="49" t="n">
        <v>54</v>
      </c>
      <c r="O587" s="49" t="n">
        <v>63</v>
      </c>
      <c r="P587" s="49" t="n">
        <v>54</v>
      </c>
      <c r="Q587" s="49" t="n">
        <v>63</v>
      </c>
    </row>
    <row r="588">
      <c r="N588" s="49" t="n">
        <v>54</v>
      </c>
      <c r="O588" s="49" t="n">
        <v>97.5</v>
      </c>
      <c r="P588" s="49" t="n">
        <v>54</v>
      </c>
      <c r="Q588" s="49" t="n">
        <v>97.5</v>
      </c>
    </row>
    <row r="589">
      <c r="N589" s="49" t="n">
        <v>54</v>
      </c>
      <c r="O589" s="49" t="n">
        <v>86</v>
      </c>
      <c r="P589" s="49" t="n">
        <v>54</v>
      </c>
      <c r="Q589" s="49" t="n">
        <v>86</v>
      </c>
    </row>
    <row r="590">
      <c r="N590" s="49" t="n">
        <v>54</v>
      </c>
      <c r="O590" s="49" t="n">
        <v>94</v>
      </c>
      <c r="P590" s="49" t="n">
        <v>54</v>
      </c>
      <c r="Q590" s="49" t="n">
        <v>94</v>
      </c>
    </row>
    <row r="591">
      <c r="N591" s="49" t="n">
        <v>54</v>
      </c>
      <c r="O591" s="49" t="n">
        <v>96</v>
      </c>
      <c r="P591" s="49" t="n">
        <v>54</v>
      </c>
      <c r="Q591" s="49" t="n">
        <v>96</v>
      </c>
    </row>
    <row r="592">
      <c r="N592" s="49" t="n">
        <v>54</v>
      </c>
      <c r="O592" s="49" t="n">
        <v>67.5</v>
      </c>
      <c r="P592" s="49" t="n">
        <v>54</v>
      </c>
      <c r="Q592" s="49" t="n">
        <v>67.5</v>
      </c>
    </row>
    <row r="593">
      <c r="N593" s="49" t="n">
        <v>89.5</v>
      </c>
      <c r="O593" s="49" t="n">
        <v>99</v>
      </c>
      <c r="P593" s="49" t="n">
        <v>89.5</v>
      </c>
      <c r="Q593" s="49" t="n">
        <v>99</v>
      </c>
    </row>
    <row r="594">
      <c r="N594" s="49" t="n">
        <v>54</v>
      </c>
      <c r="O594" s="49" t="n">
        <v>67.5</v>
      </c>
      <c r="P594" s="49" t="n">
        <v>54</v>
      </c>
      <c r="Q594" s="49" t="n">
        <v>67.5</v>
      </c>
    </row>
    <row r="595">
      <c r="N595" s="49" t="n">
        <v>89.5</v>
      </c>
      <c r="O595" s="49" t="n">
        <v>113</v>
      </c>
      <c r="P595" s="49" t="n">
        <v>89.5</v>
      </c>
      <c r="Q595" s="49" t="n">
        <v>113</v>
      </c>
    </row>
    <row r="596">
      <c r="N596" s="49" t="n">
        <v>89.5</v>
      </c>
      <c r="O596" s="49" t="n">
        <v>115</v>
      </c>
      <c r="P596" s="49" t="n">
        <v>89.5</v>
      </c>
      <c r="Q596" s="49" t="n">
        <v>115</v>
      </c>
    </row>
    <row r="597">
      <c r="N597" s="49" t="n">
        <v>89.5</v>
      </c>
      <c r="O597" s="49" t="n">
        <v>114</v>
      </c>
      <c r="P597" s="49" t="n">
        <v>89.5</v>
      </c>
      <c r="Q597" s="49" t="n">
        <v>114</v>
      </c>
    </row>
    <row r="598">
      <c r="N598" s="49" t="n">
        <v>130.5</v>
      </c>
      <c r="O598" s="49" t="n">
        <v>111.5</v>
      </c>
      <c r="P598" s="49" t="n">
        <v>130.5</v>
      </c>
      <c r="Q598" s="49" t="n">
        <v>111.5</v>
      </c>
    </row>
    <row r="599">
      <c r="N599" s="49" t="n">
        <v>130.5</v>
      </c>
      <c r="O599" s="49" t="n">
        <v>108</v>
      </c>
      <c r="P599" s="49" t="n">
        <v>130.5</v>
      </c>
      <c r="Q599" s="49" t="n">
        <v>108</v>
      </c>
    </row>
    <row r="600">
      <c r="N600" s="49" t="n">
        <v>130.5</v>
      </c>
      <c r="O600" s="49" t="n">
        <v>111.5</v>
      </c>
      <c r="P600" s="49" t="n">
        <v>130.5</v>
      </c>
      <c r="Q600" s="49" t="n">
        <v>111.5</v>
      </c>
    </row>
    <row r="601">
      <c r="N601" s="49" t="n">
        <v>130.5</v>
      </c>
      <c r="O601" s="49" t="n">
        <v>106</v>
      </c>
      <c r="P601" s="49" t="n">
        <v>130.5</v>
      </c>
      <c r="Q601" s="49" t="n">
        <v>106</v>
      </c>
    </row>
    <row r="602">
      <c r="N602" s="49" t="n">
        <v>130.5</v>
      </c>
      <c r="O602" s="49" t="n">
        <v>103</v>
      </c>
      <c r="P602" s="49" t="n">
        <v>130.5</v>
      </c>
      <c r="Q602" s="49" t="n">
        <v>103</v>
      </c>
    </row>
    <row r="603">
      <c r="N603" s="49" t="n">
        <v>130.5</v>
      </c>
      <c r="O603" s="49" t="n">
        <v>77</v>
      </c>
      <c r="P603" s="49" t="n">
        <v>130.5</v>
      </c>
      <c r="Q603" s="49" t="n">
        <v>77</v>
      </c>
    </row>
    <row r="604">
      <c r="N604" s="49" t="n">
        <v>130.5</v>
      </c>
      <c r="O604" s="49" t="n">
        <v>94</v>
      </c>
      <c r="P604" s="49" t="n">
        <v>130.5</v>
      </c>
      <c r="Q604" s="49" t="n">
        <v>94</v>
      </c>
    </row>
    <row r="605">
      <c r="N605" s="49" t="n">
        <v>130.5</v>
      </c>
      <c r="O605" s="49" t="n">
        <v>79</v>
      </c>
      <c r="P605" s="49" t="n">
        <v>130.5</v>
      </c>
      <c r="Q605" s="49" t="n">
        <v>79</v>
      </c>
    </row>
    <row r="606">
      <c r="N606" s="49" t="n">
        <v>130.5</v>
      </c>
      <c r="O606" s="49" t="n">
        <v>94</v>
      </c>
      <c r="P606" s="49" t="n">
        <v>130.5</v>
      </c>
      <c r="Q606" s="49" t="n">
        <v>94</v>
      </c>
    </row>
    <row r="607">
      <c r="N607" s="49" t="n">
        <v>130.5</v>
      </c>
      <c r="O607" s="49" t="n">
        <v>92</v>
      </c>
      <c r="P607" s="49" t="n">
        <v>130.5</v>
      </c>
      <c r="Q607" s="49" t="n">
        <v>92</v>
      </c>
    </row>
    <row r="608">
      <c r="N608" s="49" t="n">
        <v>130.5</v>
      </c>
      <c r="O608" s="49" t="n">
        <v>64</v>
      </c>
      <c r="P608" s="49" t="n">
        <v>130.5</v>
      </c>
      <c r="Q608" s="49" t="n">
        <v>64</v>
      </c>
    </row>
    <row r="609">
      <c r="N609" s="49" t="n">
        <v>130.5</v>
      </c>
      <c r="O609" s="49" t="n">
        <v>66</v>
      </c>
      <c r="P609" s="49" t="n">
        <v>130.5</v>
      </c>
      <c r="Q609" s="49" t="n">
        <v>66</v>
      </c>
    </row>
    <row r="610">
      <c r="N610" s="49" t="n">
        <v>130.5</v>
      </c>
      <c r="O610" s="49" t="n">
        <v>104.5</v>
      </c>
      <c r="P610" s="49" t="n">
        <v>130.5</v>
      </c>
      <c r="Q610" s="49" t="n">
        <v>104.5</v>
      </c>
    </row>
    <row r="611">
      <c r="N611" s="49" t="n">
        <v>130.5</v>
      </c>
      <c r="O611" s="49" t="n">
        <v>130</v>
      </c>
      <c r="P611" s="49" t="n">
        <v>130.5</v>
      </c>
      <c r="Q611" s="49" t="n">
        <v>130</v>
      </c>
    </row>
    <row r="612">
      <c r="N612" s="49" t="n">
        <v>130.5</v>
      </c>
      <c r="O612" s="49" t="n">
        <v>104.5</v>
      </c>
      <c r="P612" s="49" t="n">
        <v>130.5</v>
      </c>
      <c r="Q612" s="49" t="n">
        <v>104.5</v>
      </c>
    </row>
    <row r="613">
      <c r="N613" s="49" t="n">
        <v>130.5</v>
      </c>
      <c r="O613" s="49" t="n">
        <v>235</v>
      </c>
      <c r="P613" s="49" t="n">
        <v>130.5</v>
      </c>
      <c r="Q613" s="49" t="n">
        <v>235</v>
      </c>
    </row>
    <row r="614">
      <c r="N614" s="49" t="n">
        <v>130.5</v>
      </c>
      <c r="O614" s="49" t="n">
        <v>283</v>
      </c>
      <c r="P614" s="49" t="n">
        <v>130.5</v>
      </c>
      <c r="Q614" s="49" t="n">
        <v>283</v>
      </c>
    </row>
    <row r="615">
      <c r="N615" s="49" t="n">
        <v>130.5</v>
      </c>
      <c r="O615" s="49" t="n">
        <v>305</v>
      </c>
      <c r="P615" s="49" t="n">
        <v>130.5</v>
      </c>
      <c r="Q615" s="49" t="n">
        <v>305</v>
      </c>
    </row>
    <row r="616">
      <c r="N616" s="49" t="n">
        <v>130.5</v>
      </c>
      <c r="O616" s="49" t="n">
        <v>344.5</v>
      </c>
      <c r="P616" s="49" t="n">
        <v>130.5</v>
      </c>
      <c r="Q616" s="49" t="n">
        <v>344.5</v>
      </c>
    </row>
    <row r="617">
      <c r="N617" s="49" t="n">
        <v>130.5</v>
      </c>
      <c r="O617" s="49" t="n">
        <v>392</v>
      </c>
      <c r="P617" s="49" t="n">
        <v>130.5</v>
      </c>
      <c r="Q617" s="49" t="n">
        <v>392</v>
      </c>
    </row>
    <row r="618">
      <c r="N618" s="49" t="n">
        <v>130.5</v>
      </c>
      <c r="O618" s="49" t="n">
        <v>344.5</v>
      </c>
      <c r="P618" s="49" t="n">
        <v>130.5</v>
      </c>
      <c r="Q618" s="49" t="n">
        <v>344.5</v>
      </c>
    </row>
    <row r="619">
      <c r="N619" s="49" t="n">
        <v>130.5</v>
      </c>
      <c r="O619" s="49" t="n">
        <v>342</v>
      </c>
      <c r="P619" s="49" t="n">
        <v>130.5</v>
      </c>
      <c r="Q619" s="49" t="n">
        <v>342</v>
      </c>
    </row>
    <row r="620">
      <c r="N620" s="49" t="n">
        <v>130.5</v>
      </c>
      <c r="O620" s="49" t="n">
        <v>361</v>
      </c>
      <c r="P620" s="49" t="n">
        <v>130.5</v>
      </c>
      <c r="Q620" s="49" t="n">
        <v>361</v>
      </c>
    </row>
    <row r="621">
      <c r="N621" s="49" t="n">
        <v>353.5</v>
      </c>
      <c r="O621" s="49" t="n">
        <v>355.5</v>
      </c>
      <c r="P621" s="49" t="n">
        <v>353.5</v>
      </c>
      <c r="Q621" s="49" t="n">
        <v>355.5</v>
      </c>
    </row>
    <row r="622">
      <c r="N622" s="49" t="n">
        <v>353.5</v>
      </c>
      <c r="O622" s="49" t="n">
        <v>355.5</v>
      </c>
      <c r="P622" s="49" t="n">
        <v>353.5</v>
      </c>
      <c r="Q622" s="49" t="n">
        <v>355.5</v>
      </c>
    </row>
    <row r="623">
      <c r="N623" s="49" t="n">
        <v>353.5</v>
      </c>
      <c r="O623" s="49" t="n">
        <v>355.5</v>
      </c>
      <c r="P623" s="49" t="n">
        <v>353.5</v>
      </c>
      <c r="Q623" s="49" t="n">
        <v>355.5</v>
      </c>
    </row>
    <row r="624">
      <c r="N624" s="49" t="n">
        <v>353.5</v>
      </c>
      <c r="O624" s="49" t="n">
        <v>355.5</v>
      </c>
      <c r="P624" s="49" t="n">
        <v>353.5</v>
      </c>
      <c r="Q624" s="49" t="n">
        <v>355.5</v>
      </c>
    </row>
    <row r="625">
      <c r="N625" s="49" t="n">
        <v>353.5</v>
      </c>
      <c r="O625" s="49" t="n">
        <v>329</v>
      </c>
      <c r="P625" s="49" t="n">
        <v>353.5</v>
      </c>
      <c r="Q625" s="49" t="n">
        <v>329</v>
      </c>
    </row>
    <row r="626">
      <c r="N626" s="49" t="n">
        <v>353.5</v>
      </c>
      <c r="O626" s="49" t="n">
        <v>388</v>
      </c>
      <c r="P626" s="49" t="n">
        <v>353.5</v>
      </c>
      <c r="Q626" s="49" t="n">
        <v>388</v>
      </c>
    </row>
    <row r="627">
      <c r="N627" s="49" t="n">
        <v>353.5</v>
      </c>
      <c r="O627" s="49" t="n">
        <v>370</v>
      </c>
      <c r="P627" s="49" t="n">
        <v>353.5</v>
      </c>
      <c r="Q627" s="49" t="n">
        <v>370</v>
      </c>
    </row>
    <row r="628">
      <c r="N628" s="49" t="n">
        <v>353.5</v>
      </c>
      <c r="O628" s="49" t="n">
        <v>351.5</v>
      </c>
      <c r="P628" s="49" t="n">
        <v>353.5</v>
      </c>
      <c r="Q628" s="49" t="n">
        <v>351.5</v>
      </c>
    </row>
    <row r="629">
      <c r="N629" s="49" t="n">
        <v>353.5</v>
      </c>
      <c r="O629" s="49" t="n">
        <v>373</v>
      </c>
      <c r="P629" s="49" t="n">
        <v>353.5</v>
      </c>
      <c r="Q629" s="49" t="n">
        <v>373</v>
      </c>
    </row>
    <row r="630">
      <c r="N630" s="49" t="n">
        <v>353.5</v>
      </c>
      <c r="O630" s="49" t="n">
        <v>351.5</v>
      </c>
      <c r="P630" s="49" t="n">
        <v>353.5</v>
      </c>
      <c r="Q630" s="49" t="n">
        <v>351.5</v>
      </c>
    </row>
    <row r="631">
      <c r="N631" s="49" t="n">
        <v>353.5</v>
      </c>
      <c r="O631" s="49" t="n">
        <v>386</v>
      </c>
      <c r="P631" s="49" t="n">
        <v>353.5</v>
      </c>
      <c r="Q631" s="49" t="n">
        <v>386</v>
      </c>
    </row>
    <row r="632">
      <c r="N632" s="49" t="n">
        <v>353.5</v>
      </c>
      <c r="O632" s="49" t="n">
        <v>378</v>
      </c>
      <c r="P632" s="49" t="n">
        <v>353.5</v>
      </c>
      <c r="Q632" s="49" t="n">
        <v>378</v>
      </c>
    </row>
    <row r="633">
      <c r="N633" s="49" t="n">
        <v>353.5</v>
      </c>
      <c r="O633" s="49" t="n">
        <v>372</v>
      </c>
      <c r="P633" s="49" t="n">
        <v>353.5</v>
      </c>
      <c r="Q633" s="49" t="n">
        <v>372</v>
      </c>
    </row>
    <row r="634">
      <c r="N634" s="49" t="n">
        <v>353.5</v>
      </c>
      <c r="O634" s="49" t="n">
        <v>347.5</v>
      </c>
      <c r="P634" s="49" t="n">
        <v>353.5</v>
      </c>
      <c r="Q634" s="49" t="n">
        <v>347.5</v>
      </c>
    </row>
    <row r="635">
      <c r="N635" s="49" t="n">
        <v>353.5</v>
      </c>
      <c r="O635" s="49" t="n">
        <v>330</v>
      </c>
      <c r="P635" s="49" t="n">
        <v>353.5</v>
      </c>
      <c r="Q635" s="49" t="n">
        <v>330</v>
      </c>
    </row>
    <row r="636">
      <c r="N636" s="49" t="n">
        <v>353.5</v>
      </c>
      <c r="O636" s="49" t="n">
        <v>347.5</v>
      </c>
      <c r="P636" s="49" t="n">
        <v>353.5</v>
      </c>
      <c r="Q636" s="49" t="n">
        <v>347.5</v>
      </c>
    </row>
    <row r="637">
      <c r="N637" s="49" t="n">
        <v>353.5</v>
      </c>
      <c r="O637" s="49" t="n">
        <v>327</v>
      </c>
      <c r="P637" s="49" t="n">
        <v>353.5</v>
      </c>
      <c r="Q637" s="49" t="n">
        <v>327</v>
      </c>
    </row>
    <row r="638">
      <c r="N638" s="49" t="n">
        <v>353.5</v>
      </c>
      <c r="O638" s="49" t="n">
        <v>340</v>
      </c>
      <c r="P638" s="49" t="n">
        <v>353.5</v>
      </c>
      <c r="Q638" s="49" t="n">
        <v>340</v>
      </c>
    </row>
    <row r="639">
      <c r="N639" s="49" t="n">
        <v>353.5</v>
      </c>
      <c r="O639" s="49" t="n">
        <v>346</v>
      </c>
      <c r="P639" s="49" t="n">
        <v>353.5</v>
      </c>
      <c r="Q639" s="49" t="n">
        <v>346</v>
      </c>
    </row>
    <row r="640">
      <c r="N640" s="49" t="n">
        <v>353.5</v>
      </c>
      <c r="O640" s="49" t="n">
        <v>374.5</v>
      </c>
      <c r="P640" s="49" t="n">
        <v>353.5</v>
      </c>
      <c r="Q640" s="49" t="n">
        <v>374.5</v>
      </c>
    </row>
    <row r="641">
      <c r="N641" s="49" t="n">
        <v>353.5</v>
      </c>
      <c r="O641" s="49" t="n">
        <v>419</v>
      </c>
      <c r="P641" s="49" t="n">
        <v>353.5</v>
      </c>
      <c r="Q641" s="49" t="n">
        <v>419</v>
      </c>
    </row>
    <row r="642">
      <c r="N642" s="49" t="n">
        <v>353.5</v>
      </c>
      <c r="O642" s="49" t="n">
        <v>374.5</v>
      </c>
      <c r="P642" s="49" t="n">
        <v>353.5</v>
      </c>
      <c r="Q642" s="49" t="n">
        <v>374.5</v>
      </c>
    </row>
    <row r="643">
      <c r="N643" s="49" t="n">
        <v>296.5</v>
      </c>
      <c r="O643" s="49" t="n">
        <v>433</v>
      </c>
      <c r="P643" s="49" t="n">
        <v>296.5</v>
      </c>
      <c r="Q643" s="49" t="n">
        <v>433</v>
      </c>
    </row>
    <row r="644">
      <c r="N644" s="49" t="n">
        <v>296.5</v>
      </c>
      <c r="O644" s="49" t="n">
        <v>420</v>
      </c>
      <c r="P644" s="49" t="n">
        <v>296.5</v>
      </c>
      <c r="Q644" s="49" t="n">
        <v>420</v>
      </c>
    </row>
    <row r="645">
      <c r="N645" s="49" t="n">
        <v>296.5</v>
      </c>
      <c r="O645" s="49" t="n">
        <v>429</v>
      </c>
      <c r="P645" s="49" t="n">
        <v>296.5</v>
      </c>
      <c r="Q645" s="49" t="n">
        <v>429</v>
      </c>
    </row>
    <row r="646">
      <c r="N646" s="49" t="n">
        <v>296.5</v>
      </c>
      <c r="O646" s="49" t="n">
        <v>426.5</v>
      </c>
      <c r="P646" s="49" t="n">
        <v>296.5</v>
      </c>
      <c r="Q646" s="49" t="n">
        <v>426.5</v>
      </c>
    </row>
    <row r="647">
      <c r="N647" s="49" t="n">
        <v>296.5</v>
      </c>
      <c r="O647" s="49" t="n">
        <v>428</v>
      </c>
      <c r="P647" s="49" t="n">
        <v>296.5</v>
      </c>
      <c r="Q647" s="49" t="n">
        <v>428</v>
      </c>
    </row>
    <row r="648">
      <c r="N648" s="49" t="n">
        <v>296.5</v>
      </c>
      <c r="O648" s="49" t="n">
        <v>426.5</v>
      </c>
      <c r="P648" s="49" t="n">
        <v>296.5</v>
      </c>
      <c r="Q648" s="49" t="n">
        <v>426.5</v>
      </c>
    </row>
    <row r="649">
      <c r="N649" s="49" t="n">
        <v>406.5</v>
      </c>
      <c r="O649" s="49" t="n">
        <v>402</v>
      </c>
      <c r="P649" s="49" t="n">
        <v>406.5</v>
      </c>
      <c r="Q649" s="49" t="n">
        <v>402</v>
      </c>
    </row>
    <row r="650">
      <c r="N650" s="49" t="n">
        <v>406.5</v>
      </c>
      <c r="O650" s="49" t="n">
        <v>394</v>
      </c>
      <c r="P650" s="49" t="n">
        <v>406.5</v>
      </c>
      <c r="Q650" s="49" t="n">
        <v>394</v>
      </c>
    </row>
    <row r="651">
      <c r="N651" s="49" t="n">
        <v>406.5</v>
      </c>
      <c r="O651" s="49" t="n">
        <v>397</v>
      </c>
      <c r="P651" s="49" t="n">
        <v>406.5</v>
      </c>
      <c r="Q651" s="49" t="n">
        <v>397</v>
      </c>
    </row>
    <row r="652">
      <c r="N652" s="49" t="n">
        <v>406.5</v>
      </c>
      <c r="O652" s="49" t="n">
        <v>389.5</v>
      </c>
      <c r="P652" s="49" t="n">
        <v>406.5</v>
      </c>
      <c r="Q652" s="49" t="n">
        <v>389.5</v>
      </c>
    </row>
    <row r="653">
      <c r="N653" s="49" t="n">
        <v>406.5</v>
      </c>
      <c r="O653" s="49" t="n">
        <v>391</v>
      </c>
      <c r="P653" s="49" t="n">
        <v>406.5</v>
      </c>
      <c r="Q653" s="49" t="n">
        <v>391</v>
      </c>
    </row>
    <row r="654">
      <c r="N654" s="49" t="n">
        <v>406.5</v>
      </c>
      <c r="O654" s="49" t="n">
        <v>389.5</v>
      </c>
      <c r="P654" s="49" t="n">
        <v>406.5</v>
      </c>
      <c r="Q654" s="49" t="n">
        <v>389.5</v>
      </c>
    </row>
    <row r="655">
      <c r="N655" s="49" t="n">
        <v>406.5</v>
      </c>
      <c r="O655" s="49" t="n">
        <v>395</v>
      </c>
      <c r="P655" s="49" t="n">
        <v>406.5</v>
      </c>
      <c r="Q655" s="49" t="n">
        <v>395</v>
      </c>
    </row>
    <row r="656">
      <c r="N656" s="49" t="n">
        <v>406.5</v>
      </c>
      <c r="O656" s="49" t="n">
        <v>409</v>
      </c>
      <c r="P656" s="49" t="n">
        <v>406.5</v>
      </c>
      <c r="Q656" s="49" t="n">
        <v>409</v>
      </c>
    </row>
    <row r="657">
      <c r="N657" s="49" t="n">
        <v>406.5</v>
      </c>
      <c r="O657" s="49" t="n">
        <v>413</v>
      </c>
      <c r="P657" s="49" t="n">
        <v>406.5</v>
      </c>
      <c r="Q657" s="49" t="n">
        <v>413</v>
      </c>
    </row>
    <row r="658">
      <c r="N658" s="49" t="n">
        <v>406.5</v>
      </c>
      <c r="O658" s="49" t="n">
        <v>407.5</v>
      </c>
      <c r="P658" s="49" t="n">
        <v>406.5</v>
      </c>
      <c r="Q658" s="49" t="n">
        <v>407.5</v>
      </c>
    </row>
    <row r="659">
      <c r="N659" s="49" t="n">
        <v>406.5</v>
      </c>
      <c r="O659" s="49" t="n">
        <v>399.5</v>
      </c>
      <c r="P659" s="49" t="n">
        <v>406.5</v>
      </c>
      <c r="Q659" s="49" t="n">
        <v>399.5</v>
      </c>
    </row>
    <row r="660">
      <c r="N660" s="49" t="n">
        <v>406.5</v>
      </c>
      <c r="O660" s="49" t="n">
        <v>407.5</v>
      </c>
      <c r="P660" s="49" t="n">
        <v>406.5</v>
      </c>
      <c r="Q660" s="49" t="n">
        <v>407.5</v>
      </c>
    </row>
    <row r="661">
      <c r="N661" s="49" t="n">
        <v>406.5</v>
      </c>
      <c r="O661" s="49" t="n">
        <v>399.5</v>
      </c>
      <c r="P661" s="49" t="n">
        <v>406.5</v>
      </c>
      <c r="Q661" s="49" t="n">
        <v>399.5</v>
      </c>
    </row>
    <row r="662">
      <c r="N662" s="49" t="n">
        <v>406.5</v>
      </c>
      <c r="O662" s="49" t="n">
        <v>399.5</v>
      </c>
      <c r="P662" s="49" t="n">
        <v>406.5</v>
      </c>
      <c r="Q662" s="49" t="n">
        <v>399.5</v>
      </c>
    </row>
    <row r="663">
      <c r="N663" s="49" t="n">
        <v>406.5</v>
      </c>
      <c r="O663" s="49" t="n">
        <v>399.5</v>
      </c>
      <c r="P663" s="49" t="n">
        <v>406.5</v>
      </c>
      <c r="Q663" s="49" t="n">
        <v>399.5</v>
      </c>
    </row>
    <row r="664">
      <c r="N664" s="49" t="n">
        <v>406.5</v>
      </c>
      <c r="O664" s="49" t="n">
        <v>404.5</v>
      </c>
      <c r="P664" s="49" t="n">
        <v>406.5</v>
      </c>
      <c r="Q664" s="49" t="n">
        <v>404.5</v>
      </c>
    </row>
    <row r="665">
      <c r="N665" s="49" t="n">
        <v>406.5</v>
      </c>
      <c r="O665" s="49" t="n">
        <v>404.5</v>
      </c>
      <c r="P665" s="49" t="n">
        <v>406.5</v>
      </c>
      <c r="Q665" s="49" t="n">
        <v>404.5</v>
      </c>
    </row>
    <row r="666">
      <c r="N666" s="49" t="n">
        <v>406.5</v>
      </c>
      <c r="O666" s="49" t="n">
        <v>404.5</v>
      </c>
      <c r="P666" s="49" t="n">
        <v>406.5</v>
      </c>
      <c r="Q666" s="49" t="n">
        <v>404.5</v>
      </c>
    </row>
    <row r="667">
      <c r="N667" s="49" t="n">
        <v>406.5</v>
      </c>
      <c r="O667" s="49" t="n">
        <v>404.5</v>
      </c>
      <c r="P667" s="49" t="n">
        <v>406.5</v>
      </c>
      <c r="Q667" s="49" t="n">
        <v>404.5</v>
      </c>
    </row>
    <row r="668">
      <c r="N668" s="49" t="n">
        <v>406.5</v>
      </c>
      <c r="O668" s="49" t="n">
        <v>431</v>
      </c>
      <c r="P668" s="49" t="n">
        <v>406.5</v>
      </c>
      <c r="Q668" s="49" t="n">
        <v>431</v>
      </c>
    </row>
    <row r="669">
      <c r="N669" s="49" t="n">
        <v>406.5</v>
      </c>
      <c r="O669" s="49" t="n">
        <v>430</v>
      </c>
      <c r="P669" s="49" t="n">
        <v>406.5</v>
      </c>
      <c r="Q669" s="49" t="n">
        <v>430</v>
      </c>
    </row>
    <row r="670">
      <c r="N670" s="49" t="n">
        <v>406.5</v>
      </c>
      <c r="O670" s="49" t="n">
        <v>421.5</v>
      </c>
      <c r="P670" s="49" t="n">
        <v>406.5</v>
      </c>
      <c r="Q670" s="49" t="n">
        <v>421.5</v>
      </c>
    </row>
    <row r="671">
      <c r="N671" s="49" t="n">
        <v>406.5</v>
      </c>
      <c r="O671" s="49" t="n">
        <v>416</v>
      </c>
      <c r="P671" s="49" t="n">
        <v>406.5</v>
      </c>
      <c r="Q671" s="49" t="n">
        <v>416</v>
      </c>
    </row>
    <row r="672">
      <c r="N672" s="49" t="n">
        <v>406.5</v>
      </c>
      <c r="O672" s="49" t="n">
        <v>421.5</v>
      </c>
      <c r="P672" s="49" t="n">
        <v>406.5</v>
      </c>
      <c r="Q672" s="49" t="n">
        <v>421.5</v>
      </c>
    </row>
    <row r="673">
      <c r="N673" s="49" t="n">
        <v>384</v>
      </c>
      <c r="O673" s="49" t="n">
        <v>436</v>
      </c>
      <c r="P673" s="49" t="n">
        <v>384</v>
      </c>
      <c r="Q673" s="49" t="n">
        <v>436</v>
      </c>
    </row>
    <row r="674">
      <c r="N674" s="49" t="n">
        <v>384</v>
      </c>
      <c r="O674" s="49" t="n">
        <v>441</v>
      </c>
      <c r="P674" s="49" t="n">
        <v>384</v>
      </c>
      <c r="Q674" s="49" t="n">
        <v>441</v>
      </c>
    </row>
    <row r="675">
      <c r="N675" s="49" t="n">
        <v>452.5</v>
      </c>
      <c r="O675" s="49" t="n">
        <v>445</v>
      </c>
      <c r="P675" s="49" t="n">
        <v>452.5</v>
      </c>
      <c r="Q675" s="49" t="n">
        <v>445</v>
      </c>
    </row>
    <row r="676">
      <c r="N676" s="49" t="n">
        <v>452.5</v>
      </c>
      <c r="O676" s="49" t="n">
        <v>469.5</v>
      </c>
      <c r="P676" s="49" t="n">
        <v>452.5</v>
      </c>
      <c r="Q676" s="49" t="n">
        <v>469.5</v>
      </c>
    </row>
    <row r="677">
      <c r="N677" s="49" t="n">
        <v>452.5</v>
      </c>
      <c r="O677" s="49" t="n">
        <v>486</v>
      </c>
      <c r="P677" s="49" t="n">
        <v>452.5</v>
      </c>
      <c r="Q677" s="49" t="n">
        <v>486</v>
      </c>
    </row>
    <row r="678">
      <c r="N678" s="49" t="n">
        <v>452.5</v>
      </c>
      <c r="O678" s="49" t="n">
        <v>469.5</v>
      </c>
      <c r="P678" s="49" t="n">
        <v>452.5</v>
      </c>
      <c r="Q678" s="49" t="n">
        <v>469.5</v>
      </c>
    </row>
    <row r="679">
      <c r="N679" s="49" t="n">
        <v>563.5</v>
      </c>
      <c r="O679" s="49" t="n">
        <v>532</v>
      </c>
      <c r="P679" s="49" t="n">
        <v>563.5</v>
      </c>
      <c r="Q679" s="49" t="n">
        <v>532</v>
      </c>
    </row>
    <row r="680">
      <c r="N680" s="49" t="n">
        <v>869</v>
      </c>
      <c r="O680" s="49" t="n">
        <v>493</v>
      </c>
      <c r="P680" s="49" t="n">
        <v>868</v>
      </c>
      <c r="Q680" s="49" t="n">
        <v>493</v>
      </c>
    </row>
    <row r="681">
      <c r="N681" s="49" t="n">
        <v>705</v>
      </c>
      <c r="O681" s="49" t="n">
        <v>535</v>
      </c>
      <c r="P681" s="49" t="n">
        <v>705</v>
      </c>
      <c r="Q681" s="49" t="n">
        <v>535</v>
      </c>
    </row>
    <row r="682">
      <c r="N682" s="49" t="n">
        <v>705</v>
      </c>
      <c r="O682" s="49" t="n">
        <v>727.5</v>
      </c>
      <c r="P682" s="49" t="n">
        <v>705</v>
      </c>
      <c r="Q682" s="49" t="n">
        <v>726.5</v>
      </c>
    </row>
    <row r="683">
      <c r="N683" s="49" t="n">
        <v>851.5</v>
      </c>
      <c r="O683" s="49" t="n">
        <v>789</v>
      </c>
      <c r="P683" s="49" t="n">
        <v>850.5</v>
      </c>
      <c r="Q683" s="49" t="n">
        <v>788</v>
      </c>
    </row>
    <row r="684">
      <c r="N684" s="49" t="n">
        <v>705</v>
      </c>
      <c r="O684" s="49" t="n">
        <v>727.5</v>
      </c>
      <c r="P684" s="49" t="n">
        <v>705</v>
      </c>
      <c r="Q684" s="49" t="n">
        <v>726.5</v>
      </c>
    </row>
    <row r="685">
      <c r="N685" s="49" t="n">
        <v>851.5</v>
      </c>
      <c r="O685" s="49" t="n">
        <v>801</v>
      </c>
      <c r="P685" s="49" t="n">
        <v>850.5</v>
      </c>
      <c r="Q685" s="49" t="n">
        <v>800</v>
      </c>
    </row>
    <row r="686">
      <c r="N686" s="49" t="n">
        <v>851.5</v>
      </c>
      <c r="O686" s="49" t="n">
        <v>833</v>
      </c>
      <c r="P686" s="49" t="n">
        <v>850.5</v>
      </c>
      <c r="Q686" s="49" t="n">
        <v>832</v>
      </c>
    </row>
    <row r="687">
      <c r="N687" s="49" t="n">
        <v>851.5</v>
      </c>
      <c r="O687" s="49" t="n">
        <v>830</v>
      </c>
      <c r="P687" s="49" t="n">
        <v>850.5</v>
      </c>
      <c r="Q687" s="49" t="n">
        <v>829</v>
      </c>
    </row>
    <row r="688">
      <c r="N688" s="49" t="n">
        <v>851.5</v>
      </c>
      <c r="O688" s="49" t="n">
        <v>831.5</v>
      </c>
      <c r="P688" s="49" t="n">
        <v>850.5</v>
      </c>
      <c r="Q688" s="49" t="n">
        <v>830.5</v>
      </c>
    </row>
    <row r="689">
      <c r="N689" s="49" t="n">
        <v>851.5</v>
      </c>
      <c r="O689" s="49" t="n">
        <v>805</v>
      </c>
      <c r="P689" s="49" t="n">
        <v>850.5</v>
      </c>
      <c r="Q689" s="49" t="n">
        <v>804</v>
      </c>
    </row>
    <row r="690">
      <c r="N690" s="49" t="n">
        <v>851.5</v>
      </c>
      <c r="O690" s="49" t="n">
        <v>831.5</v>
      </c>
      <c r="P690" s="49" t="n">
        <v>850.5</v>
      </c>
      <c r="Q690" s="49" t="n">
        <v>830.5</v>
      </c>
    </row>
    <row r="691">
      <c r="N691" s="49" t="n">
        <v>851.5</v>
      </c>
      <c r="O691" s="49" t="n">
        <v>824</v>
      </c>
      <c r="P691" s="49" t="n">
        <v>850.5</v>
      </c>
      <c r="Q691" s="49" t="n">
        <v>823</v>
      </c>
    </row>
    <row r="692">
      <c r="N692" s="49" t="n">
        <v>851.5</v>
      </c>
      <c r="O692" s="49" t="n">
        <v>810</v>
      </c>
      <c r="P692" s="49" t="n">
        <v>850.5</v>
      </c>
      <c r="Q692" s="49" t="n">
        <v>809</v>
      </c>
    </row>
    <row r="693">
      <c r="N693" s="49" t="n">
        <v>851.5</v>
      </c>
      <c r="O693" s="49" t="n">
        <v>798</v>
      </c>
      <c r="P693" s="49" t="n">
        <v>850.5</v>
      </c>
      <c r="Q693" s="49" t="n">
        <v>797</v>
      </c>
    </row>
    <row r="694">
      <c r="N694" s="49" t="n">
        <v>851.5</v>
      </c>
      <c r="O694" s="49" t="n">
        <v>811.5</v>
      </c>
      <c r="P694" s="49" t="n">
        <v>850.5</v>
      </c>
      <c r="Q694" s="49" t="n">
        <v>810.5</v>
      </c>
    </row>
    <row r="695">
      <c r="N695" s="49" t="n">
        <v>851.5</v>
      </c>
      <c r="O695" s="49" t="n">
        <v>813</v>
      </c>
      <c r="P695" s="49" t="n">
        <v>850.5</v>
      </c>
      <c r="Q695" s="49" t="n">
        <v>812</v>
      </c>
    </row>
    <row r="696">
      <c r="N696" s="49" t="n">
        <v>851.5</v>
      </c>
      <c r="O696" s="49" t="n">
        <v>811.5</v>
      </c>
      <c r="P696" s="49" t="n">
        <v>850.5</v>
      </c>
      <c r="Q696" s="49" t="n">
        <v>810.5</v>
      </c>
    </row>
    <row r="697">
      <c r="N697" s="49" t="n">
        <v>851.5</v>
      </c>
      <c r="O697" s="49" t="n">
        <v>825</v>
      </c>
      <c r="P697" s="49" t="n">
        <v>850.5</v>
      </c>
      <c r="Q697" s="49" t="n">
        <v>824</v>
      </c>
    </row>
    <row r="698">
      <c r="N698" s="49" t="n">
        <v>793.5</v>
      </c>
      <c r="O698" s="49" t="n">
        <v>814</v>
      </c>
      <c r="P698" s="49" t="n">
        <v>792.5</v>
      </c>
      <c r="Q698" s="49" t="n">
        <v>813</v>
      </c>
    </row>
    <row r="699">
      <c r="N699" s="49" t="n">
        <v>793.5</v>
      </c>
      <c r="O699" s="49" t="n">
        <v>791</v>
      </c>
      <c r="P699" s="49" t="n">
        <v>792.5</v>
      </c>
      <c r="Q699" s="49" t="n">
        <v>790</v>
      </c>
    </row>
    <row r="700">
      <c r="N700" s="49" t="n">
        <v>793.5</v>
      </c>
      <c r="O700" s="49" t="n">
        <v>807.5</v>
      </c>
      <c r="P700" s="49" t="n">
        <v>792.5</v>
      </c>
      <c r="Q700" s="49" t="n">
        <v>806.5</v>
      </c>
    </row>
    <row r="701">
      <c r="N701" s="49" t="n">
        <v>793.5</v>
      </c>
      <c r="O701" s="49" t="n">
        <v>817.5</v>
      </c>
      <c r="P701" s="49" t="n">
        <v>792.5</v>
      </c>
      <c r="Q701" s="49" t="n">
        <v>816.5</v>
      </c>
    </row>
    <row r="702">
      <c r="N702" s="49" t="n">
        <v>793.5</v>
      </c>
      <c r="O702" s="49" t="n">
        <v>807.5</v>
      </c>
      <c r="P702" s="49" t="n">
        <v>792.5</v>
      </c>
      <c r="Q702" s="49" t="n">
        <v>806.5</v>
      </c>
    </row>
    <row r="703">
      <c r="N703" s="49" t="n">
        <v>793.5</v>
      </c>
      <c r="O703" s="49" t="n">
        <v>817.5</v>
      </c>
      <c r="P703" s="49" t="n">
        <v>792.5</v>
      </c>
      <c r="Q703" s="49" t="n">
        <v>816.5</v>
      </c>
    </row>
    <row r="704">
      <c r="N704" s="49" t="n">
        <v>793.5</v>
      </c>
      <c r="O704" s="49" t="n">
        <v>835</v>
      </c>
      <c r="P704" s="49" t="n">
        <v>792.5</v>
      </c>
      <c r="Q704" s="49" t="n">
        <v>834</v>
      </c>
    </row>
    <row r="705">
      <c r="N705" s="49" t="n">
        <v>793.5</v>
      </c>
      <c r="O705" s="49" t="n">
        <v>765</v>
      </c>
      <c r="P705" s="49" t="n">
        <v>792.5</v>
      </c>
      <c r="Q705" s="49" t="n">
        <v>764</v>
      </c>
    </row>
    <row r="706">
      <c r="N706" s="49" t="n">
        <v>851.5</v>
      </c>
      <c r="O706" s="49" t="n">
        <v>770.5</v>
      </c>
      <c r="P706" s="49" t="n">
        <v>850.5</v>
      </c>
      <c r="Q706" s="49" t="n">
        <v>769.5</v>
      </c>
    </row>
    <row r="707">
      <c r="N707" s="49" t="n">
        <v>779</v>
      </c>
      <c r="O707" s="49" t="n">
        <v>753</v>
      </c>
      <c r="P707" s="49" t="n">
        <v>778</v>
      </c>
      <c r="Q707" s="49" t="n">
        <v>752</v>
      </c>
    </row>
    <row r="708">
      <c r="N708" s="49" t="n">
        <v>851.5</v>
      </c>
      <c r="O708" s="49" t="n">
        <v>770.5</v>
      </c>
      <c r="P708" s="49" t="n">
        <v>850.5</v>
      </c>
      <c r="Q708" s="49" t="n">
        <v>769.5</v>
      </c>
    </row>
    <row r="709">
      <c r="N709" s="49" t="n">
        <v>779</v>
      </c>
      <c r="O709" s="49" t="n">
        <v>747</v>
      </c>
      <c r="P709" s="49" t="n">
        <v>778</v>
      </c>
      <c r="Q709" s="49" t="n">
        <v>746</v>
      </c>
    </row>
    <row r="710">
      <c r="N710" s="49" t="n">
        <v>779</v>
      </c>
      <c r="O710" s="49" t="n">
        <v>755</v>
      </c>
      <c r="P710" s="49" t="n">
        <v>778</v>
      </c>
      <c r="Q710" s="49" t="n">
        <v>754</v>
      </c>
    </row>
    <row r="711">
      <c r="N711" s="49" t="n">
        <v>779</v>
      </c>
      <c r="O711" s="49" t="n">
        <v>772</v>
      </c>
      <c r="P711" s="49" t="n">
        <v>778</v>
      </c>
      <c r="Q711" s="49" t="n">
        <v>771</v>
      </c>
    </row>
    <row r="712">
      <c r="N712" s="49" t="n">
        <v>779</v>
      </c>
      <c r="O712" s="49" t="n">
        <v>774.5</v>
      </c>
      <c r="P712" s="49" t="n">
        <v>778</v>
      </c>
      <c r="Q712" s="49" t="n">
        <v>773.5</v>
      </c>
    </row>
    <row r="713">
      <c r="N713" s="49" t="n">
        <v>779</v>
      </c>
      <c r="O713" s="49" t="n">
        <v>788</v>
      </c>
      <c r="P713" s="49" t="n">
        <v>778</v>
      </c>
      <c r="Q713" s="49" t="n">
        <v>787</v>
      </c>
    </row>
    <row r="714">
      <c r="N714" s="49" t="n">
        <v>779</v>
      </c>
      <c r="O714" s="49" t="n">
        <v>774.5</v>
      </c>
      <c r="P714" s="49" t="n">
        <v>778</v>
      </c>
      <c r="Q714" s="49" t="n">
        <v>773.5</v>
      </c>
    </row>
    <row r="715">
      <c r="N715" s="49" t="n">
        <v>779</v>
      </c>
      <c r="O715" s="49" t="n">
        <v>766</v>
      </c>
      <c r="P715" s="49" t="n">
        <v>778</v>
      </c>
      <c r="Q715" s="49" t="n">
        <v>765</v>
      </c>
    </row>
    <row r="716">
      <c r="N716" s="49" t="n">
        <v>779</v>
      </c>
      <c r="O716" s="49" t="n">
        <v>764</v>
      </c>
      <c r="P716" s="49" t="n">
        <v>778</v>
      </c>
      <c r="Q716" s="49" t="n">
        <v>763</v>
      </c>
    </row>
    <row r="717">
      <c r="N717" s="49" t="n">
        <v>779</v>
      </c>
      <c r="O717" s="49" t="n">
        <v>773</v>
      </c>
      <c r="P717" s="49" t="n">
        <v>778</v>
      </c>
      <c r="Q717" s="49" t="n">
        <v>772</v>
      </c>
    </row>
    <row r="718">
      <c r="N718" s="49" t="n">
        <v>779</v>
      </c>
      <c r="O718" s="49" t="n">
        <v>780.5</v>
      </c>
      <c r="P718" s="49" t="n">
        <v>778</v>
      </c>
      <c r="Q718" s="49" t="n">
        <v>779.5</v>
      </c>
    </row>
    <row r="719">
      <c r="N719" s="49" t="n">
        <v>779</v>
      </c>
      <c r="O719" s="49" t="n">
        <v>786</v>
      </c>
      <c r="P719" s="49" t="n">
        <v>778</v>
      </c>
      <c r="Q719" s="49" t="n">
        <v>785</v>
      </c>
    </row>
    <row r="720">
      <c r="N720" s="49" t="n">
        <v>779</v>
      </c>
      <c r="O720" s="49" t="n">
        <v>780.5</v>
      </c>
      <c r="P720" s="49" t="n">
        <v>778</v>
      </c>
      <c r="Q720" s="49" t="n">
        <v>779.5</v>
      </c>
    </row>
    <row r="721">
      <c r="N721" s="49" t="n">
        <v>779</v>
      </c>
      <c r="O721" s="49" t="n">
        <v>809</v>
      </c>
      <c r="P721" s="49" t="n">
        <v>778</v>
      </c>
      <c r="Q721" s="49" t="n">
        <v>808</v>
      </c>
    </row>
    <row r="722">
      <c r="N722" s="49" t="n">
        <v>779</v>
      </c>
      <c r="O722" s="49" t="n">
        <v>819</v>
      </c>
      <c r="P722" s="49" t="n">
        <v>778</v>
      </c>
      <c r="Q722" s="49" t="n">
        <v>818</v>
      </c>
    </row>
    <row r="723">
      <c r="N723" s="49" t="n">
        <v>824.5</v>
      </c>
      <c r="O723" s="49" t="n">
        <v>820</v>
      </c>
      <c r="P723" s="49" t="n">
        <v>823.5</v>
      </c>
      <c r="Q723" s="49" t="n">
        <v>819</v>
      </c>
    </row>
    <row r="724">
      <c r="N724" s="49" t="n">
        <v>824.5</v>
      </c>
      <c r="O724" s="49" t="n">
        <v>821</v>
      </c>
      <c r="P724" s="49" t="n">
        <v>823.5</v>
      </c>
      <c r="Q724" s="49" t="n">
        <v>820</v>
      </c>
    </row>
    <row r="725">
      <c r="N725" s="49" t="n">
        <v>824.5</v>
      </c>
      <c r="O725" s="49" t="n">
        <v>827.5</v>
      </c>
      <c r="P725" s="49" t="n">
        <v>823.5</v>
      </c>
      <c r="Q725" s="49" t="n">
        <v>826.5</v>
      </c>
    </row>
    <row r="726">
      <c r="N726" s="49" t="n">
        <v>824.5</v>
      </c>
      <c r="O726" s="49" t="n">
        <v>827.5</v>
      </c>
      <c r="P726" s="49" t="n">
        <v>823.5</v>
      </c>
      <c r="Q726" s="49" t="n">
        <v>826.5</v>
      </c>
    </row>
    <row r="727">
      <c r="N727" s="49" t="n">
        <v>824.5</v>
      </c>
      <c r="O727" s="49" t="n">
        <v>827.5</v>
      </c>
      <c r="P727" s="49" t="n">
        <v>823.5</v>
      </c>
      <c r="Q727" s="49" t="n">
        <v>826.5</v>
      </c>
    </row>
    <row r="728">
      <c r="N728" s="49" t="n">
        <v>824.5</v>
      </c>
      <c r="O728" s="49" t="n">
        <v>827.5</v>
      </c>
      <c r="P728" s="49" t="n">
        <v>823.5</v>
      </c>
      <c r="Q728" s="49" t="n">
        <v>826.5</v>
      </c>
    </row>
    <row r="729">
      <c r="N729" s="49" t="n">
        <v>824.5</v>
      </c>
      <c r="O729" s="49" t="n">
        <v>834</v>
      </c>
      <c r="P729" s="49" t="n">
        <v>823.5</v>
      </c>
      <c r="Q729" s="49" t="n">
        <v>833</v>
      </c>
    </row>
    <row r="730">
      <c r="N730" s="49" t="n">
        <v>824.5</v>
      </c>
      <c r="O730" s="49" t="n">
        <v>815.5</v>
      </c>
      <c r="P730" s="49" t="n">
        <v>823.5</v>
      </c>
      <c r="Q730" s="49" t="n">
        <v>814.5</v>
      </c>
    </row>
    <row r="731">
      <c r="N731" s="49" t="n">
        <v>824.5</v>
      </c>
      <c r="O731" s="49" t="n">
        <v>797</v>
      </c>
      <c r="P731" s="49" t="n">
        <v>823.5</v>
      </c>
      <c r="Q731" s="49" t="n">
        <v>796</v>
      </c>
    </row>
    <row r="732">
      <c r="N732" s="49" t="n">
        <v>824.5</v>
      </c>
      <c r="O732" s="49" t="n">
        <v>815.5</v>
      </c>
      <c r="P732" s="49" t="n">
        <v>823.5</v>
      </c>
      <c r="Q732" s="49" t="n">
        <v>814.5</v>
      </c>
    </row>
    <row r="733">
      <c r="N733" s="49" t="n">
        <v>824.5</v>
      </c>
      <c r="O733" s="49" t="n">
        <v>804</v>
      </c>
      <c r="P733" s="49" t="n">
        <v>823.5</v>
      </c>
      <c r="Q733" s="49" t="n">
        <v>803</v>
      </c>
    </row>
    <row r="734">
      <c r="N734" s="49" t="n">
        <v>824.5</v>
      </c>
      <c r="O734" s="49" t="n">
        <v>802</v>
      </c>
      <c r="P734" s="49" t="n">
        <v>823.5</v>
      </c>
      <c r="Q734" s="49" t="n">
        <v>801</v>
      </c>
    </row>
    <row r="735">
      <c r="N735" s="49" t="n">
        <v>824.5</v>
      </c>
      <c r="O735" s="49" t="n">
        <v>779</v>
      </c>
      <c r="P735" s="49" t="n">
        <v>823.5</v>
      </c>
      <c r="Q735" s="49" t="n">
        <v>778</v>
      </c>
    </row>
    <row r="736">
      <c r="N736" s="49" t="n">
        <v>824.5</v>
      </c>
      <c r="O736" s="49" t="n">
        <v>767.5</v>
      </c>
      <c r="P736" s="49" t="n">
        <v>823.5</v>
      </c>
      <c r="Q736" s="49" t="n">
        <v>766.5</v>
      </c>
    </row>
    <row r="737">
      <c r="N737" s="49" t="n">
        <v>824.5</v>
      </c>
      <c r="O737" s="49" t="n">
        <v>782</v>
      </c>
      <c r="P737" s="49" t="n">
        <v>823.5</v>
      </c>
      <c r="Q737" s="49" t="n">
        <v>781</v>
      </c>
    </row>
    <row r="738">
      <c r="N738" s="49" t="n">
        <v>824.5</v>
      </c>
      <c r="O738" s="49" t="n">
        <v>767.5</v>
      </c>
      <c r="P738" s="49" t="n">
        <v>823.5</v>
      </c>
      <c r="Q738" s="49" t="n">
        <v>766.5</v>
      </c>
    </row>
    <row r="739">
      <c r="N739" s="49" t="n">
        <v>824.5</v>
      </c>
      <c r="O739" s="49" t="n">
        <v>806</v>
      </c>
      <c r="P739" s="49" t="n">
        <v>823.5</v>
      </c>
      <c r="Q739" s="49" t="n">
        <v>805</v>
      </c>
    </row>
    <row r="740">
      <c r="N740" s="49" t="n">
        <v>824.5</v>
      </c>
      <c r="O740" s="49" t="n">
        <v>777</v>
      </c>
      <c r="P740" s="49" t="n">
        <v>823.5</v>
      </c>
      <c r="Q740" s="49" t="n">
        <v>776</v>
      </c>
    </row>
    <row r="741">
      <c r="N741" s="49" t="n">
        <v>824.5</v>
      </c>
      <c r="O741" s="49" t="n">
        <v>783</v>
      </c>
      <c r="P741" s="49" t="n">
        <v>823.5</v>
      </c>
      <c r="Q741" s="49" t="n">
        <v>782</v>
      </c>
    </row>
    <row r="742">
      <c r="N742" s="49" t="n">
        <v>824.5</v>
      </c>
      <c r="O742" s="49" t="n">
        <v>784.5</v>
      </c>
      <c r="P742" s="49" t="n">
        <v>823.5</v>
      </c>
      <c r="Q742" s="49" t="n">
        <v>783.5</v>
      </c>
    </row>
    <row r="743">
      <c r="N743" s="49" t="n">
        <v>824.5</v>
      </c>
      <c r="O743" s="49" t="n">
        <v>750</v>
      </c>
      <c r="P743" s="49" t="n">
        <v>823.5</v>
      </c>
      <c r="Q743" s="49" t="n">
        <v>749</v>
      </c>
    </row>
    <row r="744">
      <c r="N744" s="49" t="n">
        <v>824.5</v>
      </c>
      <c r="O744" s="49" t="n">
        <v>784.5</v>
      </c>
      <c r="P744" s="49" t="n">
        <v>823.5</v>
      </c>
      <c r="Q744" s="49" t="n">
        <v>783.5</v>
      </c>
    </row>
    <row r="745">
      <c r="N745" s="49" t="n">
        <v>824.5</v>
      </c>
      <c r="O745" s="49" t="n">
        <v>737</v>
      </c>
      <c r="P745" s="49" t="n">
        <v>823.5</v>
      </c>
      <c r="Q745" s="49" t="n">
        <v>736</v>
      </c>
    </row>
    <row r="746">
      <c r="N746" s="49" t="n">
        <v>824.5</v>
      </c>
      <c r="O746" s="49" t="n">
        <v>732</v>
      </c>
      <c r="P746" s="49" t="n">
        <v>823.5</v>
      </c>
      <c r="Q746" s="49" t="n">
        <v>731</v>
      </c>
    </row>
    <row r="747">
      <c r="N747" s="49" t="n">
        <v>824.5</v>
      </c>
      <c r="O747" s="49" t="n">
        <v>736</v>
      </c>
      <c r="P747" s="49" t="n">
        <v>823.5</v>
      </c>
      <c r="Q747" s="49" t="n">
        <v>735</v>
      </c>
    </row>
    <row r="748">
      <c r="N748" s="49" t="n">
        <v>824.5</v>
      </c>
      <c r="O748" s="49" t="n">
        <v>748.5</v>
      </c>
      <c r="P748" s="49" t="n">
        <v>823.5</v>
      </c>
      <c r="Q748" s="49" t="n">
        <v>747.5</v>
      </c>
    </row>
    <row r="749">
      <c r="N749" s="49" t="n">
        <v>741.5</v>
      </c>
      <c r="O749" s="49" t="n">
        <v>740</v>
      </c>
      <c r="P749" s="49" t="n">
        <v>741.5</v>
      </c>
      <c r="Q749" s="49" t="n">
        <v>739</v>
      </c>
    </row>
    <row r="750">
      <c r="N750" s="49" t="n">
        <v>824.5</v>
      </c>
      <c r="O750" s="49" t="n">
        <v>748.5</v>
      </c>
      <c r="P750" s="49" t="n">
        <v>823.5</v>
      </c>
      <c r="Q750" s="49" t="n">
        <v>747.5</v>
      </c>
    </row>
    <row r="751">
      <c r="N751" s="49" t="n">
        <v>741.5</v>
      </c>
      <c r="O751" s="49" t="n">
        <v>744</v>
      </c>
      <c r="P751" s="49" t="n">
        <v>741.5</v>
      </c>
      <c r="Q751" s="49" t="n">
        <v>743</v>
      </c>
    </row>
    <row r="752">
      <c r="N752" s="49" t="n">
        <v>741.5</v>
      </c>
      <c r="O752" s="49" t="n">
        <v>751</v>
      </c>
      <c r="P752" s="49" t="n">
        <v>741.5</v>
      </c>
      <c r="Q752" s="49" t="n">
        <v>750</v>
      </c>
    </row>
    <row r="753">
      <c r="N753" s="49" t="n">
        <v>741.5</v>
      </c>
      <c r="O753" s="49" t="n">
        <v>758</v>
      </c>
      <c r="P753" s="49" t="n">
        <v>741.5</v>
      </c>
      <c r="Q753" s="49" t="n">
        <v>757</v>
      </c>
    </row>
    <row r="754">
      <c r="N754" s="49" t="n">
        <v>741.5</v>
      </c>
      <c r="O754" s="49" t="n">
        <v>756.5</v>
      </c>
      <c r="P754" s="49" t="n">
        <v>741.5</v>
      </c>
      <c r="Q754" s="49" t="n">
        <v>755.5</v>
      </c>
    </row>
    <row r="755">
      <c r="N755" s="49" t="n">
        <v>741.5</v>
      </c>
      <c r="O755" s="49" t="n">
        <v>776</v>
      </c>
      <c r="P755" s="49" t="n">
        <v>741.5</v>
      </c>
      <c r="Q755" s="49" t="n">
        <v>775</v>
      </c>
    </row>
    <row r="756">
      <c r="N756" s="49" t="n">
        <v>741.5</v>
      </c>
      <c r="O756" s="49" t="n">
        <v>756.5</v>
      </c>
      <c r="P756" s="49" t="n">
        <v>741.5</v>
      </c>
      <c r="Q756" s="49" t="n">
        <v>755.5</v>
      </c>
    </row>
    <row r="757">
      <c r="N757" s="49" t="n">
        <v>741.5</v>
      </c>
      <c r="O757" s="49" t="n">
        <v>790</v>
      </c>
      <c r="P757" s="49" t="n">
        <v>741.5</v>
      </c>
      <c r="Q757" s="49" t="n">
        <v>789</v>
      </c>
    </row>
    <row r="758">
      <c r="N758" s="49" t="n">
        <v>741.5</v>
      </c>
      <c r="O758" s="49" t="n">
        <v>787</v>
      </c>
      <c r="P758" s="49" t="n">
        <v>741.5</v>
      </c>
      <c r="Q758" s="49" t="n">
        <v>786</v>
      </c>
    </row>
    <row r="759">
      <c r="N759" s="49" t="n">
        <v>741.5</v>
      </c>
      <c r="O759" s="49" t="n">
        <v>794</v>
      </c>
      <c r="P759" s="49" t="n">
        <v>741.5</v>
      </c>
      <c r="Q759" s="49" t="n">
        <v>793</v>
      </c>
    </row>
    <row r="760">
      <c r="N760" s="49" t="n">
        <v>741.5</v>
      </c>
      <c r="O760" s="49" t="n">
        <v>799.5</v>
      </c>
      <c r="P760" s="49" t="n">
        <v>741.5</v>
      </c>
      <c r="Q760" s="49" t="n">
        <v>798.5</v>
      </c>
    </row>
    <row r="761">
      <c r="N761" s="49" t="n">
        <v>741.5</v>
      </c>
      <c r="O761" s="49" t="n">
        <v>796</v>
      </c>
      <c r="P761" s="49" t="n">
        <v>741.5</v>
      </c>
      <c r="Q761" s="49" t="n">
        <v>795</v>
      </c>
    </row>
    <row r="762">
      <c r="N762" s="49" t="n">
        <v>741.5</v>
      </c>
      <c r="O762" s="49" t="n">
        <v>799.5</v>
      </c>
      <c r="P762" s="49" t="n">
        <v>741.5</v>
      </c>
      <c r="Q762" s="49" t="n">
        <v>798.5</v>
      </c>
    </row>
    <row r="763">
      <c r="N763" s="49" t="n">
        <v>741.5</v>
      </c>
      <c r="O763" s="49" t="n">
        <v>762</v>
      </c>
      <c r="P763" s="49" t="n">
        <v>741.5</v>
      </c>
      <c r="Q763" s="49" t="n">
        <v>761</v>
      </c>
    </row>
    <row r="764">
      <c r="N764" s="49" t="n">
        <v>741.5</v>
      </c>
      <c r="O764" s="49" t="n">
        <v>726</v>
      </c>
      <c r="P764" s="49" t="n">
        <v>741.5</v>
      </c>
      <c r="Q764" s="49" t="n">
        <v>725</v>
      </c>
    </row>
    <row r="765">
      <c r="N765" s="49" t="n">
        <v>705</v>
      </c>
      <c r="O765" s="49" t="n">
        <v>711</v>
      </c>
      <c r="P765" s="49" t="n">
        <v>705</v>
      </c>
      <c r="Q765" s="49" t="n">
        <v>710</v>
      </c>
    </row>
    <row r="766">
      <c r="N766" s="49" t="n">
        <v>705</v>
      </c>
      <c r="O766" s="49" t="n">
        <v>724</v>
      </c>
      <c r="P766" s="49" t="n">
        <v>705</v>
      </c>
      <c r="Q766" s="49" t="n">
        <v>723</v>
      </c>
    </row>
    <row r="767">
      <c r="N767" s="49" t="n">
        <v>705</v>
      </c>
      <c r="O767" s="49" t="n">
        <v>724</v>
      </c>
      <c r="P767" s="49" t="n">
        <v>705</v>
      </c>
      <c r="Q767" s="49" t="n">
        <v>723</v>
      </c>
    </row>
    <row r="768">
      <c r="N768" s="49" t="n">
        <v>705</v>
      </c>
      <c r="O768" s="49" t="n">
        <v>724</v>
      </c>
      <c r="P768" s="49" t="n">
        <v>705</v>
      </c>
      <c r="Q768" s="49" t="n">
        <v>723</v>
      </c>
    </row>
    <row r="769">
      <c r="N769" s="49" t="n">
        <v>705</v>
      </c>
      <c r="O769" s="49" t="n">
        <v>705</v>
      </c>
      <c r="P769" s="49" t="n">
        <v>705</v>
      </c>
      <c r="Q769" s="49" t="n">
        <v>704</v>
      </c>
    </row>
    <row r="770">
      <c r="N770" s="49" t="n">
        <v>705</v>
      </c>
      <c r="O770" s="49" t="n">
        <v>702</v>
      </c>
      <c r="P770" s="49" t="n">
        <v>705</v>
      </c>
      <c r="Q770" s="49" t="n">
        <v>701</v>
      </c>
    </row>
    <row r="771">
      <c r="N771" s="49" t="n">
        <v>705</v>
      </c>
      <c r="O771" s="49" t="n">
        <v>648</v>
      </c>
      <c r="P771" s="49" t="n">
        <v>705</v>
      </c>
      <c r="Q771" s="49" t="n">
        <v>648</v>
      </c>
    </row>
    <row r="772">
      <c r="N772" s="49" t="n">
        <v>705</v>
      </c>
      <c r="O772" s="49" t="n">
        <v>473.5</v>
      </c>
      <c r="P772" s="49" t="n">
        <v>705</v>
      </c>
      <c r="Q772" s="49" t="n">
        <v>473.5</v>
      </c>
    </row>
    <row r="773">
      <c r="N773" s="49" t="n">
        <v>705</v>
      </c>
      <c r="O773" s="49" t="n">
        <v>483</v>
      </c>
      <c r="P773" s="49" t="n">
        <v>705</v>
      </c>
      <c r="Q773" s="49" t="n">
        <v>483</v>
      </c>
    </row>
    <row r="774">
      <c r="N774" s="49" t="n">
        <v>705</v>
      </c>
      <c r="O774" s="49" t="n">
        <v>473.5</v>
      </c>
      <c r="P774" s="49" t="n">
        <v>705</v>
      </c>
      <c r="Q774" s="49" t="n">
        <v>473.5</v>
      </c>
    </row>
    <row r="775">
      <c r="N775" s="49" t="n">
        <v>438</v>
      </c>
      <c r="O775" s="49" t="n">
        <v>492</v>
      </c>
      <c r="P775" s="49" t="n">
        <v>438</v>
      </c>
      <c r="Q775" s="49" t="n">
        <v>492</v>
      </c>
    </row>
    <row r="776">
      <c r="N776" s="49" t="n">
        <v>438</v>
      </c>
      <c r="O776" s="49" t="n">
        <v>504</v>
      </c>
      <c r="P776" s="49" t="n">
        <v>438</v>
      </c>
      <c r="Q776" s="49" t="n">
        <v>504</v>
      </c>
    </row>
    <row r="777">
      <c r="N777" s="49" t="n">
        <v>438</v>
      </c>
      <c r="O777" s="49" t="n">
        <v>489</v>
      </c>
      <c r="P777" s="49" t="n">
        <v>438</v>
      </c>
      <c r="Q777" s="49" t="n">
        <v>489</v>
      </c>
    </row>
    <row r="778">
      <c r="N778" s="49" t="n">
        <v>438</v>
      </c>
      <c r="O778" s="49" t="n">
        <v>464.5</v>
      </c>
      <c r="P778" s="49" t="n">
        <v>438</v>
      </c>
      <c r="Q778" s="49" t="n">
        <v>464.5</v>
      </c>
    </row>
    <row r="779">
      <c r="N779" s="49" t="n">
        <v>438</v>
      </c>
      <c r="O779" s="49" t="n">
        <v>468</v>
      </c>
      <c r="P779" s="49" t="n">
        <v>438</v>
      </c>
      <c r="Q779" s="49" t="n">
        <v>468</v>
      </c>
    </row>
    <row r="780">
      <c r="N780" s="49" t="n">
        <v>438</v>
      </c>
      <c r="O780" s="49" t="n">
        <v>464.5</v>
      </c>
      <c r="P780" s="49" t="n">
        <v>438</v>
      </c>
      <c r="Q780" s="49" t="n">
        <v>464.5</v>
      </c>
    </row>
    <row r="781">
      <c r="N781" s="49" t="n">
        <v>438</v>
      </c>
      <c r="O781" s="49" t="n">
        <v>490</v>
      </c>
      <c r="P781" s="49" t="n">
        <v>438</v>
      </c>
      <c r="Q781" s="49" t="n">
        <v>490</v>
      </c>
    </row>
    <row r="782">
      <c r="N782" s="49" t="n">
        <v>438</v>
      </c>
      <c r="O782" s="49" t="n">
        <v>499</v>
      </c>
      <c r="P782" s="49" t="n">
        <v>438</v>
      </c>
      <c r="Q782" s="49" t="n">
        <v>499</v>
      </c>
    </row>
    <row r="783">
      <c r="N783" s="49" t="n">
        <v>438</v>
      </c>
      <c r="O783" s="49" t="n">
        <v>541</v>
      </c>
      <c r="P783" s="49" t="n">
        <v>438</v>
      </c>
      <c r="Q783" s="49" t="n">
        <v>541</v>
      </c>
    </row>
    <row r="784">
      <c r="N784" s="49" t="n">
        <v>438</v>
      </c>
      <c r="O784" s="49" t="n">
        <v>638.5</v>
      </c>
      <c r="P784" s="49" t="n">
        <v>438</v>
      </c>
      <c r="Q784" s="49" t="n">
        <v>638.5</v>
      </c>
    </row>
    <row r="785">
      <c r="N785" s="49" t="n">
        <v>438</v>
      </c>
      <c r="O785" s="49" t="n">
        <v>573</v>
      </c>
      <c r="P785" s="49" t="n">
        <v>438</v>
      </c>
      <c r="Q785" s="49" t="n">
        <v>573</v>
      </c>
    </row>
    <row r="786">
      <c r="N786" s="49" t="n">
        <v>438</v>
      </c>
      <c r="O786" s="49" t="n">
        <v>638.5</v>
      </c>
      <c r="P786" s="49" t="n">
        <v>438</v>
      </c>
      <c r="Q786" s="49" t="n">
        <v>638.5</v>
      </c>
    </row>
    <row r="787">
      <c r="N787" s="49" t="n">
        <v>438</v>
      </c>
      <c r="O787" s="49" t="n">
        <v>565</v>
      </c>
      <c r="P787" s="49" t="n">
        <v>438</v>
      </c>
      <c r="Q787" s="49" t="n">
        <v>565</v>
      </c>
    </row>
    <row r="788">
      <c r="N788" s="49" t="n">
        <v>438</v>
      </c>
      <c r="O788" s="49" t="n">
        <v>697</v>
      </c>
      <c r="P788" s="49" t="n">
        <v>438</v>
      </c>
      <c r="Q788" s="49" t="n">
        <v>696</v>
      </c>
    </row>
    <row r="789">
      <c r="N789" s="49" t="n">
        <v>438</v>
      </c>
      <c r="O789" s="49" t="n">
        <v>706</v>
      </c>
      <c r="P789" s="49" t="n">
        <v>438</v>
      </c>
      <c r="Q789" s="49" t="n">
        <v>705</v>
      </c>
    </row>
    <row r="790">
      <c r="N790" s="49" t="n">
        <v>491</v>
      </c>
      <c r="O790" s="49" t="n">
        <v>688.5</v>
      </c>
      <c r="P790" s="49" t="n">
        <v>491</v>
      </c>
      <c r="Q790" s="49" t="n">
        <v>688.5</v>
      </c>
    </row>
    <row r="791">
      <c r="N791" s="49" t="n">
        <v>491</v>
      </c>
      <c r="O791" s="49" t="n">
        <v>661</v>
      </c>
      <c r="P791" s="49" t="n">
        <v>491</v>
      </c>
      <c r="Q791" s="49" t="n">
        <v>661</v>
      </c>
    </row>
    <row r="792">
      <c r="N792" s="49" t="n">
        <v>491</v>
      </c>
      <c r="O792" s="49" t="n">
        <v>688.5</v>
      </c>
      <c r="P792" s="49" t="n">
        <v>491</v>
      </c>
      <c r="Q792" s="49" t="n">
        <v>688.5</v>
      </c>
    </row>
    <row r="793">
      <c r="N793" s="49" t="n">
        <v>491</v>
      </c>
      <c r="O793" s="49" t="n">
        <v>717</v>
      </c>
      <c r="P793" s="49" t="n">
        <v>491</v>
      </c>
      <c r="Q793" s="49" t="n">
        <v>716</v>
      </c>
    </row>
    <row r="794">
      <c r="N794" s="49" t="n">
        <v>491</v>
      </c>
      <c r="O794" s="49" t="n">
        <v>703</v>
      </c>
      <c r="P794" s="49" t="n">
        <v>491</v>
      </c>
      <c r="Q794" s="49" t="n">
        <v>702</v>
      </c>
    </row>
    <row r="795">
      <c r="N795" s="49" t="n">
        <v>491</v>
      </c>
      <c r="O795" s="49" t="n">
        <v>721</v>
      </c>
      <c r="P795" s="49" t="n">
        <v>491</v>
      </c>
      <c r="Q795" s="49" t="n">
        <v>720</v>
      </c>
    </row>
    <row r="796">
      <c r="N796" s="49" t="n">
        <v>491</v>
      </c>
      <c r="O796" s="49" t="n">
        <v>729.5</v>
      </c>
      <c r="P796" s="49" t="n">
        <v>491</v>
      </c>
      <c r="Q796" s="49" t="n">
        <v>728.5</v>
      </c>
    </row>
    <row r="797">
      <c r="N797" s="49" t="n">
        <v>491</v>
      </c>
      <c r="O797" s="49" t="n">
        <v>733</v>
      </c>
      <c r="P797" s="49" t="n">
        <v>491</v>
      </c>
      <c r="Q797" s="49" t="n">
        <v>732</v>
      </c>
    </row>
    <row r="798">
      <c r="N798" s="49" t="n">
        <v>491</v>
      </c>
      <c r="O798" s="49" t="n">
        <v>729.5</v>
      </c>
      <c r="P798" s="49" t="n">
        <v>491</v>
      </c>
      <c r="Q798" s="49" t="n">
        <v>728.5</v>
      </c>
    </row>
    <row r="799">
      <c r="N799" s="49" t="n">
        <v>491</v>
      </c>
      <c r="O799" s="49" t="n">
        <v>674</v>
      </c>
      <c r="P799" s="49" t="n">
        <v>491</v>
      </c>
      <c r="Q799" s="49" t="n">
        <v>674</v>
      </c>
    </row>
    <row r="800">
      <c r="N800" s="49" t="n">
        <v>491</v>
      </c>
      <c r="O800" s="49" t="n">
        <v>667</v>
      </c>
      <c r="P800" s="49" t="n">
        <v>491</v>
      </c>
      <c r="Q800" s="49" t="n">
        <v>667</v>
      </c>
    </row>
    <row r="801">
      <c r="N801" s="49" t="n">
        <v>518</v>
      </c>
      <c r="O801" s="49" t="n">
        <v>695</v>
      </c>
      <c r="P801" s="49" t="n">
        <v>518</v>
      </c>
      <c r="Q801" s="49" t="n">
        <v>694</v>
      </c>
    </row>
    <row r="802">
      <c r="N802" s="49" t="n">
        <v>518</v>
      </c>
      <c r="O802" s="49" t="n">
        <v>677.5</v>
      </c>
      <c r="P802" s="49" t="n">
        <v>518</v>
      </c>
      <c r="Q802" s="49" t="n">
        <v>677.5</v>
      </c>
    </row>
    <row r="803">
      <c r="N803" s="49" t="n">
        <v>518</v>
      </c>
      <c r="O803" s="49" t="n">
        <v>626</v>
      </c>
      <c r="P803" s="49" t="n">
        <v>518</v>
      </c>
      <c r="Q803" s="49" t="n">
        <v>626</v>
      </c>
    </row>
    <row r="804">
      <c r="N804" s="49" t="n">
        <v>518</v>
      </c>
      <c r="O804" s="49" t="n">
        <v>677.5</v>
      </c>
      <c r="P804" s="49" t="n">
        <v>518</v>
      </c>
      <c r="Q804" s="49" t="n">
        <v>677.5</v>
      </c>
    </row>
    <row r="805">
      <c r="N805" s="49" t="n">
        <v>518</v>
      </c>
      <c r="O805" s="49" t="n">
        <v>701</v>
      </c>
      <c r="P805" s="49" t="n">
        <v>518</v>
      </c>
      <c r="Q805" s="49" t="n">
        <v>700</v>
      </c>
    </row>
    <row r="806">
      <c r="N806" s="49" t="n">
        <v>518</v>
      </c>
      <c r="O806" s="49" t="n">
        <v>731</v>
      </c>
      <c r="P806" s="49" t="n">
        <v>518</v>
      </c>
      <c r="Q806" s="49" t="n">
        <v>730</v>
      </c>
    </row>
    <row r="807">
      <c r="N807" s="49" t="n">
        <v>518</v>
      </c>
      <c r="O807" s="49" t="n">
        <v>696</v>
      </c>
      <c r="P807" s="49" t="n">
        <v>518</v>
      </c>
      <c r="Q807" s="49" t="n">
        <v>695</v>
      </c>
    </row>
    <row r="808">
      <c r="N808" s="49" t="n">
        <v>518</v>
      </c>
      <c r="O808" s="49" t="n">
        <v>686.5</v>
      </c>
      <c r="P808" s="49" t="n">
        <v>518</v>
      </c>
      <c r="Q808" s="49" t="n">
        <v>686.5</v>
      </c>
    </row>
    <row r="809">
      <c r="N809" s="49" t="n">
        <v>518</v>
      </c>
      <c r="O809" s="49" t="n">
        <v>716</v>
      </c>
      <c r="P809" s="49" t="n">
        <v>518</v>
      </c>
      <c r="Q809" s="49" t="n">
        <v>715</v>
      </c>
    </row>
    <row r="810">
      <c r="N810" s="49" t="n">
        <v>518</v>
      </c>
      <c r="O810" s="49" t="n">
        <v>686.5</v>
      </c>
      <c r="P810" s="49" t="n">
        <v>518</v>
      </c>
      <c r="Q810" s="49" t="n">
        <v>686.5</v>
      </c>
    </row>
    <row r="811">
      <c r="N811" s="49" t="n">
        <v>518</v>
      </c>
      <c r="O811" s="49" t="n">
        <v>709</v>
      </c>
      <c r="P811" s="49" t="n">
        <v>518</v>
      </c>
      <c r="Q811" s="49" t="n">
        <v>708</v>
      </c>
    </row>
    <row r="812">
      <c r="N812" s="49" t="n">
        <v>518</v>
      </c>
      <c r="O812" s="49" t="n">
        <v>712</v>
      </c>
      <c r="P812" s="49" t="n">
        <v>518</v>
      </c>
      <c r="Q812" s="49" t="n">
        <v>711</v>
      </c>
    </row>
    <row r="813">
      <c r="N813" s="49" t="n">
        <v>518</v>
      </c>
      <c r="O813" s="49" t="n">
        <v>715</v>
      </c>
      <c r="P813" s="49" t="n">
        <v>518</v>
      </c>
      <c r="Q813" s="49" t="n">
        <v>714</v>
      </c>
    </row>
    <row r="814">
      <c r="N814" s="49" t="n">
        <v>518</v>
      </c>
      <c r="O814" s="49" t="n">
        <v>713.5</v>
      </c>
      <c r="P814" s="49" t="n">
        <v>518</v>
      </c>
      <c r="Q814" s="49" t="n">
        <v>712.5</v>
      </c>
    </row>
    <row r="815">
      <c r="N815" s="49" t="n">
        <v>518</v>
      </c>
      <c r="O815" s="49" t="n">
        <v>718</v>
      </c>
      <c r="P815" s="49" t="n">
        <v>518</v>
      </c>
      <c r="Q815" s="49" t="n">
        <v>717</v>
      </c>
    </row>
    <row r="816">
      <c r="N816" s="49" t="n">
        <v>518</v>
      </c>
      <c r="O816" s="49" t="n">
        <v>713.5</v>
      </c>
      <c r="P816" s="49" t="n">
        <v>518</v>
      </c>
      <c r="Q816" s="49" t="n">
        <v>712.5</v>
      </c>
    </row>
    <row r="817">
      <c r="N817" s="49" t="n">
        <v>518</v>
      </c>
      <c r="O817" s="49" t="n">
        <v>741</v>
      </c>
      <c r="P817" s="49" t="n">
        <v>518</v>
      </c>
      <c r="Q817" s="49" t="n">
        <v>740</v>
      </c>
    </row>
    <row r="818">
      <c r="N818" s="49" t="n">
        <v>518</v>
      </c>
      <c r="O818" s="49" t="n">
        <v>752</v>
      </c>
      <c r="P818" s="49" t="n">
        <v>518</v>
      </c>
      <c r="Q818" s="49" t="n">
        <v>751</v>
      </c>
    </row>
    <row r="819">
      <c r="N819" s="49" t="n">
        <v>518</v>
      </c>
      <c r="O819" s="49" t="n">
        <v>743</v>
      </c>
      <c r="P819" s="49" t="n">
        <v>518</v>
      </c>
      <c r="Q819" s="49" t="n">
        <v>742</v>
      </c>
    </row>
    <row r="820">
      <c r="N820" s="49" t="n">
        <v>518</v>
      </c>
      <c r="O820" s="49" t="n">
        <v>745.5</v>
      </c>
      <c r="P820" s="49" t="n">
        <v>518</v>
      </c>
      <c r="Q820" s="49" t="n">
        <v>744.5</v>
      </c>
    </row>
    <row r="821">
      <c r="N821" s="49" t="n">
        <v>518</v>
      </c>
      <c r="O821" s="49" t="n">
        <v>763</v>
      </c>
      <c r="P821" s="49" t="n">
        <v>518</v>
      </c>
      <c r="Q821" s="49" t="n">
        <v>762</v>
      </c>
    </row>
    <row r="822">
      <c r="N822" s="49" t="n">
        <v>518</v>
      </c>
      <c r="O822" s="49" t="n">
        <v>745.5</v>
      </c>
      <c r="P822" s="49" t="n">
        <v>518</v>
      </c>
      <c r="Q822" s="49" t="n">
        <v>744.5</v>
      </c>
    </row>
    <row r="823">
      <c r="N823" s="49" t="n">
        <v>518</v>
      </c>
      <c r="O823" s="49" t="n">
        <v>760</v>
      </c>
      <c r="P823" s="49" t="n">
        <v>518</v>
      </c>
      <c r="Q823" s="49" t="n">
        <v>759</v>
      </c>
    </row>
    <row r="824">
      <c r="N824" s="49" t="n">
        <v>518</v>
      </c>
      <c r="O824" s="49" t="n">
        <v>761</v>
      </c>
      <c r="P824" s="49" t="n">
        <v>518</v>
      </c>
      <c r="Q824" s="49" t="n">
        <v>760</v>
      </c>
    </row>
    <row r="825">
      <c r="N825" s="49" t="n">
        <v>518</v>
      </c>
      <c r="O825" s="49" t="n">
        <v>739</v>
      </c>
      <c r="P825" s="49" t="n">
        <v>518</v>
      </c>
      <c r="Q825" s="49" t="n">
        <v>738</v>
      </c>
    </row>
    <row r="826">
      <c r="N826" s="49" t="n">
        <v>518</v>
      </c>
      <c r="O826" s="49" t="n">
        <v>734.5</v>
      </c>
      <c r="P826" s="49" t="n">
        <v>518</v>
      </c>
      <c r="Q826" s="49" t="n">
        <v>733.5</v>
      </c>
    </row>
    <row r="827">
      <c r="N827" s="49" t="n">
        <v>518</v>
      </c>
      <c r="O827" s="49" t="n">
        <v>738</v>
      </c>
      <c r="P827" s="49" t="n">
        <v>518</v>
      </c>
      <c r="Q827" s="49" t="n">
        <v>737</v>
      </c>
    </row>
    <row r="828">
      <c r="N828" s="49" t="n">
        <v>518</v>
      </c>
      <c r="O828" s="49" t="n">
        <v>734.5</v>
      </c>
      <c r="P828" s="49" t="n">
        <v>518</v>
      </c>
      <c r="Q828" s="49" t="n">
        <v>733.5</v>
      </c>
    </row>
    <row r="829">
      <c r="N829" s="49" t="n">
        <v>518</v>
      </c>
      <c r="O829" s="49" t="n">
        <v>742</v>
      </c>
      <c r="P829" s="49" t="n">
        <v>518</v>
      </c>
      <c r="Q829" s="49" t="n">
        <v>741</v>
      </c>
    </row>
    <row r="830">
      <c r="N830" s="49" t="n">
        <v>518</v>
      </c>
      <c r="O830" s="49" t="n">
        <v>754</v>
      </c>
      <c r="P830" s="49" t="n">
        <v>518</v>
      </c>
      <c r="Q830" s="49" t="n">
        <v>753</v>
      </c>
    </row>
    <row r="831">
      <c r="N831" s="49" t="n">
        <v>741.5</v>
      </c>
      <c r="O831" s="49" t="n">
        <v>769</v>
      </c>
      <c r="P831" s="49" t="n">
        <v>741.5</v>
      </c>
      <c r="Q831" s="49" t="n">
        <v>768</v>
      </c>
    </row>
    <row r="832">
      <c r="N832" s="49" t="n">
        <v>741.5</v>
      </c>
      <c r="O832" s="49" t="n">
        <v>792.5</v>
      </c>
      <c r="P832" s="49" t="n">
        <v>741.5</v>
      </c>
      <c r="Q832" s="49" t="n">
        <v>791.5</v>
      </c>
    </row>
    <row r="833">
      <c r="N833" s="49" t="n">
        <v>741.5</v>
      </c>
      <c r="O833" s="49" t="n">
        <v>778</v>
      </c>
      <c r="P833" s="49" t="n">
        <v>741.5</v>
      </c>
      <c r="Q833" s="49" t="n">
        <v>777</v>
      </c>
    </row>
    <row r="834">
      <c r="N834" s="49" t="n">
        <v>741.5</v>
      </c>
      <c r="O834" s="49" t="n">
        <v>792.5</v>
      </c>
      <c r="P834" s="49" t="n">
        <v>741.5</v>
      </c>
      <c r="Q834" s="49" t="n">
        <v>791.5</v>
      </c>
    </row>
    <row r="835">
      <c r="N835" s="49" t="n">
        <v>741.5</v>
      </c>
      <c r="O835" s="49" t="n">
        <v>759</v>
      </c>
      <c r="P835" s="49" t="n">
        <v>741.5</v>
      </c>
      <c r="Q835" s="49" t="n">
        <v>758</v>
      </c>
    </row>
    <row r="836">
      <c r="N836" s="49" t="n">
        <v>741.5</v>
      </c>
      <c r="O836" s="49" t="n">
        <v>795</v>
      </c>
      <c r="P836" s="49" t="n">
        <v>741.5</v>
      </c>
      <c r="Q836" s="49" t="n">
        <v>794</v>
      </c>
    </row>
    <row r="837">
      <c r="N837" s="49" t="n">
        <v>741.5</v>
      </c>
      <c r="O837" s="49" t="n">
        <v>803</v>
      </c>
      <c r="P837" s="49" t="n">
        <v>741.5</v>
      </c>
      <c r="Q837" s="49" t="n">
        <v>802</v>
      </c>
    </row>
    <row r="838">
      <c r="N838" s="49" t="n">
        <v>741.5</v>
      </c>
      <c r="O838" s="49" t="n">
        <v>822.5</v>
      </c>
      <c r="P838" s="49" t="n">
        <v>741.5</v>
      </c>
      <c r="Q838" s="49" t="n">
        <v>821.5</v>
      </c>
    </row>
    <row r="839">
      <c r="N839" s="49" t="n">
        <v>779</v>
      </c>
      <c r="O839" s="49" t="n">
        <v>837</v>
      </c>
      <c r="P839" s="49" t="n">
        <v>778</v>
      </c>
      <c r="Q839" s="49" t="n">
        <v>836</v>
      </c>
    </row>
    <row r="840">
      <c r="N840" s="49" t="n">
        <v>741.5</v>
      </c>
      <c r="O840" s="49" t="n">
        <v>822.5</v>
      </c>
      <c r="P840" s="49" t="n">
        <v>741.5</v>
      </c>
      <c r="Q840" s="49" t="n">
        <v>821.5</v>
      </c>
    </row>
    <row r="841">
      <c r="N841" s="49" t="n">
        <v>779</v>
      </c>
      <c r="O841" s="49" t="n">
        <v>838</v>
      </c>
      <c r="P841" s="49" t="n">
        <v>778</v>
      </c>
      <c r="Q841" s="49" t="n">
        <v>837</v>
      </c>
    </row>
    <row r="842">
      <c r="N842" s="49" t="n">
        <v>779</v>
      </c>
      <c r="O842" s="49" t="n">
        <v>839</v>
      </c>
      <c r="P842" s="49" t="n">
        <v>778</v>
      </c>
      <c r="Q842" s="49" t="n">
        <v>838</v>
      </c>
    </row>
    <row r="843">
      <c r="N843" s="49" t="n">
        <v>779</v>
      </c>
      <c r="O843" s="49" t="n">
        <v>860</v>
      </c>
      <c r="P843" s="49" t="n">
        <v>778</v>
      </c>
      <c r="Q843" s="49" t="n">
        <v>859</v>
      </c>
    </row>
    <row r="844">
      <c r="N844" s="49" t="n">
        <v>779</v>
      </c>
      <c r="O844" s="49" t="n">
        <v>862.5</v>
      </c>
      <c r="P844" s="49" t="n">
        <v>778</v>
      </c>
      <c r="Q844" s="49" t="n">
        <v>861.5</v>
      </c>
    </row>
    <row r="845">
      <c r="N845" s="49" t="n">
        <v>801.5</v>
      </c>
      <c r="O845" s="49" t="n">
        <v>844</v>
      </c>
      <c r="P845" s="49" t="n">
        <v>800.5</v>
      </c>
      <c r="Q845" s="49" t="n">
        <v>843</v>
      </c>
    </row>
    <row r="846">
      <c r="N846" s="49" t="n">
        <v>779</v>
      </c>
      <c r="O846" s="49" t="n">
        <v>862.5</v>
      </c>
      <c r="P846" s="49" t="n">
        <v>778</v>
      </c>
      <c r="Q846" s="49" t="n">
        <v>861.5</v>
      </c>
    </row>
    <row r="847">
      <c r="N847" s="49" t="n">
        <v>801.5</v>
      </c>
      <c r="O847" s="49" t="n">
        <v>840</v>
      </c>
      <c r="P847" s="49" t="n">
        <v>800.5</v>
      </c>
      <c r="Q847" s="49" t="n">
        <v>839</v>
      </c>
    </row>
    <row r="848">
      <c r="N848" s="49" t="n">
        <v>801.5</v>
      </c>
      <c r="O848" s="49" t="n">
        <v>845</v>
      </c>
      <c r="P848" s="49" t="n">
        <v>800.5</v>
      </c>
      <c r="Q848" s="49" t="n">
        <v>844</v>
      </c>
    </row>
    <row r="849">
      <c r="N849" s="49" t="n">
        <v>801.5</v>
      </c>
      <c r="O849" s="49" t="n">
        <v>836</v>
      </c>
      <c r="P849" s="49" t="n">
        <v>800.5</v>
      </c>
      <c r="Q849" s="49" t="n">
        <v>835</v>
      </c>
    </row>
    <row r="850">
      <c r="N850" s="49" t="n">
        <v>801.5</v>
      </c>
      <c r="O850" s="49" t="n">
        <v>847</v>
      </c>
      <c r="P850" s="49" t="n">
        <v>800.5</v>
      </c>
      <c r="Q850" s="49" t="n">
        <v>846</v>
      </c>
    </row>
    <row r="851">
      <c r="N851" s="49" t="n">
        <v>801.5</v>
      </c>
      <c r="O851" s="49" t="n">
        <v>847</v>
      </c>
      <c r="P851" s="49" t="n">
        <v>800.5</v>
      </c>
      <c r="Q851" s="49" t="n">
        <v>846</v>
      </c>
    </row>
    <row r="852">
      <c r="N852" s="49" t="n">
        <v>801.5</v>
      </c>
      <c r="O852" s="49" t="n">
        <v>847</v>
      </c>
      <c r="P852" s="49" t="n">
        <v>800.5</v>
      </c>
      <c r="Q852" s="49" t="n">
        <v>846</v>
      </c>
    </row>
    <row r="853">
      <c r="N853" s="49" t="n">
        <v>801.5</v>
      </c>
      <c r="O853" s="49" t="n">
        <v>852</v>
      </c>
      <c r="P853" s="49" t="n">
        <v>800.5</v>
      </c>
      <c r="Q853" s="49" t="n">
        <v>851</v>
      </c>
    </row>
    <row r="854">
      <c r="N854" s="49" t="n">
        <v>824.5</v>
      </c>
      <c r="O854" s="49" t="n">
        <v>861</v>
      </c>
      <c r="P854" s="49" t="n">
        <v>823.5</v>
      </c>
      <c r="Q854" s="49" t="n">
        <v>860</v>
      </c>
    </row>
    <row r="855">
      <c r="N855" s="49" t="n">
        <v>824.5</v>
      </c>
      <c r="O855" s="49" t="n">
        <v>856</v>
      </c>
      <c r="P855" s="49" t="n">
        <v>823.5</v>
      </c>
      <c r="Q855" s="49" t="n">
        <v>855</v>
      </c>
    </row>
    <row r="856">
      <c r="N856" s="49" t="n">
        <v>824.5</v>
      </c>
      <c r="O856" s="49" t="n">
        <v>856</v>
      </c>
      <c r="P856" s="49" t="n">
        <v>823.5</v>
      </c>
      <c r="Q856" s="49" t="n">
        <v>855</v>
      </c>
    </row>
    <row r="857">
      <c r="N857" s="49" t="n">
        <v>824.5</v>
      </c>
      <c r="O857" s="49" t="n">
        <v>856</v>
      </c>
      <c r="P857" s="49" t="n">
        <v>823.5</v>
      </c>
      <c r="Q857" s="49" t="n">
        <v>855</v>
      </c>
    </row>
    <row r="858">
      <c r="N858" s="49" t="n">
        <v>824.5</v>
      </c>
      <c r="O858" s="49" t="n">
        <v>856</v>
      </c>
      <c r="P858" s="49" t="n">
        <v>823.5</v>
      </c>
      <c r="Q858" s="49" t="n">
        <v>855</v>
      </c>
    </row>
    <row r="859">
      <c r="N859" s="49" t="n">
        <v>824.5</v>
      </c>
      <c r="O859" s="49" t="n">
        <v>856</v>
      </c>
      <c r="P859" s="49" t="n">
        <v>823.5</v>
      </c>
      <c r="Q859" s="49" t="n">
        <v>855</v>
      </c>
    </row>
    <row r="860">
      <c r="N860" s="49" t="n">
        <v>824.5</v>
      </c>
      <c r="O860" s="49" t="n">
        <v>856</v>
      </c>
      <c r="P860" s="49" t="n">
        <v>823.5</v>
      </c>
      <c r="Q860" s="49" t="n">
        <v>855</v>
      </c>
    </row>
    <row r="861">
      <c r="N861" s="49" t="n">
        <v>824.5</v>
      </c>
      <c r="O861" s="49" t="n">
        <v>856</v>
      </c>
      <c r="P861" s="49" t="n">
        <v>823.5</v>
      </c>
      <c r="Q861" s="49" t="n">
        <v>855</v>
      </c>
    </row>
    <row r="862">
      <c r="N862" s="49" t="n">
        <v>824.5</v>
      </c>
      <c r="O862" s="49" t="n">
        <v>868.5</v>
      </c>
      <c r="P862" s="49" t="n">
        <v>823.5</v>
      </c>
      <c r="Q862" s="49" t="n">
        <v>867.5</v>
      </c>
    </row>
    <row r="863">
      <c r="N863" s="49" t="n">
        <v>824.5</v>
      </c>
      <c r="O863" s="49" t="n">
        <v>867</v>
      </c>
      <c r="P863" s="49" t="n">
        <v>823.5</v>
      </c>
      <c r="Q863" s="49" t="n">
        <v>866</v>
      </c>
    </row>
    <row r="864">
      <c r="N864" s="49" t="n">
        <v>824.5</v>
      </c>
      <c r="O864" s="49" t="n">
        <v>868.5</v>
      </c>
      <c r="P864" s="49" t="n">
        <v>823.5</v>
      </c>
      <c r="Q864" s="49" t="n">
        <v>867.5</v>
      </c>
    </row>
    <row r="865">
      <c r="N865" s="49" t="n">
        <v>864</v>
      </c>
      <c r="O865" s="49" t="n">
        <v>864</v>
      </c>
      <c r="P865" s="49" t="n">
        <v>863</v>
      </c>
      <c r="Q865" s="49" t="n">
        <v>863</v>
      </c>
    </row>
    <row r="866">
      <c r="N866" s="49" t="n">
        <v>864</v>
      </c>
      <c r="O866" s="49" t="n">
        <v>865</v>
      </c>
      <c r="P866" s="49" t="n">
        <v>863</v>
      </c>
      <c r="Q866" s="49" t="n">
        <v>864</v>
      </c>
    </row>
    <row r="867">
      <c r="N867" s="49" t="n">
        <v>864</v>
      </c>
      <c r="O867" s="49" t="n">
        <v>866</v>
      </c>
      <c r="P867" s="49" t="n">
        <v>863</v>
      </c>
      <c r="Q867" s="49" t="n">
        <v>865</v>
      </c>
    </row>
    <row r="868">
      <c r="N868" s="49" t="n">
        <v>864</v>
      </c>
      <c r="O868" s="49" t="n">
        <v>850.5</v>
      </c>
      <c r="P868" s="49" t="n">
        <v>863</v>
      </c>
      <c r="Q868" s="49" t="n">
        <v>849.5</v>
      </c>
    </row>
    <row r="869">
      <c r="N869" s="49" t="n">
        <v>864</v>
      </c>
      <c r="O869" s="49" t="n">
        <v>849</v>
      </c>
      <c r="P869" s="49" t="n">
        <v>863</v>
      </c>
      <c r="Q869" s="49" t="n">
        <v>848</v>
      </c>
    </row>
    <row r="870">
      <c r="N870" s="49" t="n">
        <v>864</v>
      </c>
      <c r="O870" s="49" t="n">
        <v>850.5</v>
      </c>
      <c r="P870" s="49" t="n">
        <v>863</v>
      </c>
      <c r="Q870" s="49" t="n">
        <v>849.5</v>
      </c>
    </row>
    <row r="871">
      <c r="N871" s="49" t="n">
        <v>864</v>
      </c>
      <c r="O871" s="49" t="n">
        <v>841.5</v>
      </c>
      <c r="P871" s="49" t="n">
        <v>863</v>
      </c>
      <c r="Q871" s="49" t="n">
        <v>840.5</v>
      </c>
    </row>
    <row r="872">
      <c r="N872" s="49" t="n">
        <v>864</v>
      </c>
      <c r="O872" s="49" t="n">
        <v>843</v>
      </c>
      <c r="P872" s="49" t="n">
        <v>863</v>
      </c>
      <c r="Q872" s="49" t="n">
        <v>842</v>
      </c>
    </row>
    <row r="873">
      <c r="N873" s="49" t="n">
        <v>864</v>
      </c>
      <c r="O873" s="49" t="n">
        <v>841.5</v>
      </c>
      <c r="P873" s="49" t="n">
        <v>863</v>
      </c>
      <c r="Q873" s="49" t="n">
        <v>840.5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563EB"/>
    <outlinePr summaryBelow="1" summaryRight="1"/>
    <pageSetUpPr/>
  </sheetPr>
  <dimension ref="A1:F8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2" customWidth="1" min="6" max="6"/>
  </cols>
  <sheetData>
    <row r="1" ht="30" customHeight="1">
      <c r="A1" s="1" t="inlineStr">
        <is>
          <t>滚动相关系数（活公式）</t>
        </is>
      </c>
    </row>
    <row r="2" ht="20" customHeight="1">
      <c r="A2" s="2" t="inlineStr">
        <is>
          <t>窗口内有效样本不足 80% 时返回空，避免小样本噪声；数据源用绝对引用，整块可安全拖动。</t>
        </is>
      </c>
    </row>
    <row r="4" ht="26" customHeight="1">
      <c r="A4" s="5" t="inlineStr">
        <is>
          <t>日期</t>
        </is>
      </c>
      <c r="B4" s="5" t="inlineStr">
        <is>
          <t>滚动20 水平</t>
        </is>
      </c>
      <c r="C4" s="5" t="inlineStr">
        <is>
          <t>滚动60 水平</t>
        </is>
      </c>
      <c r="D4" s="5" t="inlineStr">
        <is>
          <t>滚动120 水平</t>
        </is>
      </c>
      <c r="E4" s="5" t="inlineStr">
        <is>
          <t>滚动60 收益率</t>
        </is>
      </c>
      <c r="F4" s="5" t="inlineStr">
        <is>
          <t>有效窗口?</t>
        </is>
      </c>
    </row>
    <row r="5" ht="17" customHeight="1">
      <c r="A5" s="38">
        <f>'03_原始数据'!A5</f>
        <v/>
      </c>
      <c r="B5" s="31">
        <f>IF(0=1,IFERROR(CORREL('03_原始数据'!$B$5:$B$5,'03_原始数据'!$C$5:$C$5),""),"")</f>
        <v/>
      </c>
      <c r="C5" s="31">
        <f>IF(0=1,IFERROR(CORREL('03_原始数据'!$B$5:$B$5,'03_原始数据'!$C$5:$C$5),""),"")</f>
        <v/>
      </c>
      <c r="D5" s="31">
        <f>IF(0=1,IFERROR(CORREL('03_原始数据'!$B$5:$B$5,'03_原始数据'!$C$5:$C$5),""),"")</f>
        <v/>
      </c>
      <c r="E5" s="31">
        <f>IF(0=1,IFERROR(CORREL('03_原始数据'!$G$6:$G$5,'03_原始数据'!$H$6:$H$5),""),"")</f>
        <v/>
      </c>
      <c r="F5" s="54">
        <f>IF(N(B5)=0,"不足","有效")</f>
        <v/>
      </c>
    </row>
    <row r="6" ht="17" customHeight="1">
      <c r="A6" s="40">
        <f>'03_原始数据'!A6</f>
        <v/>
      </c>
      <c r="B6" s="34">
        <f>IF(0=1,IFERROR(CORREL('03_原始数据'!$B$5:$B$6,'03_原始数据'!$C$5:$C$6),""),"")</f>
        <v/>
      </c>
      <c r="C6" s="34">
        <f>IF(0=1,IFERROR(CORREL('03_原始数据'!$B$5:$B$6,'03_原始数据'!$C$5:$C$6),""),"")</f>
        <v/>
      </c>
      <c r="D6" s="34">
        <f>IF(0=1,IFERROR(CORREL('03_原始数据'!$B$5:$B$6,'03_原始数据'!$C$5:$C$6),""),"")</f>
        <v/>
      </c>
      <c r="E6" s="34">
        <f>IF(0=1,IFERROR(CORREL('03_原始数据'!$G$6:$G$6,'03_原始数据'!$H$6:$H$6),""),"")</f>
        <v/>
      </c>
      <c r="F6" s="55">
        <f>IF(N(B6)=0,"不足","有效")</f>
        <v/>
      </c>
    </row>
    <row r="7" ht="17" customHeight="1">
      <c r="A7" s="38">
        <f>'03_原始数据'!A7</f>
        <v/>
      </c>
      <c r="B7" s="31">
        <f>IF(0=1,IFERROR(CORREL('03_原始数据'!$B$5:$B$7,'03_原始数据'!$C$5:$C$7),""),"")</f>
        <v/>
      </c>
      <c r="C7" s="31">
        <f>IF(0=1,IFERROR(CORREL('03_原始数据'!$B$5:$B$7,'03_原始数据'!$C$5:$C$7),""),"")</f>
        <v/>
      </c>
      <c r="D7" s="31">
        <f>IF(0=1,IFERROR(CORREL('03_原始数据'!$B$5:$B$7,'03_原始数据'!$C$5:$C$7),""),"")</f>
        <v/>
      </c>
      <c r="E7" s="31">
        <f>IF(0=1,IFERROR(CORREL('03_原始数据'!$G$6:$G$7,'03_原始数据'!$H$6:$H$7),""),"")</f>
        <v/>
      </c>
      <c r="F7" s="54">
        <f>IF(N(B7)=0,"不足","有效")</f>
        <v/>
      </c>
    </row>
    <row r="8" ht="17" customHeight="1">
      <c r="A8" s="40">
        <f>'03_原始数据'!A8</f>
        <v/>
      </c>
      <c r="B8" s="34">
        <f>IF(0=1,IFERROR(CORREL('03_原始数据'!$B$5:$B$8,'03_原始数据'!$C$5:$C$8),""),"")</f>
        <v/>
      </c>
      <c r="C8" s="34">
        <f>IF(0=1,IFERROR(CORREL('03_原始数据'!$B$5:$B$8,'03_原始数据'!$C$5:$C$8),""),"")</f>
        <v/>
      </c>
      <c r="D8" s="34">
        <f>IF(0=1,IFERROR(CORREL('03_原始数据'!$B$5:$B$8,'03_原始数据'!$C$5:$C$8),""),"")</f>
        <v/>
      </c>
      <c r="E8" s="34">
        <f>IF(0=1,IFERROR(CORREL('03_原始数据'!$G$6:$G$8,'03_原始数据'!$H$6:$H$8),""),"")</f>
        <v/>
      </c>
      <c r="F8" s="55">
        <f>IF(N(B8)=0,"不足","有效")</f>
        <v/>
      </c>
    </row>
    <row r="9" ht="17" customHeight="1">
      <c r="A9" s="38">
        <f>'03_原始数据'!A9</f>
        <v/>
      </c>
      <c r="B9" s="31">
        <f>IF(0=1,IFERROR(CORREL('03_原始数据'!$B$5:$B$9,'03_原始数据'!$C$5:$C$9),""),"")</f>
        <v/>
      </c>
      <c r="C9" s="31">
        <f>IF(0=1,IFERROR(CORREL('03_原始数据'!$B$5:$B$9,'03_原始数据'!$C$5:$C$9),""),"")</f>
        <v/>
      </c>
      <c r="D9" s="31">
        <f>IF(0=1,IFERROR(CORREL('03_原始数据'!$B$5:$B$9,'03_原始数据'!$C$5:$C$9),""),"")</f>
        <v/>
      </c>
      <c r="E9" s="31">
        <f>IF(0=1,IFERROR(CORREL('03_原始数据'!$G$6:$G$9,'03_原始数据'!$H$6:$H$9),""),"")</f>
        <v/>
      </c>
      <c r="F9" s="54">
        <f>IF(N(B9)=0,"不足","有效")</f>
        <v/>
      </c>
    </row>
    <row r="10" ht="17" customHeight="1">
      <c r="A10" s="40">
        <f>'03_原始数据'!A10</f>
        <v/>
      </c>
      <c r="B10" s="34">
        <f>IF(0=1,IFERROR(CORREL('03_原始数据'!$B$5:$B$10,'03_原始数据'!$C$5:$C$10),""),"")</f>
        <v/>
      </c>
      <c r="C10" s="34">
        <f>IF(0=1,IFERROR(CORREL('03_原始数据'!$B$5:$B$10,'03_原始数据'!$C$5:$C$10),""),"")</f>
        <v/>
      </c>
      <c r="D10" s="34">
        <f>IF(0=1,IFERROR(CORREL('03_原始数据'!$B$5:$B$10,'03_原始数据'!$C$5:$C$10),""),"")</f>
        <v/>
      </c>
      <c r="E10" s="34">
        <f>IF(0=1,IFERROR(CORREL('03_原始数据'!$G$6:$G$10,'03_原始数据'!$H$6:$H$10),""),"")</f>
        <v/>
      </c>
      <c r="F10" s="55">
        <f>IF(N(B10)=0,"不足","有效")</f>
        <v/>
      </c>
    </row>
    <row r="11" ht="17" customHeight="1">
      <c r="A11" s="38">
        <f>'03_原始数据'!A11</f>
        <v/>
      </c>
      <c r="B11" s="31">
        <f>IF(0=1,IFERROR(CORREL('03_原始数据'!$B$5:$B$11,'03_原始数据'!$C$5:$C$11),""),"")</f>
        <v/>
      </c>
      <c r="C11" s="31">
        <f>IF(0=1,IFERROR(CORREL('03_原始数据'!$B$5:$B$11,'03_原始数据'!$C$5:$C$11),""),"")</f>
        <v/>
      </c>
      <c r="D11" s="31">
        <f>IF(0=1,IFERROR(CORREL('03_原始数据'!$B$5:$B$11,'03_原始数据'!$C$5:$C$11),""),"")</f>
        <v/>
      </c>
      <c r="E11" s="31">
        <f>IF(0=1,IFERROR(CORREL('03_原始数据'!$G$6:$G$11,'03_原始数据'!$H$6:$H$11),""),"")</f>
        <v/>
      </c>
      <c r="F11" s="54">
        <f>IF(N(B11)=0,"不足","有效")</f>
        <v/>
      </c>
    </row>
    <row r="12" ht="17" customHeight="1">
      <c r="A12" s="40">
        <f>'03_原始数据'!A12</f>
        <v/>
      </c>
      <c r="B12" s="34">
        <f>IF(0=1,IFERROR(CORREL('03_原始数据'!$B$5:$B$12,'03_原始数据'!$C$5:$C$12),""),"")</f>
        <v/>
      </c>
      <c r="C12" s="34">
        <f>IF(0=1,IFERROR(CORREL('03_原始数据'!$B$5:$B$12,'03_原始数据'!$C$5:$C$12),""),"")</f>
        <v/>
      </c>
      <c r="D12" s="34">
        <f>IF(0=1,IFERROR(CORREL('03_原始数据'!$B$5:$B$12,'03_原始数据'!$C$5:$C$12),""),"")</f>
        <v/>
      </c>
      <c r="E12" s="34">
        <f>IF(0=1,IFERROR(CORREL('03_原始数据'!$G$6:$G$12,'03_原始数据'!$H$6:$H$12),""),"")</f>
        <v/>
      </c>
      <c r="F12" s="55">
        <f>IF(N(B12)=0,"不足","有效")</f>
        <v/>
      </c>
    </row>
    <row r="13" ht="17" customHeight="1">
      <c r="A13" s="38">
        <f>'03_原始数据'!A13</f>
        <v/>
      </c>
      <c r="B13" s="31">
        <f>IF(0=1,IFERROR(CORREL('03_原始数据'!$B$5:$B$13,'03_原始数据'!$C$5:$C$13),""),"")</f>
        <v/>
      </c>
      <c r="C13" s="31">
        <f>IF(0=1,IFERROR(CORREL('03_原始数据'!$B$5:$B$13,'03_原始数据'!$C$5:$C$13),""),"")</f>
        <v/>
      </c>
      <c r="D13" s="31">
        <f>IF(0=1,IFERROR(CORREL('03_原始数据'!$B$5:$B$13,'03_原始数据'!$C$5:$C$13),""),"")</f>
        <v/>
      </c>
      <c r="E13" s="31">
        <f>IF(0=1,IFERROR(CORREL('03_原始数据'!$G$6:$G$13,'03_原始数据'!$H$6:$H$13),""),"")</f>
        <v/>
      </c>
      <c r="F13" s="54">
        <f>IF(N(B13)=0,"不足","有效")</f>
        <v/>
      </c>
    </row>
    <row r="14" ht="17" customHeight="1">
      <c r="A14" s="40">
        <f>'03_原始数据'!A14</f>
        <v/>
      </c>
      <c r="B14" s="34">
        <f>IF(0=1,IFERROR(CORREL('03_原始数据'!$B$5:$B$14,'03_原始数据'!$C$5:$C$14),""),"")</f>
        <v/>
      </c>
      <c r="C14" s="34">
        <f>IF(0=1,IFERROR(CORREL('03_原始数据'!$B$5:$B$14,'03_原始数据'!$C$5:$C$14),""),"")</f>
        <v/>
      </c>
      <c r="D14" s="34">
        <f>IF(0=1,IFERROR(CORREL('03_原始数据'!$B$5:$B$14,'03_原始数据'!$C$5:$C$14),""),"")</f>
        <v/>
      </c>
      <c r="E14" s="34">
        <f>IF(0=1,IFERROR(CORREL('03_原始数据'!$G$6:$G$14,'03_原始数据'!$H$6:$H$14),""),"")</f>
        <v/>
      </c>
      <c r="F14" s="55">
        <f>IF(N(B14)=0,"不足","有效")</f>
        <v/>
      </c>
    </row>
    <row r="15" ht="17" customHeight="1">
      <c r="A15" s="38">
        <f>'03_原始数据'!A15</f>
        <v/>
      </c>
      <c r="B15" s="31">
        <f>IF(0=1,IFERROR(CORREL('03_原始数据'!$B$5:$B$15,'03_原始数据'!$C$5:$C$15),""),"")</f>
        <v/>
      </c>
      <c r="C15" s="31">
        <f>IF(0=1,IFERROR(CORREL('03_原始数据'!$B$5:$B$15,'03_原始数据'!$C$5:$C$15),""),"")</f>
        <v/>
      </c>
      <c r="D15" s="31">
        <f>IF(0=1,IFERROR(CORREL('03_原始数据'!$B$5:$B$15,'03_原始数据'!$C$5:$C$15),""),"")</f>
        <v/>
      </c>
      <c r="E15" s="31">
        <f>IF(0=1,IFERROR(CORREL('03_原始数据'!$G$6:$G$15,'03_原始数据'!$H$6:$H$15),""),"")</f>
        <v/>
      </c>
      <c r="F15" s="54">
        <f>IF(N(B15)=0,"不足","有效")</f>
        <v/>
      </c>
    </row>
    <row r="16" ht="17" customHeight="1">
      <c r="A16" s="40">
        <f>'03_原始数据'!A16</f>
        <v/>
      </c>
      <c r="B16" s="34">
        <f>IF(0=1,IFERROR(CORREL('03_原始数据'!$B$5:$B$16,'03_原始数据'!$C$5:$C$16),""),"")</f>
        <v/>
      </c>
      <c r="C16" s="34">
        <f>IF(0=1,IFERROR(CORREL('03_原始数据'!$B$5:$B$16,'03_原始数据'!$C$5:$C$16),""),"")</f>
        <v/>
      </c>
      <c r="D16" s="34">
        <f>IF(0=1,IFERROR(CORREL('03_原始数据'!$B$5:$B$16,'03_原始数据'!$C$5:$C$16),""),"")</f>
        <v/>
      </c>
      <c r="E16" s="34">
        <f>IF(0=1,IFERROR(CORREL('03_原始数据'!$G$6:$G$16,'03_原始数据'!$H$6:$H$16),""),"")</f>
        <v/>
      </c>
      <c r="F16" s="55">
        <f>IF(N(B16)=0,"不足","有效")</f>
        <v/>
      </c>
    </row>
    <row r="17" ht="17" customHeight="1">
      <c r="A17" s="38">
        <f>'03_原始数据'!A17</f>
        <v/>
      </c>
      <c r="B17" s="31">
        <f>IF(0=1,IFERROR(CORREL('03_原始数据'!$B$5:$B$17,'03_原始数据'!$C$5:$C$17),""),"")</f>
        <v/>
      </c>
      <c r="C17" s="31">
        <f>IF(0=1,IFERROR(CORREL('03_原始数据'!$B$5:$B$17,'03_原始数据'!$C$5:$C$17),""),"")</f>
        <v/>
      </c>
      <c r="D17" s="31">
        <f>IF(0=1,IFERROR(CORREL('03_原始数据'!$B$5:$B$17,'03_原始数据'!$C$5:$C$17),""),"")</f>
        <v/>
      </c>
      <c r="E17" s="31">
        <f>IF(0=1,IFERROR(CORREL('03_原始数据'!$G$6:$G$17,'03_原始数据'!$H$6:$H$17),""),"")</f>
        <v/>
      </c>
      <c r="F17" s="54">
        <f>IF(N(B17)=0,"不足","有效")</f>
        <v/>
      </c>
    </row>
    <row r="18" ht="17" customHeight="1">
      <c r="A18" s="40">
        <f>'03_原始数据'!A18</f>
        <v/>
      </c>
      <c r="B18" s="34">
        <f>IF(0=1,IFERROR(CORREL('03_原始数据'!$B$5:$B$18,'03_原始数据'!$C$5:$C$18),""),"")</f>
        <v/>
      </c>
      <c r="C18" s="34">
        <f>IF(0=1,IFERROR(CORREL('03_原始数据'!$B$5:$B$18,'03_原始数据'!$C$5:$C$18),""),"")</f>
        <v/>
      </c>
      <c r="D18" s="34">
        <f>IF(0=1,IFERROR(CORREL('03_原始数据'!$B$5:$B$18,'03_原始数据'!$C$5:$C$18),""),"")</f>
        <v/>
      </c>
      <c r="E18" s="34">
        <f>IF(0=1,IFERROR(CORREL('03_原始数据'!$G$6:$G$18,'03_原始数据'!$H$6:$H$18),""),"")</f>
        <v/>
      </c>
      <c r="F18" s="55">
        <f>IF(N(B18)=0,"不足","有效")</f>
        <v/>
      </c>
    </row>
    <row r="19" ht="17" customHeight="1">
      <c r="A19" s="38">
        <f>'03_原始数据'!A19</f>
        <v/>
      </c>
      <c r="B19" s="31">
        <f>IF(0=1,IFERROR(CORREL('03_原始数据'!$B$5:$B$19,'03_原始数据'!$C$5:$C$19),""),"")</f>
        <v/>
      </c>
      <c r="C19" s="31">
        <f>IF(0=1,IFERROR(CORREL('03_原始数据'!$B$5:$B$19,'03_原始数据'!$C$5:$C$19),""),"")</f>
        <v/>
      </c>
      <c r="D19" s="31">
        <f>IF(0=1,IFERROR(CORREL('03_原始数据'!$B$5:$B$19,'03_原始数据'!$C$5:$C$19),""),"")</f>
        <v/>
      </c>
      <c r="E19" s="31">
        <f>IF(0=1,IFERROR(CORREL('03_原始数据'!$G$6:$G$19,'03_原始数据'!$H$6:$H$19),""),"")</f>
        <v/>
      </c>
      <c r="F19" s="54">
        <f>IF(N(B19)=0,"不足","有效")</f>
        <v/>
      </c>
    </row>
    <row r="20" ht="17" customHeight="1">
      <c r="A20" s="40">
        <f>'03_原始数据'!A20</f>
        <v/>
      </c>
      <c r="B20" s="34">
        <f>IF(1=1,IFERROR(CORREL('03_原始数据'!$B$5:$B$20,'03_原始数据'!$C$5:$C$20),""),"")</f>
        <v/>
      </c>
      <c r="C20" s="34">
        <f>IF(0=1,IFERROR(CORREL('03_原始数据'!$B$5:$B$20,'03_原始数据'!$C$5:$C$20),""),"")</f>
        <v/>
      </c>
      <c r="D20" s="34">
        <f>IF(0=1,IFERROR(CORREL('03_原始数据'!$B$5:$B$20,'03_原始数据'!$C$5:$C$20),""),"")</f>
        <v/>
      </c>
      <c r="E20" s="34">
        <f>IF(0=1,IFERROR(CORREL('03_原始数据'!$G$6:$G$20,'03_原始数据'!$H$6:$H$20),""),"")</f>
        <v/>
      </c>
      <c r="F20" s="55">
        <f>IF(N(B20)=0,"不足","有效")</f>
        <v/>
      </c>
    </row>
    <row r="21" ht="17" customHeight="1">
      <c r="A21" s="38">
        <f>'03_原始数据'!A21</f>
        <v/>
      </c>
      <c r="B21" s="31">
        <f>IF(1=1,IFERROR(CORREL('03_原始数据'!$B$5:$B$21,'03_原始数据'!$C$5:$C$21),""),"")</f>
        <v/>
      </c>
      <c r="C21" s="31">
        <f>IF(0=1,IFERROR(CORREL('03_原始数据'!$B$5:$B$21,'03_原始数据'!$C$5:$C$21),""),"")</f>
        <v/>
      </c>
      <c r="D21" s="31">
        <f>IF(0=1,IFERROR(CORREL('03_原始数据'!$B$5:$B$21,'03_原始数据'!$C$5:$C$21),""),"")</f>
        <v/>
      </c>
      <c r="E21" s="31">
        <f>IF(0=1,IFERROR(CORREL('03_原始数据'!$G$6:$G$21,'03_原始数据'!$H$6:$H$21),""),"")</f>
        <v/>
      </c>
      <c r="F21" s="54">
        <f>IF(N(B21)=0,"不足","有效")</f>
        <v/>
      </c>
    </row>
    <row r="22" ht="17" customHeight="1">
      <c r="A22" s="40">
        <f>'03_原始数据'!A22</f>
        <v/>
      </c>
      <c r="B22" s="34">
        <f>IF(1=1,IFERROR(CORREL('03_原始数据'!$B$5:$B$22,'03_原始数据'!$C$5:$C$22),""),"")</f>
        <v/>
      </c>
      <c r="C22" s="34">
        <f>IF(0=1,IFERROR(CORREL('03_原始数据'!$B$5:$B$22,'03_原始数据'!$C$5:$C$22),""),"")</f>
        <v/>
      </c>
      <c r="D22" s="34">
        <f>IF(0=1,IFERROR(CORREL('03_原始数据'!$B$5:$B$22,'03_原始数据'!$C$5:$C$22),""),"")</f>
        <v/>
      </c>
      <c r="E22" s="34">
        <f>IF(0=1,IFERROR(CORREL('03_原始数据'!$G$6:$G$22,'03_原始数据'!$H$6:$H$22),""),"")</f>
        <v/>
      </c>
      <c r="F22" s="55">
        <f>IF(N(B22)=0,"不足","有效")</f>
        <v/>
      </c>
    </row>
    <row r="23" ht="17" customHeight="1">
      <c r="A23" s="38">
        <f>'03_原始数据'!A23</f>
        <v/>
      </c>
      <c r="B23" s="31">
        <f>IF(1=1,IFERROR(CORREL('03_原始数据'!$B$5:$B$23,'03_原始数据'!$C$5:$C$23),""),"")</f>
        <v/>
      </c>
      <c r="C23" s="31">
        <f>IF(0=1,IFERROR(CORREL('03_原始数据'!$B$5:$B$23,'03_原始数据'!$C$5:$C$23),""),"")</f>
        <v/>
      </c>
      <c r="D23" s="31">
        <f>IF(0=1,IFERROR(CORREL('03_原始数据'!$B$5:$B$23,'03_原始数据'!$C$5:$C$23),""),"")</f>
        <v/>
      </c>
      <c r="E23" s="31">
        <f>IF(0=1,IFERROR(CORREL('03_原始数据'!$G$6:$G$23,'03_原始数据'!$H$6:$H$23),""),"")</f>
        <v/>
      </c>
      <c r="F23" s="54">
        <f>IF(N(B23)=0,"不足","有效")</f>
        <v/>
      </c>
    </row>
    <row r="24" ht="17" customHeight="1">
      <c r="A24" s="40">
        <f>'03_原始数据'!A24</f>
        <v/>
      </c>
      <c r="B24" s="34">
        <f>IF(1=1,IFERROR(CORREL('03_原始数据'!$B$5:$B$24,'03_原始数据'!$C$5:$C$24),""),"")</f>
        <v/>
      </c>
      <c r="C24" s="34">
        <f>IF(0=1,IFERROR(CORREL('03_原始数据'!$B$5:$B$24,'03_原始数据'!$C$5:$C$24),""),"")</f>
        <v/>
      </c>
      <c r="D24" s="34">
        <f>IF(0=1,IFERROR(CORREL('03_原始数据'!$B$5:$B$24,'03_原始数据'!$C$5:$C$24),""),"")</f>
        <v/>
      </c>
      <c r="E24" s="34">
        <f>IF(0=1,IFERROR(CORREL('03_原始数据'!$G$6:$G$24,'03_原始数据'!$H$6:$H$24),""),"")</f>
        <v/>
      </c>
      <c r="F24" s="55">
        <f>IF(N(B24)=0,"不足","有效")</f>
        <v/>
      </c>
    </row>
    <row r="25" ht="17" customHeight="1">
      <c r="A25" s="38">
        <f>'03_原始数据'!A25</f>
        <v/>
      </c>
      <c r="B25" s="31">
        <f>IF(1=1,IFERROR(CORREL('03_原始数据'!$B$6:$B$25,'03_原始数据'!$C$6:$C$25),""),"")</f>
        <v/>
      </c>
      <c r="C25" s="31">
        <f>IF(0=1,IFERROR(CORREL('03_原始数据'!$B$5:$B$25,'03_原始数据'!$C$5:$C$25),""),"")</f>
        <v/>
      </c>
      <c r="D25" s="31">
        <f>IF(0=1,IFERROR(CORREL('03_原始数据'!$B$5:$B$25,'03_原始数据'!$C$5:$C$25),""),"")</f>
        <v/>
      </c>
      <c r="E25" s="31">
        <f>IF(0=1,IFERROR(CORREL('03_原始数据'!$G$6:$G$25,'03_原始数据'!$H$6:$H$25),""),"")</f>
        <v/>
      </c>
      <c r="F25" s="54">
        <f>IF(N(B25)=0,"不足","有效")</f>
        <v/>
      </c>
    </row>
    <row r="26" ht="17" customHeight="1">
      <c r="A26" s="40">
        <f>'03_原始数据'!A26</f>
        <v/>
      </c>
      <c r="B26" s="34">
        <f>IF(1=1,IFERROR(CORREL('03_原始数据'!$B$7:$B$26,'03_原始数据'!$C$7:$C$26),""),"")</f>
        <v/>
      </c>
      <c r="C26" s="34">
        <f>IF(0=1,IFERROR(CORREL('03_原始数据'!$B$5:$B$26,'03_原始数据'!$C$5:$C$26),""),"")</f>
        <v/>
      </c>
      <c r="D26" s="34">
        <f>IF(0=1,IFERROR(CORREL('03_原始数据'!$B$5:$B$26,'03_原始数据'!$C$5:$C$26),""),"")</f>
        <v/>
      </c>
      <c r="E26" s="34">
        <f>IF(0=1,IFERROR(CORREL('03_原始数据'!$G$6:$G$26,'03_原始数据'!$H$6:$H$26),""),"")</f>
        <v/>
      </c>
      <c r="F26" s="55">
        <f>IF(N(B26)=0,"不足","有效")</f>
        <v/>
      </c>
    </row>
    <row r="27" ht="17" customHeight="1">
      <c r="A27" s="38">
        <f>'03_原始数据'!A27</f>
        <v/>
      </c>
      <c r="B27" s="31">
        <f>IF(1=1,IFERROR(CORREL('03_原始数据'!$B$8:$B$27,'03_原始数据'!$C$8:$C$27),""),"")</f>
        <v/>
      </c>
      <c r="C27" s="31">
        <f>IF(0=1,IFERROR(CORREL('03_原始数据'!$B$5:$B$27,'03_原始数据'!$C$5:$C$27),""),"")</f>
        <v/>
      </c>
      <c r="D27" s="31">
        <f>IF(0=1,IFERROR(CORREL('03_原始数据'!$B$5:$B$27,'03_原始数据'!$C$5:$C$27),""),"")</f>
        <v/>
      </c>
      <c r="E27" s="31">
        <f>IF(0=1,IFERROR(CORREL('03_原始数据'!$G$6:$G$27,'03_原始数据'!$H$6:$H$27),""),"")</f>
        <v/>
      </c>
      <c r="F27" s="54">
        <f>IF(N(B27)=0,"不足","有效")</f>
        <v/>
      </c>
    </row>
    <row r="28" ht="17" customHeight="1">
      <c r="A28" s="40">
        <f>'03_原始数据'!A28</f>
        <v/>
      </c>
      <c r="B28" s="34">
        <f>IF(1=1,IFERROR(CORREL('03_原始数据'!$B$9:$B$28,'03_原始数据'!$C$9:$C$28),""),"")</f>
        <v/>
      </c>
      <c r="C28" s="34">
        <f>IF(0=1,IFERROR(CORREL('03_原始数据'!$B$5:$B$28,'03_原始数据'!$C$5:$C$28),""),"")</f>
        <v/>
      </c>
      <c r="D28" s="34">
        <f>IF(0=1,IFERROR(CORREL('03_原始数据'!$B$5:$B$28,'03_原始数据'!$C$5:$C$28),""),"")</f>
        <v/>
      </c>
      <c r="E28" s="34">
        <f>IF(0=1,IFERROR(CORREL('03_原始数据'!$G$6:$G$28,'03_原始数据'!$H$6:$H$28),""),"")</f>
        <v/>
      </c>
      <c r="F28" s="55">
        <f>IF(N(B28)=0,"不足","有效")</f>
        <v/>
      </c>
    </row>
    <row r="29" ht="17" customHeight="1">
      <c r="A29" s="38">
        <f>'03_原始数据'!A29</f>
        <v/>
      </c>
      <c r="B29" s="31">
        <f>IF(1=1,IFERROR(CORREL('03_原始数据'!$B$10:$B$29,'03_原始数据'!$C$10:$C$29),""),"")</f>
        <v/>
      </c>
      <c r="C29" s="31">
        <f>IF(0=1,IFERROR(CORREL('03_原始数据'!$B$5:$B$29,'03_原始数据'!$C$5:$C$29),""),"")</f>
        <v/>
      </c>
      <c r="D29" s="31">
        <f>IF(0=1,IFERROR(CORREL('03_原始数据'!$B$5:$B$29,'03_原始数据'!$C$5:$C$29),""),"")</f>
        <v/>
      </c>
      <c r="E29" s="31">
        <f>IF(0=1,IFERROR(CORREL('03_原始数据'!$G$6:$G$29,'03_原始数据'!$H$6:$H$29),""),"")</f>
        <v/>
      </c>
      <c r="F29" s="54">
        <f>IF(N(B29)=0,"不足","有效")</f>
        <v/>
      </c>
    </row>
    <row r="30" ht="17" customHeight="1">
      <c r="A30" s="40">
        <f>'03_原始数据'!A30</f>
        <v/>
      </c>
      <c r="B30" s="34">
        <f>IF(1=1,IFERROR(CORREL('03_原始数据'!$B$11:$B$30,'03_原始数据'!$C$11:$C$30),""),"")</f>
        <v/>
      </c>
      <c r="C30" s="34">
        <f>IF(0=1,IFERROR(CORREL('03_原始数据'!$B$5:$B$30,'03_原始数据'!$C$5:$C$30),""),"")</f>
        <v/>
      </c>
      <c r="D30" s="34">
        <f>IF(0=1,IFERROR(CORREL('03_原始数据'!$B$5:$B$30,'03_原始数据'!$C$5:$C$30),""),"")</f>
        <v/>
      </c>
      <c r="E30" s="34">
        <f>IF(0=1,IFERROR(CORREL('03_原始数据'!$G$6:$G$30,'03_原始数据'!$H$6:$H$30),""),"")</f>
        <v/>
      </c>
      <c r="F30" s="55">
        <f>IF(N(B30)=0,"不足","有效")</f>
        <v/>
      </c>
    </row>
    <row r="31" ht="17" customHeight="1">
      <c r="A31" s="38">
        <f>'03_原始数据'!A31</f>
        <v/>
      </c>
      <c r="B31" s="31">
        <f>IF(1=1,IFERROR(CORREL('03_原始数据'!$B$12:$B$31,'03_原始数据'!$C$12:$C$31),""),"")</f>
        <v/>
      </c>
      <c r="C31" s="31">
        <f>IF(0=1,IFERROR(CORREL('03_原始数据'!$B$5:$B$31,'03_原始数据'!$C$5:$C$31),""),"")</f>
        <v/>
      </c>
      <c r="D31" s="31">
        <f>IF(0=1,IFERROR(CORREL('03_原始数据'!$B$5:$B$31,'03_原始数据'!$C$5:$C$31),""),"")</f>
        <v/>
      </c>
      <c r="E31" s="31">
        <f>IF(0=1,IFERROR(CORREL('03_原始数据'!$G$6:$G$31,'03_原始数据'!$H$6:$H$31),""),"")</f>
        <v/>
      </c>
      <c r="F31" s="54">
        <f>IF(N(B31)=0,"不足","有效")</f>
        <v/>
      </c>
    </row>
    <row r="32" ht="17" customHeight="1">
      <c r="A32" s="40">
        <f>'03_原始数据'!A32</f>
        <v/>
      </c>
      <c r="B32" s="34">
        <f>IF(1=1,IFERROR(CORREL('03_原始数据'!$B$13:$B$32,'03_原始数据'!$C$13:$C$32),""),"")</f>
        <v/>
      </c>
      <c r="C32" s="34">
        <f>IF(0=1,IFERROR(CORREL('03_原始数据'!$B$5:$B$32,'03_原始数据'!$C$5:$C$32),""),"")</f>
        <v/>
      </c>
      <c r="D32" s="34">
        <f>IF(0=1,IFERROR(CORREL('03_原始数据'!$B$5:$B$32,'03_原始数据'!$C$5:$C$32),""),"")</f>
        <v/>
      </c>
      <c r="E32" s="34">
        <f>IF(0=1,IFERROR(CORREL('03_原始数据'!$G$6:$G$32,'03_原始数据'!$H$6:$H$32),""),"")</f>
        <v/>
      </c>
      <c r="F32" s="55">
        <f>IF(N(B32)=0,"不足","有效")</f>
        <v/>
      </c>
    </row>
    <row r="33" ht="17" customHeight="1">
      <c r="A33" s="38">
        <f>'03_原始数据'!A33</f>
        <v/>
      </c>
      <c r="B33" s="31">
        <f>IF(1=1,IFERROR(CORREL('03_原始数据'!$B$14:$B$33,'03_原始数据'!$C$14:$C$33),""),"")</f>
        <v/>
      </c>
      <c r="C33" s="31">
        <f>IF(0=1,IFERROR(CORREL('03_原始数据'!$B$5:$B$33,'03_原始数据'!$C$5:$C$33),""),"")</f>
        <v/>
      </c>
      <c r="D33" s="31">
        <f>IF(0=1,IFERROR(CORREL('03_原始数据'!$B$5:$B$33,'03_原始数据'!$C$5:$C$33),""),"")</f>
        <v/>
      </c>
      <c r="E33" s="31">
        <f>IF(0=1,IFERROR(CORREL('03_原始数据'!$G$6:$G$33,'03_原始数据'!$H$6:$H$33),""),"")</f>
        <v/>
      </c>
      <c r="F33" s="54">
        <f>IF(N(B33)=0,"不足","有效")</f>
        <v/>
      </c>
    </row>
    <row r="34" ht="17" customHeight="1">
      <c r="A34" s="40">
        <f>'03_原始数据'!A34</f>
        <v/>
      </c>
      <c r="B34" s="34">
        <f>IF(1=1,IFERROR(CORREL('03_原始数据'!$B$15:$B$34,'03_原始数据'!$C$15:$C$34),""),"")</f>
        <v/>
      </c>
      <c r="C34" s="34">
        <f>IF(0=1,IFERROR(CORREL('03_原始数据'!$B$5:$B$34,'03_原始数据'!$C$5:$C$34),""),"")</f>
        <v/>
      </c>
      <c r="D34" s="34">
        <f>IF(0=1,IFERROR(CORREL('03_原始数据'!$B$5:$B$34,'03_原始数据'!$C$5:$C$34),""),"")</f>
        <v/>
      </c>
      <c r="E34" s="34">
        <f>IF(0=1,IFERROR(CORREL('03_原始数据'!$G$6:$G$34,'03_原始数据'!$H$6:$H$34),""),"")</f>
        <v/>
      </c>
      <c r="F34" s="55">
        <f>IF(N(B34)=0,"不足","有效")</f>
        <v/>
      </c>
    </row>
    <row r="35" ht="17" customHeight="1">
      <c r="A35" s="38">
        <f>'03_原始数据'!A35</f>
        <v/>
      </c>
      <c r="B35" s="31">
        <f>IF(1=1,IFERROR(CORREL('03_原始数据'!$B$16:$B$35,'03_原始数据'!$C$16:$C$35),""),"")</f>
        <v/>
      </c>
      <c r="C35" s="31">
        <f>IF(0=1,IFERROR(CORREL('03_原始数据'!$B$5:$B$35,'03_原始数据'!$C$5:$C$35),""),"")</f>
        <v/>
      </c>
      <c r="D35" s="31">
        <f>IF(0=1,IFERROR(CORREL('03_原始数据'!$B$5:$B$35,'03_原始数据'!$C$5:$C$35),""),"")</f>
        <v/>
      </c>
      <c r="E35" s="31">
        <f>IF(0=1,IFERROR(CORREL('03_原始数据'!$G$6:$G$35,'03_原始数据'!$H$6:$H$35),""),"")</f>
        <v/>
      </c>
      <c r="F35" s="54">
        <f>IF(N(B35)=0,"不足","有效")</f>
        <v/>
      </c>
    </row>
    <row r="36" ht="17" customHeight="1">
      <c r="A36" s="40">
        <f>'03_原始数据'!A36</f>
        <v/>
      </c>
      <c r="B36" s="34">
        <f>IF(1=1,IFERROR(CORREL('03_原始数据'!$B$17:$B$36,'03_原始数据'!$C$17:$C$36),""),"")</f>
        <v/>
      </c>
      <c r="C36" s="34">
        <f>IF(0=1,IFERROR(CORREL('03_原始数据'!$B$5:$B$36,'03_原始数据'!$C$5:$C$36),""),"")</f>
        <v/>
      </c>
      <c r="D36" s="34">
        <f>IF(0=1,IFERROR(CORREL('03_原始数据'!$B$5:$B$36,'03_原始数据'!$C$5:$C$36),""),"")</f>
        <v/>
      </c>
      <c r="E36" s="34">
        <f>IF(0=1,IFERROR(CORREL('03_原始数据'!$G$6:$G$36,'03_原始数据'!$H$6:$H$36),""),"")</f>
        <v/>
      </c>
      <c r="F36" s="55">
        <f>IF(N(B36)=0,"不足","有效")</f>
        <v/>
      </c>
    </row>
    <row r="37" ht="17" customHeight="1">
      <c r="A37" s="38">
        <f>'03_原始数据'!A37</f>
        <v/>
      </c>
      <c r="B37" s="31">
        <f>IF(1=1,IFERROR(CORREL('03_原始数据'!$B$18:$B$37,'03_原始数据'!$C$18:$C$37),""),"")</f>
        <v/>
      </c>
      <c r="C37" s="31">
        <f>IF(0=1,IFERROR(CORREL('03_原始数据'!$B$5:$B$37,'03_原始数据'!$C$5:$C$37),""),"")</f>
        <v/>
      </c>
      <c r="D37" s="31">
        <f>IF(0=1,IFERROR(CORREL('03_原始数据'!$B$5:$B$37,'03_原始数据'!$C$5:$C$37),""),"")</f>
        <v/>
      </c>
      <c r="E37" s="31">
        <f>IF(0=1,IFERROR(CORREL('03_原始数据'!$G$6:$G$37,'03_原始数据'!$H$6:$H$37),""),"")</f>
        <v/>
      </c>
      <c r="F37" s="54">
        <f>IF(N(B37)=0,"不足","有效")</f>
        <v/>
      </c>
    </row>
    <row r="38" ht="17" customHeight="1">
      <c r="A38" s="40">
        <f>'03_原始数据'!A38</f>
        <v/>
      </c>
      <c r="B38" s="34">
        <f>IF(1=1,IFERROR(CORREL('03_原始数据'!$B$19:$B$38,'03_原始数据'!$C$19:$C$38),""),"")</f>
        <v/>
      </c>
      <c r="C38" s="34">
        <f>IF(0=1,IFERROR(CORREL('03_原始数据'!$B$5:$B$38,'03_原始数据'!$C$5:$C$38),""),"")</f>
        <v/>
      </c>
      <c r="D38" s="34">
        <f>IF(0=1,IFERROR(CORREL('03_原始数据'!$B$5:$B$38,'03_原始数据'!$C$5:$C$38),""),"")</f>
        <v/>
      </c>
      <c r="E38" s="34">
        <f>IF(0=1,IFERROR(CORREL('03_原始数据'!$G$6:$G$38,'03_原始数据'!$H$6:$H$38),""),"")</f>
        <v/>
      </c>
      <c r="F38" s="55">
        <f>IF(N(B38)=0,"不足","有效")</f>
        <v/>
      </c>
    </row>
    <row r="39" ht="17" customHeight="1">
      <c r="A39" s="38">
        <f>'03_原始数据'!A39</f>
        <v/>
      </c>
      <c r="B39" s="31">
        <f>IF(1=1,IFERROR(CORREL('03_原始数据'!$B$20:$B$39,'03_原始数据'!$C$20:$C$39),""),"")</f>
        <v/>
      </c>
      <c r="C39" s="31">
        <f>IF(0=1,IFERROR(CORREL('03_原始数据'!$B$5:$B$39,'03_原始数据'!$C$5:$C$39),""),"")</f>
        <v/>
      </c>
      <c r="D39" s="31">
        <f>IF(0=1,IFERROR(CORREL('03_原始数据'!$B$5:$B$39,'03_原始数据'!$C$5:$C$39),""),"")</f>
        <v/>
      </c>
      <c r="E39" s="31">
        <f>IF(0=1,IFERROR(CORREL('03_原始数据'!$G$6:$G$39,'03_原始数据'!$H$6:$H$39),""),"")</f>
        <v/>
      </c>
      <c r="F39" s="54">
        <f>IF(N(B39)=0,"不足","有效")</f>
        <v/>
      </c>
    </row>
    <row r="40" ht="17" customHeight="1">
      <c r="A40" s="40">
        <f>'03_原始数据'!A40</f>
        <v/>
      </c>
      <c r="B40" s="34">
        <f>IF(1=1,IFERROR(CORREL('03_原始数据'!$B$21:$B$40,'03_原始数据'!$C$21:$C$40),""),"")</f>
        <v/>
      </c>
      <c r="C40" s="34">
        <f>IF(0=1,IFERROR(CORREL('03_原始数据'!$B$5:$B$40,'03_原始数据'!$C$5:$C$40),""),"")</f>
        <v/>
      </c>
      <c r="D40" s="34">
        <f>IF(0=1,IFERROR(CORREL('03_原始数据'!$B$5:$B$40,'03_原始数据'!$C$5:$C$40),""),"")</f>
        <v/>
      </c>
      <c r="E40" s="34">
        <f>IF(0=1,IFERROR(CORREL('03_原始数据'!$G$6:$G$40,'03_原始数据'!$H$6:$H$40),""),"")</f>
        <v/>
      </c>
      <c r="F40" s="55">
        <f>IF(N(B40)=0,"不足","有效")</f>
        <v/>
      </c>
    </row>
    <row r="41" ht="17" customHeight="1">
      <c r="A41" s="38">
        <f>'03_原始数据'!A41</f>
        <v/>
      </c>
      <c r="B41" s="31">
        <f>IF(1=1,IFERROR(CORREL('03_原始数据'!$B$22:$B$41,'03_原始数据'!$C$22:$C$41),""),"")</f>
        <v/>
      </c>
      <c r="C41" s="31">
        <f>IF(0=1,IFERROR(CORREL('03_原始数据'!$B$5:$B$41,'03_原始数据'!$C$5:$C$41),""),"")</f>
        <v/>
      </c>
      <c r="D41" s="31">
        <f>IF(0=1,IFERROR(CORREL('03_原始数据'!$B$5:$B$41,'03_原始数据'!$C$5:$C$41),""),"")</f>
        <v/>
      </c>
      <c r="E41" s="31">
        <f>IF(0=1,IFERROR(CORREL('03_原始数据'!$G$6:$G$41,'03_原始数据'!$H$6:$H$41),""),"")</f>
        <v/>
      </c>
      <c r="F41" s="54">
        <f>IF(N(B41)=0,"不足","有效")</f>
        <v/>
      </c>
    </row>
    <row r="42" ht="17" customHeight="1">
      <c r="A42" s="40">
        <f>'03_原始数据'!A42</f>
        <v/>
      </c>
      <c r="B42" s="34">
        <f>IF(1=1,IFERROR(CORREL('03_原始数据'!$B$23:$B$42,'03_原始数据'!$C$23:$C$42),""),"")</f>
        <v/>
      </c>
      <c r="C42" s="34">
        <f>IF(0=1,IFERROR(CORREL('03_原始数据'!$B$5:$B$42,'03_原始数据'!$C$5:$C$42),""),"")</f>
        <v/>
      </c>
      <c r="D42" s="34">
        <f>IF(0=1,IFERROR(CORREL('03_原始数据'!$B$5:$B$42,'03_原始数据'!$C$5:$C$42),""),"")</f>
        <v/>
      </c>
      <c r="E42" s="34">
        <f>IF(0=1,IFERROR(CORREL('03_原始数据'!$G$6:$G$42,'03_原始数据'!$H$6:$H$42),""),"")</f>
        <v/>
      </c>
      <c r="F42" s="55">
        <f>IF(N(B42)=0,"不足","有效")</f>
        <v/>
      </c>
    </row>
    <row r="43" ht="17" customHeight="1">
      <c r="A43" s="38">
        <f>'03_原始数据'!A43</f>
        <v/>
      </c>
      <c r="B43" s="31">
        <f>IF(1=1,IFERROR(CORREL('03_原始数据'!$B$24:$B$43,'03_原始数据'!$C$24:$C$43),""),"")</f>
        <v/>
      </c>
      <c r="C43" s="31">
        <f>IF(0=1,IFERROR(CORREL('03_原始数据'!$B$5:$B$43,'03_原始数据'!$C$5:$C$43),""),"")</f>
        <v/>
      </c>
      <c r="D43" s="31">
        <f>IF(0=1,IFERROR(CORREL('03_原始数据'!$B$5:$B$43,'03_原始数据'!$C$5:$C$43),""),"")</f>
        <v/>
      </c>
      <c r="E43" s="31">
        <f>IF(0=1,IFERROR(CORREL('03_原始数据'!$G$6:$G$43,'03_原始数据'!$H$6:$H$43),""),"")</f>
        <v/>
      </c>
      <c r="F43" s="54">
        <f>IF(N(B43)=0,"不足","有效")</f>
        <v/>
      </c>
    </row>
    <row r="44" ht="17" customHeight="1">
      <c r="A44" s="40">
        <f>'03_原始数据'!A44</f>
        <v/>
      </c>
      <c r="B44" s="34">
        <f>IF(1=1,IFERROR(CORREL('03_原始数据'!$B$25:$B$44,'03_原始数据'!$C$25:$C$44),""),"")</f>
        <v/>
      </c>
      <c r="C44" s="34">
        <f>IF(0=1,IFERROR(CORREL('03_原始数据'!$B$5:$B$44,'03_原始数据'!$C$5:$C$44),""),"")</f>
        <v/>
      </c>
      <c r="D44" s="34">
        <f>IF(0=1,IFERROR(CORREL('03_原始数据'!$B$5:$B$44,'03_原始数据'!$C$5:$C$44),""),"")</f>
        <v/>
      </c>
      <c r="E44" s="34">
        <f>IF(0=1,IFERROR(CORREL('03_原始数据'!$G$6:$G$44,'03_原始数据'!$H$6:$H$44),""),"")</f>
        <v/>
      </c>
      <c r="F44" s="55">
        <f>IF(N(B44)=0,"不足","有效")</f>
        <v/>
      </c>
    </row>
    <row r="45" ht="17" customHeight="1">
      <c r="A45" s="38">
        <f>'03_原始数据'!A45</f>
        <v/>
      </c>
      <c r="B45" s="31">
        <f>IF(1=1,IFERROR(CORREL('03_原始数据'!$B$26:$B$45,'03_原始数据'!$C$26:$C$45),""),"")</f>
        <v/>
      </c>
      <c r="C45" s="31">
        <f>IF(0=1,IFERROR(CORREL('03_原始数据'!$B$5:$B$45,'03_原始数据'!$C$5:$C$45),""),"")</f>
        <v/>
      </c>
      <c r="D45" s="31">
        <f>IF(0=1,IFERROR(CORREL('03_原始数据'!$B$5:$B$45,'03_原始数据'!$C$5:$C$45),""),"")</f>
        <v/>
      </c>
      <c r="E45" s="31">
        <f>IF(0=1,IFERROR(CORREL('03_原始数据'!$G$6:$G$45,'03_原始数据'!$H$6:$H$45),""),"")</f>
        <v/>
      </c>
      <c r="F45" s="54">
        <f>IF(N(B45)=0,"不足","有效")</f>
        <v/>
      </c>
    </row>
    <row r="46" ht="17" customHeight="1">
      <c r="A46" s="40">
        <f>'03_原始数据'!A46</f>
        <v/>
      </c>
      <c r="B46" s="34">
        <f>IF(1=1,IFERROR(CORREL('03_原始数据'!$B$27:$B$46,'03_原始数据'!$C$27:$C$46),""),"")</f>
        <v/>
      </c>
      <c r="C46" s="34">
        <f>IF(0=1,IFERROR(CORREL('03_原始数据'!$B$5:$B$46,'03_原始数据'!$C$5:$C$46),""),"")</f>
        <v/>
      </c>
      <c r="D46" s="34">
        <f>IF(0=1,IFERROR(CORREL('03_原始数据'!$B$5:$B$46,'03_原始数据'!$C$5:$C$46),""),"")</f>
        <v/>
      </c>
      <c r="E46" s="34">
        <f>IF(0=1,IFERROR(CORREL('03_原始数据'!$G$6:$G$46,'03_原始数据'!$H$6:$H$46),""),"")</f>
        <v/>
      </c>
      <c r="F46" s="55">
        <f>IF(N(B46)=0,"不足","有效")</f>
        <v/>
      </c>
    </row>
    <row r="47" ht="17" customHeight="1">
      <c r="A47" s="38">
        <f>'03_原始数据'!A47</f>
        <v/>
      </c>
      <c r="B47" s="31">
        <f>IF(1=1,IFERROR(CORREL('03_原始数据'!$B$28:$B$47,'03_原始数据'!$C$28:$C$47),""),"")</f>
        <v/>
      </c>
      <c r="C47" s="31">
        <f>IF(0=1,IFERROR(CORREL('03_原始数据'!$B$5:$B$47,'03_原始数据'!$C$5:$C$47),""),"")</f>
        <v/>
      </c>
      <c r="D47" s="31">
        <f>IF(0=1,IFERROR(CORREL('03_原始数据'!$B$5:$B$47,'03_原始数据'!$C$5:$C$47),""),"")</f>
        <v/>
      </c>
      <c r="E47" s="31">
        <f>IF(0=1,IFERROR(CORREL('03_原始数据'!$G$6:$G$47,'03_原始数据'!$H$6:$H$47),""),"")</f>
        <v/>
      </c>
      <c r="F47" s="54">
        <f>IF(N(B47)=0,"不足","有效")</f>
        <v/>
      </c>
    </row>
    <row r="48" ht="17" customHeight="1">
      <c r="A48" s="40">
        <f>'03_原始数据'!A48</f>
        <v/>
      </c>
      <c r="B48" s="34">
        <f>IF(1=1,IFERROR(CORREL('03_原始数据'!$B$29:$B$48,'03_原始数据'!$C$29:$C$48),""),"")</f>
        <v/>
      </c>
      <c r="C48" s="34">
        <f>IF(0=1,IFERROR(CORREL('03_原始数据'!$B$5:$B$48,'03_原始数据'!$C$5:$C$48),""),"")</f>
        <v/>
      </c>
      <c r="D48" s="34">
        <f>IF(0=1,IFERROR(CORREL('03_原始数据'!$B$5:$B$48,'03_原始数据'!$C$5:$C$48),""),"")</f>
        <v/>
      </c>
      <c r="E48" s="34">
        <f>IF(0=1,IFERROR(CORREL('03_原始数据'!$G$6:$G$48,'03_原始数据'!$H$6:$H$48),""),"")</f>
        <v/>
      </c>
      <c r="F48" s="55">
        <f>IF(N(B48)=0,"不足","有效")</f>
        <v/>
      </c>
    </row>
    <row r="49" ht="17" customHeight="1">
      <c r="A49" s="38">
        <f>'03_原始数据'!A49</f>
        <v/>
      </c>
      <c r="B49" s="31">
        <f>IF(1=1,IFERROR(CORREL('03_原始数据'!$B$30:$B$49,'03_原始数据'!$C$30:$C$49),""),"")</f>
        <v/>
      </c>
      <c r="C49" s="31">
        <f>IF(0=1,IFERROR(CORREL('03_原始数据'!$B$5:$B$49,'03_原始数据'!$C$5:$C$49),""),"")</f>
        <v/>
      </c>
      <c r="D49" s="31">
        <f>IF(0=1,IFERROR(CORREL('03_原始数据'!$B$5:$B$49,'03_原始数据'!$C$5:$C$49),""),"")</f>
        <v/>
      </c>
      <c r="E49" s="31">
        <f>IF(0=1,IFERROR(CORREL('03_原始数据'!$G$6:$G$49,'03_原始数据'!$H$6:$H$49),""),"")</f>
        <v/>
      </c>
      <c r="F49" s="54">
        <f>IF(N(B49)=0,"不足","有效")</f>
        <v/>
      </c>
    </row>
    <row r="50" ht="17" customHeight="1">
      <c r="A50" s="40">
        <f>'03_原始数据'!A50</f>
        <v/>
      </c>
      <c r="B50" s="34">
        <f>IF(1=1,IFERROR(CORREL('03_原始数据'!$B$31:$B$50,'03_原始数据'!$C$31:$C$50),""),"")</f>
        <v/>
      </c>
      <c r="C50" s="34">
        <f>IF(0=1,IFERROR(CORREL('03_原始数据'!$B$5:$B$50,'03_原始数据'!$C$5:$C$50),""),"")</f>
        <v/>
      </c>
      <c r="D50" s="34">
        <f>IF(0=1,IFERROR(CORREL('03_原始数据'!$B$5:$B$50,'03_原始数据'!$C$5:$C$50),""),"")</f>
        <v/>
      </c>
      <c r="E50" s="34">
        <f>IF(0=1,IFERROR(CORREL('03_原始数据'!$G$6:$G$50,'03_原始数据'!$H$6:$H$50),""),"")</f>
        <v/>
      </c>
      <c r="F50" s="55">
        <f>IF(N(B50)=0,"不足","有效")</f>
        <v/>
      </c>
    </row>
    <row r="51" ht="17" customHeight="1">
      <c r="A51" s="38">
        <f>'03_原始数据'!A51</f>
        <v/>
      </c>
      <c r="B51" s="31">
        <f>IF(1=1,IFERROR(CORREL('03_原始数据'!$B$32:$B$51,'03_原始数据'!$C$32:$C$51),""),"")</f>
        <v/>
      </c>
      <c r="C51" s="31">
        <f>IF(0=1,IFERROR(CORREL('03_原始数据'!$B$5:$B$51,'03_原始数据'!$C$5:$C$51),""),"")</f>
        <v/>
      </c>
      <c r="D51" s="31">
        <f>IF(0=1,IFERROR(CORREL('03_原始数据'!$B$5:$B$51,'03_原始数据'!$C$5:$C$51),""),"")</f>
        <v/>
      </c>
      <c r="E51" s="31">
        <f>IF(0=1,IFERROR(CORREL('03_原始数据'!$G$6:$G$51,'03_原始数据'!$H$6:$H$51),""),"")</f>
        <v/>
      </c>
      <c r="F51" s="54">
        <f>IF(N(B51)=0,"不足","有效")</f>
        <v/>
      </c>
    </row>
    <row r="52" ht="17" customHeight="1">
      <c r="A52" s="40">
        <f>'03_原始数据'!A52</f>
        <v/>
      </c>
      <c r="B52" s="34">
        <f>IF(1=1,IFERROR(CORREL('03_原始数据'!$B$33:$B$52,'03_原始数据'!$C$33:$C$52),""),"")</f>
        <v/>
      </c>
      <c r="C52" s="34">
        <f>IF(1=1,IFERROR(CORREL('03_原始数据'!$B$5:$B$52,'03_原始数据'!$C$5:$C$52),""),"")</f>
        <v/>
      </c>
      <c r="D52" s="34">
        <f>IF(0=1,IFERROR(CORREL('03_原始数据'!$B$5:$B$52,'03_原始数据'!$C$5:$C$52),""),"")</f>
        <v/>
      </c>
      <c r="E52" s="34">
        <f>IF(0=1,IFERROR(CORREL('03_原始数据'!$G$6:$G$52,'03_原始数据'!$H$6:$H$52),""),"")</f>
        <v/>
      </c>
      <c r="F52" s="55">
        <f>IF(N(B52)=0,"不足","有效")</f>
        <v/>
      </c>
    </row>
    <row r="53" ht="17" customHeight="1">
      <c r="A53" s="38">
        <f>'03_原始数据'!A53</f>
        <v/>
      </c>
      <c r="B53" s="31">
        <f>IF(1=1,IFERROR(CORREL('03_原始数据'!$B$34:$B$53,'03_原始数据'!$C$34:$C$53),""),"")</f>
        <v/>
      </c>
      <c r="C53" s="31">
        <f>IF(1=1,IFERROR(CORREL('03_原始数据'!$B$5:$B$53,'03_原始数据'!$C$5:$C$53),""),"")</f>
        <v/>
      </c>
      <c r="D53" s="31">
        <f>IF(0=1,IFERROR(CORREL('03_原始数据'!$B$5:$B$53,'03_原始数据'!$C$5:$C$53),""),"")</f>
        <v/>
      </c>
      <c r="E53" s="31">
        <f>IF(1=1,IFERROR(CORREL('03_原始数据'!$G$6:$G$53,'03_原始数据'!$H$6:$H$53),""),"")</f>
        <v/>
      </c>
      <c r="F53" s="54">
        <f>IF(N(B53)=0,"不足","有效")</f>
        <v/>
      </c>
    </row>
    <row r="54" ht="17" customHeight="1">
      <c r="A54" s="40">
        <f>'03_原始数据'!A54</f>
        <v/>
      </c>
      <c r="B54" s="34">
        <f>IF(1=1,IFERROR(CORREL('03_原始数据'!$B$35:$B$54,'03_原始数据'!$C$35:$C$54),""),"")</f>
        <v/>
      </c>
      <c r="C54" s="34">
        <f>IF(1=1,IFERROR(CORREL('03_原始数据'!$B$5:$B$54,'03_原始数据'!$C$5:$C$54),""),"")</f>
        <v/>
      </c>
      <c r="D54" s="34">
        <f>IF(0=1,IFERROR(CORREL('03_原始数据'!$B$5:$B$54,'03_原始数据'!$C$5:$C$54),""),"")</f>
        <v/>
      </c>
      <c r="E54" s="34">
        <f>IF(1=1,IFERROR(CORREL('03_原始数据'!$G$6:$G$54,'03_原始数据'!$H$6:$H$54),""),"")</f>
        <v/>
      </c>
      <c r="F54" s="55">
        <f>IF(N(B54)=0,"不足","有效")</f>
        <v/>
      </c>
    </row>
    <row r="55" ht="17" customHeight="1">
      <c r="A55" s="38">
        <f>'03_原始数据'!A55</f>
        <v/>
      </c>
      <c r="B55" s="31">
        <f>IF(1=1,IFERROR(CORREL('03_原始数据'!$B$36:$B$55,'03_原始数据'!$C$36:$C$55),""),"")</f>
        <v/>
      </c>
      <c r="C55" s="31">
        <f>IF(1=1,IFERROR(CORREL('03_原始数据'!$B$5:$B$55,'03_原始数据'!$C$5:$C$55),""),"")</f>
        <v/>
      </c>
      <c r="D55" s="31">
        <f>IF(0=1,IFERROR(CORREL('03_原始数据'!$B$5:$B$55,'03_原始数据'!$C$5:$C$55),""),"")</f>
        <v/>
      </c>
      <c r="E55" s="31">
        <f>IF(1=1,IFERROR(CORREL('03_原始数据'!$G$6:$G$55,'03_原始数据'!$H$6:$H$55),""),"")</f>
        <v/>
      </c>
      <c r="F55" s="54">
        <f>IF(N(B55)=0,"不足","有效")</f>
        <v/>
      </c>
    </row>
    <row r="56" ht="17" customHeight="1">
      <c r="A56" s="40">
        <f>'03_原始数据'!A56</f>
        <v/>
      </c>
      <c r="B56" s="34">
        <f>IF(1=1,IFERROR(CORREL('03_原始数据'!$B$37:$B$56,'03_原始数据'!$C$37:$C$56),""),"")</f>
        <v/>
      </c>
      <c r="C56" s="34">
        <f>IF(1=1,IFERROR(CORREL('03_原始数据'!$B$5:$B$56,'03_原始数据'!$C$5:$C$56),""),"")</f>
        <v/>
      </c>
      <c r="D56" s="34">
        <f>IF(0=1,IFERROR(CORREL('03_原始数据'!$B$5:$B$56,'03_原始数据'!$C$5:$C$56),""),"")</f>
        <v/>
      </c>
      <c r="E56" s="34">
        <f>IF(1=1,IFERROR(CORREL('03_原始数据'!$G$6:$G$56,'03_原始数据'!$H$6:$H$56),""),"")</f>
        <v/>
      </c>
      <c r="F56" s="55">
        <f>IF(N(B56)=0,"不足","有效")</f>
        <v/>
      </c>
    </row>
    <row r="57" ht="17" customHeight="1">
      <c r="A57" s="38">
        <f>'03_原始数据'!A57</f>
        <v/>
      </c>
      <c r="B57" s="31">
        <f>IF(1=1,IFERROR(CORREL('03_原始数据'!$B$38:$B$57,'03_原始数据'!$C$38:$C$57),""),"")</f>
        <v/>
      </c>
      <c r="C57" s="31">
        <f>IF(1=1,IFERROR(CORREL('03_原始数据'!$B$5:$B$57,'03_原始数据'!$C$5:$C$57),""),"")</f>
        <v/>
      </c>
      <c r="D57" s="31">
        <f>IF(0=1,IFERROR(CORREL('03_原始数据'!$B$5:$B$57,'03_原始数据'!$C$5:$C$57),""),"")</f>
        <v/>
      </c>
      <c r="E57" s="31">
        <f>IF(1=1,IFERROR(CORREL('03_原始数据'!$G$6:$G$57,'03_原始数据'!$H$6:$H$57),""),"")</f>
        <v/>
      </c>
      <c r="F57" s="54">
        <f>IF(N(B57)=0,"不足","有效")</f>
        <v/>
      </c>
    </row>
    <row r="58" ht="17" customHeight="1">
      <c r="A58" s="40">
        <f>'03_原始数据'!A58</f>
        <v/>
      </c>
      <c r="B58" s="34">
        <f>IF(1=1,IFERROR(CORREL('03_原始数据'!$B$39:$B$58,'03_原始数据'!$C$39:$C$58),""),"")</f>
        <v/>
      </c>
      <c r="C58" s="34">
        <f>IF(1=1,IFERROR(CORREL('03_原始数据'!$B$5:$B$58,'03_原始数据'!$C$5:$C$58),""),"")</f>
        <v/>
      </c>
      <c r="D58" s="34">
        <f>IF(0=1,IFERROR(CORREL('03_原始数据'!$B$5:$B$58,'03_原始数据'!$C$5:$C$58),""),"")</f>
        <v/>
      </c>
      <c r="E58" s="34">
        <f>IF(1=1,IFERROR(CORREL('03_原始数据'!$G$6:$G$58,'03_原始数据'!$H$6:$H$58),""),"")</f>
        <v/>
      </c>
      <c r="F58" s="55">
        <f>IF(N(B58)=0,"不足","有效")</f>
        <v/>
      </c>
    </row>
    <row r="59" ht="17" customHeight="1">
      <c r="A59" s="38">
        <f>'03_原始数据'!A59</f>
        <v/>
      </c>
      <c r="B59" s="31">
        <f>IF(1=1,IFERROR(CORREL('03_原始数据'!$B$40:$B$59,'03_原始数据'!$C$40:$C$59),""),"")</f>
        <v/>
      </c>
      <c r="C59" s="31">
        <f>IF(1=1,IFERROR(CORREL('03_原始数据'!$B$5:$B$59,'03_原始数据'!$C$5:$C$59),""),"")</f>
        <v/>
      </c>
      <c r="D59" s="31">
        <f>IF(0=1,IFERROR(CORREL('03_原始数据'!$B$5:$B$59,'03_原始数据'!$C$5:$C$59),""),"")</f>
        <v/>
      </c>
      <c r="E59" s="31">
        <f>IF(1=1,IFERROR(CORREL('03_原始数据'!$G$6:$G$59,'03_原始数据'!$H$6:$H$59),""),"")</f>
        <v/>
      </c>
      <c r="F59" s="54">
        <f>IF(N(B59)=0,"不足","有效")</f>
        <v/>
      </c>
    </row>
    <row r="60" ht="17" customHeight="1">
      <c r="A60" s="40">
        <f>'03_原始数据'!A60</f>
        <v/>
      </c>
      <c r="B60" s="34">
        <f>IF(1=1,IFERROR(CORREL('03_原始数据'!$B$41:$B$60,'03_原始数据'!$C$41:$C$60),""),"")</f>
        <v/>
      </c>
      <c r="C60" s="34">
        <f>IF(1=1,IFERROR(CORREL('03_原始数据'!$B$5:$B$60,'03_原始数据'!$C$5:$C$60),""),"")</f>
        <v/>
      </c>
      <c r="D60" s="34">
        <f>IF(0=1,IFERROR(CORREL('03_原始数据'!$B$5:$B$60,'03_原始数据'!$C$5:$C$60),""),"")</f>
        <v/>
      </c>
      <c r="E60" s="34">
        <f>IF(1=1,IFERROR(CORREL('03_原始数据'!$G$6:$G$60,'03_原始数据'!$H$6:$H$60),""),"")</f>
        <v/>
      </c>
      <c r="F60" s="55">
        <f>IF(N(B60)=0,"不足","有效")</f>
        <v/>
      </c>
    </row>
    <row r="61" ht="17" customHeight="1">
      <c r="A61" s="38">
        <f>'03_原始数据'!A61</f>
        <v/>
      </c>
      <c r="B61" s="31">
        <f>IF(1=1,IFERROR(CORREL('03_原始数据'!$B$42:$B$61,'03_原始数据'!$C$42:$C$61),""),"")</f>
        <v/>
      </c>
      <c r="C61" s="31">
        <f>IF(1=1,IFERROR(CORREL('03_原始数据'!$B$5:$B$61,'03_原始数据'!$C$5:$C$61),""),"")</f>
        <v/>
      </c>
      <c r="D61" s="31">
        <f>IF(0=1,IFERROR(CORREL('03_原始数据'!$B$5:$B$61,'03_原始数据'!$C$5:$C$61),""),"")</f>
        <v/>
      </c>
      <c r="E61" s="31">
        <f>IF(1=1,IFERROR(CORREL('03_原始数据'!$G$6:$G$61,'03_原始数据'!$H$6:$H$61),""),"")</f>
        <v/>
      </c>
      <c r="F61" s="54">
        <f>IF(N(B61)=0,"不足","有效")</f>
        <v/>
      </c>
    </row>
    <row r="62" ht="17" customHeight="1">
      <c r="A62" s="40">
        <f>'03_原始数据'!A62</f>
        <v/>
      </c>
      <c r="B62" s="34">
        <f>IF(1=1,IFERROR(CORREL('03_原始数据'!$B$43:$B$62,'03_原始数据'!$C$43:$C$62),""),"")</f>
        <v/>
      </c>
      <c r="C62" s="34">
        <f>IF(1=1,IFERROR(CORREL('03_原始数据'!$B$5:$B$62,'03_原始数据'!$C$5:$C$62),""),"")</f>
        <v/>
      </c>
      <c r="D62" s="34">
        <f>IF(0=1,IFERROR(CORREL('03_原始数据'!$B$5:$B$62,'03_原始数据'!$C$5:$C$62),""),"")</f>
        <v/>
      </c>
      <c r="E62" s="34">
        <f>IF(1=1,IFERROR(CORREL('03_原始数据'!$G$6:$G$62,'03_原始数据'!$H$6:$H$62),""),"")</f>
        <v/>
      </c>
      <c r="F62" s="55">
        <f>IF(N(B62)=0,"不足","有效")</f>
        <v/>
      </c>
    </row>
    <row r="63" ht="17" customHeight="1">
      <c r="A63" s="38">
        <f>'03_原始数据'!A63</f>
        <v/>
      </c>
      <c r="B63" s="31">
        <f>IF(1=1,IFERROR(CORREL('03_原始数据'!$B$44:$B$63,'03_原始数据'!$C$44:$C$63),""),"")</f>
        <v/>
      </c>
      <c r="C63" s="31">
        <f>IF(1=1,IFERROR(CORREL('03_原始数据'!$B$5:$B$63,'03_原始数据'!$C$5:$C$63),""),"")</f>
        <v/>
      </c>
      <c r="D63" s="31">
        <f>IF(0=1,IFERROR(CORREL('03_原始数据'!$B$5:$B$63,'03_原始数据'!$C$5:$C$63),""),"")</f>
        <v/>
      </c>
      <c r="E63" s="31">
        <f>IF(1=1,IFERROR(CORREL('03_原始数据'!$G$6:$G$63,'03_原始数据'!$H$6:$H$63),""),"")</f>
        <v/>
      </c>
      <c r="F63" s="54">
        <f>IF(N(B63)=0,"不足","有效")</f>
        <v/>
      </c>
    </row>
    <row r="64" ht="17" customHeight="1">
      <c r="A64" s="40">
        <f>'03_原始数据'!A64</f>
        <v/>
      </c>
      <c r="B64" s="34">
        <f>IF(1=1,IFERROR(CORREL('03_原始数据'!$B$45:$B$64,'03_原始数据'!$C$45:$C$64),""),"")</f>
        <v/>
      </c>
      <c r="C64" s="34">
        <f>IF(1=1,IFERROR(CORREL('03_原始数据'!$B$5:$B$64,'03_原始数据'!$C$5:$C$64),""),"")</f>
        <v/>
      </c>
      <c r="D64" s="34">
        <f>IF(0=1,IFERROR(CORREL('03_原始数据'!$B$5:$B$64,'03_原始数据'!$C$5:$C$64),""),"")</f>
        <v/>
      </c>
      <c r="E64" s="34">
        <f>IF(1=1,IFERROR(CORREL('03_原始数据'!$G$6:$G$64,'03_原始数据'!$H$6:$H$64),""),"")</f>
        <v/>
      </c>
      <c r="F64" s="55">
        <f>IF(N(B64)=0,"不足","有效")</f>
        <v/>
      </c>
    </row>
    <row r="65" ht="17" customHeight="1">
      <c r="A65" s="38">
        <f>'03_原始数据'!A65</f>
        <v/>
      </c>
      <c r="B65" s="31">
        <f>IF(1=1,IFERROR(CORREL('03_原始数据'!$B$46:$B$65,'03_原始数据'!$C$46:$C$65),""),"")</f>
        <v/>
      </c>
      <c r="C65" s="31">
        <f>IF(1=1,IFERROR(CORREL('03_原始数据'!$B$6:$B$65,'03_原始数据'!$C$6:$C$65),""),"")</f>
        <v/>
      </c>
      <c r="D65" s="31">
        <f>IF(0=1,IFERROR(CORREL('03_原始数据'!$B$5:$B$65,'03_原始数据'!$C$5:$C$65),""),"")</f>
        <v/>
      </c>
      <c r="E65" s="31">
        <f>IF(1=1,IFERROR(CORREL('03_原始数据'!$G$6:$G$65,'03_原始数据'!$H$6:$H$65),""),"")</f>
        <v/>
      </c>
      <c r="F65" s="54">
        <f>IF(N(B65)=0,"不足","有效")</f>
        <v/>
      </c>
    </row>
    <row r="66" ht="17" customHeight="1">
      <c r="A66" s="40">
        <f>'03_原始数据'!A66</f>
        <v/>
      </c>
      <c r="B66" s="34">
        <f>IF(1=1,IFERROR(CORREL('03_原始数据'!$B$47:$B$66,'03_原始数据'!$C$47:$C$66),""),"")</f>
        <v/>
      </c>
      <c r="C66" s="34">
        <f>IF(1=1,IFERROR(CORREL('03_原始数据'!$B$7:$B$66,'03_原始数据'!$C$7:$C$66),""),"")</f>
        <v/>
      </c>
      <c r="D66" s="34">
        <f>IF(0=1,IFERROR(CORREL('03_原始数据'!$B$5:$B$66,'03_原始数据'!$C$5:$C$66),""),"")</f>
        <v/>
      </c>
      <c r="E66" s="34">
        <f>IF(1=1,IFERROR(CORREL('03_原始数据'!$G$7:$G$66,'03_原始数据'!$H$7:$H$66),""),"")</f>
        <v/>
      </c>
      <c r="F66" s="55">
        <f>IF(N(B66)=0,"不足","有效")</f>
        <v/>
      </c>
    </row>
    <row r="67" ht="17" customHeight="1">
      <c r="A67" s="38">
        <f>'03_原始数据'!A67</f>
        <v/>
      </c>
      <c r="B67" s="31">
        <f>IF(1=1,IFERROR(CORREL('03_原始数据'!$B$48:$B$67,'03_原始数据'!$C$48:$C$67),""),"")</f>
        <v/>
      </c>
      <c r="C67" s="31">
        <f>IF(1=1,IFERROR(CORREL('03_原始数据'!$B$8:$B$67,'03_原始数据'!$C$8:$C$67),""),"")</f>
        <v/>
      </c>
      <c r="D67" s="31">
        <f>IF(0=1,IFERROR(CORREL('03_原始数据'!$B$5:$B$67,'03_原始数据'!$C$5:$C$67),""),"")</f>
        <v/>
      </c>
      <c r="E67" s="31">
        <f>IF(1=1,IFERROR(CORREL('03_原始数据'!$G$8:$G$67,'03_原始数据'!$H$8:$H$67),""),"")</f>
        <v/>
      </c>
      <c r="F67" s="54">
        <f>IF(N(B67)=0,"不足","有效")</f>
        <v/>
      </c>
    </row>
    <row r="68" ht="17" customHeight="1">
      <c r="A68" s="40">
        <f>'03_原始数据'!A68</f>
        <v/>
      </c>
      <c r="B68" s="34">
        <f>IF(1=1,IFERROR(CORREL('03_原始数据'!$B$49:$B$68,'03_原始数据'!$C$49:$C$68),""),"")</f>
        <v/>
      </c>
      <c r="C68" s="34">
        <f>IF(1=1,IFERROR(CORREL('03_原始数据'!$B$9:$B$68,'03_原始数据'!$C$9:$C$68),""),"")</f>
        <v/>
      </c>
      <c r="D68" s="34">
        <f>IF(0=1,IFERROR(CORREL('03_原始数据'!$B$5:$B$68,'03_原始数据'!$C$5:$C$68),""),"")</f>
        <v/>
      </c>
      <c r="E68" s="34">
        <f>IF(1=1,IFERROR(CORREL('03_原始数据'!$G$9:$G$68,'03_原始数据'!$H$9:$H$68),""),"")</f>
        <v/>
      </c>
      <c r="F68" s="55">
        <f>IF(N(B68)=0,"不足","有效")</f>
        <v/>
      </c>
    </row>
    <row r="69" ht="17" customHeight="1">
      <c r="A69" s="38">
        <f>'03_原始数据'!A69</f>
        <v/>
      </c>
      <c r="B69" s="31">
        <f>IF(1=1,IFERROR(CORREL('03_原始数据'!$B$50:$B$69,'03_原始数据'!$C$50:$C$69),""),"")</f>
        <v/>
      </c>
      <c r="C69" s="31">
        <f>IF(1=1,IFERROR(CORREL('03_原始数据'!$B$10:$B$69,'03_原始数据'!$C$10:$C$69),""),"")</f>
        <v/>
      </c>
      <c r="D69" s="31">
        <f>IF(0=1,IFERROR(CORREL('03_原始数据'!$B$5:$B$69,'03_原始数据'!$C$5:$C$69),""),"")</f>
        <v/>
      </c>
      <c r="E69" s="31">
        <f>IF(1=1,IFERROR(CORREL('03_原始数据'!$G$10:$G$69,'03_原始数据'!$H$10:$H$69),""),"")</f>
        <v/>
      </c>
      <c r="F69" s="54">
        <f>IF(N(B69)=0,"不足","有效")</f>
        <v/>
      </c>
    </row>
    <row r="70" ht="17" customHeight="1">
      <c r="A70" s="40">
        <f>'03_原始数据'!A70</f>
        <v/>
      </c>
      <c r="B70" s="34">
        <f>IF(1=1,IFERROR(CORREL('03_原始数据'!$B$51:$B$70,'03_原始数据'!$C$51:$C$70),""),"")</f>
        <v/>
      </c>
      <c r="C70" s="34">
        <f>IF(1=1,IFERROR(CORREL('03_原始数据'!$B$11:$B$70,'03_原始数据'!$C$11:$C$70),""),"")</f>
        <v/>
      </c>
      <c r="D70" s="34">
        <f>IF(0=1,IFERROR(CORREL('03_原始数据'!$B$5:$B$70,'03_原始数据'!$C$5:$C$70),""),"")</f>
        <v/>
      </c>
      <c r="E70" s="34">
        <f>IF(1=1,IFERROR(CORREL('03_原始数据'!$G$11:$G$70,'03_原始数据'!$H$11:$H$70),""),"")</f>
        <v/>
      </c>
      <c r="F70" s="55">
        <f>IF(N(B70)=0,"不足","有效")</f>
        <v/>
      </c>
    </row>
    <row r="71" ht="17" customHeight="1">
      <c r="A71" s="38">
        <f>'03_原始数据'!A71</f>
        <v/>
      </c>
      <c r="B71" s="31">
        <f>IF(1=1,IFERROR(CORREL('03_原始数据'!$B$52:$B$71,'03_原始数据'!$C$52:$C$71),""),"")</f>
        <v/>
      </c>
      <c r="C71" s="31">
        <f>IF(1=1,IFERROR(CORREL('03_原始数据'!$B$12:$B$71,'03_原始数据'!$C$12:$C$71),""),"")</f>
        <v/>
      </c>
      <c r="D71" s="31">
        <f>IF(0=1,IFERROR(CORREL('03_原始数据'!$B$5:$B$71,'03_原始数据'!$C$5:$C$71),""),"")</f>
        <v/>
      </c>
      <c r="E71" s="31">
        <f>IF(1=1,IFERROR(CORREL('03_原始数据'!$G$12:$G$71,'03_原始数据'!$H$12:$H$71),""),"")</f>
        <v/>
      </c>
      <c r="F71" s="54">
        <f>IF(N(B71)=0,"不足","有效")</f>
        <v/>
      </c>
    </row>
    <row r="72" ht="17" customHeight="1">
      <c r="A72" s="40">
        <f>'03_原始数据'!A72</f>
        <v/>
      </c>
      <c r="B72" s="34">
        <f>IF(1=1,IFERROR(CORREL('03_原始数据'!$B$53:$B$72,'03_原始数据'!$C$53:$C$72),""),"")</f>
        <v/>
      </c>
      <c r="C72" s="34">
        <f>IF(1=1,IFERROR(CORREL('03_原始数据'!$B$13:$B$72,'03_原始数据'!$C$13:$C$72),""),"")</f>
        <v/>
      </c>
      <c r="D72" s="34">
        <f>IF(0=1,IFERROR(CORREL('03_原始数据'!$B$5:$B$72,'03_原始数据'!$C$5:$C$72),""),"")</f>
        <v/>
      </c>
      <c r="E72" s="34">
        <f>IF(1=1,IFERROR(CORREL('03_原始数据'!$G$13:$G$72,'03_原始数据'!$H$13:$H$72),""),"")</f>
        <v/>
      </c>
      <c r="F72" s="55">
        <f>IF(N(B72)=0,"不足","有效")</f>
        <v/>
      </c>
    </row>
    <row r="73" ht="17" customHeight="1">
      <c r="A73" s="38">
        <f>'03_原始数据'!A73</f>
        <v/>
      </c>
      <c r="B73" s="31">
        <f>IF(1=1,IFERROR(CORREL('03_原始数据'!$B$54:$B$73,'03_原始数据'!$C$54:$C$73),""),"")</f>
        <v/>
      </c>
      <c r="C73" s="31">
        <f>IF(1=1,IFERROR(CORREL('03_原始数据'!$B$14:$B$73,'03_原始数据'!$C$14:$C$73),""),"")</f>
        <v/>
      </c>
      <c r="D73" s="31">
        <f>IF(0=1,IFERROR(CORREL('03_原始数据'!$B$5:$B$73,'03_原始数据'!$C$5:$C$73),""),"")</f>
        <v/>
      </c>
      <c r="E73" s="31">
        <f>IF(1=1,IFERROR(CORREL('03_原始数据'!$G$14:$G$73,'03_原始数据'!$H$14:$H$73),""),"")</f>
        <v/>
      </c>
      <c r="F73" s="54">
        <f>IF(N(B73)=0,"不足","有效")</f>
        <v/>
      </c>
    </row>
    <row r="74" ht="17" customHeight="1">
      <c r="A74" s="40">
        <f>'03_原始数据'!A74</f>
        <v/>
      </c>
      <c r="B74" s="34">
        <f>IF(1=1,IFERROR(CORREL('03_原始数据'!$B$55:$B$74,'03_原始数据'!$C$55:$C$74),""),"")</f>
        <v/>
      </c>
      <c r="C74" s="34">
        <f>IF(1=1,IFERROR(CORREL('03_原始数据'!$B$15:$B$74,'03_原始数据'!$C$15:$C$74),""),"")</f>
        <v/>
      </c>
      <c r="D74" s="34">
        <f>IF(0=1,IFERROR(CORREL('03_原始数据'!$B$5:$B$74,'03_原始数据'!$C$5:$C$74),""),"")</f>
        <v/>
      </c>
      <c r="E74" s="34">
        <f>IF(1=1,IFERROR(CORREL('03_原始数据'!$G$15:$G$74,'03_原始数据'!$H$15:$H$74),""),"")</f>
        <v/>
      </c>
      <c r="F74" s="55">
        <f>IF(N(B74)=0,"不足","有效")</f>
        <v/>
      </c>
    </row>
    <row r="75" ht="17" customHeight="1">
      <c r="A75" s="38">
        <f>'03_原始数据'!A75</f>
        <v/>
      </c>
      <c r="B75" s="31">
        <f>IF(1=1,IFERROR(CORREL('03_原始数据'!$B$56:$B$75,'03_原始数据'!$C$56:$C$75),""),"")</f>
        <v/>
      </c>
      <c r="C75" s="31">
        <f>IF(1=1,IFERROR(CORREL('03_原始数据'!$B$16:$B$75,'03_原始数据'!$C$16:$C$75),""),"")</f>
        <v/>
      </c>
      <c r="D75" s="31">
        <f>IF(0=1,IFERROR(CORREL('03_原始数据'!$B$5:$B$75,'03_原始数据'!$C$5:$C$75),""),"")</f>
        <v/>
      </c>
      <c r="E75" s="31">
        <f>IF(1=1,IFERROR(CORREL('03_原始数据'!$G$16:$G$75,'03_原始数据'!$H$16:$H$75),""),"")</f>
        <v/>
      </c>
      <c r="F75" s="54">
        <f>IF(N(B75)=0,"不足","有效")</f>
        <v/>
      </c>
    </row>
    <row r="76" ht="17" customHeight="1">
      <c r="A76" s="40">
        <f>'03_原始数据'!A76</f>
        <v/>
      </c>
      <c r="B76" s="34">
        <f>IF(1=1,IFERROR(CORREL('03_原始数据'!$B$57:$B$76,'03_原始数据'!$C$57:$C$76),""),"")</f>
        <v/>
      </c>
      <c r="C76" s="34">
        <f>IF(1=1,IFERROR(CORREL('03_原始数据'!$B$17:$B$76,'03_原始数据'!$C$17:$C$76),""),"")</f>
        <v/>
      </c>
      <c r="D76" s="34">
        <f>IF(0=1,IFERROR(CORREL('03_原始数据'!$B$5:$B$76,'03_原始数据'!$C$5:$C$76),""),"")</f>
        <v/>
      </c>
      <c r="E76" s="34">
        <f>IF(1=1,IFERROR(CORREL('03_原始数据'!$G$17:$G$76,'03_原始数据'!$H$17:$H$76),""),"")</f>
        <v/>
      </c>
      <c r="F76" s="55">
        <f>IF(N(B76)=0,"不足","有效")</f>
        <v/>
      </c>
    </row>
    <row r="77" ht="17" customHeight="1">
      <c r="A77" s="38">
        <f>'03_原始数据'!A77</f>
        <v/>
      </c>
      <c r="B77" s="31">
        <f>IF(1=1,IFERROR(CORREL('03_原始数据'!$B$58:$B$77,'03_原始数据'!$C$58:$C$77),""),"")</f>
        <v/>
      </c>
      <c r="C77" s="31">
        <f>IF(1=1,IFERROR(CORREL('03_原始数据'!$B$18:$B$77,'03_原始数据'!$C$18:$C$77),""),"")</f>
        <v/>
      </c>
      <c r="D77" s="31">
        <f>IF(0=1,IFERROR(CORREL('03_原始数据'!$B$5:$B$77,'03_原始数据'!$C$5:$C$77),""),"")</f>
        <v/>
      </c>
      <c r="E77" s="31">
        <f>IF(1=1,IFERROR(CORREL('03_原始数据'!$G$18:$G$77,'03_原始数据'!$H$18:$H$77),""),"")</f>
        <v/>
      </c>
      <c r="F77" s="54">
        <f>IF(N(B77)=0,"不足","有效")</f>
        <v/>
      </c>
    </row>
    <row r="78" ht="17" customHeight="1">
      <c r="A78" s="40">
        <f>'03_原始数据'!A78</f>
        <v/>
      </c>
      <c r="B78" s="34">
        <f>IF(1=1,IFERROR(CORREL('03_原始数据'!$B$59:$B$78,'03_原始数据'!$C$59:$C$78),""),"")</f>
        <v/>
      </c>
      <c r="C78" s="34">
        <f>IF(1=1,IFERROR(CORREL('03_原始数据'!$B$19:$B$78,'03_原始数据'!$C$19:$C$78),""),"")</f>
        <v/>
      </c>
      <c r="D78" s="34">
        <f>IF(0=1,IFERROR(CORREL('03_原始数据'!$B$5:$B$78,'03_原始数据'!$C$5:$C$78),""),"")</f>
        <v/>
      </c>
      <c r="E78" s="34">
        <f>IF(1=1,IFERROR(CORREL('03_原始数据'!$G$19:$G$78,'03_原始数据'!$H$19:$H$78),""),"")</f>
        <v/>
      </c>
      <c r="F78" s="55">
        <f>IF(N(B78)=0,"不足","有效")</f>
        <v/>
      </c>
    </row>
    <row r="79" ht="17" customHeight="1">
      <c r="A79" s="38">
        <f>'03_原始数据'!A79</f>
        <v/>
      </c>
      <c r="B79" s="31">
        <f>IF(1=1,IFERROR(CORREL('03_原始数据'!$B$60:$B$79,'03_原始数据'!$C$60:$C$79),""),"")</f>
        <v/>
      </c>
      <c r="C79" s="31">
        <f>IF(1=1,IFERROR(CORREL('03_原始数据'!$B$20:$B$79,'03_原始数据'!$C$20:$C$79),""),"")</f>
        <v/>
      </c>
      <c r="D79" s="31">
        <f>IF(0=1,IFERROR(CORREL('03_原始数据'!$B$5:$B$79,'03_原始数据'!$C$5:$C$79),""),"")</f>
        <v/>
      </c>
      <c r="E79" s="31">
        <f>IF(1=1,IFERROR(CORREL('03_原始数据'!$G$20:$G$79,'03_原始数据'!$H$20:$H$79),""),"")</f>
        <v/>
      </c>
      <c r="F79" s="54">
        <f>IF(N(B79)=0,"不足","有效")</f>
        <v/>
      </c>
    </row>
    <row r="80" ht="17" customHeight="1">
      <c r="A80" s="40">
        <f>'03_原始数据'!A80</f>
        <v/>
      </c>
      <c r="B80" s="34">
        <f>IF(1=1,IFERROR(CORREL('03_原始数据'!$B$61:$B$80,'03_原始数据'!$C$61:$C$80),""),"")</f>
        <v/>
      </c>
      <c r="C80" s="34">
        <f>IF(1=1,IFERROR(CORREL('03_原始数据'!$B$21:$B$80,'03_原始数据'!$C$21:$C$80),""),"")</f>
        <v/>
      </c>
      <c r="D80" s="34">
        <f>IF(0=1,IFERROR(CORREL('03_原始数据'!$B$5:$B$80,'03_原始数据'!$C$5:$C$80),""),"")</f>
        <v/>
      </c>
      <c r="E80" s="34">
        <f>IF(1=1,IFERROR(CORREL('03_原始数据'!$G$21:$G$80,'03_原始数据'!$H$21:$H$80),""),"")</f>
        <v/>
      </c>
      <c r="F80" s="55">
        <f>IF(N(B80)=0,"不足","有效")</f>
        <v/>
      </c>
    </row>
    <row r="81" ht="17" customHeight="1">
      <c r="A81" s="38">
        <f>'03_原始数据'!A81</f>
        <v/>
      </c>
      <c r="B81" s="31">
        <f>IF(1=1,IFERROR(CORREL('03_原始数据'!$B$62:$B$81,'03_原始数据'!$C$62:$C$81),""),"")</f>
        <v/>
      </c>
      <c r="C81" s="31">
        <f>IF(1=1,IFERROR(CORREL('03_原始数据'!$B$22:$B$81,'03_原始数据'!$C$22:$C$81),""),"")</f>
        <v/>
      </c>
      <c r="D81" s="31">
        <f>IF(0=1,IFERROR(CORREL('03_原始数据'!$B$5:$B$81,'03_原始数据'!$C$5:$C$81),""),"")</f>
        <v/>
      </c>
      <c r="E81" s="31">
        <f>IF(1=1,IFERROR(CORREL('03_原始数据'!$G$22:$G$81,'03_原始数据'!$H$22:$H$81),""),"")</f>
        <v/>
      </c>
      <c r="F81" s="54">
        <f>IF(N(B81)=0,"不足","有效")</f>
        <v/>
      </c>
    </row>
    <row r="82" ht="17" customHeight="1">
      <c r="A82" s="40">
        <f>'03_原始数据'!A82</f>
        <v/>
      </c>
      <c r="B82" s="34">
        <f>IF(1=1,IFERROR(CORREL('03_原始数据'!$B$63:$B$82,'03_原始数据'!$C$63:$C$82),""),"")</f>
        <v/>
      </c>
      <c r="C82" s="34">
        <f>IF(1=1,IFERROR(CORREL('03_原始数据'!$B$23:$B$82,'03_原始数据'!$C$23:$C$82),""),"")</f>
        <v/>
      </c>
      <c r="D82" s="34">
        <f>IF(0=1,IFERROR(CORREL('03_原始数据'!$B$5:$B$82,'03_原始数据'!$C$5:$C$82),""),"")</f>
        <v/>
      </c>
      <c r="E82" s="34">
        <f>IF(1=1,IFERROR(CORREL('03_原始数据'!$G$23:$G$82,'03_原始数据'!$H$23:$H$82),""),"")</f>
        <v/>
      </c>
      <c r="F82" s="55">
        <f>IF(N(B82)=0,"不足","有效")</f>
        <v/>
      </c>
    </row>
    <row r="83" ht="17" customHeight="1">
      <c r="A83" s="38">
        <f>'03_原始数据'!A83</f>
        <v/>
      </c>
      <c r="B83" s="31">
        <f>IF(1=1,IFERROR(CORREL('03_原始数据'!$B$64:$B$83,'03_原始数据'!$C$64:$C$83),""),"")</f>
        <v/>
      </c>
      <c r="C83" s="31">
        <f>IF(1=1,IFERROR(CORREL('03_原始数据'!$B$24:$B$83,'03_原始数据'!$C$24:$C$83),""),"")</f>
        <v/>
      </c>
      <c r="D83" s="31">
        <f>IF(0=1,IFERROR(CORREL('03_原始数据'!$B$5:$B$83,'03_原始数据'!$C$5:$C$83),""),"")</f>
        <v/>
      </c>
      <c r="E83" s="31">
        <f>IF(1=1,IFERROR(CORREL('03_原始数据'!$G$24:$G$83,'03_原始数据'!$H$24:$H$83),""),"")</f>
        <v/>
      </c>
      <c r="F83" s="54">
        <f>IF(N(B83)=0,"不足","有效")</f>
        <v/>
      </c>
    </row>
    <row r="84" ht="17" customHeight="1">
      <c r="A84" s="40">
        <f>'03_原始数据'!A84</f>
        <v/>
      </c>
      <c r="B84" s="34">
        <f>IF(1=1,IFERROR(CORREL('03_原始数据'!$B$65:$B$84,'03_原始数据'!$C$65:$C$84),""),"")</f>
        <v/>
      </c>
      <c r="C84" s="34">
        <f>IF(1=1,IFERROR(CORREL('03_原始数据'!$B$25:$B$84,'03_原始数据'!$C$25:$C$84),""),"")</f>
        <v/>
      </c>
      <c r="D84" s="34">
        <f>IF(0=1,IFERROR(CORREL('03_原始数据'!$B$5:$B$84,'03_原始数据'!$C$5:$C$84),""),"")</f>
        <v/>
      </c>
      <c r="E84" s="34">
        <f>IF(1=1,IFERROR(CORREL('03_原始数据'!$G$25:$G$84,'03_原始数据'!$H$25:$H$84),""),"")</f>
        <v/>
      </c>
      <c r="F84" s="55">
        <f>IF(N(B84)=0,"不足","有效")</f>
        <v/>
      </c>
    </row>
    <row r="85" ht="17" customHeight="1">
      <c r="A85" s="38">
        <f>'03_原始数据'!A85</f>
        <v/>
      </c>
      <c r="B85" s="31">
        <f>IF(1=1,IFERROR(CORREL('03_原始数据'!$B$66:$B$85,'03_原始数据'!$C$66:$C$85),""),"")</f>
        <v/>
      </c>
      <c r="C85" s="31">
        <f>IF(1=1,IFERROR(CORREL('03_原始数据'!$B$26:$B$85,'03_原始数据'!$C$26:$C$85),""),"")</f>
        <v/>
      </c>
      <c r="D85" s="31">
        <f>IF(0=1,IFERROR(CORREL('03_原始数据'!$B$5:$B$85,'03_原始数据'!$C$5:$C$85),""),"")</f>
        <v/>
      </c>
      <c r="E85" s="31">
        <f>IF(1=1,IFERROR(CORREL('03_原始数据'!$G$26:$G$85,'03_原始数据'!$H$26:$H$85),""),"")</f>
        <v/>
      </c>
      <c r="F85" s="54">
        <f>IF(N(B85)=0,"不足","有效")</f>
        <v/>
      </c>
    </row>
    <row r="86" ht="17" customHeight="1">
      <c r="A86" s="40">
        <f>'03_原始数据'!A86</f>
        <v/>
      </c>
      <c r="B86" s="34">
        <f>IF(1=1,IFERROR(CORREL('03_原始数据'!$B$67:$B$86,'03_原始数据'!$C$67:$C$86),""),"")</f>
        <v/>
      </c>
      <c r="C86" s="34">
        <f>IF(1=1,IFERROR(CORREL('03_原始数据'!$B$27:$B$86,'03_原始数据'!$C$27:$C$86),""),"")</f>
        <v/>
      </c>
      <c r="D86" s="34">
        <f>IF(0=1,IFERROR(CORREL('03_原始数据'!$B$5:$B$86,'03_原始数据'!$C$5:$C$86),""),"")</f>
        <v/>
      </c>
      <c r="E86" s="34">
        <f>IF(1=1,IFERROR(CORREL('03_原始数据'!$G$27:$G$86,'03_原始数据'!$H$27:$H$86),""),"")</f>
        <v/>
      </c>
      <c r="F86" s="55">
        <f>IF(N(B86)=0,"不足","有效")</f>
        <v/>
      </c>
    </row>
    <row r="87" ht="17" customHeight="1">
      <c r="A87" s="38">
        <f>'03_原始数据'!A87</f>
        <v/>
      </c>
      <c r="B87" s="31">
        <f>IF(1=1,IFERROR(CORREL('03_原始数据'!$B$68:$B$87,'03_原始数据'!$C$68:$C$87),""),"")</f>
        <v/>
      </c>
      <c r="C87" s="31">
        <f>IF(1=1,IFERROR(CORREL('03_原始数据'!$B$28:$B$87,'03_原始数据'!$C$28:$C$87),""),"")</f>
        <v/>
      </c>
      <c r="D87" s="31">
        <f>IF(0=1,IFERROR(CORREL('03_原始数据'!$B$5:$B$87,'03_原始数据'!$C$5:$C$87),""),"")</f>
        <v/>
      </c>
      <c r="E87" s="31">
        <f>IF(1=1,IFERROR(CORREL('03_原始数据'!$G$28:$G$87,'03_原始数据'!$H$28:$H$87),""),"")</f>
        <v/>
      </c>
      <c r="F87" s="54">
        <f>IF(N(B87)=0,"不足","有效")</f>
        <v/>
      </c>
    </row>
    <row r="88" ht="17" customHeight="1">
      <c r="A88" s="40">
        <f>'03_原始数据'!A88</f>
        <v/>
      </c>
      <c r="B88" s="34">
        <f>IF(1=1,IFERROR(CORREL('03_原始数据'!$B$69:$B$88,'03_原始数据'!$C$69:$C$88),""),"")</f>
        <v/>
      </c>
      <c r="C88" s="34">
        <f>IF(1=1,IFERROR(CORREL('03_原始数据'!$B$29:$B$88,'03_原始数据'!$C$29:$C$88),""),"")</f>
        <v/>
      </c>
      <c r="D88" s="34">
        <f>IF(0=1,IFERROR(CORREL('03_原始数据'!$B$5:$B$88,'03_原始数据'!$C$5:$C$88),""),"")</f>
        <v/>
      </c>
      <c r="E88" s="34">
        <f>IF(1=1,IFERROR(CORREL('03_原始数据'!$G$29:$G$88,'03_原始数据'!$H$29:$H$88),""),"")</f>
        <v/>
      </c>
      <c r="F88" s="55">
        <f>IF(N(B88)=0,"不足","有效")</f>
        <v/>
      </c>
    </row>
    <row r="89" ht="17" customHeight="1">
      <c r="A89" s="38">
        <f>'03_原始数据'!A89</f>
        <v/>
      </c>
      <c r="B89" s="31">
        <f>IF(1=1,IFERROR(CORREL('03_原始数据'!$B$70:$B$89,'03_原始数据'!$C$70:$C$89),""),"")</f>
        <v/>
      </c>
      <c r="C89" s="31">
        <f>IF(1=1,IFERROR(CORREL('03_原始数据'!$B$30:$B$89,'03_原始数据'!$C$30:$C$89),""),"")</f>
        <v/>
      </c>
      <c r="D89" s="31">
        <f>IF(0=1,IFERROR(CORREL('03_原始数据'!$B$5:$B$89,'03_原始数据'!$C$5:$C$89),""),"")</f>
        <v/>
      </c>
      <c r="E89" s="31">
        <f>IF(1=1,IFERROR(CORREL('03_原始数据'!$G$30:$G$89,'03_原始数据'!$H$30:$H$89),""),"")</f>
        <v/>
      </c>
      <c r="F89" s="54">
        <f>IF(N(B89)=0,"不足","有效")</f>
        <v/>
      </c>
    </row>
    <row r="90" ht="17" customHeight="1">
      <c r="A90" s="40">
        <f>'03_原始数据'!A90</f>
        <v/>
      </c>
      <c r="B90" s="34">
        <f>IF(1=1,IFERROR(CORREL('03_原始数据'!$B$71:$B$90,'03_原始数据'!$C$71:$C$90),""),"")</f>
        <v/>
      </c>
      <c r="C90" s="34">
        <f>IF(1=1,IFERROR(CORREL('03_原始数据'!$B$31:$B$90,'03_原始数据'!$C$31:$C$90),""),"")</f>
        <v/>
      </c>
      <c r="D90" s="34">
        <f>IF(0=1,IFERROR(CORREL('03_原始数据'!$B$5:$B$90,'03_原始数据'!$C$5:$C$90),""),"")</f>
        <v/>
      </c>
      <c r="E90" s="34">
        <f>IF(1=1,IFERROR(CORREL('03_原始数据'!$G$31:$G$90,'03_原始数据'!$H$31:$H$90),""),"")</f>
        <v/>
      </c>
      <c r="F90" s="55">
        <f>IF(N(B90)=0,"不足","有效")</f>
        <v/>
      </c>
    </row>
    <row r="91" ht="17" customHeight="1">
      <c r="A91" s="38">
        <f>'03_原始数据'!A91</f>
        <v/>
      </c>
      <c r="B91" s="31">
        <f>IF(1=1,IFERROR(CORREL('03_原始数据'!$B$72:$B$91,'03_原始数据'!$C$72:$C$91),""),"")</f>
        <v/>
      </c>
      <c r="C91" s="31">
        <f>IF(1=1,IFERROR(CORREL('03_原始数据'!$B$32:$B$91,'03_原始数据'!$C$32:$C$91),""),"")</f>
        <v/>
      </c>
      <c r="D91" s="31">
        <f>IF(0=1,IFERROR(CORREL('03_原始数据'!$B$5:$B$91,'03_原始数据'!$C$5:$C$91),""),"")</f>
        <v/>
      </c>
      <c r="E91" s="31">
        <f>IF(1=1,IFERROR(CORREL('03_原始数据'!$G$32:$G$91,'03_原始数据'!$H$32:$H$91),""),"")</f>
        <v/>
      </c>
      <c r="F91" s="54">
        <f>IF(N(B91)=0,"不足","有效")</f>
        <v/>
      </c>
    </row>
    <row r="92" ht="17" customHeight="1">
      <c r="A92" s="40">
        <f>'03_原始数据'!A92</f>
        <v/>
      </c>
      <c r="B92" s="34">
        <f>IF(1=1,IFERROR(CORREL('03_原始数据'!$B$73:$B$92,'03_原始数据'!$C$73:$C$92),""),"")</f>
        <v/>
      </c>
      <c r="C92" s="34">
        <f>IF(1=1,IFERROR(CORREL('03_原始数据'!$B$33:$B$92,'03_原始数据'!$C$33:$C$92),""),"")</f>
        <v/>
      </c>
      <c r="D92" s="34">
        <f>IF(0=1,IFERROR(CORREL('03_原始数据'!$B$5:$B$92,'03_原始数据'!$C$5:$C$92),""),"")</f>
        <v/>
      </c>
      <c r="E92" s="34">
        <f>IF(1=1,IFERROR(CORREL('03_原始数据'!$G$33:$G$92,'03_原始数据'!$H$33:$H$92),""),"")</f>
        <v/>
      </c>
      <c r="F92" s="55">
        <f>IF(N(B92)=0,"不足","有效")</f>
        <v/>
      </c>
    </row>
    <row r="93" ht="17" customHeight="1">
      <c r="A93" s="38">
        <f>'03_原始数据'!A93</f>
        <v/>
      </c>
      <c r="B93" s="31">
        <f>IF(1=1,IFERROR(CORREL('03_原始数据'!$B$74:$B$93,'03_原始数据'!$C$74:$C$93),""),"")</f>
        <v/>
      </c>
      <c r="C93" s="31">
        <f>IF(1=1,IFERROR(CORREL('03_原始数据'!$B$34:$B$93,'03_原始数据'!$C$34:$C$93),""),"")</f>
        <v/>
      </c>
      <c r="D93" s="31">
        <f>IF(0=1,IFERROR(CORREL('03_原始数据'!$B$5:$B$93,'03_原始数据'!$C$5:$C$93),""),"")</f>
        <v/>
      </c>
      <c r="E93" s="31">
        <f>IF(1=1,IFERROR(CORREL('03_原始数据'!$G$34:$G$93,'03_原始数据'!$H$34:$H$93),""),"")</f>
        <v/>
      </c>
      <c r="F93" s="54">
        <f>IF(N(B93)=0,"不足","有效")</f>
        <v/>
      </c>
    </row>
    <row r="94" ht="17" customHeight="1">
      <c r="A94" s="40">
        <f>'03_原始数据'!A94</f>
        <v/>
      </c>
      <c r="B94" s="34">
        <f>IF(1=1,IFERROR(CORREL('03_原始数据'!$B$75:$B$94,'03_原始数据'!$C$75:$C$94),""),"")</f>
        <v/>
      </c>
      <c r="C94" s="34">
        <f>IF(1=1,IFERROR(CORREL('03_原始数据'!$B$35:$B$94,'03_原始数据'!$C$35:$C$94),""),"")</f>
        <v/>
      </c>
      <c r="D94" s="34">
        <f>IF(0=1,IFERROR(CORREL('03_原始数据'!$B$5:$B$94,'03_原始数据'!$C$5:$C$94),""),"")</f>
        <v/>
      </c>
      <c r="E94" s="34">
        <f>IF(1=1,IFERROR(CORREL('03_原始数据'!$G$35:$G$94,'03_原始数据'!$H$35:$H$94),""),"")</f>
        <v/>
      </c>
      <c r="F94" s="55">
        <f>IF(N(B94)=0,"不足","有效")</f>
        <v/>
      </c>
    </row>
    <row r="95" ht="17" customHeight="1">
      <c r="A95" s="38">
        <f>'03_原始数据'!A95</f>
        <v/>
      </c>
      <c r="B95" s="31">
        <f>IF(1=1,IFERROR(CORREL('03_原始数据'!$B$76:$B$95,'03_原始数据'!$C$76:$C$95),""),"")</f>
        <v/>
      </c>
      <c r="C95" s="31">
        <f>IF(1=1,IFERROR(CORREL('03_原始数据'!$B$36:$B$95,'03_原始数据'!$C$36:$C$95),""),"")</f>
        <v/>
      </c>
      <c r="D95" s="31">
        <f>IF(0=1,IFERROR(CORREL('03_原始数据'!$B$5:$B$95,'03_原始数据'!$C$5:$C$95),""),"")</f>
        <v/>
      </c>
      <c r="E95" s="31">
        <f>IF(1=1,IFERROR(CORREL('03_原始数据'!$G$36:$G$95,'03_原始数据'!$H$36:$H$95),""),"")</f>
        <v/>
      </c>
      <c r="F95" s="54">
        <f>IF(N(B95)=0,"不足","有效")</f>
        <v/>
      </c>
    </row>
    <row r="96" ht="17" customHeight="1">
      <c r="A96" s="40">
        <f>'03_原始数据'!A96</f>
        <v/>
      </c>
      <c r="B96" s="34">
        <f>IF(1=1,IFERROR(CORREL('03_原始数据'!$B$77:$B$96,'03_原始数据'!$C$77:$C$96),""),"")</f>
        <v/>
      </c>
      <c r="C96" s="34">
        <f>IF(1=1,IFERROR(CORREL('03_原始数据'!$B$37:$B$96,'03_原始数据'!$C$37:$C$96),""),"")</f>
        <v/>
      </c>
      <c r="D96" s="34">
        <f>IF(0=1,IFERROR(CORREL('03_原始数据'!$B$5:$B$96,'03_原始数据'!$C$5:$C$96),""),"")</f>
        <v/>
      </c>
      <c r="E96" s="34">
        <f>IF(1=1,IFERROR(CORREL('03_原始数据'!$G$37:$G$96,'03_原始数据'!$H$37:$H$96),""),"")</f>
        <v/>
      </c>
      <c r="F96" s="55">
        <f>IF(N(B96)=0,"不足","有效")</f>
        <v/>
      </c>
    </row>
    <row r="97" ht="17" customHeight="1">
      <c r="A97" s="38">
        <f>'03_原始数据'!A97</f>
        <v/>
      </c>
      <c r="B97" s="31">
        <f>IF(1=1,IFERROR(CORREL('03_原始数据'!$B$78:$B$97,'03_原始数据'!$C$78:$C$97),""),"")</f>
        <v/>
      </c>
      <c r="C97" s="31">
        <f>IF(1=1,IFERROR(CORREL('03_原始数据'!$B$38:$B$97,'03_原始数据'!$C$38:$C$97),""),"")</f>
        <v/>
      </c>
      <c r="D97" s="31">
        <f>IF(0=1,IFERROR(CORREL('03_原始数据'!$B$5:$B$97,'03_原始数据'!$C$5:$C$97),""),"")</f>
        <v/>
      </c>
      <c r="E97" s="31">
        <f>IF(1=1,IFERROR(CORREL('03_原始数据'!$G$38:$G$97,'03_原始数据'!$H$38:$H$97),""),"")</f>
        <v/>
      </c>
      <c r="F97" s="54">
        <f>IF(N(B97)=0,"不足","有效")</f>
        <v/>
      </c>
    </row>
    <row r="98" ht="17" customHeight="1">
      <c r="A98" s="40">
        <f>'03_原始数据'!A98</f>
        <v/>
      </c>
      <c r="B98" s="34">
        <f>IF(1=1,IFERROR(CORREL('03_原始数据'!$B$79:$B$98,'03_原始数据'!$C$79:$C$98),""),"")</f>
        <v/>
      </c>
      <c r="C98" s="34">
        <f>IF(1=1,IFERROR(CORREL('03_原始数据'!$B$39:$B$98,'03_原始数据'!$C$39:$C$98),""),"")</f>
        <v/>
      </c>
      <c r="D98" s="34">
        <f>IF(0=1,IFERROR(CORREL('03_原始数据'!$B$5:$B$98,'03_原始数据'!$C$5:$C$98),""),"")</f>
        <v/>
      </c>
      <c r="E98" s="34">
        <f>IF(1=1,IFERROR(CORREL('03_原始数据'!$G$39:$G$98,'03_原始数据'!$H$39:$H$98),""),"")</f>
        <v/>
      </c>
      <c r="F98" s="55">
        <f>IF(N(B98)=0,"不足","有效")</f>
        <v/>
      </c>
    </row>
    <row r="99" ht="17" customHeight="1">
      <c r="A99" s="38">
        <f>'03_原始数据'!A99</f>
        <v/>
      </c>
      <c r="B99" s="31">
        <f>IF(1=1,IFERROR(CORREL('03_原始数据'!$B$80:$B$99,'03_原始数据'!$C$80:$C$99),""),"")</f>
        <v/>
      </c>
      <c r="C99" s="31">
        <f>IF(1=1,IFERROR(CORREL('03_原始数据'!$B$40:$B$99,'03_原始数据'!$C$40:$C$99),""),"")</f>
        <v/>
      </c>
      <c r="D99" s="31">
        <f>IF(0=1,IFERROR(CORREL('03_原始数据'!$B$5:$B$99,'03_原始数据'!$C$5:$C$99),""),"")</f>
        <v/>
      </c>
      <c r="E99" s="31">
        <f>IF(1=1,IFERROR(CORREL('03_原始数据'!$G$40:$G$99,'03_原始数据'!$H$40:$H$99),""),"")</f>
        <v/>
      </c>
      <c r="F99" s="54">
        <f>IF(N(B99)=0,"不足","有效")</f>
        <v/>
      </c>
    </row>
    <row r="100" ht="17" customHeight="1">
      <c r="A100" s="40">
        <f>'03_原始数据'!A100</f>
        <v/>
      </c>
      <c r="B100" s="34">
        <f>IF(1=1,IFERROR(CORREL('03_原始数据'!$B$81:$B$100,'03_原始数据'!$C$81:$C$100),""),"")</f>
        <v/>
      </c>
      <c r="C100" s="34">
        <f>IF(1=1,IFERROR(CORREL('03_原始数据'!$B$41:$B$100,'03_原始数据'!$C$41:$C$100),""),"")</f>
        <v/>
      </c>
      <c r="D100" s="34">
        <f>IF(1=1,IFERROR(CORREL('03_原始数据'!$B$5:$B$100,'03_原始数据'!$C$5:$C$100),""),"")</f>
        <v/>
      </c>
      <c r="E100" s="34">
        <f>IF(1=1,IFERROR(CORREL('03_原始数据'!$G$41:$G$100,'03_原始数据'!$H$41:$H$100),""),"")</f>
        <v/>
      </c>
      <c r="F100" s="55">
        <f>IF(N(B100)=0,"不足","有效")</f>
        <v/>
      </c>
    </row>
    <row r="101" ht="17" customHeight="1">
      <c r="A101" s="38">
        <f>'03_原始数据'!A101</f>
        <v/>
      </c>
      <c r="B101" s="31">
        <f>IF(1=1,IFERROR(CORREL('03_原始数据'!$B$82:$B$101,'03_原始数据'!$C$82:$C$101),""),"")</f>
        <v/>
      </c>
      <c r="C101" s="31">
        <f>IF(1=1,IFERROR(CORREL('03_原始数据'!$B$42:$B$101,'03_原始数据'!$C$42:$C$101),""),"")</f>
        <v/>
      </c>
      <c r="D101" s="31">
        <f>IF(1=1,IFERROR(CORREL('03_原始数据'!$B$5:$B$101,'03_原始数据'!$C$5:$C$101),""),"")</f>
        <v/>
      </c>
      <c r="E101" s="31">
        <f>IF(1=1,IFERROR(CORREL('03_原始数据'!$G$42:$G$101,'03_原始数据'!$H$42:$H$101),""),"")</f>
        <v/>
      </c>
      <c r="F101" s="54">
        <f>IF(N(B101)=0,"不足","有效")</f>
        <v/>
      </c>
    </row>
    <row r="102" ht="17" customHeight="1">
      <c r="A102" s="40">
        <f>'03_原始数据'!A102</f>
        <v/>
      </c>
      <c r="B102" s="34">
        <f>IF(1=1,IFERROR(CORREL('03_原始数据'!$B$83:$B$102,'03_原始数据'!$C$83:$C$102),""),"")</f>
        <v/>
      </c>
      <c r="C102" s="34">
        <f>IF(1=1,IFERROR(CORREL('03_原始数据'!$B$43:$B$102,'03_原始数据'!$C$43:$C$102),""),"")</f>
        <v/>
      </c>
      <c r="D102" s="34">
        <f>IF(1=1,IFERROR(CORREL('03_原始数据'!$B$5:$B$102,'03_原始数据'!$C$5:$C$102),""),"")</f>
        <v/>
      </c>
      <c r="E102" s="34">
        <f>IF(1=1,IFERROR(CORREL('03_原始数据'!$G$43:$G$102,'03_原始数据'!$H$43:$H$102),""),"")</f>
        <v/>
      </c>
      <c r="F102" s="55">
        <f>IF(N(B102)=0,"不足","有效")</f>
        <v/>
      </c>
    </row>
    <row r="103" ht="17" customHeight="1">
      <c r="A103" s="38">
        <f>'03_原始数据'!A103</f>
        <v/>
      </c>
      <c r="B103" s="31">
        <f>IF(1=1,IFERROR(CORREL('03_原始数据'!$B$84:$B$103,'03_原始数据'!$C$84:$C$103),""),"")</f>
        <v/>
      </c>
      <c r="C103" s="31">
        <f>IF(1=1,IFERROR(CORREL('03_原始数据'!$B$44:$B$103,'03_原始数据'!$C$44:$C$103),""),"")</f>
        <v/>
      </c>
      <c r="D103" s="31">
        <f>IF(1=1,IFERROR(CORREL('03_原始数据'!$B$5:$B$103,'03_原始数据'!$C$5:$C$103),""),"")</f>
        <v/>
      </c>
      <c r="E103" s="31">
        <f>IF(1=1,IFERROR(CORREL('03_原始数据'!$G$44:$G$103,'03_原始数据'!$H$44:$H$103),""),"")</f>
        <v/>
      </c>
      <c r="F103" s="54">
        <f>IF(N(B103)=0,"不足","有效")</f>
        <v/>
      </c>
    </row>
    <row r="104" ht="17" customHeight="1">
      <c r="A104" s="40">
        <f>'03_原始数据'!A104</f>
        <v/>
      </c>
      <c r="B104" s="34">
        <f>IF(1=1,IFERROR(CORREL('03_原始数据'!$B$85:$B$104,'03_原始数据'!$C$85:$C$104),""),"")</f>
        <v/>
      </c>
      <c r="C104" s="34">
        <f>IF(1=1,IFERROR(CORREL('03_原始数据'!$B$45:$B$104,'03_原始数据'!$C$45:$C$104),""),"")</f>
        <v/>
      </c>
      <c r="D104" s="34">
        <f>IF(1=1,IFERROR(CORREL('03_原始数据'!$B$5:$B$104,'03_原始数据'!$C$5:$C$104),""),"")</f>
        <v/>
      </c>
      <c r="E104" s="34">
        <f>IF(1=1,IFERROR(CORREL('03_原始数据'!$G$45:$G$104,'03_原始数据'!$H$45:$H$104),""),"")</f>
        <v/>
      </c>
      <c r="F104" s="55">
        <f>IF(N(B104)=0,"不足","有效")</f>
        <v/>
      </c>
    </row>
    <row r="105" ht="17" customHeight="1">
      <c r="A105" s="38">
        <f>'03_原始数据'!A105</f>
        <v/>
      </c>
      <c r="B105" s="31">
        <f>IF(1=1,IFERROR(CORREL('03_原始数据'!$B$86:$B$105,'03_原始数据'!$C$86:$C$105),""),"")</f>
        <v/>
      </c>
      <c r="C105" s="31">
        <f>IF(1=1,IFERROR(CORREL('03_原始数据'!$B$46:$B$105,'03_原始数据'!$C$46:$C$105),""),"")</f>
        <v/>
      </c>
      <c r="D105" s="31">
        <f>IF(1=1,IFERROR(CORREL('03_原始数据'!$B$5:$B$105,'03_原始数据'!$C$5:$C$105),""),"")</f>
        <v/>
      </c>
      <c r="E105" s="31">
        <f>IF(1=1,IFERROR(CORREL('03_原始数据'!$G$46:$G$105,'03_原始数据'!$H$46:$H$105),""),"")</f>
        <v/>
      </c>
      <c r="F105" s="54">
        <f>IF(N(B105)=0,"不足","有效")</f>
        <v/>
      </c>
    </row>
    <row r="106" ht="17" customHeight="1">
      <c r="A106" s="40">
        <f>'03_原始数据'!A106</f>
        <v/>
      </c>
      <c r="B106" s="34">
        <f>IF(1=1,IFERROR(CORREL('03_原始数据'!$B$87:$B$106,'03_原始数据'!$C$87:$C$106),""),"")</f>
        <v/>
      </c>
      <c r="C106" s="34">
        <f>IF(1=1,IFERROR(CORREL('03_原始数据'!$B$47:$B$106,'03_原始数据'!$C$47:$C$106),""),"")</f>
        <v/>
      </c>
      <c r="D106" s="34">
        <f>IF(1=1,IFERROR(CORREL('03_原始数据'!$B$5:$B$106,'03_原始数据'!$C$5:$C$106),""),"")</f>
        <v/>
      </c>
      <c r="E106" s="34">
        <f>IF(1=1,IFERROR(CORREL('03_原始数据'!$G$47:$G$106,'03_原始数据'!$H$47:$H$106),""),"")</f>
        <v/>
      </c>
      <c r="F106" s="55">
        <f>IF(N(B106)=0,"不足","有效")</f>
        <v/>
      </c>
    </row>
    <row r="107" ht="17" customHeight="1">
      <c r="A107" s="38">
        <f>'03_原始数据'!A107</f>
        <v/>
      </c>
      <c r="B107" s="31">
        <f>IF(1=1,IFERROR(CORREL('03_原始数据'!$B$88:$B$107,'03_原始数据'!$C$88:$C$107),""),"")</f>
        <v/>
      </c>
      <c r="C107" s="31">
        <f>IF(1=1,IFERROR(CORREL('03_原始数据'!$B$48:$B$107,'03_原始数据'!$C$48:$C$107),""),"")</f>
        <v/>
      </c>
      <c r="D107" s="31">
        <f>IF(1=1,IFERROR(CORREL('03_原始数据'!$B$5:$B$107,'03_原始数据'!$C$5:$C$107),""),"")</f>
        <v/>
      </c>
      <c r="E107" s="31">
        <f>IF(1=1,IFERROR(CORREL('03_原始数据'!$G$48:$G$107,'03_原始数据'!$H$48:$H$107),""),"")</f>
        <v/>
      </c>
      <c r="F107" s="54">
        <f>IF(N(B107)=0,"不足","有效")</f>
        <v/>
      </c>
    </row>
    <row r="108" ht="17" customHeight="1">
      <c r="A108" s="40">
        <f>'03_原始数据'!A108</f>
        <v/>
      </c>
      <c r="B108" s="34">
        <f>IF(1=1,IFERROR(CORREL('03_原始数据'!$B$89:$B$108,'03_原始数据'!$C$89:$C$108),""),"")</f>
        <v/>
      </c>
      <c r="C108" s="34">
        <f>IF(1=1,IFERROR(CORREL('03_原始数据'!$B$49:$B$108,'03_原始数据'!$C$49:$C$108),""),"")</f>
        <v/>
      </c>
      <c r="D108" s="34">
        <f>IF(1=1,IFERROR(CORREL('03_原始数据'!$B$5:$B$108,'03_原始数据'!$C$5:$C$108),""),"")</f>
        <v/>
      </c>
      <c r="E108" s="34">
        <f>IF(1=1,IFERROR(CORREL('03_原始数据'!$G$49:$G$108,'03_原始数据'!$H$49:$H$108),""),"")</f>
        <v/>
      </c>
      <c r="F108" s="55">
        <f>IF(N(B108)=0,"不足","有效")</f>
        <v/>
      </c>
    </row>
    <row r="109" ht="17" customHeight="1">
      <c r="A109" s="38">
        <f>'03_原始数据'!A109</f>
        <v/>
      </c>
      <c r="B109" s="31">
        <f>IF(1=1,IFERROR(CORREL('03_原始数据'!$B$90:$B$109,'03_原始数据'!$C$90:$C$109),""),"")</f>
        <v/>
      </c>
      <c r="C109" s="31">
        <f>IF(1=1,IFERROR(CORREL('03_原始数据'!$B$50:$B$109,'03_原始数据'!$C$50:$C$109),""),"")</f>
        <v/>
      </c>
      <c r="D109" s="31">
        <f>IF(1=1,IFERROR(CORREL('03_原始数据'!$B$5:$B$109,'03_原始数据'!$C$5:$C$109),""),"")</f>
        <v/>
      </c>
      <c r="E109" s="31">
        <f>IF(1=1,IFERROR(CORREL('03_原始数据'!$G$50:$G$109,'03_原始数据'!$H$50:$H$109),""),"")</f>
        <v/>
      </c>
      <c r="F109" s="54">
        <f>IF(N(B109)=0,"不足","有效")</f>
        <v/>
      </c>
    </row>
    <row r="110" ht="17" customHeight="1">
      <c r="A110" s="40">
        <f>'03_原始数据'!A110</f>
        <v/>
      </c>
      <c r="B110" s="34">
        <f>IF(1=1,IFERROR(CORREL('03_原始数据'!$B$91:$B$110,'03_原始数据'!$C$91:$C$110),""),"")</f>
        <v/>
      </c>
      <c r="C110" s="34">
        <f>IF(1=1,IFERROR(CORREL('03_原始数据'!$B$51:$B$110,'03_原始数据'!$C$51:$C$110),""),"")</f>
        <v/>
      </c>
      <c r="D110" s="34">
        <f>IF(1=1,IFERROR(CORREL('03_原始数据'!$B$5:$B$110,'03_原始数据'!$C$5:$C$110),""),"")</f>
        <v/>
      </c>
      <c r="E110" s="34">
        <f>IF(1=1,IFERROR(CORREL('03_原始数据'!$G$51:$G$110,'03_原始数据'!$H$51:$H$110),""),"")</f>
        <v/>
      </c>
      <c r="F110" s="55">
        <f>IF(N(B110)=0,"不足","有效")</f>
        <v/>
      </c>
    </row>
    <row r="111" ht="17" customHeight="1">
      <c r="A111" s="38">
        <f>'03_原始数据'!A111</f>
        <v/>
      </c>
      <c r="B111" s="31">
        <f>IF(1=1,IFERROR(CORREL('03_原始数据'!$B$92:$B$111,'03_原始数据'!$C$92:$C$111),""),"")</f>
        <v/>
      </c>
      <c r="C111" s="31">
        <f>IF(1=1,IFERROR(CORREL('03_原始数据'!$B$52:$B$111,'03_原始数据'!$C$52:$C$111),""),"")</f>
        <v/>
      </c>
      <c r="D111" s="31">
        <f>IF(1=1,IFERROR(CORREL('03_原始数据'!$B$5:$B$111,'03_原始数据'!$C$5:$C$111),""),"")</f>
        <v/>
      </c>
      <c r="E111" s="31">
        <f>IF(1=1,IFERROR(CORREL('03_原始数据'!$G$52:$G$111,'03_原始数据'!$H$52:$H$111),""),"")</f>
        <v/>
      </c>
      <c r="F111" s="54">
        <f>IF(N(B111)=0,"不足","有效")</f>
        <v/>
      </c>
    </row>
    <row r="112" ht="17" customHeight="1">
      <c r="A112" s="40">
        <f>'03_原始数据'!A112</f>
        <v/>
      </c>
      <c r="B112" s="34">
        <f>IF(1=1,IFERROR(CORREL('03_原始数据'!$B$93:$B$112,'03_原始数据'!$C$93:$C$112),""),"")</f>
        <v/>
      </c>
      <c r="C112" s="34">
        <f>IF(1=1,IFERROR(CORREL('03_原始数据'!$B$53:$B$112,'03_原始数据'!$C$53:$C$112),""),"")</f>
        <v/>
      </c>
      <c r="D112" s="34">
        <f>IF(1=1,IFERROR(CORREL('03_原始数据'!$B$5:$B$112,'03_原始数据'!$C$5:$C$112),""),"")</f>
        <v/>
      </c>
      <c r="E112" s="34">
        <f>IF(1=1,IFERROR(CORREL('03_原始数据'!$G$53:$G$112,'03_原始数据'!$H$53:$H$112),""),"")</f>
        <v/>
      </c>
      <c r="F112" s="55">
        <f>IF(N(B112)=0,"不足","有效")</f>
        <v/>
      </c>
    </row>
    <row r="113" ht="17" customHeight="1">
      <c r="A113" s="38">
        <f>'03_原始数据'!A113</f>
        <v/>
      </c>
      <c r="B113" s="31">
        <f>IF(1=1,IFERROR(CORREL('03_原始数据'!$B$94:$B$113,'03_原始数据'!$C$94:$C$113),""),"")</f>
        <v/>
      </c>
      <c r="C113" s="31">
        <f>IF(1=1,IFERROR(CORREL('03_原始数据'!$B$54:$B$113,'03_原始数据'!$C$54:$C$113),""),"")</f>
        <v/>
      </c>
      <c r="D113" s="31">
        <f>IF(1=1,IFERROR(CORREL('03_原始数据'!$B$5:$B$113,'03_原始数据'!$C$5:$C$113),""),"")</f>
        <v/>
      </c>
      <c r="E113" s="31">
        <f>IF(1=1,IFERROR(CORREL('03_原始数据'!$G$54:$G$113,'03_原始数据'!$H$54:$H$113),""),"")</f>
        <v/>
      </c>
      <c r="F113" s="54">
        <f>IF(N(B113)=0,"不足","有效")</f>
        <v/>
      </c>
    </row>
    <row r="114" ht="17" customHeight="1">
      <c r="A114" s="40">
        <f>'03_原始数据'!A114</f>
        <v/>
      </c>
      <c r="B114" s="34">
        <f>IF(1=1,IFERROR(CORREL('03_原始数据'!$B$95:$B$114,'03_原始数据'!$C$95:$C$114),""),"")</f>
        <v/>
      </c>
      <c r="C114" s="34">
        <f>IF(1=1,IFERROR(CORREL('03_原始数据'!$B$55:$B$114,'03_原始数据'!$C$55:$C$114),""),"")</f>
        <v/>
      </c>
      <c r="D114" s="34">
        <f>IF(1=1,IFERROR(CORREL('03_原始数据'!$B$5:$B$114,'03_原始数据'!$C$5:$C$114),""),"")</f>
        <v/>
      </c>
      <c r="E114" s="34">
        <f>IF(1=1,IFERROR(CORREL('03_原始数据'!$G$55:$G$114,'03_原始数据'!$H$55:$H$114),""),"")</f>
        <v/>
      </c>
      <c r="F114" s="55">
        <f>IF(N(B114)=0,"不足","有效")</f>
        <v/>
      </c>
    </row>
    <row r="115" ht="17" customHeight="1">
      <c r="A115" s="38">
        <f>'03_原始数据'!A115</f>
        <v/>
      </c>
      <c r="B115" s="31">
        <f>IF(1=1,IFERROR(CORREL('03_原始数据'!$B$96:$B$115,'03_原始数据'!$C$96:$C$115),""),"")</f>
        <v/>
      </c>
      <c r="C115" s="31">
        <f>IF(1=1,IFERROR(CORREL('03_原始数据'!$B$56:$B$115,'03_原始数据'!$C$56:$C$115),""),"")</f>
        <v/>
      </c>
      <c r="D115" s="31">
        <f>IF(1=1,IFERROR(CORREL('03_原始数据'!$B$5:$B$115,'03_原始数据'!$C$5:$C$115),""),"")</f>
        <v/>
      </c>
      <c r="E115" s="31">
        <f>IF(1=1,IFERROR(CORREL('03_原始数据'!$G$56:$G$115,'03_原始数据'!$H$56:$H$115),""),"")</f>
        <v/>
      </c>
      <c r="F115" s="54">
        <f>IF(N(B115)=0,"不足","有效")</f>
        <v/>
      </c>
    </row>
    <row r="116" ht="17" customHeight="1">
      <c r="A116" s="40">
        <f>'03_原始数据'!A116</f>
        <v/>
      </c>
      <c r="B116" s="34">
        <f>IF(1=1,IFERROR(CORREL('03_原始数据'!$B$97:$B$116,'03_原始数据'!$C$97:$C$116),""),"")</f>
        <v/>
      </c>
      <c r="C116" s="34">
        <f>IF(1=1,IFERROR(CORREL('03_原始数据'!$B$57:$B$116,'03_原始数据'!$C$57:$C$116),""),"")</f>
        <v/>
      </c>
      <c r="D116" s="34">
        <f>IF(1=1,IFERROR(CORREL('03_原始数据'!$B$5:$B$116,'03_原始数据'!$C$5:$C$116),""),"")</f>
        <v/>
      </c>
      <c r="E116" s="34">
        <f>IF(1=1,IFERROR(CORREL('03_原始数据'!$G$57:$G$116,'03_原始数据'!$H$57:$H$116),""),"")</f>
        <v/>
      </c>
      <c r="F116" s="55">
        <f>IF(N(B116)=0,"不足","有效")</f>
        <v/>
      </c>
    </row>
    <row r="117" ht="17" customHeight="1">
      <c r="A117" s="38">
        <f>'03_原始数据'!A117</f>
        <v/>
      </c>
      <c r="B117" s="31">
        <f>IF(1=1,IFERROR(CORREL('03_原始数据'!$B$98:$B$117,'03_原始数据'!$C$98:$C$117),""),"")</f>
        <v/>
      </c>
      <c r="C117" s="31">
        <f>IF(1=1,IFERROR(CORREL('03_原始数据'!$B$58:$B$117,'03_原始数据'!$C$58:$C$117),""),"")</f>
        <v/>
      </c>
      <c r="D117" s="31">
        <f>IF(1=1,IFERROR(CORREL('03_原始数据'!$B$5:$B$117,'03_原始数据'!$C$5:$C$117),""),"")</f>
        <v/>
      </c>
      <c r="E117" s="31">
        <f>IF(1=1,IFERROR(CORREL('03_原始数据'!$G$58:$G$117,'03_原始数据'!$H$58:$H$117),""),"")</f>
        <v/>
      </c>
      <c r="F117" s="54">
        <f>IF(N(B117)=0,"不足","有效")</f>
        <v/>
      </c>
    </row>
    <row r="118" ht="17" customHeight="1">
      <c r="A118" s="40">
        <f>'03_原始数据'!A118</f>
        <v/>
      </c>
      <c r="B118" s="34">
        <f>IF(1=1,IFERROR(CORREL('03_原始数据'!$B$99:$B$118,'03_原始数据'!$C$99:$C$118),""),"")</f>
        <v/>
      </c>
      <c r="C118" s="34">
        <f>IF(1=1,IFERROR(CORREL('03_原始数据'!$B$59:$B$118,'03_原始数据'!$C$59:$C$118),""),"")</f>
        <v/>
      </c>
      <c r="D118" s="34">
        <f>IF(1=1,IFERROR(CORREL('03_原始数据'!$B$5:$B$118,'03_原始数据'!$C$5:$C$118),""),"")</f>
        <v/>
      </c>
      <c r="E118" s="34">
        <f>IF(1=1,IFERROR(CORREL('03_原始数据'!$G$59:$G$118,'03_原始数据'!$H$59:$H$118),""),"")</f>
        <v/>
      </c>
      <c r="F118" s="55">
        <f>IF(N(B118)=0,"不足","有效")</f>
        <v/>
      </c>
    </row>
    <row r="119" ht="17" customHeight="1">
      <c r="A119" s="38">
        <f>'03_原始数据'!A119</f>
        <v/>
      </c>
      <c r="B119" s="31">
        <f>IF(1=1,IFERROR(CORREL('03_原始数据'!$B$100:$B$119,'03_原始数据'!$C$100:$C$119),""),"")</f>
        <v/>
      </c>
      <c r="C119" s="31">
        <f>IF(1=1,IFERROR(CORREL('03_原始数据'!$B$60:$B$119,'03_原始数据'!$C$60:$C$119),""),"")</f>
        <v/>
      </c>
      <c r="D119" s="31">
        <f>IF(1=1,IFERROR(CORREL('03_原始数据'!$B$5:$B$119,'03_原始数据'!$C$5:$C$119),""),"")</f>
        <v/>
      </c>
      <c r="E119" s="31">
        <f>IF(1=1,IFERROR(CORREL('03_原始数据'!$G$60:$G$119,'03_原始数据'!$H$60:$H$119),""),"")</f>
        <v/>
      </c>
      <c r="F119" s="54">
        <f>IF(N(B119)=0,"不足","有效")</f>
        <v/>
      </c>
    </row>
    <row r="120" ht="17" customHeight="1">
      <c r="A120" s="40">
        <f>'03_原始数据'!A120</f>
        <v/>
      </c>
      <c r="B120" s="34">
        <f>IF(1=1,IFERROR(CORREL('03_原始数据'!$B$101:$B$120,'03_原始数据'!$C$101:$C$120),""),"")</f>
        <v/>
      </c>
      <c r="C120" s="34">
        <f>IF(1=1,IFERROR(CORREL('03_原始数据'!$B$61:$B$120,'03_原始数据'!$C$61:$C$120),""),"")</f>
        <v/>
      </c>
      <c r="D120" s="34">
        <f>IF(1=1,IFERROR(CORREL('03_原始数据'!$B$5:$B$120,'03_原始数据'!$C$5:$C$120),""),"")</f>
        <v/>
      </c>
      <c r="E120" s="34">
        <f>IF(1=1,IFERROR(CORREL('03_原始数据'!$G$61:$G$120,'03_原始数据'!$H$61:$H$120),""),"")</f>
        <v/>
      </c>
      <c r="F120" s="55">
        <f>IF(N(B120)=0,"不足","有效")</f>
        <v/>
      </c>
    </row>
    <row r="121" ht="17" customHeight="1">
      <c r="A121" s="38">
        <f>'03_原始数据'!A121</f>
        <v/>
      </c>
      <c r="B121" s="31">
        <f>IF(1=1,IFERROR(CORREL('03_原始数据'!$B$102:$B$121,'03_原始数据'!$C$102:$C$121),""),"")</f>
        <v/>
      </c>
      <c r="C121" s="31">
        <f>IF(1=1,IFERROR(CORREL('03_原始数据'!$B$62:$B$121,'03_原始数据'!$C$62:$C$121),""),"")</f>
        <v/>
      </c>
      <c r="D121" s="31">
        <f>IF(1=1,IFERROR(CORREL('03_原始数据'!$B$5:$B$121,'03_原始数据'!$C$5:$C$121),""),"")</f>
        <v/>
      </c>
      <c r="E121" s="31">
        <f>IF(1=1,IFERROR(CORREL('03_原始数据'!$G$62:$G$121,'03_原始数据'!$H$62:$H$121),""),"")</f>
        <v/>
      </c>
      <c r="F121" s="54">
        <f>IF(N(B121)=0,"不足","有效")</f>
        <v/>
      </c>
    </row>
    <row r="122" ht="17" customHeight="1">
      <c r="A122" s="40">
        <f>'03_原始数据'!A122</f>
        <v/>
      </c>
      <c r="B122" s="34">
        <f>IF(1=1,IFERROR(CORREL('03_原始数据'!$B$103:$B$122,'03_原始数据'!$C$103:$C$122),""),"")</f>
        <v/>
      </c>
      <c r="C122" s="34">
        <f>IF(1=1,IFERROR(CORREL('03_原始数据'!$B$63:$B$122,'03_原始数据'!$C$63:$C$122),""),"")</f>
        <v/>
      </c>
      <c r="D122" s="34">
        <f>IF(1=1,IFERROR(CORREL('03_原始数据'!$B$5:$B$122,'03_原始数据'!$C$5:$C$122),""),"")</f>
        <v/>
      </c>
      <c r="E122" s="34">
        <f>IF(1=1,IFERROR(CORREL('03_原始数据'!$G$63:$G$122,'03_原始数据'!$H$63:$H$122),""),"")</f>
        <v/>
      </c>
      <c r="F122" s="55">
        <f>IF(N(B122)=0,"不足","有效")</f>
        <v/>
      </c>
    </row>
    <row r="123" ht="17" customHeight="1">
      <c r="A123" s="38">
        <f>'03_原始数据'!A123</f>
        <v/>
      </c>
      <c r="B123" s="31">
        <f>IF(1=1,IFERROR(CORREL('03_原始数据'!$B$104:$B$123,'03_原始数据'!$C$104:$C$123),""),"")</f>
        <v/>
      </c>
      <c r="C123" s="31">
        <f>IF(1=1,IFERROR(CORREL('03_原始数据'!$B$64:$B$123,'03_原始数据'!$C$64:$C$123),""),"")</f>
        <v/>
      </c>
      <c r="D123" s="31">
        <f>IF(1=1,IFERROR(CORREL('03_原始数据'!$B$5:$B$123,'03_原始数据'!$C$5:$C$123),""),"")</f>
        <v/>
      </c>
      <c r="E123" s="31">
        <f>IF(1=1,IFERROR(CORREL('03_原始数据'!$G$64:$G$123,'03_原始数据'!$H$64:$H$123),""),"")</f>
        <v/>
      </c>
      <c r="F123" s="54">
        <f>IF(N(B123)=0,"不足","有效")</f>
        <v/>
      </c>
    </row>
    <row r="124" ht="17" customHeight="1">
      <c r="A124" s="40">
        <f>'03_原始数据'!A124</f>
        <v/>
      </c>
      <c r="B124" s="34">
        <f>IF(1=1,IFERROR(CORREL('03_原始数据'!$B$105:$B$124,'03_原始数据'!$C$105:$C$124),""),"")</f>
        <v/>
      </c>
      <c r="C124" s="34">
        <f>IF(1=1,IFERROR(CORREL('03_原始数据'!$B$65:$B$124,'03_原始数据'!$C$65:$C$124),""),"")</f>
        <v/>
      </c>
      <c r="D124" s="34">
        <f>IF(1=1,IFERROR(CORREL('03_原始数据'!$B$5:$B$124,'03_原始数据'!$C$5:$C$124),""),"")</f>
        <v/>
      </c>
      <c r="E124" s="34">
        <f>IF(1=1,IFERROR(CORREL('03_原始数据'!$G$65:$G$124,'03_原始数据'!$H$65:$H$124),""),"")</f>
        <v/>
      </c>
      <c r="F124" s="55">
        <f>IF(N(B124)=0,"不足","有效")</f>
        <v/>
      </c>
    </row>
    <row r="125" ht="17" customHeight="1">
      <c r="A125" s="38">
        <f>'03_原始数据'!A125</f>
        <v/>
      </c>
      <c r="B125" s="31">
        <f>IF(1=1,IFERROR(CORREL('03_原始数据'!$B$106:$B$125,'03_原始数据'!$C$106:$C$125),""),"")</f>
        <v/>
      </c>
      <c r="C125" s="31">
        <f>IF(1=1,IFERROR(CORREL('03_原始数据'!$B$66:$B$125,'03_原始数据'!$C$66:$C$125),""),"")</f>
        <v/>
      </c>
      <c r="D125" s="31">
        <f>IF(1=1,IFERROR(CORREL('03_原始数据'!$B$6:$B$125,'03_原始数据'!$C$6:$C$125),""),"")</f>
        <v/>
      </c>
      <c r="E125" s="31">
        <f>IF(1=1,IFERROR(CORREL('03_原始数据'!$G$66:$G$125,'03_原始数据'!$H$66:$H$125),""),"")</f>
        <v/>
      </c>
      <c r="F125" s="54">
        <f>IF(N(B125)=0,"不足","有效")</f>
        <v/>
      </c>
    </row>
    <row r="126" ht="17" customHeight="1">
      <c r="A126" s="40">
        <f>'03_原始数据'!A126</f>
        <v/>
      </c>
      <c r="B126" s="34">
        <f>IF(1=1,IFERROR(CORREL('03_原始数据'!$B$107:$B$126,'03_原始数据'!$C$107:$C$126),""),"")</f>
        <v/>
      </c>
      <c r="C126" s="34">
        <f>IF(1=1,IFERROR(CORREL('03_原始数据'!$B$67:$B$126,'03_原始数据'!$C$67:$C$126),""),"")</f>
        <v/>
      </c>
      <c r="D126" s="34">
        <f>IF(1=1,IFERROR(CORREL('03_原始数据'!$B$7:$B$126,'03_原始数据'!$C$7:$C$126),""),"")</f>
        <v/>
      </c>
      <c r="E126" s="34">
        <f>IF(1=1,IFERROR(CORREL('03_原始数据'!$G$67:$G$126,'03_原始数据'!$H$67:$H$126),""),"")</f>
        <v/>
      </c>
      <c r="F126" s="55">
        <f>IF(N(B126)=0,"不足","有效")</f>
        <v/>
      </c>
    </row>
    <row r="127" ht="17" customHeight="1">
      <c r="A127" s="38">
        <f>'03_原始数据'!A127</f>
        <v/>
      </c>
      <c r="B127" s="31">
        <f>IF(1=1,IFERROR(CORREL('03_原始数据'!$B$108:$B$127,'03_原始数据'!$C$108:$C$127),""),"")</f>
        <v/>
      </c>
      <c r="C127" s="31">
        <f>IF(1=1,IFERROR(CORREL('03_原始数据'!$B$68:$B$127,'03_原始数据'!$C$68:$C$127),""),"")</f>
        <v/>
      </c>
      <c r="D127" s="31">
        <f>IF(1=1,IFERROR(CORREL('03_原始数据'!$B$8:$B$127,'03_原始数据'!$C$8:$C$127),""),"")</f>
        <v/>
      </c>
      <c r="E127" s="31">
        <f>IF(1=1,IFERROR(CORREL('03_原始数据'!$G$68:$G$127,'03_原始数据'!$H$68:$H$127),""),"")</f>
        <v/>
      </c>
      <c r="F127" s="54">
        <f>IF(N(B127)=0,"不足","有效")</f>
        <v/>
      </c>
    </row>
    <row r="128" ht="17" customHeight="1">
      <c r="A128" s="40">
        <f>'03_原始数据'!A128</f>
        <v/>
      </c>
      <c r="B128" s="34">
        <f>IF(1=1,IFERROR(CORREL('03_原始数据'!$B$109:$B$128,'03_原始数据'!$C$109:$C$128),""),"")</f>
        <v/>
      </c>
      <c r="C128" s="34">
        <f>IF(1=1,IFERROR(CORREL('03_原始数据'!$B$69:$B$128,'03_原始数据'!$C$69:$C$128),""),"")</f>
        <v/>
      </c>
      <c r="D128" s="34">
        <f>IF(1=1,IFERROR(CORREL('03_原始数据'!$B$9:$B$128,'03_原始数据'!$C$9:$C$128),""),"")</f>
        <v/>
      </c>
      <c r="E128" s="34">
        <f>IF(1=1,IFERROR(CORREL('03_原始数据'!$G$69:$G$128,'03_原始数据'!$H$69:$H$128),""),"")</f>
        <v/>
      </c>
      <c r="F128" s="55">
        <f>IF(N(B128)=0,"不足","有效")</f>
        <v/>
      </c>
    </row>
    <row r="129" ht="17" customHeight="1">
      <c r="A129" s="38">
        <f>'03_原始数据'!A129</f>
        <v/>
      </c>
      <c r="B129" s="31">
        <f>IF(1=1,IFERROR(CORREL('03_原始数据'!$B$110:$B$129,'03_原始数据'!$C$110:$C$129),""),"")</f>
        <v/>
      </c>
      <c r="C129" s="31">
        <f>IF(1=1,IFERROR(CORREL('03_原始数据'!$B$70:$B$129,'03_原始数据'!$C$70:$C$129),""),"")</f>
        <v/>
      </c>
      <c r="D129" s="31">
        <f>IF(1=1,IFERROR(CORREL('03_原始数据'!$B$10:$B$129,'03_原始数据'!$C$10:$C$129),""),"")</f>
        <v/>
      </c>
      <c r="E129" s="31">
        <f>IF(1=1,IFERROR(CORREL('03_原始数据'!$G$70:$G$129,'03_原始数据'!$H$70:$H$129),""),"")</f>
        <v/>
      </c>
      <c r="F129" s="54">
        <f>IF(N(B129)=0,"不足","有效")</f>
        <v/>
      </c>
    </row>
    <row r="130" ht="17" customHeight="1">
      <c r="A130" s="40">
        <f>'03_原始数据'!A130</f>
        <v/>
      </c>
      <c r="B130" s="34">
        <f>IF(1=1,IFERROR(CORREL('03_原始数据'!$B$111:$B$130,'03_原始数据'!$C$111:$C$130),""),"")</f>
        <v/>
      </c>
      <c r="C130" s="34">
        <f>IF(1=1,IFERROR(CORREL('03_原始数据'!$B$71:$B$130,'03_原始数据'!$C$71:$C$130),""),"")</f>
        <v/>
      </c>
      <c r="D130" s="34">
        <f>IF(1=1,IFERROR(CORREL('03_原始数据'!$B$11:$B$130,'03_原始数据'!$C$11:$C$130),""),"")</f>
        <v/>
      </c>
      <c r="E130" s="34">
        <f>IF(1=1,IFERROR(CORREL('03_原始数据'!$G$71:$G$130,'03_原始数据'!$H$71:$H$130),""),"")</f>
        <v/>
      </c>
      <c r="F130" s="55">
        <f>IF(N(B130)=0,"不足","有效")</f>
        <v/>
      </c>
    </row>
    <row r="131" ht="17" customHeight="1">
      <c r="A131" s="38">
        <f>'03_原始数据'!A131</f>
        <v/>
      </c>
      <c r="B131" s="31">
        <f>IF(1=1,IFERROR(CORREL('03_原始数据'!$B$112:$B$131,'03_原始数据'!$C$112:$C$131),""),"")</f>
        <v/>
      </c>
      <c r="C131" s="31">
        <f>IF(1=1,IFERROR(CORREL('03_原始数据'!$B$72:$B$131,'03_原始数据'!$C$72:$C$131),""),"")</f>
        <v/>
      </c>
      <c r="D131" s="31">
        <f>IF(1=1,IFERROR(CORREL('03_原始数据'!$B$12:$B$131,'03_原始数据'!$C$12:$C$131),""),"")</f>
        <v/>
      </c>
      <c r="E131" s="31">
        <f>IF(1=1,IFERROR(CORREL('03_原始数据'!$G$72:$G$131,'03_原始数据'!$H$72:$H$131),""),"")</f>
        <v/>
      </c>
      <c r="F131" s="54">
        <f>IF(N(B131)=0,"不足","有效")</f>
        <v/>
      </c>
    </row>
    <row r="132" ht="17" customHeight="1">
      <c r="A132" s="40">
        <f>'03_原始数据'!A132</f>
        <v/>
      </c>
      <c r="B132" s="34">
        <f>IF(1=1,IFERROR(CORREL('03_原始数据'!$B$113:$B$132,'03_原始数据'!$C$113:$C$132),""),"")</f>
        <v/>
      </c>
      <c r="C132" s="34">
        <f>IF(1=1,IFERROR(CORREL('03_原始数据'!$B$73:$B$132,'03_原始数据'!$C$73:$C$132),""),"")</f>
        <v/>
      </c>
      <c r="D132" s="34">
        <f>IF(1=1,IFERROR(CORREL('03_原始数据'!$B$13:$B$132,'03_原始数据'!$C$13:$C$132),""),"")</f>
        <v/>
      </c>
      <c r="E132" s="34">
        <f>IF(1=1,IFERROR(CORREL('03_原始数据'!$G$73:$G$132,'03_原始数据'!$H$73:$H$132),""),"")</f>
        <v/>
      </c>
      <c r="F132" s="55">
        <f>IF(N(B132)=0,"不足","有效")</f>
        <v/>
      </c>
    </row>
    <row r="133" ht="17" customHeight="1">
      <c r="A133" s="38">
        <f>'03_原始数据'!A133</f>
        <v/>
      </c>
      <c r="B133" s="31">
        <f>IF(1=1,IFERROR(CORREL('03_原始数据'!$B$114:$B$133,'03_原始数据'!$C$114:$C$133),""),"")</f>
        <v/>
      </c>
      <c r="C133" s="31">
        <f>IF(1=1,IFERROR(CORREL('03_原始数据'!$B$74:$B$133,'03_原始数据'!$C$74:$C$133),""),"")</f>
        <v/>
      </c>
      <c r="D133" s="31">
        <f>IF(1=1,IFERROR(CORREL('03_原始数据'!$B$14:$B$133,'03_原始数据'!$C$14:$C$133),""),"")</f>
        <v/>
      </c>
      <c r="E133" s="31">
        <f>IF(1=1,IFERROR(CORREL('03_原始数据'!$G$74:$G$133,'03_原始数据'!$H$74:$H$133),""),"")</f>
        <v/>
      </c>
      <c r="F133" s="54">
        <f>IF(N(B133)=0,"不足","有效")</f>
        <v/>
      </c>
    </row>
    <row r="134" ht="17" customHeight="1">
      <c r="A134" s="40">
        <f>'03_原始数据'!A134</f>
        <v/>
      </c>
      <c r="B134" s="34">
        <f>IF(1=1,IFERROR(CORREL('03_原始数据'!$B$115:$B$134,'03_原始数据'!$C$115:$C$134),""),"")</f>
        <v/>
      </c>
      <c r="C134" s="34">
        <f>IF(1=1,IFERROR(CORREL('03_原始数据'!$B$75:$B$134,'03_原始数据'!$C$75:$C$134),""),"")</f>
        <v/>
      </c>
      <c r="D134" s="34">
        <f>IF(1=1,IFERROR(CORREL('03_原始数据'!$B$15:$B$134,'03_原始数据'!$C$15:$C$134),""),"")</f>
        <v/>
      </c>
      <c r="E134" s="34">
        <f>IF(1=1,IFERROR(CORREL('03_原始数据'!$G$75:$G$134,'03_原始数据'!$H$75:$H$134),""),"")</f>
        <v/>
      </c>
      <c r="F134" s="55">
        <f>IF(N(B134)=0,"不足","有效")</f>
        <v/>
      </c>
    </row>
    <row r="135" ht="17" customHeight="1">
      <c r="A135" s="38">
        <f>'03_原始数据'!A135</f>
        <v/>
      </c>
      <c r="B135" s="31">
        <f>IF(1=1,IFERROR(CORREL('03_原始数据'!$B$116:$B$135,'03_原始数据'!$C$116:$C$135),""),"")</f>
        <v/>
      </c>
      <c r="C135" s="31">
        <f>IF(1=1,IFERROR(CORREL('03_原始数据'!$B$76:$B$135,'03_原始数据'!$C$76:$C$135),""),"")</f>
        <v/>
      </c>
      <c r="D135" s="31">
        <f>IF(1=1,IFERROR(CORREL('03_原始数据'!$B$16:$B$135,'03_原始数据'!$C$16:$C$135),""),"")</f>
        <v/>
      </c>
      <c r="E135" s="31">
        <f>IF(1=1,IFERROR(CORREL('03_原始数据'!$G$76:$G$135,'03_原始数据'!$H$76:$H$135),""),"")</f>
        <v/>
      </c>
      <c r="F135" s="54">
        <f>IF(N(B135)=0,"不足","有效")</f>
        <v/>
      </c>
    </row>
    <row r="136" ht="17" customHeight="1">
      <c r="A136" s="40">
        <f>'03_原始数据'!A136</f>
        <v/>
      </c>
      <c r="B136" s="34">
        <f>IF(1=1,IFERROR(CORREL('03_原始数据'!$B$117:$B$136,'03_原始数据'!$C$117:$C$136),""),"")</f>
        <v/>
      </c>
      <c r="C136" s="34">
        <f>IF(1=1,IFERROR(CORREL('03_原始数据'!$B$77:$B$136,'03_原始数据'!$C$77:$C$136),""),"")</f>
        <v/>
      </c>
      <c r="D136" s="34">
        <f>IF(1=1,IFERROR(CORREL('03_原始数据'!$B$17:$B$136,'03_原始数据'!$C$17:$C$136),""),"")</f>
        <v/>
      </c>
      <c r="E136" s="34">
        <f>IF(1=1,IFERROR(CORREL('03_原始数据'!$G$77:$G$136,'03_原始数据'!$H$77:$H$136),""),"")</f>
        <v/>
      </c>
      <c r="F136" s="55">
        <f>IF(N(B136)=0,"不足","有效")</f>
        <v/>
      </c>
    </row>
    <row r="137" ht="17" customHeight="1">
      <c r="A137" s="38">
        <f>'03_原始数据'!A137</f>
        <v/>
      </c>
      <c r="B137" s="31">
        <f>IF(1=1,IFERROR(CORREL('03_原始数据'!$B$118:$B$137,'03_原始数据'!$C$118:$C$137),""),"")</f>
        <v/>
      </c>
      <c r="C137" s="31">
        <f>IF(1=1,IFERROR(CORREL('03_原始数据'!$B$78:$B$137,'03_原始数据'!$C$78:$C$137),""),"")</f>
        <v/>
      </c>
      <c r="D137" s="31">
        <f>IF(1=1,IFERROR(CORREL('03_原始数据'!$B$18:$B$137,'03_原始数据'!$C$18:$C$137),""),"")</f>
        <v/>
      </c>
      <c r="E137" s="31">
        <f>IF(1=1,IFERROR(CORREL('03_原始数据'!$G$78:$G$137,'03_原始数据'!$H$78:$H$137),""),"")</f>
        <v/>
      </c>
      <c r="F137" s="54">
        <f>IF(N(B137)=0,"不足","有效")</f>
        <v/>
      </c>
    </row>
    <row r="138" ht="17" customHeight="1">
      <c r="A138" s="40">
        <f>'03_原始数据'!A138</f>
        <v/>
      </c>
      <c r="B138" s="34">
        <f>IF(1=1,IFERROR(CORREL('03_原始数据'!$B$119:$B$138,'03_原始数据'!$C$119:$C$138),""),"")</f>
        <v/>
      </c>
      <c r="C138" s="34">
        <f>IF(1=1,IFERROR(CORREL('03_原始数据'!$B$79:$B$138,'03_原始数据'!$C$79:$C$138),""),"")</f>
        <v/>
      </c>
      <c r="D138" s="34">
        <f>IF(1=1,IFERROR(CORREL('03_原始数据'!$B$19:$B$138,'03_原始数据'!$C$19:$C$138),""),"")</f>
        <v/>
      </c>
      <c r="E138" s="34">
        <f>IF(1=1,IFERROR(CORREL('03_原始数据'!$G$79:$G$138,'03_原始数据'!$H$79:$H$138),""),"")</f>
        <v/>
      </c>
      <c r="F138" s="55">
        <f>IF(N(B138)=0,"不足","有效")</f>
        <v/>
      </c>
    </row>
    <row r="139" ht="17" customHeight="1">
      <c r="A139" s="38">
        <f>'03_原始数据'!A139</f>
        <v/>
      </c>
      <c r="B139" s="31">
        <f>IF(1=1,IFERROR(CORREL('03_原始数据'!$B$120:$B$139,'03_原始数据'!$C$120:$C$139),""),"")</f>
        <v/>
      </c>
      <c r="C139" s="31">
        <f>IF(1=1,IFERROR(CORREL('03_原始数据'!$B$80:$B$139,'03_原始数据'!$C$80:$C$139),""),"")</f>
        <v/>
      </c>
      <c r="D139" s="31">
        <f>IF(1=1,IFERROR(CORREL('03_原始数据'!$B$20:$B$139,'03_原始数据'!$C$20:$C$139),""),"")</f>
        <v/>
      </c>
      <c r="E139" s="31">
        <f>IF(1=1,IFERROR(CORREL('03_原始数据'!$G$80:$G$139,'03_原始数据'!$H$80:$H$139),""),"")</f>
        <v/>
      </c>
      <c r="F139" s="54">
        <f>IF(N(B139)=0,"不足","有效")</f>
        <v/>
      </c>
    </row>
    <row r="140" ht="17" customHeight="1">
      <c r="A140" s="40">
        <f>'03_原始数据'!A140</f>
        <v/>
      </c>
      <c r="B140" s="34">
        <f>IF(1=1,IFERROR(CORREL('03_原始数据'!$B$121:$B$140,'03_原始数据'!$C$121:$C$140),""),"")</f>
        <v/>
      </c>
      <c r="C140" s="34">
        <f>IF(1=1,IFERROR(CORREL('03_原始数据'!$B$81:$B$140,'03_原始数据'!$C$81:$C$140),""),"")</f>
        <v/>
      </c>
      <c r="D140" s="34">
        <f>IF(1=1,IFERROR(CORREL('03_原始数据'!$B$21:$B$140,'03_原始数据'!$C$21:$C$140),""),"")</f>
        <v/>
      </c>
      <c r="E140" s="34">
        <f>IF(1=1,IFERROR(CORREL('03_原始数据'!$G$81:$G$140,'03_原始数据'!$H$81:$H$140),""),"")</f>
        <v/>
      </c>
      <c r="F140" s="55">
        <f>IF(N(B140)=0,"不足","有效")</f>
        <v/>
      </c>
    </row>
    <row r="141" ht="17" customHeight="1">
      <c r="A141" s="38">
        <f>'03_原始数据'!A141</f>
        <v/>
      </c>
      <c r="B141" s="31">
        <f>IF(1=1,IFERROR(CORREL('03_原始数据'!$B$122:$B$141,'03_原始数据'!$C$122:$C$141),""),"")</f>
        <v/>
      </c>
      <c r="C141" s="31">
        <f>IF(1=1,IFERROR(CORREL('03_原始数据'!$B$82:$B$141,'03_原始数据'!$C$82:$C$141),""),"")</f>
        <v/>
      </c>
      <c r="D141" s="31">
        <f>IF(1=1,IFERROR(CORREL('03_原始数据'!$B$22:$B$141,'03_原始数据'!$C$22:$C$141),""),"")</f>
        <v/>
      </c>
      <c r="E141" s="31">
        <f>IF(1=1,IFERROR(CORREL('03_原始数据'!$G$82:$G$141,'03_原始数据'!$H$82:$H$141),""),"")</f>
        <v/>
      </c>
      <c r="F141" s="54">
        <f>IF(N(B141)=0,"不足","有效")</f>
        <v/>
      </c>
    </row>
    <row r="142" ht="17" customHeight="1">
      <c r="A142" s="40">
        <f>'03_原始数据'!A142</f>
        <v/>
      </c>
      <c r="B142" s="34">
        <f>IF(1=1,IFERROR(CORREL('03_原始数据'!$B$123:$B$142,'03_原始数据'!$C$123:$C$142),""),"")</f>
        <v/>
      </c>
      <c r="C142" s="34">
        <f>IF(1=1,IFERROR(CORREL('03_原始数据'!$B$83:$B$142,'03_原始数据'!$C$83:$C$142),""),"")</f>
        <v/>
      </c>
      <c r="D142" s="34">
        <f>IF(1=1,IFERROR(CORREL('03_原始数据'!$B$23:$B$142,'03_原始数据'!$C$23:$C$142),""),"")</f>
        <v/>
      </c>
      <c r="E142" s="34">
        <f>IF(1=1,IFERROR(CORREL('03_原始数据'!$G$83:$G$142,'03_原始数据'!$H$83:$H$142),""),"")</f>
        <v/>
      </c>
      <c r="F142" s="55">
        <f>IF(N(B142)=0,"不足","有效")</f>
        <v/>
      </c>
    </row>
    <row r="143" ht="17" customHeight="1">
      <c r="A143" s="38">
        <f>'03_原始数据'!A143</f>
        <v/>
      </c>
      <c r="B143" s="31">
        <f>IF(1=1,IFERROR(CORREL('03_原始数据'!$B$124:$B$143,'03_原始数据'!$C$124:$C$143),""),"")</f>
        <v/>
      </c>
      <c r="C143" s="31">
        <f>IF(1=1,IFERROR(CORREL('03_原始数据'!$B$84:$B$143,'03_原始数据'!$C$84:$C$143),""),"")</f>
        <v/>
      </c>
      <c r="D143" s="31">
        <f>IF(1=1,IFERROR(CORREL('03_原始数据'!$B$24:$B$143,'03_原始数据'!$C$24:$C$143),""),"")</f>
        <v/>
      </c>
      <c r="E143" s="31">
        <f>IF(1=1,IFERROR(CORREL('03_原始数据'!$G$84:$G$143,'03_原始数据'!$H$84:$H$143),""),"")</f>
        <v/>
      </c>
      <c r="F143" s="54">
        <f>IF(N(B143)=0,"不足","有效")</f>
        <v/>
      </c>
    </row>
    <row r="144" ht="17" customHeight="1">
      <c r="A144" s="40">
        <f>'03_原始数据'!A144</f>
        <v/>
      </c>
      <c r="B144" s="34">
        <f>IF(1=1,IFERROR(CORREL('03_原始数据'!$B$125:$B$144,'03_原始数据'!$C$125:$C$144),""),"")</f>
        <v/>
      </c>
      <c r="C144" s="34">
        <f>IF(1=1,IFERROR(CORREL('03_原始数据'!$B$85:$B$144,'03_原始数据'!$C$85:$C$144),""),"")</f>
        <v/>
      </c>
      <c r="D144" s="34">
        <f>IF(1=1,IFERROR(CORREL('03_原始数据'!$B$25:$B$144,'03_原始数据'!$C$25:$C$144),""),"")</f>
        <v/>
      </c>
      <c r="E144" s="34">
        <f>IF(1=1,IFERROR(CORREL('03_原始数据'!$G$85:$G$144,'03_原始数据'!$H$85:$H$144),""),"")</f>
        <v/>
      </c>
      <c r="F144" s="55">
        <f>IF(N(B144)=0,"不足","有效")</f>
        <v/>
      </c>
    </row>
    <row r="145" ht="17" customHeight="1">
      <c r="A145" s="38">
        <f>'03_原始数据'!A145</f>
        <v/>
      </c>
      <c r="B145" s="31">
        <f>IF(1=1,IFERROR(CORREL('03_原始数据'!$B$126:$B$145,'03_原始数据'!$C$126:$C$145),""),"")</f>
        <v/>
      </c>
      <c r="C145" s="31">
        <f>IF(1=1,IFERROR(CORREL('03_原始数据'!$B$86:$B$145,'03_原始数据'!$C$86:$C$145),""),"")</f>
        <v/>
      </c>
      <c r="D145" s="31">
        <f>IF(1=1,IFERROR(CORREL('03_原始数据'!$B$26:$B$145,'03_原始数据'!$C$26:$C$145),""),"")</f>
        <v/>
      </c>
      <c r="E145" s="31">
        <f>IF(1=1,IFERROR(CORREL('03_原始数据'!$G$86:$G$145,'03_原始数据'!$H$86:$H$145),""),"")</f>
        <v/>
      </c>
      <c r="F145" s="54">
        <f>IF(N(B145)=0,"不足","有效")</f>
        <v/>
      </c>
    </row>
    <row r="146" ht="17" customHeight="1">
      <c r="A146" s="40">
        <f>'03_原始数据'!A146</f>
        <v/>
      </c>
      <c r="B146" s="34">
        <f>IF(1=1,IFERROR(CORREL('03_原始数据'!$B$127:$B$146,'03_原始数据'!$C$127:$C$146),""),"")</f>
        <v/>
      </c>
      <c r="C146" s="34">
        <f>IF(1=1,IFERROR(CORREL('03_原始数据'!$B$87:$B$146,'03_原始数据'!$C$87:$C$146),""),"")</f>
        <v/>
      </c>
      <c r="D146" s="34">
        <f>IF(1=1,IFERROR(CORREL('03_原始数据'!$B$27:$B$146,'03_原始数据'!$C$27:$C$146),""),"")</f>
        <v/>
      </c>
      <c r="E146" s="34">
        <f>IF(1=1,IFERROR(CORREL('03_原始数据'!$G$87:$G$146,'03_原始数据'!$H$87:$H$146),""),"")</f>
        <v/>
      </c>
      <c r="F146" s="55">
        <f>IF(N(B146)=0,"不足","有效")</f>
        <v/>
      </c>
    </row>
    <row r="147" ht="17" customHeight="1">
      <c r="A147" s="38">
        <f>'03_原始数据'!A147</f>
        <v/>
      </c>
      <c r="B147" s="31">
        <f>IF(1=1,IFERROR(CORREL('03_原始数据'!$B$128:$B$147,'03_原始数据'!$C$128:$C$147),""),"")</f>
        <v/>
      </c>
      <c r="C147" s="31">
        <f>IF(1=1,IFERROR(CORREL('03_原始数据'!$B$88:$B$147,'03_原始数据'!$C$88:$C$147),""),"")</f>
        <v/>
      </c>
      <c r="D147" s="31">
        <f>IF(1=1,IFERROR(CORREL('03_原始数据'!$B$28:$B$147,'03_原始数据'!$C$28:$C$147),""),"")</f>
        <v/>
      </c>
      <c r="E147" s="31">
        <f>IF(1=1,IFERROR(CORREL('03_原始数据'!$G$88:$G$147,'03_原始数据'!$H$88:$H$147),""),"")</f>
        <v/>
      </c>
      <c r="F147" s="54">
        <f>IF(N(B147)=0,"不足","有效")</f>
        <v/>
      </c>
    </row>
    <row r="148" ht="17" customHeight="1">
      <c r="A148" s="40">
        <f>'03_原始数据'!A148</f>
        <v/>
      </c>
      <c r="B148" s="34">
        <f>IF(1=1,IFERROR(CORREL('03_原始数据'!$B$129:$B$148,'03_原始数据'!$C$129:$C$148),""),"")</f>
        <v/>
      </c>
      <c r="C148" s="34">
        <f>IF(1=1,IFERROR(CORREL('03_原始数据'!$B$89:$B$148,'03_原始数据'!$C$89:$C$148),""),"")</f>
        <v/>
      </c>
      <c r="D148" s="34">
        <f>IF(1=1,IFERROR(CORREL('03_原始数据'!$B$29:$B$148,'03_原始数据'!$C$29:$C$148),""),"")</f>
        <v/>
      </c>
      <c r="E148" s="34">
        <f>IF(1=1,IFERROR(CORREL('03_原始数据'!$G$89:$G$148,'03_原始数据'!$H$89:$H$148),""),"")</f>
        <v/>
      </c>
      <c r="F148" s="55">
        <f>IF(N(B148)=0,"不足","有效")</f>
        <v/>
      </c>
    </row>
    <row r="149" ht="17" customHeight="1">
      <c r="A149" s="38">
        <f>'03_原始数据'!A149</f>
        <v/>
      </c>
      <c r="B149" s="31">
        <f>IF(1=1,IFERROR(CORREL('03_原始数据'!$B$130:$B$149,'03_原始数据'!$C$130:$C$149),""),"")</f>
        <v/>
      </c>
      <c r="C149" s="31">
        <f>IF(1=1,IFERROR(CORREL('03_原始数据'!$B$90:$B$149,'03_原始数据'!$C$90:$C$149),""),"")</f>
        <v/>
      </c>
      <c r="D149" s="31">
        <f>IF(1=1,IFERROR(CORREL('03_原始数据'!$B$30:$B$149,'03_原始数据'!$C$30:$C$149),""),"")</f>
        <v/>
      </c>
      <c r="E149" s="31">
        <f>IF(1=1,IFERROR(CORREL('03_原始数据'!$G$90:$G$149,'03_原始数据'!$H$90:$H$149),""),"")</f>
        <v/>
      </c>
      <c r="F149" s="54">
        <f>IF(N(B149)=0,"不足","有效")</f>
        <v/>
      </c>
    </row>
    <row r="150" ht="17" customHeight="1">
      <c r="A150" s="40">
        <f>'03_原始数据'!A150</f>
        <v/>
      </c>
      <c r="B150" s="34">
        <f>IF(1=1,IFERROR(CORREL('03_原始数据'!$B$131:$B$150,'03_原始数据'!$C$131:$C$150),""),"")</f>
        <v/>
      </c>
      <c r="C150" s="34">
        <f>IF(1=1,IFERROR(CORREL('03_原始数据'!$B$91:$B$150,'03_原始数据'!$C$91:$C$150),""),"")</f>
        <v/>
      </c>
      <c r="D150" s="34">
        <f>IF(1=1,IFERROR(CORREL('03_原始数据'!$B$31:$B$150,'03_原始数据'!$C$31:$C$150),""),"")</f>
        <v/>
      </c>
      <c r="E150" s="34">
        <f>IF(1=1,IFERROR(CORREL('03_原始数据'!$G$91:$G$150,'03_原始数据'!$H$91:$H$150),""),"")</f>
        <v/>
      </c>
      <c r="F150" s="55">
        <f>IF(N(B150)=0,"不足","有效")</f>
        <v/>
      </c>
    </row>
    <row r="151" ht="17" customHeight="1">
      <c r="A151" s="38">
        <f>'03_原始数据'!A151</f>
        <v/>
      </c>
      <c r="B151" s="31">
        <f>IF(1=1,IFERROR(CORREL('03_原始数据'!$B$132:$B$151,'03_原始数据'!$C$132:$C$151),""),"")</f>
        <v/>
      </c>
      <c r="C151" s="31">
        <f>IF(1=1,IFERROR(CORREL('03_原始数据'!$B$92:$B$151,'03_原始数据'!$C$92:$C$151),""),"")</f>
        <v/>
      </c>
      <c r="D151" s="31">
        <f>IF(1=1,IFERROR(CORREL('03_原始数据'!$B$32:$B$151,'03_原始数据'!$C$32:$C$151),""),"")</f>
        <v/>
      </c>
      <c r="E151" s="31">
        <f>IF(1=1,IFERROR(CORREL('03_原始数据'!$G$92:$G$151,'03_原始数据'!$H$92:$H$151),""),"")</f>
        <v/>
      </c>
      <c r="F151" s="54">
        <f>IF(N(B151)=0,"不足","有效")</f>
        <v/>
      </c>
    </row>
    <row r="152" ht="17" customHeight="1">
      <c r="A152" s="40">
        <f>'03_原始数据'!A152</f>
        <v/>
      </c>
      <c r="B152" s="34">
        <f>IF(1=1,IFERROR(CORREL('03_原始数据'!$B$133:$B$152,'03_原始数据'!$C$133:$C$152),""),"")</f>
        <v/>
      </c>
      <c r="C152" s="34">
        <f>IF(1=1,IFERROR(CORREL('03_原始数据'!$B$93:$B$152,'03_原始数据'!$C$93:$C$152),""),"")</f>
        <v/>
      </c>
      <c r="D152" s="34">
        <f>IF(1=1,IFERROR(CORREL('03_原始数据'!$B$33:$B$152,'03_原始数据'!$C$33:$C$152),""),"")</f>
        <v/>
      </c>
      <c r="E152" s="34">
        <f>IF(1=1,IFERROR(CORREL('03_原始数据'!$G$93:$G$152,'03_原始数据'!$H$93:$H$152),""),"")</f>
        <v/>
      </c>
      <c r="F152" s="55">
        <f>IF(N(B152)=0,"不足","有效")</f>
        <v/>
      </c>
    </row>
    <row r="153" ht="17" customHeight="1">
      <c r="A153" s="38">
        <f>'03_原始数据'!A153</f>
        <v/>
      </c>
      <c r="B153" s="31">
        <f>IF(1=1,IFERROR(CORREL('03_原始数据'!$B$134:$B$153,'03_原始数据'!$C$134:$C$153),""),"")</f>
        <v/>
      </c>
      <c r="C153" s="31">
        <f>IF(1=1,IFERROR(CORREL('03_原始数据'!$B$94:$B$153,'03_原始数据'!$C$94:$C$153),""),"")</f>
        <v/>
      </c>
      <c r="D153" s="31">
        <f>IF(1=1,IFERROR(CORREL('03_原始数据'!$B$34:$B$153,'03_原始数据'!$C$34:$C$153),""),"")</f>
        <v/>
      </c>
      <c r="E153" s="31">
        <f>IF(1=1,IFERROR(CORREL('03_原始数据'!$G$94:$G$153,'03_原始数据'!$H$94:$H$153),""),"")</f>
        <v/>
      </c>
      <c r="F153" s="54">
        <f>IF(N(B153)=0,"不足","有效")</f>
        <v/>
      </c>
    </row>
    <row r="154" ht="17" customHeight="1">
      <c r="A154" s="40">
        <f>'03_原始数据'!A154</f>
        <v/>
      </c>
      <c r="B154" s="34">
        <f>IF(1=1,IFERROR(CORREL('03_原始数据'!$B$135:$B$154,'03_原始数据'!$C$135:$C$154),""),"")</f>
        <v/>
      </c>
      <c r="C154" s="34">
        <f>IF(1=1,IFERROR(CORREL('03_原始数据'!$B$95:$B$154,'03_原始数据'!$C$95:$C$154),""),"")</f>
        <v/>
      </c>
      <c r="D154" s="34">
        <f>IF(1=1,IFERROR(CORREL('03_原始数据'!$B$35:$B$154,'03_原始数据'!$C$35:$C$154),""),"")</f>
        <v/>
      </c>
      <c r="E154" s="34">
        <f>IF(1=1,IFERROR(CORREL('03_原始数据'!$G$95:$G$154,'03_原始数据'!$H$95:$H$154),""),"")</f>
        <v/>
      </c>
      <c r="F154" s="55">
        <f>IF(N(B154)=0,"不足","有效")</f>
        <v/>
      </c>
    </row>
    <row r="155" ht="17" customHeight="1">
      <c r="A155" s="38">
        <f>'03_原始数据'!A155</f>
        <v/>
      </c>
      <c r="B155" s="31">
        <f>IF(1=1,IFERROR(CORREL('03_原始数据'!$B$136:$B$155,'03_原始数据'!$C$136:$C$155),""),"")</f>
        <v/>
      </c>
      <c r="C155" s="31">
        <f>IF(1=1,IFERROR(CORREL('03_原始数据'!$B$96:$B$155,'03_原始数据'!$C$96:$C$155),""),"")</f>
        <v/>
      </c>
      <c r="D155" s="31">
        <f>IF(1=1,IFERROR(CORREL('03_原始数据'!$B$36:$B$155,'03_原始数据'!$C$36:$C$155),""),"")</f>
        <v/>
      </c>
      <c r="E155" s="31">
        <f>IF(1=1,IFERROR(CORREL('03_原始数据'!$G$96:$G$155,'03_原始数据'!$H$96:$H$155),""),"")</f>
        <v/>
      </c>
      <c r="F155" s="54">
        <f>IF(N(B155)=0,"不足","有效")</f>
        <v/>
      </c>
    </row>
    <row r="156" ht="17" customHeight="1">
      <c r="A156" s="40">
        <f>'03_原始数据'!A156</f>
        <v/>
      </c>
      <c r="B156" s="34">
        <f>IF(1=1,IFERROR(CORREL('03_原始数据'!$B$137:$B$156,'03_原始数据'!$C$137:$C$156),""),"")</f>
        <v/>
      </c>
      <c r="C156" s="34">
        <f>IF(1=1,IFERROR(CORREL('03_原始数据'!$B$97:$B$156,'03_原始数据'!$C$97:$C$156),""),"")</f>
        <v/>
      </c>
      <c r="D156" s="34">
        <f>IF(1=1,IFERROR(CORREL('03_原始数据'!$B$37:$B$156,'03_原始数据'!$C$37:$C$156),""),"")</f>
        <v/>
      </c>
      <c r="E156" s="34">
        <f>IF(1=1,IFERROR(CORREL('03_原始数据'!$G$97:$G$156,'03_原始数据'!$H$97:$H$156),""),"")</f>
        <v/>
      </c>
      <c r="F156" s="55">
        <f>IF(N(B156)=0,"不足","有效")</f>
        <v/>
      </c>
    </row>
    <row r="157" ht="17" customHeight="1">
      <c r="A157" s="38">
        <f>'03_原始数据'!A157</f>
        <v/>
      </c>
      <c r="B157" s="31">
        <f>IF(1=1,IFERROR(CORREL('03_原始数据'!$B$138:$B$157,'03_原始数据'!$C$138:$C$157),""),"")</f>
        <v/>
      </c>
      <c r="C157" s="31">
        <f>IF(1=1,IFERROR(CORREL('03_原始数据'!$B$98:$B$157,'03_原始数据'!$C$98:$C$157),""),"")</f>
        <v/>
      </c>
      <c r="D157" s="31">
        <f>IF(1=1,IFERROR(CORREL('03_原始数据'!$B$38:$B$157,'03_原始数据'!$C$38:$C$157),""),"")</f>
        <v/>
      </c>
      <c r="E157" s="31">
        <f>IF(1=1,IFERROR(CORREL('03_原始数据'!$G$98:$G$157,'03_原始数据'!$H$98:$H$157),""),"")</f>
        <v/>
      </c>
      <c r="F157" s="54">
        <f>IF(N(B157)=0,"不足","有效")</f>
        <v/>
      </c>
    </row>
    <row r="158" ht="17" customHeight="1">
      <c r="A158" s="40">
        <f>'03_原始数据'!A158</f>
        <v/>
      </c>
      <c r="B158" s="34">
        <f>IF(1=1,IFERROR(CORREL('03_原始数据'!$B$139:$B$158,'03_原始数据'!$C$139:$C$158),""),"")</f>
        <v/>
      </c>
      <c r="C158" s="34">
        <f>IF(1=1,IFERROR(CORREL('03_原始数据'!$B$99:$B$158,'03_原始数据'!$C$99:$C$158),""),"")</f>
        <v/>
      </c>
      <c r="D158" s="34">
        <f>IF(1=1,IFERROR(CORREL('03_原始数据'!$B$39:$B$158,'03_原始数据'!$C$39:$C$158),""),"")</f>
        <v/>
      </c>
      <c r="E158" s="34">
        <f>IF(1=1,IFERROR(CORREL('03_原始数据'!$G$99:$G$158,'03_原始数据'!$H$99:$H$158),""),"")</f>
        <v/>
      </c>
      <c r="F158" s="55">
        <f>IF(N(B158)=0,"不足","有效")</f>
        <v/>
      </c>
    </row>
    <row r="159" ht="17" customHeight="1">
      <c r="A159" s="38">
        <f>'03_原始数据'!A159</f>
        <v/>
      </c>
      <c r="B159" s="31">
        <f>IF(1=1,IFERROR(CORREL('03_原始数据'!$B$140:$B$159,'03_原始数据'!$C$140:$C$159),""),"")</f>
        <v/>
      </c>
      <c r="C159" s="31">
        <f>IF(1=1,IFERROR(CORREL('03_原始数据'!$B$100:$B$159,'03_原始数据'!$C$100:$C$159),""),"")</f>
        <v/>
      </c>
      <c r="D159" s="31">
        <f>IF(1=1,IFERROR(CORREL('03_原始数据'!$B$40:$B$159,'03_原始数据'!$C$40:$C$159),""),"")</f>
        <v/>
      </c>
      <c r="E159" s="31">
        <f>IF(1=1,IFERROR(CORREL('03_原始数据'!$G$100:$G$159,'03_原始数据'!$H$100:$H$159),""),"")</f>
        <v/>
      </c>
      <c r="F159" s="54">
        <f>IF(N(B159)=0,"不足","有效")</f>
        <v/>
      </c>
    </row>
    <row r="160" ht="17" customHeight="1">
      <c r="A160" s="40">
        <f>'03_原始数据'!A160</f>
        <v/>
      </c>
      <c r="B160" s="34">
        <f>IF(1=1,IFERROR(CORREL('03_原始数据'!$B$141:$B$160,'03_原始数据'!$C$141:$C$160),""),"")</f>
        <v/>
      </c>
      <c r="C160" s="34">
        <f>IF(1=1,IFERROR(CORREL('03_原始数据'!$B$101:$B$160,'03_原始数据'!$C$101:$C$160),""),"")</f>
        <v/>
      </c>
      <c r="D160" s="34">
        <f>IF(1=1,IFERROR(CORREL('03_原始数据'!$B$41:$B$160,'03_原始数据'!$C$41:$C$160),""),"")</f>
        <v/>
      </c>
      <c r="E160" s="34">
        <f>IF(1=1,IFERROR(CORREL('03_原始数据'!$G$101:$G$160,'03_原始数据'!$H$101:$H$160),""),"")</f>
        <v/>
      </c>
      <c r="F160" s="55">
        <f>IF(N(B160)=0,"不足","有效")</f>
        <v/>
      </c>
    </row>
    <row r="161" ht="17" customHeight="1">
      <c r="A161" s="38">
        <f>'03_原始数据'!A161</f>
        <v/>
      </c>
      <c r="B161" s="31">
        <f>IF(1=1,IFERROR(CORREL('03_原始数据'!$B$142:$B$161,'03_原始数据'!$C$142:$C$161),""),"")</f>
        <v/>
      </c>
      <c r="C161" s="31">
        <f>IF(1=1,IFERROR(CORREL('03_原始数据'!$B$102:$B$161,'03_原始数据'!$C$102:$C$161),""),"")</f>
        <v/>
      </c>
      <c r="D161" s="31">
        <f>IF(1=1,IFERROR(CORREL('03_原始数据'!$B$42:$B$161,'03_原始数据'!$C$42:$C$161),""),"")</f>
        <v/>
      </c>
      <c r="E161" s="31">
        <f>IF(1=1,IFERROR(CORREL('03_原始数据'!$G$102:$G$161,'03_原始数据'!$H$102:$H$161),""),"")</f>
        <v/>
      </c>
      <c r="F161" s="54">
        <f>IF(N(B161)=0,"不足","有效")</f>
        <v/>
      </c>
    </row>
    <row r="162" ht="17" customHeight="1">
      <c r="A162" s="40">
        <f>'03_原始数据'!A162</f>
        <v/>
      </c>
      <c r="B162" s="34">
        <f>IF(1=1,IFERROR(CORREL('03_原始数据'!$B$143:$B$162,'03_原始数据'!$C$143:$C$162),""),"")</f>
        <v/>
      </c>
      <c r="C162" s="34">
        <f>IF(1=1,IFERROR(CORREL('03_原始数据'!$B$103:$B$162,'03_原始数据'!$C$103:$C$162),""),"")</f>
        <v/>
      </c>
      <c r="D162" s="34">
        <f>IF(1=1,IFERROR(CORREL('03_原始数据'!$B$43:$B$162,'03_原始数据'!$C$43:$C$162),""),"")</f>
        <v/>
      </c>
      <c r="E162" s="34">
        <f>IF(1=1,IFERROR(CORREL('03_原始数据'!$G$103:$G$162,'03_原始数据'!$H$103:$H$162),""),"")</f>
        <v/>
      </c>
      <c r="F162" s="55">
        <f>IF(N(B162)=0,"不足","有效")</f>
        <v/>
      </c>
    </row>
    <row r="163" ht="17" customHeight="1">
      <c r="A163" s="38">
        <f>'03_原始数据'!A163</f>
        <v/>
      </c>
      <c r="B163" s="31">
        <f>IF(1=1,IFERROR(CORREL('03_原始数据'!$B$144:$B$163,'03_原始数据'!$C$144:$C$163),""),"")</f>
        <v/>
      </c>
      <c r="C163" s="31">
        <f>IF(1=1,IFERROR(CORREL('03_原始数据'!$B$104:$B$163,'03_原始数据'!$C$104:$C$163),""),"")</f>
        <v/>
      </c>
      <c r="D163" s="31">
        <f>IF(1=1,IFERROR(CORREL('03_原始数据'!$B$44:$B$163,'03_原始数据'!$C$44:$C$163),""),"")</f>
        <v/>
      </c>
      <c r="E163" s="31">
        <f>IF(1=1,IFERROR(CORREL('03_原始数据'!$G$104:$G$163,'03_原始数据'!$H$104:$H$163),""),"")</f>
        <v/>
      </c>
      <c r="F163" s="54">
        <f>IF(N(B163)=0,"不足","有效")</f>
        <v/>
      </c>
    </row>
    <row r="164" ht="17" customHeight="1">
      <c r="A164" s="40">
        <f>'03_原始数据'!A164</f>
        <v/>
      </c>
      <c r="B164" s="34">
        <f>IF(1=1,IFERROR(CORREL('03_原始数据'!$B$145:$B$164,'03_原始数据'!$C$145:$C$164),""),"")</f>
        <v/>
      </c>
      <c r="C164" s="34">
        <f>IF(1=1,IFERROR(CORREL('03_原始数据'!$B$105:$B$164,'03_原始数据'!$C$105:$C$164),""),"")</f>
        <v/>
      </c>
      <c r="D164" s="34">
        <f>IF(1=1,IFERROR(CORREL('03_原始数据'!$B$45:$B$164,'03_原始数据'!$C$45:$C$164),""),"")</f>
        <v/>
      </c>
      <c r="E164" s="34">
        <f>IF(1=1,IFERROR(CORREL('03_原始数据'!$G$105:$G$164,'03_原始数据'!$H$105:$H$164),""),"")</f>
        <v/>
      </c>
      <c r="F164" s="55">
        <f>IF(N(B164)=0,"不足","有效")</f>
        <v/>
      </c>
    </row>
    <row r="165" ht="17" customHeight="1">
      <c r="A165" s="38">
        <f>'03_原始数据'!A165</f>
        <v/>
      </c>
      <c r="B165" s="31">
        <f>IF(1=1,IFERROR(CORREL('03_原始数据'!$B$146:$B$165,'03_原始数据'!$C$146:$C$165),""),"")</f>
        <v/>
      </c>
      <c r="C165" s="31">
        <f>IF(1=1,IFERROR(CORREL('03_原始数据'!$B$106:$B$165,'03_原始数据'!$C$106:$C$165),""),"")</f>
        <v/>
      </c>
      <c r="D165" s="31">
        <f>IF(1=1,IFERROR(CORREL('03_原始数据'!$B$46:$B$165,'03_原始数据'!$C$46:$C$165),""),"")</f>
        <v/>
      </c>
      <c r="E165" s="31">
        <f>IF(1=1,IFERROR(CORREL('03_原始数据'!$G$106:$G$165,'03_原始数据'!$H$106:$H$165),""),"")</f>
        <v/>
      </c>
      <c r="F165" s="54">
        <f>IF(N(B165)=0,"不足","有效")</f>
        <v/>
      </c>
    </row>
    <row r="166" ht="17" customHeight="1">
      <c r="A166" s="40">
        <f>'03_原始数据'!A166</f>
        <v/>
      </c>
      <c r="B166" s="34">
        <f>IF(1=1,IFERROR(CORREL('03_原始数据'!$B$147:$B$166,'03_原始数据'!$C$147:$C$166),""),"")</f>
        <v/>
      </c>
      <c r="C166" s="34">
        <f>IF(1=1,IFERROR(CORREL('03_原始数据'!$B$107:$B$166,'03_原始数据'!$C$107:$C$166),""),"")</f>
        <v/>
      </c>
      <c r="D166" s="34">
        <f>IF(1=1,IFERROR(CORREL('03_原始数据'!$B$47:$B$166,'03_原始数据'!$C$47:$C$166),""),"")</f>
        <v/>
      </c>
      <c r="E166" s="34">
        <f>IF(1=1,IFERROR(CORREL('03_原始数据'!$G$107:$G$166,'03_原始数据'!$H$107:$H$166),""),"")</f>
        <v/>
      </c>
      <c r="F166" s="55">
        <f>IF(N(B166)=0,"不足","有效")</f>
        <v/>
      </c>
    </row>
    <row r="167" ht="17" customHeight="1">
      <c r="A167" s="38">
        <f>'03_原始数据'!A167</f>
        <v/>
      </c>
      <c r="B167" s="31">
        <f>IF(1=1,IFERROR(CORREL('03_原始数据'!$B$148:$B$167,'03_原始数据'!$C$148:$C$167),""),"")</f>
        <v/>
      </c>
      <c r="C167" s="31">
        <f>IF(1=1,IFERROR(CORREL('03_原始数据'!$B$108:$B$167,'03_原始数据'!$C$108:$C$167),""),"")</f>
        <v/>
      </c>
      <c r="D167" s="31">
        <f>IF(1=1,IFERROR(CORREL('03_原始数据'!$B$48:$B$167,'03_原始数据'!$C$48:$C$167),""),"")</f>
        <v/>
      </c>
      <c r="E167" s="31">
        <f>IF(1=1,IFERROR(CORREL('03_原始数据'!$G$108:$G$167,'03_原始数据'!$H$108:$H$167),""),"")</f>
        <v/>
      </c>
      <c r="F167" s="54">
        <f>IF(N(B167)=0,"不足","有效")</f>
        <v/>
      </c>
    </row>
    <row r="168" ht="17" customHeight="1">
      <c r="A168" s="40">
        <f>'03_原始数据'!A168</f>
        <v/>
      </c>
      <c r="B168" s="34">
        <f>IF(1=1,IFERROR(CORREL('03_原始数据'!$B$149:$B$168,'03_原始数据'!$C$149:$C$168),""),"")</f>
        <v/>
      </c>
      <c r="C168" s="34">
        <f>IF(1=1,IFERROR(CORREL('03_原始数据'!$B$109:$B$168,'03_原始数据'!$C$109:$C$168),""),"")</f>
        <v/>
      </c>
      <c r="D168" s="34">
        <f>IF(1=1,IFERROR(CORREL('03_原始数据'!$B$49:$B$168,'03_原始数据'!$C$49:$C$168),""),"")</f>
        <v/>
      </c>
      <c r="E168" s="34">
        <f>IF(1=1,IFERROR(CORREL('03_原始数据'!$G$109:$G$168,'03_原始数据'!$H$109:$H$168),""),"")</f>
        <v/>
      </c>
      <c r="F168" s="55">
        <f>IF(N(B168)=0,"不足","有效")</f>
        <v/>
      </c>
    </row>
    <row r="169" ht="17" customHeight="1">
      <c r="A169" s="38">
        <f>'03_原始数据'!A169</f>
        <v/>
      </c>
      <c r="B169" s="31">
        <f>IF(1=1,IFERROR(CORREL('03_原始数据'!$B$150:$B$169,'03_原始数据'!$C$150:$C$169),""),"")</f>
        <v/>
      </c>
      <c r="C169" s="31">
        <f>IF(1=1,IFERROR(CORREL('03_原始数据'!$B$110:$B$169,'03_原始数据'!$C$110:$C$169),""),"")</f>
        <v/>
      </c>
      <c r="D169" s="31">
        <f>IF(1=1,IFERROR(CORREL('03_原始数据'!$B$50:$B$169,'03_原始数据'!$C$50:$C$169),""),"")</f>
        <v/>
      </c>
      <c r="E169" s="31">
        <f>IF(1=1,IFERROR(CORREL('03_原始数据'!$G$110:$G$169,'03_原始数据'!$H$110:$H$169),""),"")</f>
        <v/>
      </c>
      <c r="F169" s="54">
        <f>IF(N(B169)=0,"不足","有效")</f>
        <v/>
      </c>
    </row>
    <row r="170" ht="17" customHeight="1">
      <c r="A170" s="40">
        <f>'03_原始数据'!A170</f>
        <v/>
      </c>
      <c r="B170" s="34">
        <f>IF(1=1,IFERROR(CORREL('03_原始数据'!$B$151:$B$170,'03_原始数据'!$C$151:$C$170),""),"")</f>
        <v/>
      </c>
      <c r="C170" s="34">
        <f>IF(1=1,IFERROR(CORREL('03_原始数据'!$B$111:$B$170,'03_原始数据'!$C$111:$C$170),""),"")</f>
        <v/>
      </c>
      <c r="D170" s="34">
        <f>IF(1=1,IFERROR(CORREL('03_原始数据'!$B$51:$B$170,'03_原始数据'!$C$51:$C$170),""),"")</f>
        <v/>
      </c>
      <c r="E170" s="34">
        <f>IF(1=1,IFERROR(CORREL('03_原始数据'!$G$111:$G$170,'03_原始数据'!$H$111:$H$170),""),"")</f>
        <v/>
      </c>
      <c r="F170" s="55">
        <f>IF(N(B170)=0,"不足","有效")</f>
        <v/>
      </c>
    </row>
    <row r="171" ht="17" customHeight="1">
      <c r="A171" s="38">
        <f>'03_原始数据'!A171</f>
        <v/>
      </c>
      <c r="B171" s="31">
        <f>IF(1=1,IFERROR(CORREL('03_原始数据'!$B$152:$B$171,'03_原始数据'!$C$152:$C$171),""),"")</f>
        <v/>
      </c>
      <c r="C171" s="31">
        <f>IF(1=1,IFERROR(CORREL('03_原始数据'!$B$112:$B$171,'03_原始数据'!$C$112:$C$171),""),"")</f>
        <v/>
      </c>
      <c r="D171" s="31">
        <f>IF(1=1,IFERROR(CORREL('03_原始数据'!$B$52:$B$171,'03_原始数据'!$C$52:$C$171),""),"")</f>
        <v/>
      </c>
      <c r="E171" s="31">
        <f>IF(1=1,IFERROR(CORREL('03_原始数据'!$G$112:$G$171,'03_原始数据'!$H$112:$H$171),""),"")</f>
        <v/>
      </c>
      <c r="F171" s="54">
        <f>IF(N(B171)=0,"不足","有效")</f>
        <v/>
      </c>
    </row>
    <row r="172" ht="17" customHeight="1">
      <c r="A172" s="40">
        <f>'03_原始数据'!A172</f>
        <v/>
      </c>
      <c r="B172" s="34">
        <f>IF(1=1,IFERROR(CORREL('03_原始数据'!$B$153:$B$172,'03_原始数据'!$C$153:$C$172),""),"")</f>
        <v/>
      </c>
      <c r="C172" s="34">
        <f>IF(1=1,IFERROR(CORREL('03_原始数据'!$B$113:$B$172,'03_原始数据'!$C$113:$C$172),""),"")</f>
        <v/>
      </c>
      <c r="D172" s="34">
        <f>IF(1=1,IFERROR(CORREL('03_原始数据'!$B$53:$B$172,'03_原始数据'!$C$53:$C$172),""),"")</f>
        <v/>
      </c>
      <c r="E172" s="34">
        <f>IF(1=1,IFERROR(CORREL('03_原始数据'!$G$113:$G$172,'03_原始数据'!$H$113:$H$172),""),"")</f>
        <v/>
      </c>
      <c r="F172" s="55">
        <f>IF(N(B172)=0,"不足","有效")</f>
        <v/>
      </c>
    </row>
    <row r="173" ht="17" customHeight="1">
      <c r="A173" s="38">
        <f>'03_原始数据'!A173</f>
        <v/>
      </c>
      <c r="B173" s="31">
        <f>IF(1=1,IFERROR(CORREL('03_原始数据'!$B$154:$B$173,'03_原始数据'!$C$154:$C$173),""),"")</f>
        <v/>
      </c>
      <c r="C173" s="31">
        <f>IF(1=1,IFERROR(CORREL('03_原始数据'!$B$114:$B$173,'03_原始数据'!$C$114:$C$173),""),"")</f>
        <v/>
      </c>
      <c r="D173" s="31">
        <f>IF(1=1,IFERROR(CORREL('03_原始数据'!$B$54:$B$173,'03_原始数据'!$C$54:$C$173),""),"")</f>
        <v/>
      </c>
      <c r="E173" s="31">
        <f>IF(1=1,IFERROR(CORREL('03_原始数据'!$G$114:$G$173,'03_原始数据'!$H$114:$H$173),""),"")</f>
        <v/>
      </c>
      <c r="F173" s="54">
        <f>IF(N(B173)=0,"不足","有效")</f>
        <v/>
      </c>
    </row>
    <row r="174" ht="17" customHeight="1">
      <c r="A174" s="40">
        <f>'03_原始数据'!A174</f>
        <v/>
      </c>
      <c r="B174" s="34">
        <f>IF(1=1,IFERROR(CORREL('03_原始数据'!$B$155:$B$174,'03_原始数据'!$C$155:$C$174),""),"")</f>
        <v/>
      </c>
      <c r="C174" s="34">
        <f>IF(1=1,IFERROR(CORREL('03_原始数据'!$B$115:$B$174,'03_原始数据'!$C$115:$C$174),""),"")</f>
        <v/>
      </c>
      <c r="D174" s="34">
        <f>IF(1=1,IFERROR(CORREL('03_原始数据'!$B$55:$B$174,'03_原始数据'!$C$55:$C$174),""),"")</f>
        <v/>
      </c>
      <c r="E174" s="34">
        <f>IF(1=1,IFERROR(CORREL('03_原始数据'!$G$115:$G$174,'03_原始数据'!$H$115:$H$174),""),"")</f>
        <v/>
      </c>
      <c r="F174" s="55">
        <f>IF(N(B174)=0,"不足","有效")</f>
        <v/>
      </c>
    </row>
    <row r="175" ht="17" customHeight="1">
      <c r="A175" s="38">
        <f>'03_原始数据'!A175</f>
        <v/>
      </c>
      <c r="B175" s="31">
        <f>IF(1=1,IFERROR(CORREL('03_原始数据'!$B$156:$B$175,'03_原始数据'!$C$156:$C$175),""),"")</f>
        <v/>
      </c>
      <c r="C175" s="31">
        <f>IF(1=1,IFERROR(CORREL('03_原始数据'!$B$116:$B$175,'03_原始数据'!$C$116:$C$175),""),"")</f>
        <v/>
      </c>
      <c r="D175" s="31">
        <f>IF(1=1,IFERROR(CORREL('03_原始数据'!$B$56:$B$175,'03_原始数据'!$C$56:$C$175),""),"")</f>
        <v/>
      </c>
      <c r="E175" s="31">
        <f>IF(1=1,IFERROR(CORREL('03_原始数据'!$G$116:$G$175,'03_原始数据'!$H$116:$H$175),""),"")</f>
        <v/>
      </c>
      <c r="F175" s="54">
        <f>IF(N(B175)=0,"不足","有效")</f>
        <v/>
      </c>
    </row>
    <row r="176" ht="17" customHeight="1">
      <c r="A176" s="40">
        <f>'03_原始数据'!A176</f>
        <v/>
      </c>
      <c r="B176" s="34">
        <f>IF(1=1,IFERROR(CORREL('03_原始数据'!$B$157:$B$176,'03_原始数据'!$C$157:$C$176),""),"")</f>
        <v/>
      </c>
      <c r="C176" s="34">
        <f>IF(1=1,IFERROR(CORREL('03_原始数据'!$B$117:$B$176,'03_原始数据'!$C$117:$C$176),""),"")</f>
        <v/>
      </c>
      <c r="D176" s="34">
        <f>IF(1=1,IFERROR(CORREL('03_原始数据'!$B$57:$B$176,'03_原始数据'!$C$57:$C$176),""),"")</f>
        <v/>
      </c>
      <c r="E176" s="34">
        <f>IF(1=1,IFERROR(CORREL('03_原始数据'!$G$117:$G$176,'03_原始数据'!$H$117:$H$176),""),"")</f>
        <v/>
      </c>
      <c r="F176" s="55">
        <f>IF(N(B176)=0,"不足","有效")</f>
        <v/>
      </c>
    </row>
    <row r="177" ht="17" customHeight="1">
      <c r="A177" s="38">
        <f>'03_原始数据'!A177</f>
        <v/>
      </c>
      <c r="B177" s="31">
        <f>IF(1=1,IFERROR(CORREL('03_原始数据'!$B$158:$B$177,'03_原始数据'!$C$158:$C$177),""),"")</f>
        <v/>
      </c>
      <c r="C177" s="31">
        <f>IF(1=1,IFERROR(CORREL('03_原始数据'!$B$118:$B$177,'03_原始数据'!$C$118:$C$177),""),"")</f>
        <v/>
      </c>
      <c r="D177" s="31">
        <f>IF(1=1,IFERROR(CORREL('03_原始数据'!$B$58:$B$177,'03_原始数据'!$C$58:$C$177),""),"")</f>
        <v/>
      </c>
      <c r="E177" s="31">
        <f>IF(1=1,IFERROR(CORREL('03_原始数据'!$G$118:$G$177,'03_原始数据'!$H$118:$H$177),""),"")</f>
        <v/>
      </c>
      <c r="F177" s="54">
        <f>IF(N(B177)=0,"不足","有效")</f>
        <v/>
      </c>
    </row>
    <row r="178" ht="17" customHeight="1">
      <c r="A178" s="40">
        <f>'03_原始数据'!A178</f>
        <v/>
      </c>
      <c r="B178" s="34">
        <f>IF(1=1,IFERROR(CORREL('03_原始数据'!$B$159:$B$178,'03_原始数据'!$C$159:$C$178),""),"")</f>
        <v/>
      </c>
      <c r="C178" s="34">
        <f>IF(1=1,IFERROR(CORREL('03_原始数据'!$B$119:$B$178,'03_原始数据'!$C$119:$C$178),""),"")</f>
        <v/>
      </c>
      <c r="D178" s="34">
        <f>IF(1=1,IFERROR(CORREL('03_原始数据'!$B$59:$B$178,'03_原始数据'!$C$59:$C$178),""),"")</f>
        <v/>
      </c>
      <c r="E178" s="34">
        <f>IF(1=1,IFERROR(CORREL('03_原始数据'!$G$119:$G$178,'03_原始数据'!$H$119:$H$178),""),"")</f>
        <v/>
      </c>
      <c r="F178" s="55">
        <f>IF(N(B178)=0,"不足","有效")</f>
        <v/>
      </c>
    </row>
    <row r="179" ht="17" customHeight="1">
      <c r="A179" s="38">
        <f>'03_原始数据'!A179</f>
        <v/>
      </c>
      <c r="B179" s="31">
        <f>IF(1=1,IFERROR(CORREL('03_原始数据'!$B$160:$B$179,'03_原始数据'!$C$160:$C$179),""),"")</f>
        <v/>
      </c>
      <c r="C179" s="31">
        <f>IF(1=1,IFERROR(CORREL('03_原始数据'!$B$120:$B$179,'03_原始数据'!$C$120:$C$179),""),"")</f>
        <v/>
      </c>
      <c r="D179" s="31">
        <f>IF(1=1,IFERROR(CORREL('03_原始数据'!$B$60:$B$179,'03_原始数据'!$C$60:$C$179),""),"")</f>
        <v/>
      </c>
      <c r="E179" s="31">
        <f>IF(1=1,IFERROR(CORREL('03_原始数据'!$G$120:$G$179,'03_原始数据'!$H$120:$H$179),""),"")</f>
        <v/>
      </c>
      <c r="F179" s="54">
        <f>IF(N(B179)=0,"不足","有效")</f>
        <v/>
      </c>
    </row>
    <row r="180" ht="17" customHeight="1">
      <c r="A180" s="40">
        <f>'03_原始数据'!A180</f>
        <v/>
      </c>
      <c r="B180" s="34">
        <f>IF(1=1,IFERROR(CORREL('03_原始数据'!$B$161:$B$180,'03_原始数据'!$C$161:$C$180),""),"")</f>
        <v/>
      </c>
      <c r="C180" s="34">
        <f>IF(1=1,IFERROR(CORREL('03_原始数据'!$B$121:$B$180,'03_原始数据'!$C$121:$C$180),""),"")</f>
        <v/>
      </c>
      <c r="D180" s="34">
        <f>IF(1=1,IFERROR(CORREL('03_原始数据'!$B$61:$B$180,'03_原始数据'!$C$61:$C$180),""),"")</f>
        <v/>
      </c>
      <c r="E180" s="34">
        <f>IF(1=1,IFERROR(CORREL('03_原始数据'!$G$121:$G$180,'03_原始数据'!$H$121:$H$180),""),"")</f>
        <v/>
      </c>
      <c r="F180" s="55">
        <f>IF(N(B180)=0,"不足","有效")</f>
        <v/>
      </c>
    </row>
    <row r="181" ht="17" customHeight="1">
      <c r="A181" s="38">
        <f>'03_原始数据'!A181</f>
        <v/>
      </c>
      <c r="B181" s="31">
        <f>IF(1=1,IFERROR(CORREL('03_原始数据'!$B$162:$B$181,'03_原始数据'!$C$162:$C$181),""),"")</f>
        <v/>
      </c>
      <c r="C181" s="31">
        <f>IF(1=1,IFERROR(CORREL('03_原始数据'!$B$122:$B$181,'03_原始数据'!$C$122:$C$181),""),"")</f>
        <v/>
      </c>
      <c r="D181" s="31">
        <f>IF(1=1,IFERROR(CORREL('03_原始数据'!$B$62:$B$181,'03_原始数据'!$C$62:$C$181),""),"")</f>
        <v/>
      </c>
      <c r="E181" s="31">
        <f>IF(1=1,IFERROR(CORREL('03_原始数据'!$G$122:$G$181,'03_原始数据'!$H$122:$H$181),""),"")</f>
        <v/>
      </c>
      <c r="F181" s="54">
        <f>IF(N(B181)=0,"不足","有效")</f>
        <v/>
      </c>
    </row>
    <row r="182" ht="17" customHeight="1">
      <c r="A182" s="40">
        <f>'03_原始数据'!A182</f>
        <v/>
      </c>
      <c r="B182" s="34">
        <f>IF(1=1,IFERROR(CORREL('03_原始数据'!$B$163:$B$182,'03_原始数据'!$C$163:$C$182),""),"")</f>
        <v/>
      </c>
      <c r="C182" s="34">
        <f>IF(1=1,IFERROR(CORREL('03_原始数据'!$B$123:$B$182,'03_原始数据'!$C$123:$C$182),""),"")</f>
        <v/>
      </c>
      <c r="D182" s="34">
        <f>IF(1=1,IFERROR(CORREL('03_原始数据'!$B$63:$B$182,'03_原始数据'!$C$63:$C$182),""),"")</f>
        <v/>
      </c>
      <c r="E182" s="34">
        <f>IF(1=1,IFERROR(CORREL('03_原始数据'!$G$123:$G$182,'03_原始数据'!$H$123:$H$182),""),"")</f>
        <v/>
      </c>
      <c r="F182" s="55">
        <f>IF(N(B182)=0,"不足","有效")</f>
        <v/>
      </c>
    </row>
    <row r="183" ht="17" customHeight="1">
      <c r="A183" s="38">
        <f>'03_原始数据'!A183</f>
        <v/>
      </c>
      <c r="B183" s="31">
        <f>IF(1=1,IFERROR(CORREL('03_原始数据'!$B$164:$B$183,'03_原始数据'!$C$164:$C$183),""),"")</f>
        <v/>
      </c>
      <c r="C183" s="31">
        <f>IF(1=1,IFERROR(CORREL('03_原始数据'!$B$124:$B$183,'03_原始数据'!$C$124:$C$183),""),"")</f>
        <v/>
      </c>
      <c r="D183" s="31">
        <f>IF(1=1,IFERROR(CORREL('03_原始数据'!$B$64:$B$183,'03_原始数据'!$C$64:$C$183),""),"")</f>
        <v/>
      </c>
      <c r="E183" s="31">
        <f>IF(1=1,IFERROR(CORREL('03_原始数据'!$G$124:$G$183,'03_原始数据'!$H$124:$H$183),""),"")</f>
        <v/>
      </c>
      <c r="F183" s="54">
        <f>IF(N(B183)=0,"不足","有效")</f>
        <v/>
      </c>
    </row>
    <row r="184" ht="17" customHeight="1">
      <c r="A184" s="40">
        <f>'03_原始数据'!A184</f>
        <v/>
      </c>
      <c r="B184" s="34">
        <f>IF(1=1,IFERROR(CORREL('03_原始数据'!$B$165:$B$184,'03_原始数据'!$C$165:$C$184),""),"")</f>
        <v/>
      </c>
      <c r="C184" s="34">
        <f>IF(1=1,IFERROR(CORREL('03_原始数据'!$B$125:$B$184,'03_原始数据'!$C$125:$C$184),""),"")</f>
        <v/>
      </c>
      <c r="D184" s="34">
        <f>IF(1=1,IFERROR(CORREL('03_原始数据'!$B$65:$B$184,'03_原始数据'!$C$65:$C$184),""),"")</f>
        <v/>
      </c>
      <c r="E184" s="34">
        <f>IF(1=1,IFERROR(CORREL('03_原始数据'!$G$125:$G$184,'03_原始数据'!$H$125:$H$184),""),"")</f>
        <v/>
      </c>
      <c r="F184" s="55">
        <f>IF(N(B184)=0,"不足","有效")</f>
        <v/>
      </c>
    </row>
    <row r="185" ht="17" customHeight="1">
      <c r="A185" s="38">
        <f>'03_原始数据'!A185</f>
        <v/>
      </c>
      <c r="B185" s="31">
        <f>IF(1=1,IFERROR(CORREL('03_原始数据'!$B$166:$B$185,'03_原始数据'!$C$166:$C$185),""),"")</f>
        <v/>
      </c>
      <c r="C185" s="31">
        <f>IF(1=1,IFERROR(CORREL('03_原始数据'!$B$126:$B$185,'03_原始数据'!$C$126:$C$185),""),"")</f>
        <v/>
      </c>
      <c r="D185" s="31">
        <f>IF(1=1,IFERROR(CORREL('03_原始数据'!$B$66:$B$185,'03_原始数据'!$C$66:$C$185),""),"")</f>
        <v/>
      </c>
      <c r="E185" s="31">
        <f>IF(1=1,IFERROR(CORREL('03_原始数据'!$G$126:$G$185,'03_原始数据'!$H$126:$H$185),""),"")</f>
        <v/>
      </c>
      <c r="F185" s="54">
        <f>IF(N(B185)=0,"不足","有效")</f>
        <v/>
      </c>
    </row>
    <row r="186" ht="17" customHeight="1">
      <c r="A186" s="40">
        <f>'03_原始数据'!A186</f>
        <v/>
      </c>
      <c r="B186" s="34">
        <f>IF(1=1,IFERROR(CORREL('03_原始数据'!$B$167:$B$186,'03_原始数据'!$C$167:$C$186),""),"")</f>
        <v/>
      </c>
      <c r="C186" s="34">
        <f>IF(1=1,IFERROR(CORREL('03_原始数据'!$B$127:$B$186,'03_原始数据'!$C$127:$C$186),""),"")</f>
        <v/>
      </c>
      <c r="D186" s="34">
        <f>IF(1=1,IFERROR(CORREL('03_原始数据'!$B$67:$B$186,'03_原始数据'!$C$67:$C$186),""),"")</f>
        <v/>
      </c>
      <c r="E186" s="34">
        <f>IF(1=1,IFERROR(CORREL('03_原始数据'!$G$127:$G$186,'03_原始数据'!$H$127:$H$186),""),"")</f>
        <v/>
      </c>
      <c r="F186" s="55">
        <f>IF(N(B186)=0,"不足","有效")</f>
        <v/>
      </c>
    </row>
    <row r="187" ht="17" customHeight="1">
      <c r="A187" s="38">
        <f>'03_原始数据'!A187</f>
        <v/>
      </c>
      <c r="B187" s="31">
        <f>IF(1=1,IFERROR(CORREL('03_原始数据'!$B$168:$B$187,'03_原始数据'!$C$168:$C$187),""),"")</f>
        <v/>
      </c>
      <c r="C187" s="31">
        <f>IF(1=1,IFERROR(CORREL('03_原始数据'!$B$128:$B$187,'03_原始数据'!$C$128:$C$187),""),"")</f>
        <v/>
      </c>
      <c r="D187" s="31">
        <f>IF(1=1,IFERROR(CORREL('03_原始数据'!$B$68:$B$187,'03_原始数据'!$C$68:$C$187),""),"")</f>
        <v/>
      </c>
      <c r="E187" s="31">
        <f>IF(1=1,IFERROR(CORREL('03_原始数据'!$G$128:$G$187,'03_原始数据'!$H$128:$H$187),""),"")</f>
        <v/>
      </c>
      <c r="F187" s="54">
        <f>IF(N(B187)=0,"不足","有效")</f>
        <v/>
      </c>
    </row>
    <row r="188" ht="17" customHeight="1">
      <c r="A188" s="40">
        <f>'03_原始数据'!A188</f>
        <v/>
      </c>
      <c r="B188" s="34">
        <f>IF(1=1,IFERROR(CORREL('03_原始数据'!$B$169:$B$188,'03_原始数据'!$C$169:$C$188),""),"")</f>
        <v/>
      </c>
      <c r="C188" s="34">
        <f>IF(1=1,IFERROR(CORREL('03_原始数据'!$B$129:$B$188,'03_原始数据'!$C$129:$C$188),""),"")</f>
        <v/>
      </c>
      <c r="D188" s="34">
        <f>IF(1=1,IFERROR(CORREL('03_原始数据'!$B$69:$B$188,'03_原始数据'!$C$69:$C$188),""),"")</f>
        <v/>
      </c>
      <c r="E188" s="34">
        <f>IF(1=1,IFERROR(CORREL('03_原始数据'!$G$129:$G$188,'03_原始数据'!$H$129:$H$188),""),"")</f>
        <v/>
      </c>
      <c r="F188" s="55">
        <f>IF(N(B188)=0,"不足","有效")</f>
        <v/>
      </c>
    </row>
    <row r="189" ht="17" customHeight="1">
      <c r="A189" s="38">
        <f>'03_原始数据'!A189</f>
        <v/>
      </c>
      <c r="B189" s="31">
        <f>IF(1=1,IFERROR(CORREL('03_原始数据'!$B$170:$B$189,'03_原始数据'!$C$170:$C$189),""),"")</f>
        <v/>
      </c>
      <c r="C189" s="31">
        <f>IF(1=1,IFERROR(CORREL('03_原始数据'!$B$130:$B$189,'03_原始数据'!$C$130:$C$189),""),"")</f>
        <v/>
      </c>
      <c r="D189" s="31">
        <f>IF(1=1,IFERROR(CORREL('03_原始数据'!$B$70:$B$189,'03_原始数据'!$C$70:$C$189),""),"")</f>
        <v/>
      </c>
      <c r="E189" s="31">
        <f>IF(1=1,IFERROR(CORREL('03_原始数据'!$G$130:$G$189,'03_原始数据'!$H$130:$H$189),""),"")</f>
        <v/>
      </c>
      <c r="F189" s="54">
        <f>IF(N(B189)=0,"不足","有效")</f>
        <v/>
      </c>
    </row>
    <row r="190" ht="17" customHeight="1">
      <c r="A190" s="40">
        <f>'03_原始数据'!A190</f>
        <v/>
      </c>
      <c r="B190" s="34">
        <f>IF(1=1,IFERROR(CORREL('03_原始数据'!$B$171:$B$190,'03_原始数据'!$C$171:$C$190),""),"")</f>
        <v/>
      </c>
      <c r="C190" s="34">
        <f>IF(1=1,IFERROR(CORREL('03_原始数据'!$B$131:$B$190,'03_原始数据'!$C$131:$C$190),""),"")</f>
        <v/>
      </c>
      <c r="D190" s="34">
        <f>IF(1=1,IFERROR(CORREL('03_原始数据'!$B$71:$B$190,'03_原始数据'!$C$71:$C$190),""),"")</f>
        <v/>
      </c>
      <c r="E190" s="34">
        <f>IF(1=1,IFERROR(CORREL('03_原始数据'!$G$131:$G$190,'03_原始数据'!$H$131:$H$190),""),"")</f>
        <v/>
      </c>
      <c r="F190" s="55">
        <f>IF(N(B190)=0,"不足","有效")</f>
        <v/>
      </c>
    </row>
    <row r="191" ht="17" customHeight="1">
      <c r="A191" s="38">
        <f>'03_原始数据'!A191</f>
        <v/>
      </c>
      <c r="B191" s="31">
        <f>IF(1=1,IFERROR(CORREL('03_原始数据'!$B$172:$B$191,'03_原始数据'!$C$172:$C$191),""),"")</f>
        <v/>
      </c>
      <c r="C191" s="31">
        <f>IF(1=1,IFERROR(CORREL('03_原始数据'!$B$132:$B$191,'03_原始数据'!$C$132:$C$191),""),"")</f>
        <v/>
      </c>
      <c r="D191" s="31">
        <f>IF(1=1,IFERROR(CORREL('03_原始数据'!$B$72:$B$191,'03_原始数据'!$C$72:$C$191),""),"")</f>
        <v/>
      </c>
      <c r="E191" s="31">
        <f>IF(1=1,IFERROR(CORREL('03_原始数据'!$G$132:$G$191,'03_原始数据'!$H$132:$H$191),""),"")</f>
        <v/>
      </c>
      <c r="F191" s="54">
        <f>IF(N(B191)=0,"不足","有效")</f>
        <v/>
      </c>
    </row>
    <row r="192" ht="17" customHeight="1">
      <c r="A192" s="40">
        <f>'03_原始数据'!A192</f>
        <v/>
      </c>
      <c r="B192" s="34">
        <f>IF(1=1,IFERROR(CORREL('03_原始数据'!$B$173:$B$192,'03_原始数据'!$C$173:$C$192),""),"")</f>
        <v/>
      </c>
      <c r="C192" s="34">
        <f>IF(1=1,IFERROR(CORREL('03_原始数据'!$B$133:$B$192,'03_原始数据'!$C$133:$C$192),""),"")</f>
        <v/>
      </c>
      <c r="D192" s="34">
        <f>IF(1=1,IFERROR(CORREL('03_原始数据'!$B$73:$B$192,'03_原始数据'!$C$73:$C$192),""),"")</f>
        <v/>
      </c>
      <c r="E192" s="34">
        <f>IF(1=1,IFERROR(CORREL('03_原始数据'!$G$133:$G$192,'03_原始数据'!$H$133:$H$192),""),"")</f>
        <v/>
      </c>
      <c r="F192" s="55">
        <f>IF(N(B192)=0,"不足","有效")</f>
        <v/>
      </c>
    </row>
    <row r="193" ht="17" customHeight="1">
      <c r="A193" s="38">
        <f>'03_原始数据'!A193</f>
        <v/>
      </c>
      <c r="B193" s="31">
        <f>IF(1=1,IFERROR(CORREL('03_原始数据'!$B$174:$B$193,'03_原始数据'!$C$174:$C$193),""),"")</f>
        <v/>
      </c>
      <c r="C193" s="31">
        <f>IF(1=1,IFERROR(CORREL('03_原始数据'!$B$134:$B$193,'03_原始数据'!$C$134:$C$193),""),"")</f>
        <v/>
      </c>
      <c r="D193" s="31">
        <f>IF(1=1,IFERROR(CORREL('03_原始数据'!$B$74:$B$193,'03_原始数据'!$C$74:$C$193),""),"")</f>
        <v/>
      </c>
      <c r="E193" s="31">
        <f>IF(1=1,IFERROR(CORREL('03_原始数据'!$G$134:$G$193,'03_原始数据'!$H$134:$H$193),""),"")</f>
        <v/>
      </c>
      <c r="F193" s="54">
        <f>IF(N(B193)=0,"不足","有效")</f>
        <v/>
      </c>
    </row>
    <row r="194" ht="17" customHeight="1">
      <c r="A194" s="40">
        <f>'03_原始数据'!A194</f>
        <v/>
      </c>
      <c r="B194" s="34">
        <f>IF(1=1,IFERROR(CORREL('03_原始数据'!$B$175:$B$194,'03_原始数据'!$C$175:$C$194),""),"")</f>
        <v/>
      </c>
      <c r="C194" s="34">
        <f>IF(1=1,IFERROR(CORREL('03_原始数据'!$B$135:$B$194,'03_原始数据'!$C$135:$C$194),""),"")</f>
        <v/>
      </c>
      <c r="D194" s="34">
        <f>IF(1=1,IFERROR(CORREL('03_原始数据'!$B$75:$B$194,'03_原始数据'!$C$75:$C$194),""),"")</f>
        <v/>
      </c>
      <c r="E194" s="34">
        <f>IF(1=1,IFERROR(CORREL('03_原始数据'!$G$135:$G$194,'03_原始数据'!$H$135:$H$194),""),"")</f>
        <v/>
      </c>
      <c r="F194" s="55">
        <f>IF(N(B194)=0,"不足","有效")</f>
        <v/>
      </c>
    </row>
    <row r="195" ht="17" customHeight="1">
      <c r="A195" s="38">
        <f>'03_原始数据'!A195</f>
        <v/>
      </c>
      <c r="B195" s="31">
        <f>IF(1=1,IFERROR(CORREL('03_原始数据'!$B$176:$B$195,'03_原始数据'!$C$176:$C$195),""),"")</f>
        <v/>
      </c>
      <c r="C195" s="31">
        <f>IF(1=1,IFERROR(CORREL('03_原始数据'!$B$136:$B$195,'03_原始数据'!$C$136:$C$195),""),"")</f>
        <v/>
      </c>
      <c r="D195" s="31">
        <f>IF(1=1,IFERROR(CORREL('03_原始数据'!$B$76:$B$195,'03_原始数据'!$C$76:$C$195),""),"")</f>
        <v/>
      </c>
      <c r="E195" s="31">
        <f>IF(1=1,IFERROR(CORREL('03_原始数据'!$G$136:$G$195,'03_原始数据'!$H$136:$H$195),""),"")</f>
        <v/>
      </c>
      <c r="F195" s="54">
        <f>IF(N(B195)=0,"不足","有效")</f>
        <v/>
      </c>
    </row>
    <row r="196" ht="17" customHeight="1">
      <c r="A196" s="40">
        <f>'03_原始数据'!A196</f>
        <v/>
      </c>
      <c r="B196" s="34">
        <f>IF(1=1,IFERROR(CORREL('03_原始数据'!$B$177:$B$196,'03_原始数据'!$C$177:$C$196),""),"")</f>
        <v/>
      </c>
      <c r="C196" s="34">
        <f>IF(1=1,IFERROR(CORREL('03_原始数据'!$B$137:$B$196,'03_原始数据'!$C$137:$C$196),""),"")</f>
        <v/>
      </c>
      <c r="D196" s="34">
        <f>IF(1=1,IFERROR(CORREL('03_原始数据'!$B$77:$B$196,'03_原始数据'!$C$77:$C$196),""),"")</f>
        <v/>
      </c>
      <c r="E196" s="34">
        <f>IF(1=1,IFERROR(CORREL('03_原始数据'!$G$137:$G$196,'03_原始数据'!$H$137:$H$196),""),"")</f>
        <v/>
      </c>
      <c r="F196" s="55">
        <f>IF(N(B196)=0,"不足","有效")</f>
        <v/>
      </c>
    </row>
    <row r="197" ht="17" customHeight="1">
      <c r="A197" s="38">
        <f>'03_原始数据'!A197</f>
        <v/>
      </c>
      <c r="B197" s="31">
        <f>IF(1=1,IFERROR(CORREL('03_原始数据'!$B$178:$B$197,'03_原始数据'!$C$178:$C$197),""),"")</f>
        <v/>
      </c>
      <c r="C197" s="31">
        <f>IF(1=1,IFERROR(CORREL('03_原始数据'!$B$138:$B$197,'03_原始数据'!$C$138:$C$197),""),"")</f>
        <v/>
      </c>
      <c r="D197" s="31">
        <f>IF(1=1,IFERROR(CORREL('03_原始数据'!$B$78:$B$197,'03_原始数据'!$C$78:$C$197),""),"")</f>
        <v/>
      </c>
      <c r="E197" s="31">
        <f>IF(1=1,IFERROR(CORREL('03_原始数据'!$G$138:$G$197,'03_原始数据'!$H$138:$H$197),""),"")</f>
        <v/>
      </c>
      <c r="F197" s="54">
        <f>IF(N(B197)=0,"不足","有效")</f>
        <v/>
      </c>
    </row>
    <row r="198" ht="17" customHeight="1">
      <c r="A198" s="40">
        <f>'03_原始数据'!A198</f>
        <v/>
      </c>
      <c r="B198" s="34">
        <f>IF(1=1,IFERROR(CORREL('03_原始数据'!$B$179:$B$198,'03_原始数据'!$C$179:$C$198),""),"")</f>
        <v/>
      </c>
      <c r="C198" s="34">
        <f>IF(1=1,IFERROR(CORREL('03_原始数据'!$B$139:$B$198,'03_原始数据'!$C$139:$C$198),""),"")</f>
        <v/>
      </c>
      <c r="D198" s="34">
        <f>IF(1=1,IFERROR(CORREL('03_原始数据'!$B$79:$B$198,'03_原始数据'!$C$79:$C$198),""),"")</f>
        <v/>
      </c>
      <c r="E198" s="34">
        <f>IF(1=1,IFERROR(CORREL('03_原始数据'!$G$139:$G$198,'03_原始数据'!$H$139:$H$198),""),"")</f>
        <v/>
      </c>
      <c r="F198" s="55">
        <f>IF(N(B198)=0,"不足","有效")</f>
        <v/>
      </c>
    </row>
    <row r="199" ht="17" customHeight="1">
      <c r="A199" s="38">
        <f>'03_原始数据'!A199</f>
        <v/>
      </c>
      <c r="B199" s="31">
        <f>IF(1=1,IFERROR(CORREL('03_原始数据'!$B$180:$B$199,'03_原始数据'!$C$180:$C$199),""),"")</f>
        <v/>
      </c>
      <c r="C199" s="31">
        <f>IF(1=1,IFERROR(CORREL('03_原始数据'!$B$140:$B$199,'03_原始数据'!$C$140:$C$199),""),"")</f>
        <v/>
      </c>
      <c r="D199" s="31">
        <f>IF(1=1,IFERROR(CORREL('03_原始数据'!$B$80:$B$199,'03_原始数据'!$C$80:$C$199),""),"")</f>
        <v/>
      </c>
      <c r="E199" s="31">
        <f>IF(1=1,IFERROR(CORREL('03_原始数据'!$G$140:$G$199,'03_原始数据'!$H$140:$H$199),""),"")</f>
        <v/>
      </c>
      <c r="F199" s="54">
        <f>IF(N(B199)=0,"不足","有效")</f>
        <v/>
      </c>
    </row>
    <row r="200" ht="17" customHeight="1">
      <c r="A200" s="40">
        <f>'03_原始数据'!A200</f>
        <v/>
      </c>
      <c r="B200" s="34">
        <f>IF(1=1,IFERROR(CORREL('03_原始数据'!$B$181:$B$200,'03_原始数据'!$C$181:$C$200),""),"")</f>
        <v/>
      </c>
      <c r="C200" s="34">
        <f>IF(1=1,IFERROR(CORREL('03_原始数据'!$B$141:$B$200,'03_原始数据'!$C$141:$C$200),""),"")</f>
        <v/>
      </c>
      <c r="D200" s="34">
        <f>IF(1=1,IFERROR(CORREL('03_原始数据'!$B$81:$B$200,'03_原始数据'!$C$81:$C$200),""),"")</f>
        <v/>
      </c>
      <c r="E200" s="34">
        <f>IF(1=1,IFERROR(CORREL('03_原始数据'!$G$141:$G$200,'03_原始数据'!$H$141:$H$200),""),"")</f>
        <v/>
      </c>
      <c r="F200" s="55">
        <f>IF(N(B200)=0,"不足","有效")</f>
        <v/>
      </c>
    </row>
    <row r="201" ht="17" customHeight="1">
      <c r="A201" s="38">
        <f>'03_原始数据'!A201</f>
        <v/>
      </c>
      <c r="B201" s="31">
        <f>IF(1=1,IFERROR(CORREL('03_原始数据'!$B$182:$B$201,'03_原始数据'!$C$182:$C$201),""),"")</f>
        <v/>
      </c>
      <c r="C201" s="31">
        <f>IF(1=1,IFERROR(CORREL('03_原始数据'!$B$142:$B$201,'03_原始数据'!$C$142:$C$201),""),"")</f>
        <v/>
      </c>
      <c r="D201" s="31">
        <f>IF(1=1,IFERROR(CORREL('03_原始数据'!$B$82:$B$201,'03_原始数据'!$C$82:$C$201),""),"")</f>
        <v/>
      </c>
      <c r="E201" s="31">
        <f>IF(1=1,IFERROR(CORREL('03_原始数据'!$G$142:$G$201,'03_原始数据'!$H$142:$H$201),""),"")</f>
        <v/>
      </c>
      <c r="F201" s="54">
        <f>IF(N(B201)=0,"不足","有效")</f>
        <v/>
      </c>
    </row>
    <row r="202" ht="17" customHeight="1">
      <c r="A202" s="40">
        <f>'03_原始数据'!A202</f>
        <v/>
      </c>
      <c r="B202" s="34">
        <f>IF(1=1,IFERROR(CORREL('03_原始数据'!$B$183:$B$202,'03_原始数据'!$C$183:$C$202),""),"")</f>
        <v/>
      </c>
      <c r="C202" s="34">
        <f>IF(1=1,IFERROR(CORREL('03_原始数据'!$B$143:$B$202,'03_原始数据'!$C$143:$C$202),""),"")</f>
        <v/>
      </c>
      <c r="D202" s="34">
        <f>IF(1=1,IFERROR(CORREL('03_原始数据'!$B$83:$B$202,'03_原始数据'!$C$83:$C$202),""),"")</f>
        <v/>
      </c>
      <c r="E202" s="34">
        <f>IF(1=1,IFERROR(CORREL('03_原始数据'!$G$143:$G$202,'03_原始数据'!$H$143:$H$202),""),"")</f>
        <v/>
      </c>
      <c r="F202" s="55">
        <f>IF(N(B202)=0,"不足","有效")</f>
        <v/>
      </c>
    </row>
    <row r="203" ht="17" customHeight="1">
      <c r="A203" s="38">
        <f>'03_原始数据'!A203</f>
        <v/>
      </c>
      <c r="B203" s="31">
        <f>IF(1=1,IFERROR(CORREL('03_原始数据'!$B$184:$B$203,'03_原始数据'!$C$184:$C$203),""),"")</f>
        <v/>
      </c>
      <c r="C203" s="31">
        <f>IF(1=1,IFERROR(CORREL('03_原始数据'!$B$144:$B$203,'03_原始数据'!$C$144:$C$203),""),"")</f>
        <v/>
      </c>
      <c r="D203" s="31">
        <f>IF(1=1,IFERROR(CORREL('03_原始数据'!$B$84:$B$203,'03_原始数据'!$C$84:$C$203),""),"")</f>
        <v/>
      </c>
      <c r="E203" s="31">
        <f>IF(1=1,IFERROR(CORREL('03_原始数据'!$G$144:$G$203,'03_原始数据'!$H$144:$H$203),""),"")</f>
        <v/>
      </c>
      <c r="F203" s="54">
        <f>IF(N(B203)=0,"不足","有效")</f>
        <v/>
      </c>
    </row>
    <row r="204" ht="17" customHeight="1">
      <c r="A204" s="40">
        <f>'03_原始数据'!A204</f>
        <v/>
      </c>
      <c r="B204" s="34">
        <f>IF(1=1,IFERROR(CORREL('03_原始数据'!$B$185:$B$204,'03_原始数据'!$C$185:$C$204),""),"")</f>
        <v/>
      </c>
      <c r="C204" s="34">
        <f>IF(1=1,IFERROR(CORREL('03_原始数据'!$B$145:$B$204,'03_原始数据'!$C$145:$C$204),""),"")</f>
        <v/>
      </c>
      <c r="D204" s="34">
        <f>IF(1=1,IFERROR(CORREL('03_原始数据'!$B$85:$B$204,'03_原始数据'!$C$85:$C$204),""),"")</f>
        <v/>
      </c>
      <c r="E204" s="34">
        <f>IF(1=1,IFERROR(CORREL('03_原始数据'!$G$145:$G$204,'03_原始数据'!$H$145:$H$204),""),"")</f>
        <v/>
      </c>
      <c r="F204" s="55">
        <f>IF(N(B204)=0,"不足","有效")</f>
        <v/>
      </c>
    </row>
    <row r="205" ht="17" customHeight="1">
      <c r="A205" s="38">
        <f>'03_原始数据'!A205</f>
        <v/>
      </c>
      <c r="B205" s="31">
        <f>IF(1=1,IFERROR(CORREL('03_原始数据'!$B$186:$B$205,'03_原始数据'!$C$186:$C$205),""),"")</f>
        <v/>
      </c>
      <c r="C205" s="31">
        <f>IF(1=1,IFERROR(CORREL('03_原始数据'!$B$146:$B$205,'03_原始数据'!$C$146:$C$205),""),"")</f>
        <v/>
      </c>
      <c r="D205" s="31">
        <f>IF(1=1,IFERROR(CORREL('03_原始数据'!$B$86:$B$205,'03_原始数据'!$C$86:$C$205),""),"")</f>
        <v/>
      </c>
      <c r="E205" s="31">
        <f>IF(1=1,IFERROR(CORREL('03_原始数据'!$G$146:$G$205,'03_原始数据'!$H$146:$H$205),""),"")</f>
        <v/>
      </c>
      <c r="F205" s="54">
        <f>IF(N(B205)=0,"不足","有效")</f>
        <v/>
      </c>
    </row>
    <row r="206" ht="17" customHeight="1">
      <c r="A206" s="40">
        <f>'03_原始数据'!A206</f>
        <v/>
      </c>
      <c r="B206" s="34">
        <f>IF(1=1,IFERROR(CORREL('03_原始数据'!$B$187:$B$206,'03_原始数据'!$C$187:$C$206),""),"")</f>
        <v/>
      </c>
      <c r="C206" s="34">
        <f>IF(1=1,IFERROR(CORREL('03_原始数据'!$B$147:$B$206,'03_原始数据'!$C$147:$C$206),""),"")</f>
        <v/>
      </c>
      <c r="D206" s="34">
        <f>IF(1=1,IFERROR(CORREL('03_原始数据'!$B$87:$B$206,'03_原始数据'!$C$87:$C$206),""),"")</f>
        <v/>
      </c>
      <c r="E206" s="34">
        <f>IF(1=1,IFERROR(CORREL('03_原始数据'!$G$147:$G$206,'03_原始数据'!$H$147:$H$206),""),"")</f>
        <v/>
      </c>
      <c r="F206" s="55">
        <f>IF(N(B206)=0,"不足","有效")</f>
        <v/>
      </c>
    </row>
    <row r="207" ht="17" customHeight="1">
      <c r="A207" s="38">
        <f>'03_原始数据'!A207</f>
        <v/>
      </c>
      <c r="B207" s="31">
        <f>IF(1=1,IFERROR(CORREL('03_原始数据'!$B$188:$B$207,'03_原始数据'!$C$188:$C$207),""),"")</f>
        <v/>
      </c>
      <c r="C207" s="31">
        <f>IF(1=1,IFERROR(CORREL('03_原始数据'!$B$148:$B$207,'03_原始数据'!$C$148:$C$207),""),"")</f>
        <v/>
      </c>
      <c r="D207" s="31">
        <f>IF(1=1,IFERROR(CORREL('03_原始数据'!$B$88:$B$207,'03_原始数据'!$C$88:$C$207),""),"")</f>
        <v/>
      </c>
      <c r="E207" s="31">
        <f>IF(1=1,IFERROR(CORREL('03_原始数据'!$G$148:$G$207,'03_原始数据'!$H$148:$H$207),""),"")</f>
        <v/>
      </c>
      <c r="F207" s="54">
        <f>IF(N(B207)=0,"不足","有效")</f>
        <v/>
      </c>
    </row>
    <row r="208" ht="17" customHeight="1">
      <c r="A208" s="40">
        <f>'03_原始数据'!A208</f>
        <v/>
      </c>
      <c r="B208" s="34">
        <f>IF(1=1,IFERROR(CORREL('03_原始数据'!$B$189:$B$208,'03_原始数据'!$C$189:$C$208),""),"")</f>
        <v/>
      </c>
      <c r="C208" s="34">
        <f>IF(1=1,IFERROR(CORREL('03_原始数据'!$B$149:$B$208,'03_原始数据'!$C$149:$C$208),""),"")</f>
        <v/>
      </c>
      <c r="D208" s="34">
        <f>IF(1=1,IFERROR(CORREL('03_原始数据'!$B$89:$B$208,'03_原始数据'!$C$89:$C$208),""),"")</f>
        <v/>
      </c>
      <c r="E208" s="34">
        <f>IF(1=1,IFERROR(CORREL('03_原始数据'!$G$149:$G$208,'03_原始数据'!$H$149:$H$208),""),"")</f>
        <v/>
      </c>
      <c r="F208" s="55">
        <f>IF(N(B208)=0,"不足","有效")</f>
        <v/>
      </c>
    </row>
    <row r="209" ht="17" customHeight="1">
      <c r="A209" s="38">
        <f>'03_原始数据'!A209</f>
        <v/>
      </c>
      <c r="B209" s="31">
        <f>IF(1=1,IFERROR(CORREL('03_原始数据'!$B$190:$B$209,'03_原始数据'!$C$190:$C$209),""),"")</f>
        <v/>
      </c>
      <c r="C209" s="31">
        <f>IF(1=1,IFERROR(CORREL('03_原始数据'!$B$150:$B$209,'03_原始数据'!$C$150:$C$209),""),"")</f>
        <v/>
      </c>
      <c r="D209" s="31">
        <f>IF(1=1,IFERROR(CORREL('03_原始数据'!$B$90:$B$209,'03_原始数据'!$C$90:$C$209),""),"")</f>
        <v/>
      </c>
      <c r="E209" s="31">
        <f>IF(1=1,IFERROR(CORREL('03_原始数据'!$G$150:$G$209,'03_原始数据'!$H$150:$H$209),""),"")</f>
        <v/>
      </c>
      <c r="F209" s="54">
        <f>IF(N(B209)=0,"不足","有效")</f>
        <v/>
      </c>
    </row>
    <row r="210" ht="17" customHeight="1">
      <c r="A210" s="40">
        <f>'03_原始数据'!A210</f>
        <v/>
      </c>
      <c r="B210" s="34">
        <f>IF(1=1,IFERROR(CORREL('03_原始数据'!$B$191:$B$210,'03_原始数据'!$C$191:$C$210),""),"")</f>
        <v/>
      </c>
      <c r="C210" s="34">
        <f>IF(1=1,IFERROR(CORREL('03_原始数据'!$B$151:$B$210,'03_原始数据'!$C$151:$C$210),""),"")</f>
        <v/>
      </c>
      <c r="D210" s="34">
        <f>IF(1=1,IFERROR(CORREL('03_原始数据'!$B$91:$B$210,'03_原始数据'!$C$91:$C$210),""),"")</f>
        <v/>
      </c>
      <c r="E210" s="34">
        <f>IF(1=1,IFERROR(CORREL('03_原始数据'!$G$151:$G$210,'03_原始数据'!$H$151:$H$210),""),"")</f>
        <v/>
      </c>
      <c r="F210" s="55">
        <f>IF(N(B210)=0,"不足","有效")</f>
        <v/>
      </c>
    </row>
    <row r="211" ht="17" customHeight="1">
      <c r="A211" s="38">
        <f>'03_原始数据'!A211</f>
        <v/>
      </c>
      <c r="B211" s="31">
        <f>IF(1=1,IFERROR(CORREL('03_原始数据'!$B$192:$B$211,'03_原始数据'!$C$192:$C$211),""),"")</f>
        <v/>
      </c>
      <c r="C211" s="31">
        <f>IF(1=1,IFERROR(CORREL('03_原始数据'!$B$152:$B$211,'03_原始数据'!$C$152:$C$211),""),"")</f>
        <v/>
      </c>
      <c r="D211" s="31">
        <f>IF(1=1,IFERROR(CORREL('03_原始数据'!$B$92:$B$211,'03_原始数据'!$C$92:$C$211),""),"")</f>
        <v/>
      </c>
      <c r="E211" s="31">
        <f>IF(1=1,IFERROR(CORREL('03_原始数据'!$G$152:$G$211,'03_原始数据'!$H$152:$H$211),""),"")</f>
        <v/>
      </c>
      <c r="F211" s="54">
        <f>IF(N(B211)=0,"不足","有效")</f>
        <v/>
      </c>
    </row>
    <row r="212" ht="17" customHeight="1">
      <c r="A212" s="40">
        <f>'03_原始数据'!A212</f>
        <v/>
      </c>
      <c r="B212" s="34">
        <f>IF(1=1,IFERROR(CORREL('03_原始数据'!$B$193:$B$212,'03_原始数据'!$C$193:$C$212),""),"")</f>
        <v/>
      </c>
      <c r="C212" s="34">
        <f>IF(1=1,IFERROR(CORREL('03_原始数据'!$B$153:$B$212,'03_原始数据'!$C$153:$C$212),""),"")</f>
        <v/>
      </c>
      <c r="D212" s="34">
        <f>IF(1=1,IFERROR(CORREL('03_原始数据'!$B$93:$B$212,'03_原始数据'!$C$93:$C$212),""),"")</f>
        <v/>
      </c>
      <c r="E212" s="34">
        <f>IF(1=1,IFERROR(CORREL('03_原始数据'!$G$153:$G$212,'03_原始数据'!$H$153:$H$212),""),"")</f>
        <v/>
      </c>
      <c r="F212" s="55">
        <f>IF(N(B212)=0,"不足","有效")</f>
        <v/>
      </c>
    </row>
    <row r="213" ht="17" customHeight="1">
      <c r="A213" s="38">
        <f>'03_原始数据'!A213</f>
        <v/>
      </c>
      <c r="B213" s="31">
        <f>IF(1=1,IFERROR(CORREL('03_原始数据'!$B$194:$B$213,'03_原始数据'!$C$194:$C$213),""),"")</f>
        <v/>
      </c>
      <c r="C213" s="31">
        <f>IF(1=1,IFERROR(CORREL('03_原始数据'!$B$154:$B$213,'03_原始数据'!$C$154:$C$213),""),"")</f>
        <v/>
      </c>
      <c r="D213" s="31">
        <f>IF(1=1,IFERROR(CORREL('03_原始数据'!$B$94:$B$213,'03_原始数据'!$C$94:$C$213),""),"")</f>
        <v/>
      </c>
      <c r="E213" s="31">
        <f>IF(1=1,IFERROR(CORREL('03_原始数据'!$G$154:$G$213,'03_原始数据'!$H$154:$H$213),""),"")</f>
        <v/>
      </c>
      <c r="F213" s="54">
        <f>IF(N(B213)=0,"不足","有效")</f>
        <v/>
      </c>
    </row>
    <row r="214" ht="17" customHeight="1">
      <c r="A214" s="40">
        <f>'03_原始数据'!A214</f>
        <v/>
      </c>
      <c r="B214" s="34">
        <f>IF(1=1,IFERROR(CORREL('03_原始数据'!$B$195:$B$214,'03_原始数据'!$C$195:$C$214),""),"")</f>
        <v/>
      </c>
      <c r="C214" s="34">
        <f>IF(1=1,IFERROR(CORREL('03_原始数据'!$B$155:$B$214,'03_原始数据'!$C$155:$C$214),""),"")</f>
        <v/>
      </c>
      <c r="D214" s="34">
        <f>IF(1=1,IFERROR(CORREL('03_原始数据'!$B$95:$B$214,'03_原始数据'!$C$95:$C$214),""),"")</f>
        <v/>
      </c>
      <c r="E214" s="34">
        <f>IF(1=1,IFERROR(CORREL('03_原始数据'!$G$155:$G$214,'03_原始数据'!$H$155:$H$214),""),"")</f>
        <v/>
      </c>
      <c r="F214" s="55">
        <f>IF(N(B214)=0,"不足","有效")</f>
        <v/>
      </c>
    </row>
    <row r="215" ht="17" customHeight="1">
      <c r="A215" s="38">
        <f>'03_原始数据'!A215</f>
        <v/>
      </c>
      <c r="B215" s="31">
        <f>IF(1=1,IFERROR(CORREL('03_原始数据'!$B$196:$B$215,'03_原始数据'!$C$196:$C$215),""),"")</f>
        <v/>
      </c>
      <c r="C215" s="31">
        <f>IF(1=1,IFERROR(CORREL('03_原始数据'!$B$156:$B$215,'03_原始数据'!$C$156:$C$215),""),"")</f>
        <v/>
      </c>
      <c r="D215" s="31">
        <f>IF(1=1,IFERROR(CORREL('03_原始数据'!$B$96:$B$215,'03_原始数据'!$C$96:$C$215),""),"")</f>
        <v/>
      </c>
      <c r="E215" s="31">
        <f>IF(1=1,IFERROR(CORREL('03_原始数据'!$G$156:$G$215,'03_原始数据'!$H$156:$H$215),""),"")</f>
        <v/>
      </c>
      <c r="F215" s="54">
        <f>IF(N(B215)=0,"不足","有效")</f>
        <v/>
      </c>
    </row>
    <row r="216" ht="17" customHeight="1">
      <c r="A216" s="40">
        <f>'03_原始数据'!A216</f>
        <v/>
      </c>
      <c r="B216" s="34">
        <f>IF(1=1,IFERROR(CORREL('03_原始数据'!$B$197:$B$216,'03_原始数据'!$C$197:$C$216),""),"")</f>
        <v/>
      </c>
      <c r="C216" s="34">
        <f>IF(1=1,IFERROR(CORREL('03_原始数据'!$B$157:$B$216,'03_原始数据'!$C$157:$C$216),""),"")</f>
        <v/>
      </c>
      <c r="D216" s="34">
        <f>IF(1=1,IFERROR(CORREL('03_原始数据'!$B$97:$B$216,'03_原始数据'!$C$97:$C$216),""),"")</f>
        <v/>
      </c>
      <c r="E216" s="34">
        <f>IF(1=1,IFERROR(CORREL('03_原始数据'!$G$157:$G$216,'03_原始数据'!$H$157:$H$216),""),"")</f>
        <v/>
      </c>
      <c r="F216" s="55">
        <f>IF(N(B216)=0,"不足","有效")</f>
        <v/>
      </c>
    </row>
    <row r="217" ht="17" customHeight="1">
      <c r="A217" s="38">
        <f>'03_原始数据'!A217</f>
        <v/>
      </c>
      <c r="B217" s="31">
        <f>IF(1=1,IFERROR(CORREL('03_原始数据'!$B$198:$B$217,'03_原始数据'!$C$198:$C$217),""),"")</f>
        <v/>
      </c>
      <c r="C217" s="31">
        <f>IF(1=1,IFERROR(CORREL('03_原始数据'!$B$158:$B$217,'03_原始数据'!$C$158:$C$217),""),"")</f>
        <v/>
      </c>
      <c r="D217" s="31">
        <f>IF(1=1,IFERROR(CORREL('03_原始数据'!$B$98:$B$217,'03_原始数据'!$C$98:$C$217),""),"")</f>
        <v/>
      </c>
      <c r="E217" s="31">
        <f>IF(1=1,IFERROR(CORREL('03_原始数据'!$G$158:$G$217,'03_原始数据'!$H$158:$H$217),""),"")</f>
        <v/>
      </c>
      <c r="F217" s="54">
        <f>IF(N(B217)=0,"不足","有效")</f>
        <v/>
      </c>
    </row>
    <row r="218" ht="17" customHeight="1">
      <c r="A218" s="40">
        <f>'03_原始数据'!A218</f>
        <v/>
      </c>
      <c r="B218" s="34">
        <f>IF(1=1,IFERROR(CORREL('03_原始数据'!$B$199:$B$218,'03_原始数据'!$C$199:$C$218),""),"")</f>
        <v/>
      </c>
      <c r="C218" s="34">
        <f>IF(1=1,IFERROR(CORREL('03_原始数据'!$B$159:$B$218,'03_原始数据'!$C$159:$C$218),""),"")</f>
        <v/>
      </c>
      <c r="D218" s="34">
        <f>IF(1=1,IFERROR(CORREL('03_原始数据'!$B$99:$B$218,'03_原始数据'!$C$99:$C$218),""),"")</f>
        <v/>
      </c>
      <c r="E218" s="34">
        <f>IF(1=1,IFERROR(CORREL('03_原始数据'!$G$159:$G$218,'03_原始数据'!$H$159:$H$218),""),"")</f>
        <v/>
      </c>
      <c r="F218" s="55">
        <f>IF(N(B218)=0,"不足","有效")</f>
        <v/>
      </c>
    </row>
    <row r="219" ht="17" customHeight="1">
      <c r="A219" s="38">
        <f>'03_原始数据'!A219</f>
        <v/>
      </c>
      <c r="B219" s="31">
        <f>IF(1=1,IFERROR(CORREL('03_原始数据'!$B$200:$B$219,'03_原始数据'!$C$200:$C$219),""),"")</f>
        <v/>
      </c>
      <c r="C219" s="31">
        <f>IF(1=1,IFERROR(CORREL('03_原始数据'!$B$160:$B$219,'03_原始数据'!$C$160:$C$219),""),"")</f>
        <v/>
      </c>
      <c r="D219" s="31">
        <f>IF(1=1,IFERROR(CORREL('03_原始数据'!$B$100:$B$219,'03_原始数据'!$C$100:$C$219),""),"")</f>
        <v/>
      </c>
      <c r="E219" s="31">
        <f>IF(1=1,IFERROR(CORREL('03_原始数据'!$G$160:$G$219,'03_原始数据'!$H$160:$H$219),""),"")</f>
        <v/>
      </c>
      <c r="F219" s="54">
        <f>IF(N(B219)=0,"不足","有效")</f>
        <v/>
      </c>
    </row>
    <row r="220" ht="17" customHeight="1">
      <c r="A220" s="40">
        <f>'03_原始数据'!A220</f>
        <v/>
      </c>
      <c r="B220" s="34">
        <f>IF(1=1,IFERROR(CORREL('03_原始数据'!$B$201:$B$220,'03_原始数据'!$C$201:$C$220),""),"")</f>
        <v/>
      </c>
      <c r="C220" s="34">
        <f>IF(1=1,IFERROR(CORREL('03_原始数据'!$B$161:$B$220,'03_原始数据'!$C$161:$C$220),""),"")</f>
        <v/>
      </c>
      <c r="D220" s="34">
        <f>IF(1=1,IFERROR(CORREL('03_原始数据'!$B$101:$B$220,'03_原始数据'!$C$101:$C$220),""),"")</f>
        <v/>
      </c>
      <c r="E220" s="34">
        <f>IF(1=1,IFERROR(CORREL('03_原始数据'!$G$161:$G$220,'03_原始数据'!$H$161:$H$220),""),"")</f>
        <v/>
      </c>
      <c r="F220" s="55">
        <f>IF(N(B220)=0,"不足","有效")</f>
        <v/>
      </c>
    </row>
    <row r="221" ht="17" customHeight="1">
      <c r="A221" s="38">
        <f>'03_原始数据'!A221</f>
        <v/>
      </c>
      <c r="B221" s="31">
        <f>IF(1=1,IFERROR(CORREL('03_原始数据'!$B$202:$B$221,'03_原始数据'!$C$202:$C$221),""),"")</f>
        <v/>
      </c>
      <c r="C221" s="31">
        <f>IF(1=1,IFERROR(CORREL('03_原始数据'!$B$162:$B$221,'03_原始数据'!$C$162:$C$221),""),"")</f>
        <v/>
      </c>
      <c r="D221" s="31">
        <f>IF(1=1,IFERROR(CORREL('03_原始数据'!$B$102:$B$221,'03_原始数据'!$C$102:$C$221),""),"")</f>
        <v/>
      </c>
      <c r="E221" s="31">
        <f>IF(1=1,IFERROR(CORREL('03_原始数据'!$G$162:$G$221,'03_原始数据'!$H$162:$H$221),""),"")</f>
        <v/>
      </c>
      <c r="F221" s="54">
        <f>IF(N(B221)=0,"不足","有效")</f>
        <v/>
      </c>
    </row>
    <row r="222" ht="17" customHeight="1">
      <c r="A222" s="40">
        <f>'03_原始数据'!A222</f>
        <v/>
      </c>
      <c r="B222" s="34">
        <f>IF(1=1,IFERROR(CORREL('03_原始数据'!$B$203:$B$222,'03_原始数据'!$C$203:$C$222),""),"")</f>
        <v/>
      </c>
      <c r="C222" s="34">
        <f>IF(1=1,IFERROR(CORREL('03_原始数据'!$B$163:$B$222,'03_原始数据'!$C$163:$C$222),""),"")</f>
        <v/>
      </c>
      <c r="D222" s="34">
        <f>IF(1=1,IFERROR(CORREL('03_原始数据'!$B$103:$B$222,'03_原始数据'!$C$103:$C$222),""),"")</f>
        <v/>
      </c>
      <c r="E222" s="34">
        <f>IF(1=1,IFERROR(CORREL('03_原始数据'!$G$163:$G$222,'03_原始数据'!$H$163:$H$222),""),"")</f>
        <v/>
      </c>
      <c r="F222" s="55">
        <f>IF(N(B222)=0,"不足","有效")</f>
        <v/>
      </c>
    </row>
    <row r="223" ht="17" customHeight="1">
      <c r="A223" s="38">
        <f>'03_原始数据'!A223</f>
        <v/>
      </c>
      <c r="B223" s="31">
        <f>IF(1=1,IFERROR(CORREL('03_原始数据'!$B$204:$B$223,'03_原始数据'!$C$204:$C$223),""),"")</f>
        <v/>
      </c>
      <c r="C223" s="31">
        <f>IF(1=1,IFERROR(CORREL('03_原始数据'!$B$164:$B$223,'03_原始数据'!$C$164:$C$223),""),"")</f>
        <v/>
      </c>
      <c r="D223" s="31">
        <f>IF(1=1,IFERROR(CORREL('03_原始数据'!$B$104:$B$223,'03_原始数据'!$C$104:$C$223),""),"")</f>
        <v/>
      </c>
      <c r="E223" s="31">
        <f>IF(1=1,IFERROR(CORREL('03_原始数据'!$G$164:$G$223,'03_原始数据'!$H$164:$H$223),""),"")</f>
        <v/>
      </c>
      <c r="F223" s="54">
        <f>IF(N(B223)=0,"不足","有效")</f>
        <v/>
      </c>
    </row>
    <row r="224" ht="17" customHeight="1">
      <c r="A224" s="40">
        <f>'03_原始数据'!A224</f>
        <v/>
      </c>
      <c r="B224" s="34">
        <f>IF(1=1,IFERROR(CORREL('03_原始数据'!$B$205:$B$224,'03_原始数据'!$C$205:$C$224),""),"")</f>
        <v/>
      </c>
      <c r="C224" s="34">
        <f>IF(1=1,IFERROR(CORREL('03_原始数据'!$B$165:$B$224,'03_原始数据'!$C$165:$C$224),""),"")</f>
        <v/>
      </c>
      <c r="D224" s="34">
        <f>IF(1=1,IFERROR(CORREL('03_原始数据'!$B$105:$B$224,'03_原始数据'!$C$105:$C$224),""),"")</f>
        <v/>
      </c>
      <c r="E224" s="34">
        <f>IF(1=1,IFERROR(CORREL('03_原始数据'!$G$165:$G$224,'03_原始数据'!$H$165:$H$224),""),"")</f>
        <v/>
      </c>
      <c r="F224" s="55">
        <f>IF(N(B224)=0,"不足","有效")</f>
        <v/>
      </c>
    </row>
    <row r="225" ht="17" customHeight="1">
      <c r="A225" s="38">
        <f>'03_原始数据'!A225</f>
        <v/>
      </c>
      <c r="B225" s="31">
        <f>IF(1=1,IFERROR(CORREL('03_原始数据'!$B$206:$B$225,'03_原始数据'!$C$206:$C$225),""),"")</f>
        <v/>
      </c>
      <c r="C225" s="31">
        <f>IF(1=1,IFERROR(CORREL('03_原始数据'!$B$166:$B$225,'03_原始数据'!$C$166:$C$225),""),"")</f>
        <v/>
      </c>
      <c r="D225" s="31">
        <f>IF(1=1,IFERROR(CORREL('03_原始数据'!$B$106:$B$225,'03_原始数据'!$C$106:$C$225),""),"")</f>
        <v/>
      </c>
      <c r="E225" s="31">
        <f>IF(1=1,IFERROR(CORREL('03_原始数据'!$G$166:$G$225,'03_原始数据'!$H$166:$H$225),""),"")</f>
        <v/>
      </c>
      <c r="F225" s="54">
        <f>IF(N(B225)=0,"不足","有效")</f>
        <v/>
      </c>
    </row>
    <row r="226" ht="17" customHeight="1">
      <c r="A226" s="40">
        <f>'03_原始数据'!A226</f>
        <v/>
      </c>
      <c r="B226" s="34">
        <f>IF(1=1,IFERROR(CORREL('03_原始数据'!$B$207:$B$226,'03_原始数据'!$C$207:$C$226),""),"")</f>
        <v/>
      </c>
      <c r="C226" s="34">
        <f>IF(1=1,IFERROR(CORREL('03_原始数据'!$B$167:$B$226,'03_原始数据'!$C$167:$C$226),""),"")</f>
        <v/>
      </c>
      <c r="D226" s="34">
        <f>IF(1=1,IFERROR(CORREL('03_原始数据'!$B$107:$B$226,'03_原始数据'!$C$107:$C$226),""),"")</f>
        <v/>
      </c>
      <c r="E226" s="34">
        <f>IF(1=1,IFERROR(CORREL('03_原始数据'!$G$167:$G$226,'03_原始数据'!$H$167:$H$226),""),"")</f>
        <v/>
      </c>
      <c r="F226" s="55">
        <f>IF(N(B226)=0,"不足","有效")</f>
        <v/>
      </c>
    </row>
    <row r="227" ht="17" customHeight="1">
      <c r="A227" s="38">
        <f>'03_原始数据'!A227</f>
        <v/>
      </c>
      <c r="B227" s="31">
        <f>IF(1=1,IFERROR(CORREL('03_原始数据'!$B$208:$B$227,'03_原始数据'!$C$208:$C$227),""),"")</f>
        <v/>
      </c>
      <c r="C227" s="31">
        <f>IF(1=1,IFERROR(CORREL('03_原始数据'!$B$168:$B$227,'03_原始数据'!$C$168:$C$227),""),"")</f>
        <v/>
      </c>
      <c r="D227" s="31">
        <f>IF(1=1,IFERROR(CORREL('03_原始数据'!$B$108:$B$227,'03_原始数据'!$C$108:$C$227),""),"")</f>
        <v/>
      </c>
      <c r="E227" s="31">
        <f>IF(1=1,IFERROR(CORREL('03_原始数据'!$G$168:$G$227,'03_原始数据'!$H$168:$H$227),""),"")</f>
        <v/>
      </c>
      <c r="F227" s="54">
        <f>IF(N(B227)=0,"不足","有效")</f>
        <v/>
      </c>
    </row>
    <row r="228" ht="17" customHeight="1">
      <c r="A228" s="40">
        <f>'03_原始数据'!A228</f>
        <v/>
      </c>
      <c r="B228" s="34">
        <f>IF(1=1,IFERROR(CORREL('03_原始数据'!$B$209:$B$228,'03_原始数据'!$C$209:$C$228),""),"")</f>
        <v/>
      </c>
      <c r="C228" s="34">
        <f>IF(1=1,IFERROR(CORREL('03_原始数据'!$B$169:$B$228,'03_原始数据'!$C$169:$C$228),""),"")</f>
        <v/>
      </c>
      <c r="D228" s="34">
        <f>IF(1=1,IFERROR(CORREL('03_原始数据'!$B$109:$B$228,'03_原始数据'!$C$109:$C$228),""),"")</f>
        <v/>
      </c>
      <c r="E228" s="34">
        <f>IF(1=1,IFERROR(CORREL('03_原始数据'!$G$169:$G$228,'03_原始数据'!$H$169:$H$228),""),"")</f>
        <v/>
      </c>
      <c r="F228" s="55">
        <f>IF(N(B228)=0,"不足","有效")</f>
        <v/>
      </c>
    </row>
    <row r="229" ht="17" customHeight="1">
      <c r="A229" s="38">
        <f>'03_原始数据'!A229</f>
        <v/>
      </c>
      <c r="B229" s="31">
        <f>IF(1=1,IFERROR(CORREL('03_原始数据'!$B$210:$B$229,'03_原始数据'!$C$210:$C$229),""),"")</f>
        <v/>
      </c>
      <c r="C229" s="31">
        <f>IF(1=1,IFERROR(CORREL('03_原始数据'!$B$170:$B$229,'03_原始数据'!$C$170:$C$229),""),"")</f>
        <v/>
      </c>
      <c r="D229" s="31">
        <f>IF(1=1,IFERROR(CORREL('03_原始数据'!$B$110:$B$229,'03_原始数据'!$C$110:$C$229),""),"")</f>
        <v/>
      </c>
      <c r="E229" s="31">
        <f>IF(1=1,IFERROR(CORREL('03_原始数据'!$G$170:$G$229,'03_原始数据'!$H$170:$H$229),""),"")</f>
        <v/>
      </c>
      <c r="F229" s="54">
        <f>IF(N(B229)=0,"不足","有效")</f>
        <v/>
      </c>
    </row>
    <row r="230" ht="17" customHeight="1">
      <c r="A230" s="40">
        <f>'03_原始数据'!A230</f>
        <v/>
      </c>
      <c r="B230" s="34">
        <f>IF(1=1,IFERROR(CORREL('03_原始数据'!$B$211:$B$230,'03_原始数据'!$C$211:$C$230),""),"")</f>
        <v/>
      </c>
      <c r="C230" s="34">
        <f>IF(1=1,IFERROR(CORREL('03_原始数据'!$B$171:$B$230,'03_原始数据'!$C$171:$C$230),""),"")</f>
        <v/>
      </c>
      <c r="D230" s="34">
        <f>IF(1=1,IFERROR(CORREL('03_原始数据'!$B$111:$B$230,'03_原始数据'!$C$111:$C$230),""),"")</f>
        <v/>
      </c>
      <c r="E230" s="34">
        <f>IF(1=1,IFERROR(CORREL('03_原始数据'!$G$171:$G$230,'03_原始数据'!$H$171:$H$230),""),"")</f>
        <v/>
      </c>
      <c r="F230" s="55">
        <f>IF(N(B230)=0,"不足","有效")</f>
        <v/>
      </c>
    </row>
    <row r="231" ht="17" customHeight="1">
      <c r="A231" s="38">
        <f>'03_原始数据'!A231</f>
        <v/>
      </c>
      <c r="B231" s="31">
        <f>IF(1=1,IFERROR(CORREL('03_原始数据'!$B$212:$B$231,'03_原始数据'!$C$212:$C$231),""),"")</f>
        <v/>
      </c>
      <c r="C231" s="31">
        <f>IF(1=1,IFERROR(CORREL('03_原始数据'!$B$172:$B$231,'03_原始数据'!$C$172:$C$231),""),"")</f>
        <v/>
      </c>
      <c r="D231" s="31">
        <f>IF(1=1,IFERROR(CORREL('03_原始数据'!$B$112:$B$231,'03_原始数据'!$C$112:$C$231),""),"")</f>
        <v/>
      </c>
      <c r="E231" s="31">
        <f>IF(1=1,IFERROR(CORREL('03_原始数据'!$G$172:$G$231,'03_原始数据'!$H$172:$H$231),""),"")</f>
        <v/>
      </c>
      <c r="F231" s="54">
        <f>IF(N(B231)=0,"不足","有效")</f>
        <v/>
      </c>
    </row>
    <row r="232" ht="17" customHeight="1">
      <c r="A232" s="40">
        <f>'03_原始数据'!A232</f>
        <v/>
      </c>
      <c r="B232" s="34">
        <f>IF(1=1,IFERROR(CORREL('03_原始数据'!$B$213:$B$232,'03_原始数据'!$C$213:$C$232),""),"")</f>
        <v/>
      </c>
      <c r="C232" s="34">
        <f>IF(1=1,IFERROR(CORREL('03_原始数据'!$B$173:$B$232,'03_原始数据'!$C$173:$C$232),""),"")</f>
        <v/>
      </c>
      <c r="D232" s="34">
        <f>IF(1=1,IFERROR(CORREL('03_原始数据'!$B$113:$B$232,'03_原始数据'!$C$113:$C$232),""),"")</f>
        <v/>
      </c>
      <c r="E232" s="34">
        <f>IF(1=1,IFERROR(CORREL('03_原始数据'!$G$173:$G$232,'03_原始数据'!$H$173:$H$232),""),"")</f>
        <v/>
      </c>
      <c r="F232" s="55">
        <f>IF(N(B232)=0,"不足","有效")</f>
        <v/>
      </c>
    </row>
    <row r="233" ht="17" customHeight="1">
      <c r="A233" s="38">
        <f>'03_原始数据'!A233</f>
        <v/>
      </c>
      <c r="B233" s="31">
        <f>IF(1=1,IFERROR(CORREL('03_原始数据'!$B$214:$B$233,'03_原始数据'!$C$214:$C$233),""),"")</f>
        <v/>
      </c>
      <c r="C233" s="31">
        <f>IF(1=1,IFERROR(CORREL('03_原始数据'!$B$174:$B$233,'03_原始数据'!$C$174:$C$233),""),"")</f>
        <v/>
      </c>
      <c r="D233" s="31">
        <f>IF(1=1,IFERROR(CORREL('03_原始数据'!$B$114:$B$233,'03_原始数据'!$C$114:$C$233),""),"")</f>
        <v/>
      </c>
      <c r="E233" s="31">
        <f>IF(1=1,IFERROR(CORREL('03_原始数据'!$G$174:$G$233,'03_原始数据'!$H$174:$H$233),""),"")</f>
        <v/>
      </c>
      <c r="F233" s="54">
        <f>IF(N(B233)=0,"不足","有效")</f>
        <v/>
      </c>
    </row>
    <row r="234" ht="17" customHeight="1">
      <c r="A234" s="40">
        <f>'03_原始数据'!A234</f>
        <v/>
      </c>
      <c r="B234" s="34">
        <f>IF(1=1,IFERROR(CORREL('03_原始数据'!$B$215:$B$234,'03_原始数据'!$C$215:$C$234),""),"")</f>
        <v/>
      </c>
      <c r="C234" s="34">
        <f>IF(1=1,IFERROR(CORREL('03_原始数据'!$B$175:$B$234,'03_原始数据'!$C$175:$C$234),""),"")</f>
        <v/>
      </c>
      <c r="D234" s="34">
        <f>IF(1=1,IFERROR(CORREL('03_原始数据'!$B$115:$B$234,'03_原始数据'!$C$115:$C$234),""),"")</f>
        <v/>
      </c>
      <c r="E234" s="34">
        <f>IF(1=1,IFERROR(CORREL('03_原始数据'!$G$175:$G$234,'03_原始数据'!$H$175:$H$234),""),"")</f>
        <v/>
      </c>
      <c r="F234" s="55">
        <f>IF(N(B234)=0,"不足","有效")</f>
        <v/>
      </c>
    </row>
    <row r="235" ht="17" customHeight="1">
      <c r="A235" s="38">
        <f>'03_原始数据'!A235</f>
        <v/>
      </c>
      <c r="B235" s="31">
        <f>IF(1=1,IFERROR(CORREL('03_原始数据'!$B$216:$B$235,'03_原始数据'!$C$216:$C$235),""),"")</f>
        <v/>
      </c>
      <c r="C235" s="31">
        <f>IF(1=1,IFERROR(CORREL('03_原始数据'!$B$176:$B$235,'03_原始数据'!$C$176:$C$235),""),"")</f>
        <v/>
      </c>
      <c r="D235" s="31">
        <f>IF(1=1,IFERROR(CORREL('03_原始数据'!$B$116:$B$235,'03_原始数据'!$C$116:$C$235),""),"")</f>
        <v/>
      </c>
      <c r="E235" s="31">
        <f>IF(1=1,IFERROR(CORREL('03_原始数据'!$G$176:$G$235,'03_原始数据'!$H$176:$H$235),""),"")</f>
        <v/>
      </c>
      <c r="F235" s="54">
        <f>IF(N(B235)=0,"不足","有效")</f>
        <v/>
      </c>
    </row>
    <row r="236" ht="17" customHeight="1">
      <c r="A236" s="40">
        <f>'03_原始数据'!A236</f>
        <v/>
      </c>
      <c r="B236" s="34">
        <f>IF(1=1,IFERROR(CORREL('03_原始数据'!$B$217:$B$236,'03_原始数据'!$C$217:$C$236),""),"")</f>
        <v/>
      </c>
      <c r="C236" s="34">
        <f>IF(1=1,IFERROR(CORREL('03_原始数据'!$B$177:$B$236,'03_原始数据'!$C$177:$C$236),""),"")</f>
        <v/>
      </c>
      <c r="D236" s="34">
        <f>IF(1=1,IFERROR(CORREL('03_原始数据'!$B$117:$B$236,'03_原始数据'!$C$117:$C$236),""),"")</f>
        <v/>
      </c>
      <c r="E236" s="34">
        <f>IF(1=1,IFERROR(CORREL('03_原始数据'!$G$177:$G$236,'03_原始数据'!$H$177:$H$236),""),"")</f>
        <v/>
      </c>
      <c r="F236" s="55">
        <f>IF(N(B236)=0,"不足","有效")</f>
        <v/>
      </c>
    </row>
    <row r="237" ht="17" customHeight="1">
      <c r="A237" s="38">
        <f>'03_原始数据'!A237</f>
        <v/>
      </c>
      <c r="B237" s="31">
        <f>IF(1=1,IFERROR(CORREL('03_原始数据'!$B$218:$B$237,'03_原始数据'!$C$218:$C$237),""),"")</f>
        <v/>
      </c>
      <c r="C237" s="31">
        <f>IF(1=1,IFERROR(CORREL('03_原始数据'!$B$178:$B$237,'03_原始数据'!$C$178:$C$237),""),"")</f>
        <v/>
      </c>
      <c r="D237" s="31">
        <f>IF(1=1,IFERROR(CORREL('03_原始数据'!$B$118:$B$237,'03_原始数据'!$C$118:$C$237),""),"")</f>
        <v/>
      </c>
      <c r="E237" s="31">
        <f>IF(1=1,IFERROR(CORREL('03_原始数据'!$G$178:$G$237,'03_原始数据'!$H$178:$H$237),""),"")</f>
        <v/>
      </c>
      <c r="F237" s="54">
        <f>IF(N(B237)=0,"不足","有效")</f>
        <v/>
      </c>
    </row>
    <row r="238" ht="17" customHeight="1">
      <c r="A238" s="40">
        <f>'03_原始数据'!A238</f>
        <v/>
      </c>
      <c r="B238" s="34">
        <f>IF(1=1,IFERROR(CORREL('03_原始数据'!$B$219:$B$238,'03_原始数据'!$C$219:$C$238),""),"")</f>
        <v/>
      </c>
      <c r="C238" s="34">
        <f>IF(1=1,IFERROR(CORREL('03_原始数据'!$B$179:$B$238,'03_原始数据'!$C$179:$C$238),""),"")</f>
        <v/>
      </c>
      <c r="D238" s="34">
        <f>IF(1=1,IFERROR(CORREL('03_原始数据'!$B$119:$B$238,'03_原始数据'!$C$119:$C$238),""),"")</f>
        <v/>
      </c>
      <c r="E238" s="34">
        <f>IF(1=1,IFERROR(CORREL('03_原始数据'!$G$179:$G$238,'03_原始数据'!$H$179:$H$238),""),"")</f>
        <v/>
      </c>
      <c r="F238" s="55">
        <f>IF(N(B238)=0,"不足","有效")</f>
        <v/>
      </c>
    </row>
    <row r="239" ht="17" customHeight="1">
      <c r="A239" s="38">
        <f>'03_原始数据'!A239</f>
        <v/>
      </c>
      <c r="B239" s="31">
        <f>IF(1=1,IFERROR(CORREL('03_原始数据'!$B$220:$B$239,'03_原始数据'!$C$220:$C$239),""),"")</f>
        <v/>
      </c>
      <c r="C239" s="31">
        <f>IF(1=1,IFERROR(CORREL('03_原始数据'!$B$180:$B$239,'03_原始数据'!$C$180:$C$239),""),"")</f>
        <v/>
      </c>
      <c r="D239" s="31">
        <f>IF(1=1,IFERROR(CORREL('03_原始数据'!$B$120:$B$239,'03_原始数据'!$C$120:$C$239),""),"")</f>
        <v/>
      </c>
      <c r="E239" s="31">
        <f>IF(1=1,IFERROR(CORREL('03_原始数据'!$G$180:$G$239,'03_原始数据'!$H$180:$H$239),""),"")</f>
        <v/>
      </c>
      <c r="F239" s="54">
        <f>IF(N(B239)=0,"不足","有效")</f>
        <v/>
      </c>
    </row>
    <row r="240" ht="17" customHeight="1">
      <c r="A240" s="40">
        <f>'03_原始数据'!A240</f>
        <v/>
      </c>
      <c r="B240" s="34">
        <f>IF(1=1,IFERROR(CORREL('03_原始数据'!$B$221:$B$240,'03_原始数据'!$C$221:$C$240),""),"")</f>
        <v/>
      </c>
      <c r="C240" s="34">
        <f>IF(1=1,IFERROR(CORREL('03_原始数据'!$B$181:$B$240,'03_原始数据'!$C$181:$C$240),""),"")</f>
        <v/>
      </c>
      <c r="D240" s="34">
        <f>IF(1=1,IFERROR(CORREL('03_原始数据'!$B$121:$B$240,'03_原始数据'!$C$121:$C$240),""),"")</f>
        <v/>
      </c>
      <c r="E240" s="34">
        <f>IF(1=1,IFERROR(CORREL('03_原始数据'!$G$181:$G$240,'03_原始数据'!$H$181:$H$240),""),"")</f>
        <v/>
      </c>
      <c r="F240" s="55">
        <f>IF(N(B240)=0,"不足","有效")</f>
        <v/>
      </c>
    </row>
    <row r="241" ht="17" customHeight="1">
      <c r="A241" s="38">
        <f>'03_原始数据'!A241</f>
        <v/>
      </c>
      <c r="B241" s="31">
        <f>IF(1=1,IFERROR(CORREL('03_原始数据'!$B$222:$B$241,'03_原始数据'!$C$222:$C$241),""),"")</f>
        <v/>
      </c>
      <c r="C241" s="31">
        <f>IF(1=1,IFERROR(CORREL('03_原始数据'!$B$182:$B$241,'03_原始数据'!$C$182:$C$241),""),"")</f>
        <v/>
      </c>
      <c r="D241" s="31">
        <f>IF(1=1,IFERROR(CORREL('03_原始数据'!$B$122:$B$241,'03_原始数据'!$C$122:$C$241),""),"")</f>
        <v/>
      </c>
      <c r="E241" s="31">
        <f>IF(1=1,IFERROR(CORREL('03_原始数据'!$G$182:$G$241,'03_原始数据'!$H$182:$H$241),""),"")</f>
        <v/>
      </c>
      <c r="F241" s="54">
        <f>IF(N(B241)=0,"不足","有效")</f>
        <v/>
      </c>
    </row>
    <row r="242" ht="17" customHeight="1">
      <c r="A242" s="40">
        <f>'03_原始数据'!A242</f>
        <v/>
      </c>
      <c r="B242" s="34">
        <f>IF(1=1,IFERROR(CORREL('03_原始数据'!$B$223:$B$242,'03_原始数据'!$C$223:$C$242),""),"")</f>
        <v/>
      </c>
      <c r="C242" s="34">
        <f>IF(1=1,IFERROR(CORREL('03_原始数据'!$B$183:$B$242,'03_原始数据'!$C$183:$C$242),""),"")</f>
        <v/>
      </c>
      <c r="D242" s="34">
        <f>IF(1=1,IFERROR(CORREL('03_原始数据'!$B$123:$B$242,'03_原始数据'!$C$123:$C$242),""),"")</f>
        <v/>
      </c>
      <c r="E242" s="34">
        <f>IF(1=1,IFERROR(CORREL('03_原始数据'!$G$183:$G$242,'03_原始数据'!$H$183:$H$242),""),"")</f>
        <v/>
      </c>
      <c r="F242" s="55">
        <f>IF(N(B242)=0,"不足","有效")</f>
        <v/>
      </c>
    </row>
    <row r="243" ht="17" customHeight="1">
      <c r="A243" s="38">
        <f>'03_原始数据'!A243</f>
        <v/>
      </c>
      <c r="B243" s="31">
        <f>IF(1=1,IFERROR(CORREL('03_原始数据'!$B$224:$B$243,'03_原始数据'!$C$224:$C$243),""),"")</f>
        <v/>
      </c>
      <c r="C243" s="31">
        <f>IF(1=1,IFERROR(CORREL('03_原始数据'!$B$184:$B$243,'03_原始数据'!$C$184:$C$243),""),"")</f>
        <v/>
      </c>
      <c r="D243" s="31">
        <f>IF(1=1,IFERROR(CORREL('03_原始数据'!$B$124:$B$243,'03_原始数据'!$C$124:$C$243),""),"")</f>
        <v/>
      </c>
      <c r="E243" s="31">
        <f>IF(1=1,IFERROR(CORREL('03_原始数据'!$G$184:$G$243,'03_原始数据'!$H$184:$H$243),""),"")</f>
        <v/>
      </c>
      <c r="F243" s="54">
        <f>IF(N(B243)=0,"不足","有效")</f>
        <v/>
      </c>
    </row>
    <row r="244" ht="17" customHeight="1">
      <c r="A244" s="40">
        <f>'03_原始数据'!A244</f>
        <v/>
      </c>
      <c r="B244" s="34">
        <f>IF(1=1,IFERROR(CORREL('03_原始数据'!$B$225:$B$244,'03_原始数据'!$C$225:$C$244),""),"")</f>
        <v/>
      </c>
      <c r="C244" s="34">
        <f>IF(1=1,IFERROR(CORREL('03_原始数据'!$B$185:$B$244,'03_原始数据'!$C$185:$C$244),""),"")</f>
        <v/>
      </c>
      <c r="D244" s="34">
        <f>IF(1=1,IFERROR(CORREL('03_原始数据'!$B$125:$B$244,'03_原始数据'!$C$125:$C$244),""),"")</f>
        <v/>
      </c>
      <c r="E244" s="34">
        <f>IF(1=1,IFERROR(CORREL('03_原始数据'!$G$185:$G$244,'03_原始数据'!$H$185:$H$244),""),"")</f>
        <v/>
      </c>
      <c r="F244" s="55">
        <f>IF(N(B244)=0,"不足","有效")</f>
        <v/>
      </c>
    </row>
    <row r="245" ht="17" customHeight="1">
      <c r="A245" s="38">
        <f>'03_原始数据'!A245</f>
        <v/>
      </c>
      <c r="B245" s="31">
        <f>IF(1=1,IFERROR(CORREL('03_原始数据'!$B$226:$B$245,'03_原始数据'!$C$226:$C$245),""),"")</f>
        <v/>
      </c>
      <c r="C245" s="31">
        <f>IF(1=1,IFERROR(CORREL('03_原始数据'!$B$186:$B$245,'03_原始数据'!$C$186:$C$245),""),"")</f>
        <v/>
      </c>
      <c r="D245" s="31">
        <f>IF(1=1,IFERROR(CORREL('03_原始数据'!$B$126:$B$245,'03_原始数据'!$C$126:$C$245),""),"")</f>
        <v/>
      </c>
      <c r="E245" s="31">
        <f>IF(1=1,IFERROR(CORREL('03_原始数据'!$G$186:$G$245,'03_原始数据'!$H$186:$H$245),""),"")</f>
        <v/>
      </c>
      <c r="F245" s="54">
        <f>IF(N(B245)=0,"不足","有效")</f>
        <v/>
      </c>
    </row>
    <row r="246" ht="17" customHeight="1">
      <c r="A246" s="40">
        <f>'03_原始数据'!A246</f>
        <v/>
      </c>
      <c r="B246" s="34">
        <f>IF(1=1,IFERROR(CORREL('03_原始数据'!$B$227:$B$246,'03_原始数据'!$C$227:$C$246),""),"")</f>
        <v/>
      </c>
      <c r="C246" s="34">
        <f>IF(1=1,IFERROR(CORREL('03_原始数据'!$B$187:$B$246,'03_原始数据'!$C$187:$C$246),""),"")</f>
        <v/>
      </c>
      <c r="D246" s="34">
        <f>IF(1=1,IFERROR(CORREL('03_原始数据'!$B$127:$B$246,'03_原始数据'!$C$127:$C$246),""),"")</f>
        <v/>
      </c>
      <c r="E246" s="34">
        <f>IF(1=1,IFERROR(CORREL('03_原始数据'!$G$187:$G$246,'03_原始数据'!$H$187:$H$246),""),"")</f>
        <v/>
      </c>
      <c r="F246" s="55">
        <f>IF(N(B246)=0,"不足","有效")</f>
        <v/>
      </c>
    </row>
    <row r="247" ht="17" customHeight="1">
      <c r="A247" s="38">
        <f>'03_原始数据'!A247</f>
        <v/>
      </c>
      <c r="B247" s="31">
        <f>IF(1=1,IFERROR(CORREL('03_原始数据'!$B$228:$B$247,'03_原始数据'!$C$228:$C$247),""),"")</f>
        <v/>
      </c>
      <c r="C247" s="31">
        <f>IF(1=1,IFERROR(CORREL('03_原始数据'!$B$188:$B$247,'03_原始数据'!$C$188:$C$247),""),"")</f>
        <v/>
      </c>
      <c r="D247" s="31">
        <f>IF(1=1,IFERROR(CORREL('03_原始数据'!$B$128:$B$247,'03_原始数据'!$C$128:$C$247),""),"")</f>
        <v/>
      </c>
      <c r="E247" s="31">
        <f>IF(1=1,IFERROR(CORREL('03_原始数据'!$G$188:$G$247,'03_原始数据'!$H$188:$H$247),""),"")</f>
        <v/>
      </c>
      <c r="F247" s="54">
        <f>IF(N(B247)=0,"不足","有效")</f>
        <v/>
      </c>
    </row>
    <row r="248" ht="17" customHeight="1">
      <c r="A248" s="40">
        <f>'03_原始数据'!A248</f>
        <v/>
      </c>
      <c r="B248" s="34">
        <f>IF(1=1,IFERROR(CORREL('03_原始数据'!$B$229:$B$248,'03_原始数据'!$C$229:$C$248),""),"")</f>
        <v/>
      </c>
      <c r="C248" s="34">
        <f>IF(1=1,IFERROR(CORREL('03_原始数据'!$B$189:$B$248,'03_原始数据'!$C$189:$C$248),""),"")</f>
        <v/>
      </c>
      <c r="D248" s="34">
        <f>IF(1=1,IFERROR(CORREL('03_原始数据'!$B$129:$B$248,'03_原始数据'!$C$129:$C$248),""),"")</f>
        <v/>
      </c>
      <c r="E248" s="34">
        <f>IF(1=1,IFERROR(CORREL('03_原始数据'!$G$189:$G$248,'03_原始数据'!$H$189:$H$248),""),"")</f>
        <v/>
      </c>
      <c r="F248" s="55">
        <f>IF(N(B248)=0,"不足","有效")</f>
        <v/>
      </c>
    </row>
    <row r="249" ht="17" customHeight="1">
      <c r="A249" s="38">
        <f>'03_原始数据'!A249</f>
        <v/>
      </c>
      <c r="B249" s="31">
        <f>IF(1=1,IFERROR(CORREL('03_原始数据'!$B$230:$B$249,'03_原始数据'!$C$230:$C$249),""),"")</f>
        <v/>
      </c>
      <c r="C249" s="31">
        <f>IF(1=1,IFERROR(CORREL('03_原始数据'!$B$190:$B$249,'03_原始数据'!$C$190:$C$249),""),"")</f>
        <v/>
      </c>
      <c r="D249" s="31">
        <f>IF(1=1,IFERROR(CORREL('03_原始数据'!$B$130:$B$249,'03_原始数据'!$C$130:$C$249),""),"")</f>
        <v/>
      </c>
      <c r="E249" s="31">
        <f>IF(1=1,IFERROR(CORREL('03_原始数据'!$G$190:$G$249,'03_原始数据'!$H$190:$H$249),""),"")</f>
        <v/>
      </c>
      <c r="F249" s="54">
        <f>IF(N(B249)=0,"不足","有效")</f>
        <v/>
      </c>
    </row>
    <row r="250" ht="17" customHeight="1">
      <c r="A250" s="40">
        <f>'03_原始数据'!A250</f>
        <v/>
      </c>
      <c r="B250" s="34">
        <f>IF(1=1,IFERROR(CORREL('03_原始数据'!$B$231:$B$250,'03_原始数据'!$C$231:$C$250),""),"")</f>
        <v/>
      </c>
      <c r="C250" s="34">
        <f>IF(1=1,IFERROR(CORREL('03_原始数据'!$B$191:$B$250,'03_原始数据'!$C$191:$C$250),""),"")</f>
        <v/>
      </c>
      <c r="D250" s="34">
        <f>IF(1=1,IFERROR(CORREL('03_原始数据'!$B$131:$B$250,'03_原始数据'!$C$131:$C$250),""),"")</f>
        <v/>
      </c>
      <c r="E250" s="34">
        <f>IF(1=1,IFERROR(CORREL('03_原始数据'!$G$191:$G$250,'03_原始数据'!$H$191:$H$250),""),"")</f>
        <v/>
      </c>
      <c r="F250" s="55">
        <f>IF(N(B250)=0,"不足","有效")</f>
        <v/>
      </c>
    </row>
    <row r="251" ht="17" customHeight="1">
      <c r="A251" s="38">
        <f>'03_原始数据'!A251</f>
        <v/>
      </c>
      <c r="B251" s="31">
        <f>IF(1=1,IFERROR(CORREL('03_原始数据'!$B$232:$B$251,'03_原始数据'!$C$232:$C$251),""),"")</f>
        <v/>
      </c>
      <c r="C251" s="31">
        <f>IF(1=1,IFERROR(CORREL('03_原始数据'!$B$192:$B$251,'03_原始数据'!$C$192:$C$251),""),"")</f>
        <v/>
      </c>
      <c r="D251" s="31">
        <f>IF(1=1,IFERROR(CORREL('03_原始数据'!$B$132:$B$251,'03_原始数据'!$C$132:$C$251),""),"")</f>
        <v/>
      </c>
      <c r="E251" s="31">
        <f>IF(1=1,IFERROR(CORREL('03_原始数据'!$G$192:$G$251,'03_原始数据'!$H$192:$H$251),""),"")</f>
        <v/>
      </c>
      <c r="F251" s="54">
        <f>IF(N(B251)=0,"不足","有效")</f>
        <v/>
      </c>
    </row>
    <row r="252" ht="17" customHeight="1">
      <c r="A252" s="40">
        <f>'03_原始数据'!A252</f>
        <v/>
      </c>
      <c r="B252" s="34">
        <f>IF(1=1,IFERROR(CORREL('03_原始数据'!$B$233:$B$252,'03_原始数据'!$C$233:$C$252),""),"")</f>
        <v/>
      </c>
      <c r="C252" s="34">
        <f>IF(1=1,IFERROR(CORREL('03_原始数据'!$B$193:$B$252,'03_原始数据'!$C$193:$C$252),""),"")</f>
        <v/>
      </c>
      <c r="D252" s="34">
        <f>IF(1=1,IFERROR(CORREL('03_原始数据'!$B$133:$B$252,'03_原始数据'!$C$133:$C$252),""),"")</f>
        <v/>
      </c>
      <c r="E252" s="34">
        <f>IF(1=1,IFERROR(CORREL('03_原始数据'!$G$193:$G$252,'03_原始数据'!$H$193:$H$252),""),"")</f>
        <v/>
      </c>
      <c r="F252" s="55">
        <f>IF(N(B252)=0,"不足","有效")</f>
        <v/>
      </c>
    </row>
    <row r="253" ht="17" customHeight="1">
      <c r="A253" s="38">
        <f>'03_原始数据'!A253</f>
        <v/>
      </c>
      <c r="B253" s="31">
        <f>IF(1=1,IFERROR(CORREL('03_原始数据'!$B$234:$B$253,'03_原始数据'!$C$234:$C$253),""),"")</f>
        <v/>
      </c>
      <c r="C253" s="31">
        <f>IF(1=1,IFERROR(CORREL('03_原始数据'!$B$194:$B$253,'03_原始数据'!$C$194:$C$253),""),"")</f>
        <v/>
      </c>
      <c r="D253" s="31">
        <f>IF(1=1,IFERROR(CORREL('03_原始数据'!$B$134:$B$253,'03_原始数据'!$C$134:$C$253),""),"")</f>
        <v/>
      </c>
      <c r="E253" s="31">
        <f>IF(1=1,IFERROR(CORREL('03_原始数据'!$G$194:$G$253,'03_原始数据'!$H$194:$H$253),""),"")</f>
        <v/>
      </c>
      <c r="F253" s="54">
        <f>IF(N(B253)=0,"不足","有效")</f>
        <v/>
      </c>
    </row>
    <row r="254" ht="17" customHeight="1">
      <c r="A254" s="40">
        <f>'03_原始数据'!A254</f>
        <v/>
      </c>
      <c r="B254" s="34">
        <f>IF(1=1,IFERROR(CORREL('03_原始数据'!$B$235:$B$254,'03_原始数据'!$C$235:$C$254),""),"")</f>
        <v/>
      </c>
      <c r="C254" s="34">
        <f>IF(1=1,IFERROR(CORREL('03_原始数据'!$B$195:$B$254,'03_原始数据'!$C$195:$C$254),""),"")</f>
        <v/>
      </c>
      <c r="D254" s="34">
        <f>IF(1=1,IFERROR(CORREL('03_原始数据'!$B$135:$B$254,'03_原始数据'!$C$135:$C$254),""),"")</f>
        <v/>
      </c>
      <c r="E254" s="34">
        <f>IF(1=1,IFERROR(CORREL('03_原始数据'!$G$195:$G$254,'03_原始数据'!$H$195:$H$254),""),"")</f>
        <v/>
      </c>
      <c r="F254" s="55">
        <f>IF(N(B254)=0,"不足","有效")</f>
        <v/>
      </c>
    </row>
    <row r="255" ht="17" customHeight="1">
      <c r="A255" s="38">
        <f>'03_原始数据'!A255</f>
        <v/>
      </c>
      <c r="B255" s="31">
        <f>IF(1=1,IFERROR(CORREL('03_原始数据'!$B$236:$B$255,'03_原始数据'!$C$236:$C$255),""),"")</f>
        <v/>
      </c>
      <c r="C255" s="31">
        <f>IF(1=1,IFERROR(CORREL('03_原始数据'!$B$196:$B$255,'03_原始数据'!$C$196:$C$255),""),"")</f>
        <v/>
      </c>
      <c r="D255" s="31">
        <f>IF(1=1,IFERROR(CORREL('03_原始数据'!$B$136:$B$255,'03_原始数据'!$C$136:$C$255),""),"")</f>
        <v/>
      </c>
      <c r="E255" s="31">
        <f>IF(1=1,IFERROR(CORREL('03_原始数据'!$G$196:$G$255,'03_原始数据'!$H$196:$H$255),""),"")</f>
        <v/>
      </c>
      <c r="F255" s="54">
        <f>IF(N(B255)=0,"不足","有效")</f>
        <v/>
      </c>
    </row>
    <row r="256" ht="17" customHeight="1">
      <c r="A256" s="40">
        <f>'03_原始数据'!A256</f>
        <v/>
      </c>
      <c r="B256" s="34">
        <f>IF(1=1,IFERROR(CORREL('03_原始数据'!$B$237:$B$256,'03_原始数据'!$C$237:$C$256),""),"")</f>
        <v/>
      </c>
      <c r="C256" s="34">
        <f>IF(1=1,IFERROR(CORREL('03_原始数据'!$B$197:$B$256,'03_原始数据'!$C$197:$C$256),""),"")</f>
        <v/>
      </c>
      <c r="D256" s="34">
        <f>IF(1=1,IFERROR(CORREL('03_原始数据'!$B$137:$B$256,'03_原始数据'!$C$137:$C$256),""),"")</f>
        <v/>
      </c>
      <c r="E256" s="34">
        <f>IF(1=1,IFERROR(CORREL('03_原始数据'!$G$197:$G$256,'03_原始数据'!$H$197:$H$256),""),"")</f>
        <v/>
      </c>
      <c r="F256" s="55">
        <f>IF(N(B256)=0,"不足","有效")</f>
        <v/>
      </c>
    </row>
    <row r="257" ht="17" customHeight="1">
      <c r="A257" s="38">
        <f>'03_原始数据'!A257</f>
        <v/>
      </c>
      <c r="B257" s="31">
        <f>IF(1=1,IFERROR(CORREL('03_原始数据'!$B$238:$B$257,'03_原始数据'!$C$238:$C$257),""),"")</f>
        <v/>
      </c>
      <c r="C257" s="31">
        <f>IF(1=1,IFERROR(CORREL('03_原始数据'!$B$198:$B$257,'03_原始数据'!$C$198:$C$257),""),"")</f>
        <v/>
      </c>
      <c r="D257" s="31">
        <f>IF(1=1,IFERROR(CORREL('03_原始数据'!$B$138:$B$257,'03_原始数据'!$C$138:$C$257),""),"")</f>
        <v/>
      </c>
      <c r="E257" s="31">
        <f>IF(1=1,IFERROR(CORREL('03_原始数据'!$G$198:$G$257,'03_原始数据'!$H$198:$H$257),""),"")</f>
        <v/>
      </c>
      <c r="F257" s="54">
        <f>IF(N(B257)=0,"不足","有效")</f>
        <v/>
      </c>
    </row>
    <row r="258" ht="17" customHeight="1">
      <c r="A258" s="40">
        <f>'03_原始数据'!A258</f>
        <v/>
      </c>
      <c r="B258" s="34">
        <f>IF(1=1,IFERROR(CORREL('03_原始数据'!$B$239:$B$258,'03_原始数据'!$C$239:$C$258),""),"")</f>
        <v/>
      </c>
      <c r="C258" s="34">
        <f>IF(1=1,IFERROR(CORREL('03_原始数据'!$B$199:$B$258,'03_原始数据'!$C$199:$C$258),""),"")</f>
        <v/>
      </c>
      <c r="D258" s="34">
        <f>IF(1=1,IFERROR(CORREL('03_原始数据'!$B$139:$B$258,'03_原始数据'!$C$139:$C$258),""),"")</f>
        <v/>
      </c>
      <c r="E258" s="34">
        <f>IF(1=1,IFERROR(CORREL('03_原始数据'!$G$199:$G$258,'03_原始数据'!$H$199:$H$258),""),"")</f>
        <v/>
      </c>
      <c r="F258" s="55">
        <f>IF(N(B258)=0,"不足","有效")</f>
        <v/>
      </c>
    </row>
    <row r="259" ht="17" customHeight="1">
      <c r="A259" s="38">
        <f>'03_原始数据'!A259</f>
        <v/>
      </c>
      <c r="B259" s="31">
        <f>IF(1=1,IFERROR(CORREL('03_原始数据'!$B$240:$B$259,'03_原始数据'!$C$240:$C$259),""),"")</f>
        <v/>
      </c>
      <c r="C259" s="31">
        <f>IF(1=1,IFERROR(CORREL('03_原始数据'!$B$200:$B$259,'03_原始数据'!$C$200:$C$259),""),"")</f>
        <v/>
      </c>
      <c r="D259" s="31">
        <f>IF(1=1,IFERROR(CORREL('03_原始数据'!$B$140:$B$259,'03_原始数据'!$C$140:$C$259),""),"")</f>
        <v/>
      </c>
      <c r="E259" s="31">
        <f>IF(1=1,IFERROR(CORREL('03_原始数据'!$G$200:$G$259,'03_原始数据'!$H$200:$H$259),""),"")</f>
        <v/>
      </c>
      <c r="F259" s="54">
        <f>IF(N(B259)=0,"不足","有效")</f>
        <v/>
      </c>
    </row>
    <row r="260" ht="17" customHeight="1">
      <c r="A260" s="40">
        <f>'03_原始数据'!A260</f>
        <v/>
      </c>
      <c r="B260" s="34">
        <f>IF(1=1,IFERROR(CORREL('03_原始数据'!$B$241:$B$260,'03_原始数据'!$C$241:$C$260),""),"")</f>
        <v/>
      </c>
      <c r="C260" s="34">
        <f>IF(1=1,IFERROR(CORREL('03_原始数据'!$B$201:$B$260,'03_原始数据'!$C$201:$C$260),""),"")</f>
        <v/>
      </c>
      <c r="D260" s="34">
        <f>IF(1=1,IFERROR(CORREL('03_原始数据'!$B$141:$B$260,'03_原始数据'!$C$141:$C$260),""),"")</f>
        <v/>
      </c>
      <c r="E260" s="34">
        <f>IF(1=1,IFERROR(CORREL('03_原始数据'!$G$201:$G$260,'03_原始数据'!$H$201:$H$260),""),"")</f>
        <v/>
      </c>
      <c r="F260" s="55">
        <f>IF(N(B260)=0,"不足","有效")</f>
        <v/>
      </c>
    </row>
    <row r="261" ht="17" customHeight="1">
      <c r="A261" s="38">
        <f>'03_原始数据'!A261</f>
        <v/>
      </c>
      <c r="B261" s="31">
        <f>IF(1=1,IFERROR(CORREL('03_原始数据'!$B$242:$B$261,'03_原始数据'!$C$242:$C$261),""),"")</f>
        <v/>
      </c>
      <c r="C261" s="31">
        <f>IF(1=1,IFERROR(CORREL('03_原始数据'!$B$202:$B$261,'03_原始数据'!$C$202:$C$261),""),"")</f>
        <v/>
      </c>
      <c r="D261" s="31">
        <f>IF(1=1,IFERROR(CORREL('03_原始数据'!$B$142:$B$261,'03_原始数据'!$C$142:$C$261),""),"")</f>
        <v/>
      </c>
      <c r="E261" s="31">
        <f>IF(1=1,IFERROR(CORREL('03_原始数据'!$G$202:$G$261,'03_原始数据'!$H$202:$H$261),""),"")</f>
        <v/>
      </c>
      <c r="F261" s="54">
        <f>IF(N(B261)=0,"不足","有效")</f>
        <v/>
      </c>
    </row>
    <row r="262" ht="17" customHeight="1">
      <c r="A262" s="40">
        <f>'03_原始数据'!A262</f>
        <v/>
      </c>
      <c r="B262" s="34">
        <f>IF(1=1,IFERROR(CORREL('03_原始数据'!$B$243:$B$262,'03_原始数据'!$C$243:$C$262),""),"")</f>
        <v/>
      </c>
      <c r="C262" s="34">
        <f>IF(1=1,IFERROR(CORREL('03_原始数据'!$B$203:$B$262,'03_原始数据'!$C$203:$C$262),""),"")</f>
        <v/>
      </c>
      <c r="D262" s="34">
        <f>IF(1=1,IFERROR(CORREL('03_原始数据'!$B$143:$B$262,'03_原始数据'!$C$143:$C$262),""),"")</f>
        <v/>
      </c>
      <c r="E262" s="34">
        <f>IF(1=1,IFERROR(CORREL('03_原始数据'!$G$203:$G$262,'03_原始数据'!$H$203:$H$262),""),"")</f>
        <v/>
      </c>
      <c r="F262" s="55">
        <f>IF(N(B262)=0,"不足","有效")</f>
        <v/>
      </c>
    </row>
    <row r="263" ht="17" customHeight="1">
      <c r="A263" s="38">
        <f>'03_原始数据'!A263</f>
        <v/>
      </c>
      <c r="B263" s="31">
        <f>IF(1=1,IFERROR(CORREL('03_原始数据'!$B$244:$B$263,'03_原始数据'!$C$244:$C$263),""),"")</f>
        <v/>
      </c>
      <c r="C263" s="31">
        <f>IF(1=1,IFERROR(CORREL('03_原始数据'!$B$204:$B$263,'03_原始数据'!$C$204:$C$263),""),"")</f>
        <v/>
      </c>
      <c r="D263" s="31">
        <f>IF(1=1,IFERROR(CORREL('03_原始数据'!$B$144:$B$263,'03_原始数据'!$C$144:$C$263),""),"")</f>
        <v/>
      </c>
      <c r="E263" s="31">
        <f>IF(1=1,IFERROR(CORREL('03_原始数据'!$G$204:$G$263,'03_原始数据'!$H$204:$H$263),""),"")</f>
        <v/>
      </c>
      <c r="F263" s="54">
        <f>IF(N(B263)=0,"不足","有效")</f>
        <v/>
      </c>
    </row>
    <row r="264" ht="17" customHeight="1">
      <c r="A264" s="40">
        <f>'03_原始数据'!A264</f>
        <v/>
      </c>
      <c r="B264" s="34">
        <f>IF(1=1,IFERROR(CORREL('03_原始数据'!$B$245:$B$264,'03_原始数据'!$C$245:$C$264),""),"")</f>
        <v/>
      </c>
      <c r="C264" s="34">
        <f>IF(1=1,IFERROR(CORREL('03_原始数据'!$B$205:$B$264,'03_原始数据'!$C$205:$C$264),""),"")</f>
        <v/>
      </c>
      <c r="D264" s="34">
        <f>IF(1=1,IFERROR(CORREL('03_原始数据'!$B$145:$B$264,'03_原始数据'!$C$145:$C$264),""),"")</f>
        <v/>
      </c>
      <c r="E264" s="34">
        <f>IF(1=1,IFERROR(CORREL('03_原始数据'!$G$205:$G$264,'03_原始数据'!$H$205:$H$264),""),"")</f>
        <v/>
      </c>
      <c r="F264" s="55">
        <f>IF(N(B264)=0,"不足","有效")</f>
        <v/>
      </c>
    </row>
    <row r="265" ht="17" customHeight="1">
      <c r="A265" s="38">
        <f>'03_原始数据'!A265</f>
        <v/>
      </c>
      <c r="B265" s="31">
        <f>IF(1=1,IFERROR(CORREL('03_原始数据'!$B$246:$B$265,'03_原始数据'!$C$246:$C$265),""),"")</f>
        <v/>
      </c>
      <c r="C265" s="31">
        <f>IF(1=1,IFERROR(CORREL('03_原始数据'!$B$206:$B$265,'03_原始数据'!$C$206:$C$265),""),"")</f>
        <v/>
      </c>
      <c r="D265" s="31">
        <f>IF(1=1,IFERROR(CORREL('03_原始数据'!$B$146:$B$265,'03_原始数据'!$C$146:$C$265),""),"")</f>
        <v/>
      </c>
      <c r="E265" s="31">
        <f>IF(1=1,IFERROR(CORREL('03_原始数据'!$G$206:$G$265,'03_原始数据'!$H$206:$H$265),""),"")</f>
        <v/>
      </c>
      <c r="F265" s="54">
        <f>IF(N(B265)=0,"不足","有效")</f>
        <v/>
      </c>
    </row>
    <row r="266" ht="17" customHeight="1">
      <c r="A266" s="40">
        <f>'03_原始数据'!A266</f>
        <v/>
      </c>
      <c r="B266" s="34">
        <f>IF(1=1,IFERROR(CORREL('03_原始数据'!$B$247:$B$266,'03_原始数据'!$C$247:$C$266),""),"")</f>
        <v/>
      </c>
      <c r="C266" s="34">
        <f>IF(1=1,IFERROR(CORREL('03_原始数据'!$B$207:$B$266,'03_原始数据'!$C$207:$C$266),""),"")</f>
        <v/>
      </c>
      <c r="D266" s="34">
        <f>IF(1=1,IFERROR(CORREL('03_原始数据'!$B$147:$B$266,'03_原始数据'!$C$147:$C$266),""),"")</f>
        <v/>
      </c>
      <c r="E266" s="34">
        <f>IF(1=1,IFERROR(CORREL('03_原始数据'!$G$207:$G$266,'03_原始数据'!$H$207:$H$266),""),"")</f>
        <v/>
      </c>
      <c r="F266" s="55">
        <f>IF(N(B266)=0,"不足","有效")</f>
        <v/>
      </c>
    </row>
    <row r="267" ht="17" customHeight="1">
      <c r="A267" s="38">
        <f>'03_原始数据'!A267</f>
        <v/>
      </c>
      <c r="B267" s="31">
        <f>IF(1=1,IFERROR(CORREL('03_原始数据'!$B$248:$B$267,'03_原始数据'!$C$248:$C$267),""),"")</f>
        <v/>
      </c>
      <c r="C267" s="31">
        <f>IF(1=1,IFERROR(CORREL('03_原始数据'!$B$208:$B$267,'03_原始数据'!$C$208:$C$267),""),"")</f>
        <v/>
      </c>
      <c r="D267" s="31">
        <f>IF(1=1,IFERROR(CORREL('03_原始数据'!$B$148:$B$267,'03_原始数据'!$C$148:$C$267),""),"")</f>
        <v/>
      </c>
      <c r="E267" s="31">
        <f>IF(1=1,IFERROR(CORREL('03_原始数据'!$G$208:$G$267,'03_原始数据'!$H$208:$H$267),""),"")</f>
        <v/>
      </c>
      <c r="F267" s="54">
        <f>IF(N(B267)=0,"不足","有效")</f>
        <v/>
      </c>
    </row>
    <row r="268" ht="17" customHeight="1">
      <c r="A268" s="40">
        <f>'03_原始数据'!A268</f>
        <v/>
      </c>
      <c r="B268" s="34">
        <f>IF(1=1,IFERROR(CORREL('03_原始数据'!$B$249:$B$268,'03_原始数据'!$C$249:$C$268),""),"")</f>
        <v/>
      </c>
      <c r="C268" s="34">
        <f>IF(1=1,IFERROR(CORREL('03_原始数据'!$B$209:$B$268,'03_原始数据'!$C$209:$C$268),""),"")</f>
        <v/>
      </c>
      <c r="D268" s="34">
        <f>IF(1=1,IFERROR(CORREL('03_原始数据'!$B$149:$B$268,'03_原始数据'!$C$149:$C$268),""),"")</f>
        <v/>
      </c>
      <c r="E268" s="34">
        <f>IF(1=1,IFERROR(CORREL('03_原始数据'!$G$209:$G$268,'03_原始数据'!$H$209:$H$268),""),"")</f>
        <v/>
      </c>
      <c r="F268" s="55">
        <f>IF(N(B268)=0,"不足","有效")</f>
        <v/>
      </c>
    </row>
    <row r="269" ht="17" customHeight="1">
      <c r="A269" s="38">
        <f>'03_原始数据'!A269</f>
        <v/>
      </c>
      <c r="B269" s="31">
        <f>IF(1=1,IFERROR(CORREL('03_原始数据'!$B$250:$B$269,'03_原始数据'!$C$250:$C$269),""),"")</f>
        <v/>
      </c>
      <c r="C269" s="31">
        <f>IF(1=1,IFERROR(CORREL('03_原始数据'!$B$210:$B$269,'03_原始数据'!$C$210:$C$269),""),"")</f>
        <v/>
      </c>
      <c r="D269" s="31">
        <f>IF(1=1,IFERROR(CORREL('03_原始数据'!$B$150:$B$269,'03_原始数据'!$C$150:$C$269),""),"")</f>
        <v/>
      </c>
      <c r="E269" s="31">
        <f>IF(1=1,IFERROR(CORREL('03_原始数据'!$G$210:$G$269,'03_原始数据'!$H$210:$H$269),""),"")</f>
        <v/>
      </c>
      <c r="F269" s="54">
        <f>IF(N(B269)=0,"不足","有效")</f>
        <v/>
      </c>
    </row>
    <row r="270" ht="17" customHeight="1">
      <c r="A270" s="40">
        <f>'03_原始数据'!A270</f>
        <v/>
      </c>
      <c r="B270" s="34">
        <f>IF(1=1,IFERROR(CORREL('03_原始数据'!$B$251:$B$270,'03_原始数据'!$C$251:$C$270),""),"")</f>
        <v/>
      </c>
      <c r="C270" s="34">
        <f>IF(1=1,IFERROR(CORREL('03_原始数据'!$B$211:$B$270,'03_原始数据'!$C$211:$C$270),""),"")</f>
        <v/>
      </c>
      <c r="D270" s="34">
        <f>IF(1=1,IFERROR(CORREL('03_原始数据'!$B$151:$B$270,'03_原始数据'!$C$151:$C$270),""),"")</f>
        <v/>
      </c>
      <c r="E270" s="34">
        <f>IF(1=1,IFERROR(CORREL('03_原始数据'!$G$211:$G$270,'03_原始数据'!$H$211:$H$270),""),"")</f>
        <v/>
      </c>
      <c r="F270" s="55">
        <f>IF(N(B270)=0,"不足","有效")</f>
        <v/>
      </c>
    </row>
    <row r="271" ht="17" customHeight="1">
      <c r="A271" s="38">
        <f>'03_原始数据'!A271</f>
        <v/>
      </c>
      <c r="B271" s="31">
        <f>IF(1=1,IFERROR(CORREL('03_原始数据'!$B$252:$B$271,'03_原始数据'!$C$252:$C$271),""),"")</f>
        <v/>
      </c>
      <c r="C271" s="31">
        <f>IF(1=1,IFERROR(CORREL('03_原始数据'!$B$212:$B$271,'03_原始数据'!$C$212:$C$271),""),"")</f>
        <v/>
      </c>
      <c r="D271" s="31">
        <f>IF(1=1,IFERROR(CORREL('03_原始数据'!$B$152:$B$271,'03_原始数据'!$C$152:$C$271),""),"")</f>
        <v/>
      </c>
      <c r="E271" s="31">
        <f>IF(1=1,IFERROR(CORREL('03_原始数据'!$G$212:$G$271,'03_原始数据'!$H$212:$H$271),""),"")</f>
        <v/>
      </c>
      <c r="F271" s="54">
        <f>IF(N(B271)=0,"不足","有效")</f>
        <v/>
      </c>
    </row>
    <row r="272" ht="17" customHeight="1">
      <c r="A272" s="40">
        <f>'03_原始数据'!A272</f>
        <v/>
      </c>
      <c r="B272" s="34">
        <f>IF(1=1,IFERROR(CORREL('03_原始数据'!$B$253:$B$272,'03_原始数据'!$C$253:$C$272),""),"")</f>
        <v/>
      </c>
      <c r="C272" s="34">
        <f>IF(1=1,IFERROR(CORREL('03_原始数据'!$B$213:$B$272,'03_原始数据'!$C$213:$C$272),""),"")</f>
        <v/>
      </c>
      <c r="D272" s="34">
        <f>IF(1=1,IFERROR(CORREL('03_原始数据'!$B$153:$B$272,'03_原始数据'!$C$153:$C$272),""),"")</f>
        <v/>
      </c>
      <c r="E272" s="34">
        <f>IF(1=1,IFERROR(CORREL('03_原始数据'!$G$213:$G$272,'03_原始数据'!$H$213:$H$272),""),"")</f>
        <v/>
      </c>
      <c r="F272" s="55">
        <f>IF(N(B272)=0,"不足","有效")</f>
        <v/>
      </c>
    </row>
    <row r="273" ht="17" customHeight="1">
      <c r="A273" s="38">
        <f>'03_原始数据'!A273</f>
        <v/>
      </c>
      <c r="B273" s="31">
        <f>IF(1=1,IFERROR(CORREL('03_原始数据'!$B$254:$B$273,'03_原始数据'!$C$254:$C$273),""),"")</f>
        <v/>
      </c>
      <c r="C273" s="31">
        <f>IF(1=1,IFERROR(CORREL('03_原始数据'!$B$214:$B$273,'03_原始数据'!$C$214:$C$273),""),"")</f>
        <v/>
      </c>
      <c r="D273" s="31">
        <f>IF(1=1,IFERROR(CORREL('03_原始数据'!$B$154:$B$273,'03_原始数据'!$C$154:$C$273),""),"")</f>
        <v/>
      </c>
      <c r="E273" s="31">
        <f>IF(1=1,IFERROR(CORREL('03_原始数据'!$G$214:$G$273,'03_原始数据'!$H$214:$H$273),""),"")</f>
        <v/>
      </c>
      <c r="F273" s="54">
        <f>IF(N(B273)=0,"不足","有效")</f>
        <v/>
      </c>
    </row>
    <row r="274" ht="17" customHeight="1">
      <c r="A274" s="40">
        <f>'03_原始数据'!A274</f>
        <v/>
      </c>
      <c r="B274" s="34">
        <f>IF(1=1,IFERROR(CORREL('03_原始数据'!$B$255:$B$274,'03_原始数据'!$C$255:$C$274),""),"")</f>
        <v/>
      </c>
      <c r="C274" s="34">
        <f>IF(1=1,IFERROR(CORREL('03_原始数据'!$B$215:$B$274,'03_原始数据'!$C$215:$C$274),""),"")</f>
        <v/>
      </c>
      <c r="D274" s="34">
        <f>IF(1=1,IFERROR(CORREL('03_原始数据'!$B$155:$B$274,'03_原始数据'!$C$155:$C$274),""),"")</f>
        <v/>
      </c>
      <c r="E274" s="34">
        <f>IF(1=1,IFERROR(CORREL('03_原始数据'!$G$215:$G$274,'03_原始数据'!$H$215:$H$274),""),"")</f>
        <v/>
      </c>
      <c r="F274" s="55">
        <f>IF(N(B274)=0,"不足","有效")</f>
        <v/>
      </c>
    </row>
    <row r="275" ht="17" customHeight="1">
      <c r="A275" s="38">
        <f>'03_原始数据'!A275</f>
        <v/>
      </c>
      <c r="B275" s="31">
        <f>IF(1=1,IFERROR(CORREL('03_原始数据'!$B$256:$B$275,'03_原始数据'!$C$256:$C$275),""),"")</f>
        <v/>
      </c>
      <c r="C275" s="31">
        <f>IF(1=1,IFERROR(CORREL('03_原始数据'!$B$216:$B$275,'03_原始数据'!$C$216:$C$275),""),"")</f>
        <v/>
      </c>
      <c r="D275" s="31">
        <f>IF(1=1,IFERROR(CORREL('03_原始数据'!$B$156:$B$275,'03_原始数据'!$C$156:$C$275),""),"")</f>
        <v/>
      </c>
      <c r="E275" s="31">
        <f>IF(1=1,IFERROR(CORREL('03_原始数据'!$G$216:$G$275,'03_原始数据'!$H$216:$H$275),""),"")</f>
        <v/>
      </c>
      <c r="F275" s="54">
        <f>IF(N(B275)=0,"不足","有效")</f>
        <v/>
      </c>
    </row>
    <row r="276" ht="17" customHeight="1">
      <c r="A276" s="40">
        <f>'03_原始数据'!A276</f>
        <v/>
      </c>
      <c r="B276" s="34">
        <f>IF(1=1,IFERROR(CORREL('03_原始数据'!$B$257:$B$276,'03_原始数据'!$C$257:$C$276),""),"")</f>
        <v/>
      </c>
      <c r="C276" s="34">
        <f>IF(1=1,IFERROR(CORREL('03_原始数据'!$B$217:$B$276,'03_原始数据'!$C$217:$C$276),""),"")</f>
        <v/>
      </c>
      <c r="D276" s="34">
        <f>IF(1=1,IFERROR(CORREL('03_原始数据'!$B$157:$B$276,'03_原始数据'!$C$157:$C$276),""),"")</f>
        <v/>
      </c>
      <c r="E276" s="34">
        <f>IF(1=1,IFERROR(CORREL('03_原始数据'!$G$217:$G$276,'03_原始数据'!$H$217:$H$276),""),"")</f>
        <v/>
      </c>
      <c r="F276" s="55">
        <f>IF(N(B276)=0,"不足","有效")</f>
        <v/>
      </c>
    </row>
    <row r="277" ht="17" customHeight="1">
      <c r="A277" s="38">
        <f>'03_原始数据'!A277</f>
        <v/>
      </c>
      <c r="B277" s="31">
        <f>IF(1=1,IFERROR(CORREL('03_原始数据'!$B$258:$B$277,'03_原始数据'!$C$258:$C$277),""),"")</f>
        <v/>
      </c>
      <c r="C277" s="31">
        <f>IF(1=1,IFERROR(CORREL('03_原始数据'!$B$218:$B$277,'03_原始数据'!$C$218:$C$277),""),"")</f>
        <v/>
      </c>
      <c r="D277" s="31">
        <f>IF(1=1,IFERROR(CORREL('03_原始数据'!$B$158:$B$277,'03_原始数据'!$C$158:$C$277),""),"")</f>
        <v/>
      </c>
      <c r="E277" s="31">
        <f>IF(1=1,IFERROR(CORREL('03_原始数据'!$G$218:$G$277,'03_原始数据'!$H$218:$H$277),""),"")</f>
        <v/>
      </c>
      <c r="F277" s="54">
        <f>IF(N(B277)=0,"不足","有效")</f>
        <v/>
      </c>
    </row>
    <row r="278" ht="17" customHeight="1">
      <c r="A278" s="40">
        <f>'03_原始数据'!A278</f>
        <v/>
      </c>
      <c r="B278" s="34">
        <f>IF(1=1,IFERROR(CORREL('03_原始数据'!$B$259:$B$278,'03_原始数据'!$C$259:$C$278),""),"")</f>
        <v/>
      </c>
      <c r="C278" s="34">
        <f>IF(1=1,IFERROR(CORREL('03_原始数据'!$B$219:$B$278,'03_原始数据'!$C$219:$C$278),""),"")</f>
        <v/>
      </c>
      <c r="D278" s="34">
        <f>IF(1=1,IFERROR(CORREL('03_原始数据'!$B$159:$B$278,'03_原始数据'!$C$159:$C$278),""),"")</f>
        <v/>
      </c>
      <c r="E278" s="34">
        <f>IF(1=1,IFERROR(CORREL('03_原始数据'!$G$219:$G$278,'03_原始数据'!$H$219:$H$278),""),"")</f>
        <v/>
      </c>
      <c r="F278" s="55">
        <f>IF(N(B278)=0,"不足","有效")</f>
        <v/>
      </c>
    </row>
    <row r="279" ht="17" customHeight="1">
      <c r="A279" s="38">
        <f>'03_原始数据'!A279</f>
        <v/>
      </c>
      <c r="B279" s="31">
        <f>IF(1=1,IFERROR(CORREL('03_原始数据'!$B$260:$B$279,'03_原始数据'!$C$260:$C$279),""),"")</f>
        <v/>
      </c>
      <c r="C279" s="31">
        <f>IF(1=1,IFERROR(CORREL('03_原始数据'!$B$220:$B$279,'03_原始数据'!$C$220:$C$279),""),"")</f>
        <v/>
      </c>
      <c r="D279" s="31">
        <f>IF(1=1,IFERROR(CORREL('03_原始数据'!$B$160:$B$279,'03_原始数据'!$C$160:$C$279),""),"")</f>
        <v/>
      </c>
      <c r="E279" s="31">
        <f>IF(1=1,IFERROR(CORREL('03_原始数据'!$G$220:$G$279,'03_原始数据'!$H$220:$H$279),""),"")</f>
        <v/>
      </c>
      <c r="F279" s="54">
        <f>IF(N(B279)=0,"不足","有效")</f>
        <v/>
      </c>
    </row>
    <row r="280" ht="17" customHeight="1">
      <c r="A280" s="40">
        <f>'03_原始数据'!A280</f>
        <v/>
      </c>
      <c r="B280" s="34">
        <f>IF(1=1,IFERROR(CORREL('03_原始数据'!$B$261:$B$280,'03_原始数据'!$C$261:$C$280),""),"")</f>
        <v/>
      </c>
      <c r="C280" s="34">
        <f>IF(1=1,IFERROR(CORREL('03_原始数据'!$B$221:$B$280,'03_原始数据'!$C$221:$C$280),""),"")</f>
        <v/>
      </c>
      <c r="D280" s="34">
        <f>IF(1=1,IFERROR(CORREL('03_原始数据'!$B$161:$B$280,'03_原始数据'!$C$161:$C$280),""),"")</f>
        <v/>
      </c>
      <c r="E280" s="34">
        <f>IF(1=1,IFERROR(CORREL('03_原始数据'!$G$221:$G$280,'03_原始数据'!$H$221:$H$280),""),"")</f>
        <v/>
      </c>
      <c r="F280" s="55">
        <f>IF(N(B280)=0,"不足","有效")</f>
        <v/>
      </c>
    </row>
    <row r="281" ht="17" customHeight="1">
      <c r="A281" s="38">
        <f>'03_原始数据'!A281</f>
        <v/>
      </c>
      <c r="B281" s="31">
        <f>IF(1=1,IFERROR(CORREL('03_原始数据'!$B$262:$B$281,'03_原始数据'!$C$262:$C$281),""),"")</f>
        <v/>
      </c>
      <c r="C281" s="31">
        <f>IF(1=1,IFERROR(CORREL('03_原始数据'!$B$222:$B$281,'03_原始数据'!$C$222:$C$281),""),"")</f>
        <v/>
      </c>
      <c r="D281" s="31">
        <f>IF(1=1,IFERROR(CORREL('03_原始数据'!$B$162:$B$281,'03_原始数据'!$C$162:$C$281),""),"")</f>
        <v/>
      </c>
      <c r="E281" s="31">
        <f>IF(1=1,IFERROR(CORREL('03_原始数据'!$G$222:$G$281,'03_原始数据'!$H$222:$H$281),""),"")</f>
        <v/>
      </c>
      <c r="F281" s="54">
        <f>IF(N(B281)=0,"不足","有效")</f>
        <v/>
      </c>
    </row>
    <row r="282" ht="17" customHeight="1">
      <c r="A282" s="40">
        <f>'03_原始数据'!A282</f>
        <v/>
      </c>
      <c r="B282" s="34">
        <f>IF(1=1,IFERROR(CORREL('03_原始数据'!$B$263:$B$282,'03_原始数据'!$C$263:$C$282),""),"")</f>
        <v/>
      </c>
      <c r="C282" s="34">
        <f>IF(1=1,IFERROR(CORREL('03_原始数据'!$B$223:$B$282,'03_原始数据'!$C$223:$C$282),""),"")</f>
        <v/>
      </c>
      <c r="D282" s="34">
        <f>IF(1=1,IFERROR(CORREL('03_原始数据'!$B$163:$B$282,'03_原始数据'!$C$163:$C$282),""),"")</f>
        <v/>
      </c>
      <c r="E282" s="34">
        <f>IF(1=1,IFERROR(CORREL('03_原始数据'!$G$223:$G$282,'03_原始数据'!$H$223:$H$282),""),"")</f>
        <v/>
      </c>
      <c r="F282" s="55">
        <f>IF(N(B282)=0,"不足","有效")</f>
        <v/>
      </c>
    </row>
    <row r="283" ht="17" customHeight="1">
      <c r="A283" s="38">
        <f>'03_原始数据'!A283</f>
        <v/>
      </c>
      <c r="B283" s="31">
        <f>IF(1=1,IFERROR(CORREL('03_原始数据'!$B$264:$B$283,'03_原始数据'!$C$264:$C$283),""),"")</f>
        <v/>
      </c>
      <c r="C283" s="31">
        <f>IF(1=1,IFERROR(CORREL('03_原始数据'!$B$224:$B$283,'03_原始数据'!$C$224:$C$283),""),"")</f>
        <v/>
      </c>
      <c r="D283" s="31">
        <f>IF(1=1,IFERROR(CORREL('03_原始数据'!$B$164:$B$283,'03_原始数据'!$C$164:$C$283),""),"")</f>
        <v/>
      </c>
      <c r="E283" s="31">
        <f>IF(1=1,IFERROR(CORREL('03_原始数据'!$G$224:$G$283,'03_原始数据'!$H$224:$H$283),""),"")</f>
        <v/>
      </c>
      <c r="F283" s="54">
        <f>IF(N(B283)=0,"不足","有效")</f>
        <v/>
      </c>
    </row>
    <row r="284" ht="17" customHeight="1">
      <c r="A284" s="40">
        <f>'03_原始数据'!A284</f>
        <v/>
      </c>
      <c r="B284" s="34">
        <f>IF(1=1,IFERROR(CORREL('03_原始数据'!$B$265:$B$284,'03_原始数据'!$C$265:$C$284),""),"")</f>
        <v/>
      </c>
      <c r="C284" s="34">
        <f>IF(1=1,IFERROR(CORREL('03_原始数据'!$B$225:$B$284,'03_原始数据'!$C$225:$C$284),""),"")</f>
        <v/>
      </c>
      <c r="D284" s="34">
        <f>IF(1=1,IFERROR(CORREL('03_原始数据'!$B$165:$B$284,'03_原始数据'!$C$165:$C$284),""),"")</f>
        <v/>
      </c>
      <c r="E284" s="34">
        <f>IF(1=1,IFERROR(CORREL('03_原始数据'!$G$225:$G$284,'03_原始数据'!$H$225:$H$284),""),"")</f>
        <v/>
      </c>
      <c r="F284" s="55">
        <f>IF(N(B284)=0,"不足","有效")</f>
        <v/>
      </c>
    </row>
    <row r="285" ht="17" customHeight="1">
      <c r="A285" s="38">
        <f>'03_原始数据'!A285</f>
        <v/>
      </c>
      <c r="B285" s="31">
        <f>IF(1=1,IFERROR(CORREL('03_原始数据'!$B$266:$B$285,'03_原始数据'!$C$266:$C$285),""),"")</f>
        <v/>
      </c>
      <c r="C285" s="31">
        <f>IF(1=1,IFERROR(CORREL('03_原始数据'!$B$226:$B$285,'03_原始数据'!$C$226:$C$285),""),"")</f>
        <v/>
      </c>
      <c r="D285" s="31">
        <f>IF(1=1,IFERROR(CORREL('03_原始数据'!$B$166:$B$285,'03_原始数据'!$C$166:$C$285),""),"")</f>
        <v/>
      </c>
      <c r="E285" s="31">
        <f>IF(1=1,IFERROR(CORREL('03_原始数据'!$G$226:$G$285,'03_原始数据'!$H$226:$H$285),""),"")</f>
        <v/>
      </c>
      <c r="F285" s="54">
        <f>IF(N(B285)=0,"不足","有效")</f>
        <v/>
      </c>
    </row>
    <row r="286" ht="17" customHeight="1">
      <c r="A286" s="40">
        <f>'03_原始数据'!A286</f>
        <v/>
      </c>
      <c r="B286" s="34">
        <f>IF(1=1,IFERROR(CORREL('03_原始数据'!$B$267:$B$286,'03_原始数据'!$C$267:$C$286),""),"")</f>
        <v/>
      </c>
      <c r="C286" s="34">
        <f>IF(1=1,IFERROR(CORREL('03_原始数据'!$B$227:$B$286,'03_原始数据'!$C$227:$C$286),""),"")</f>
        <v/>
      </c>
      <c r="D286" s="34">
        <f>IF(1=1,IFERROR(CORREL('03_原始数据'!$B$167:$B$286,'03_原始数据'!$C$167:$C$286),""),"")</f>
        <v/>
      </c>
      <c r="E286" s="34">
        <f>IF(1=1,IFERROR(CORREL('03_原始数据'!$G$227:$G$286,'03_原始数据'!$H$227:$H$286),""),"")</f>
        <v/>
      </c>
      <c r="F286" s="55">
        <f>IF(N(B286)=0,"不足","有效")</f>
        <v/>
      </c>
    </row>
    <row r="287" ht="17" customHeight="1">
      <c r="A287" s="38">
        <f>'03_原始数据'!A287</f>
        <v/>
      </c>
      <c r="B287" s="31">
        <f>IF(1=1,IFERROR(CORREL('03_原始数据'!$B$268:$B$287,'03_原始数据'!$C$268:$C$287),""),"")</f>
        <v/>
      </c>
      <c r="C287" s="31">
        <f>IF(1=1,IFERROR(CORREL('03_原始数据'!$B$228:$B$287,'03_原始数据'!$C$228:$C$287),""),"")</f>
        <v/>
      </c>
      <c r="D287" s="31">
        <f>IF(1=1,IFERROR(CORREL('03_原始数据'!$B$168:$B$287,'03_原始数据'!$C$168:$C$287),""),"")</f>
        <v/>
      </c>
      <c r="E287" s="31">
        <f>IF(1=1,IFERROR(CORREL('03_原始数据'!$G$228:$G$287,'03_原始数据'!$H$228:$H$287),""),"")</f>
        <v/>
      </c>
      <c r="F287" s="54">
        <f>IF(N(B287)=0,"不足","有效")</f>
        <v/>
      </c>
    </row>
    <row r="288" ht="17" customHeight="1">
      <c r="A288" s="40">
        <f>'03_原始数据'!A288</f>
        <v/>
      </c>
      <c r="B288" s="34">
        <f>IF(1=1,IFERROR(CORREL('03_原始数据'!$B$269:$B$288,'03_原始数据'!$C$269:$C$288),""),"")</f>
        <v/>
      </c>
      <c r="C288" s="34">
        <f>IF(1=1,IFERROR(CORREL('03_原始数据'!$B$229:$B$288,'03_原始数据'!$C$229:$C$288),""),"")</f>
        <v/>
      </c>
      <c r="D288" s="34">
        <f>IF(1=1,IFERROR(CORREL('03_原始数据'!$B$169:$B$288,'03_原始数据'!$C$169:$C$288),""),"")</f>
        <v/>
      </c>
      <c r="E288" s="34">
        <f>IF(1=1,IFERROR(CORREL('03_原始数据'!$G$229:$G$288,'03_原始数据'!$H$229:$H$288),""),"")</f>
        <v/>
      </c>
      <c r="F288" s="55">
        <f>IF(N(B288)=0,"不足","有效")</f>
        <v/>
      </c>
    </row>
    <row r="289" ht="17" customHeight="1">
      <c r="A289" s="38">
        <f>'03_原始数据'!A289</f>
        <v/>
      </c>
      <c r="B289" s="31">
        <f>IF(1=1,IFERROR(CORREL('03_原始数据'!$B$270:$B$289,'03_原始数据'!$C$270:$C$289),""),"")</f>
        <v/>
      </c>
      <c r="C289" s="31">
        <f>IF(1=1,IFERROR(CORREL('03_原始数据'!$B$230:$B$289,'03_原始数据'!$C$230:$C$289),""),"")</f>
        <v/>
      </c>
      <c r="D289" s="31">
        <f>IF(1=1,IFERROR(CORREL('03_原始数据'!$B$170:$B$289,'03_原始数据'!$C$170:$C$289),""),"")</f>
        <v/>
      </c>
      <c r="E289" s="31">
        <f>IF(1=1,IFERROR(CORREL('03_原始数据'!$G$230:$G$289,'03_原始数据'!$H$230:$H$289),""),"")</f>
        <v/>
      </c>
      <c r="F289" s="54">
        <f>IF(N(B289)=0,"不足","有效")</f>
        <v/>
      </c>
    </row>
    <row r="290" ht="17" customHeight="1">
      <c r="A290" s="40">
        <f>'03_原始数据'!A290</f>
        <v/>
      </c>
      <c r="B290" s="34">
        <f>IF(1=1,IFERROR(CORREL('03_原始数据'!$B$271:$B$290,'03_原始数据'!$C$271:$C$290),""),"")</f>
        <v/>
      </c>
      <c r="C290" s="34">
        <f>IF(1=1,IFERROR(CORREL('03_原始数据'!$B$231:$B$290,'03_原始数据'!$C$231:$C$290),""),"")</f>
        <v/>
      </c>
      <c r="D290" s="34">
        <f>IF(1=1,IFERROR(CORREL('03_原始数据'!$B$171:$B$290,'03_原始数据'!$C$171:$C$290),""),"")</f>
        <v/>
      </c>
      <c r="E290" s="34">
        <f>IF(1=1,IFERROR(CORREL('03_原始数据'!$G$231:$G$290,'03_原始数据'!$H$231:$H$290),""),"")</f>
        <v/>
      </c>
      <c r="F290" s="55">
        <f>IF(N(B290)=0,"不足","有效")</f>
        <v/>
      </c>
    </row>
    <row r="291" ht="17" customHeight="1">
      <c r="A291" s="38">
        <f>'03_原始数据'!A291</f>
        <v/>
      </c>
      <c r="B291" s="31">
        <f>IF(1=1,IFERROR(CORREL('03_原始数据'!$B$272:$B$291,'03_原始数据'!$C$272:$C$291),""),"")</f>
        <v/>
      </c>
      <c r="C291" s="31">
        <f>IF(1=1,IFERROR(CORREL('03_原始数据'!$B$232:$B$291,'03_原始数据'!$C$232:$C$291),""),"")</f>
        <v/>
      </c>
      <c r="D291" s="31">
        <f>IF(1=1,IFERROR(CORREL('03_原始数据'!$B$172:$B$291,'03_原始数据'!$C$172:$C$291),""),"")</f>
        <v/>
      </c>
      <c r="E291" s="31">
        <f>IF(1=1,IFERROR(CORREL('03_原始数据'!$G$232:$G$291,'03_原始数据'!$H$232:$H$291),""),"")</f>
        <v/>
      </c>
      <c r="F291" s="54">
        <f>IF(N(B291)=0,"不足","有效")</f>
        <v/>
      </c>
    </row>
    <row r="292" ht="17" customHeight="1">
      <c r="A292" s="40">
        <f>'03_原始数据'!A292</f>
        <v/>
      </c>
      <c r="B292" s="34">
        <f>IF(1=1,IFERROR(CORREL('03_原始数据'!$B$273:$B$292,'03_原始数据'!$C$273:$C$292),""),"")</f>
        <v/>
      </c>
      <c r="C292" s="34">
        <f>IF(1=1,IFERROR(CORREL('03_原始数据'!$B$233:$B$292,'03_原始数据'!$C$233:$C$292),""),"")</f>
        <v/>
      </c>
      <c r="D292" s="34">
        <f>IF(1=1,IFERROR(CORREL('03_原始数据'!$B$173:$B$292,'03_原始数据'!$C$173:$C$292),""),"")</f>
        <v/>
      </c>
      <c r="E292" s="34">
        <f>IF(1=1,IFERROR(CORREL('03_原始数据'!$G$233:$G$292,'03_原始数据'!$H$233:$H$292),""),"")</f>
        <v/>
      </c>
      <c r="F292" s="55">
        <f>IF(N(B292)=0,"不足","有效")</f>
        <v/>
      </c>
    </row>
    <row r="293" ht="17" customHeight="1">
      <c r="A293" s="38">
        <f>'03_原始数据'!A293</f>
        <v/>
      </c>
      <c r="B293" s="31">
        <f>IF(1=1,IFERROR(CORREL('03_原始数据'!$B$274:$B$293,'03_原始数据'!$C$274:$C$293),""),"")</f>
        <v/>
      </c>
      <c r="C293" s="31">
        <f>IF(1=1,IFERROR(CORREL('03_原始数据'!$B$234:$B$293,'03_原始数据'!$C$234:$C$293),""),"")</f>
        <v/>
      </c>
      <c r="D293" s="31">
        <f>IF(1=1,IFERROR(CORREL('03_原始数据'!$B$174:$B$293,'03_原始数据'!$C$174:$C$293),""),"")</f>
        <v/>
      </c>
      <c r="E293" s="31">
        <f>IF(1=1,IFERROR(CORREL('03_原始数据'!$G$234:$G$293,'03_原始数据'!$H$234:$H$293),""),"")</f>
        <v/>
      </c>
      <c r="F293" s="54">
        <f>IF(N(B293)=0,"不足","有效")</f>
        <v/>
      </c>
    </row>
    <row r="294" ht="17" customHeight="1">
      <c r="A294" s="40">
        <f>'03_原始数据'!A294</f>
        <v/>
      </c>
      <c r="B294" s="34">
        <f>IF(1=1,IFERROR(CORREL('03_原始数据'!$B$275:$B$294,'03_原始数据'!$C$275:$C$294),""),"")</f>
        <v/>
      </c>
      <c r="C294" s="34">
        <f>IF(1=1,IFERROR(CORREL('03_原始数据'!$B$235:$B$294,'03_原始数据'!$C$235:$C$294),""),"")</f>
        <v/>
      </c>
      <c r="D294" s="34">
        <f>IF(1=1,IFERROR(CORREL('03_原始数据'!$B$175:$B$294,'03_原始数据'!$C$175:$C$294),""),"")</f>
        <v/>
      </c>
      <c r="E294" s="34">
        <f>IF(1=1,IFERROR(CORREL('03_原始数据'!$G$235:$G$294,'03_原始数据'!$H$235:$H$294),""),"")</f>
        <v/>
      </c>
      <c r="F294" s="55">
        <f>IF(N(B294)=0,"不足","有效")</f>
        <v/>
      </c>
    </row>
    <row r="295" ht="17" customHeight="1">
      <c r="A295" s="38">
        <f>'03_原始数据'!A295</f>
        <v/>
      </c>
      <c r="B295" s="31">
        <f>IF(1=1,IFERROR(CORREL('03_原始数据'!$B$276:$B$295,'03_原始数据'!$C$276:$C$295),""),"")</f>
        <v/>
      </c>
      <c r="C295" s="31">
        <f>IF(1=1,IFERROR(CORREL('03_原始数据'!$B$236:$B$295,'03_原始数据'!$C$236:$C$295),""),"")</f>
        <v/>
      </c>
      <c r="D295" s="31">
        <f>IF(1=1,IFERROR(CORREL('03_原始数据'!$B$176:$B$295,'03_原始数据'!$C$176:$C$295),""),"")</f>
        <v/>
      </c>
      <c r="E295" s="31">
        <f>IF(1=1,IFERROR(CORREL('03_原始数据'!$G$236:$G$295,'03_原始数据'!$H$236:$H$295),""),"")</f>
        <v/>
      </c>
      <c r="F295" s="54">
        <f>IF(N(B295)=0,"不足","有效")</f>
        <v/>
      </c>
    </row>
    <row r="296" ht="17" customHeight="1">
      <c r="A296" s="40">
        <f>'03_原始数据'!A296</f>
        <v/>
      </c>
      <c r="B296" s="34">
        <f>IF(1=1,IFERROR(CORREL('03_原始数据'!$B$277:$B$296,'03_原始数据'!$C$277:$C$296),""),"")</f>
        <v/>
      </c>
      <c r="C296" s="34">
        <f>IF(1=1,IFERROR(CORREL('03_原始数据'!$B$237:$B$296,'03_原始数据'!$C$237:$C$296),""),"")</f>
        <v/>
      </c>
      <c r="D296" s="34">
        <f>IF(1=1,IFERROR(CORREL('03_原始数据'!$B$177:$B$296,'03_原始数据'!$C$177:$C$296),""),"")</f>
        <v/>
      </c>
      <c r="E296" s="34">
        <f>IF(1=1,IFERROR(CORREL('03_原始数据'!$G$237:$G$296,'03_原始数据'!$H$237:$H$296),""),"")</f>
        <v/>
      </c>
      <c r="F296" s="55">
        <f>IF(N(B296)=0,"不足","有效")</f>
        <v/>
      </c>
    </row>
    <row r="297" ht="17" customHeight="1">
      <c r="A297" s="38">
        <f>'03_原始数据'!A297</f>
        <v/>
      </c>
      <c r="B297" s="31">
        <f>IF(1=1,IFERROR(CORREL('03_原始数据'!$B$278:$B$297,'03_原始数据'!$C$278:$C$297),""),"")</f>
        <v/>
      </c>
      <c r="C297" s="31">
        <f>IF(1=1,IFERROR(CORREL('03_原始数据'!$B$238:$B$297,'03_原始数据'!$C$238:$C$297),""),"")</f>
        <v/>
      </c>
      <c r="D297" s="31">
        <f>IF(1=1,IFERROR(CORREL('03_原始数据'!$B$178:$B$297,'03_原始数据'!$C$178:$C$297),""),"")</f>
        <v/>
      </c>
      <c r="E297" s="31">
        <f>IF(1=1,IFERROR(CORREL('03_原始数据'!$G$238:$G$297,'03_原始数据'!$H$238:$H$297),""),"")</f>
        <v/>
      </c>
      <c r="F297" s="54">
        <f>IF(N(B297)=0,"不足","有效")</f>
        <v/>
      </c>
    </row>
    <row r="298" ht="17" customHeight="1">
      <c r="A298" s="40">
        <f>'03_原始数据'!A298</f>
        <v/>
      </c>
      <c r="B298" s="34">
        <f>IF(1=1,IFERROR(CORREL('03_原始数据'!$B$279:$B$298,'03_原始数据'!$C$279:$C$298),""),"")</f>
        <v/>
      </c>
      <c r="C298" s="34">
        <f>IF(1=1,IFERROR(CORREL('03_原始数据'!$B$239:$B$298,'03_原始数据'!$C$239:$C$298),""),"")</f>
        <v/>
      </c>
      <c r="D298" s="34">
        <f>IF(1=1,IFERROR(CORREL('03_原始数据'!$B$179:$B$298,'03_原始数据'!$C$179:$C$298),""),"")</f>
        <v/>
      </c>
      <c r="E298" s="34">
        <f>IF(1=1,IFERROR(CORREL('03_原始数据'!$G$239:$G$298,'03_原始数据'!$H$239:$H$298),""),"")</f>
        <v/>
      </c>
      <c r="F298" s="55">
        <f>IF(N(B298)=0,"不足","有效")</f>
        <v/>
      </c>
    </row>
    <row r="299" ht="17" customHeight="1">
      <c r="A299" s="38">
        <f>'03_原始数据'!A299</f>
        <v/>
      </c>
      <c r="B299" s="31">
        <f>IF(1=1,IFERROR(CORREL('03_原始数据'!$B$280:$B$299,'03_原始数据'!$C$280:$C$299),""),"")</f>
        <v/>
      </c>
      <c r="C299" s="31">
        <f>IF(1=1,IFERROR(CORREL('03_原始数据'!$B$240:$B$299,'03_原始数据'!$C$240:$C$299),""),"")</f>
        <v/>
      </c>
      <c r="D299" s="31">
        <f>IF(1=1,IFERROR(CORREL('03_原始数据'!$B$180:$B$299,'03_原始数据'!$C$180:$C$299),""),"")</f>
        <v/>
      </c>
      <c r="E299" s="31">
        <f>IF(1=1,IFERROR(CORREL('03_原始数据'!$G$240:$G$299,'03_原始数据'!$H$240:$H$299),""),"")</f>
        <v/>
      </c>
      <c r="F299" s="54">
        <f>IF(N(B299)=0,"不足","有效")</f>
        <v/>
      </c>
    </row>
    <row r="300" ht="17" customHeight="1">
      <c r="A300" s="40">
        <f>'03_原始数据'!A300</f>
        <v/>
      </c>
      <c r="B300" s="34">
        <f>IF(1=1,IFERROR(CORREL('03_原始数据'!$B$281:$B$300,'03_原始数据'!$C$281:$C$300),""),"")</f>
        <v/>
      </c>
      <c r="C300" s="34">
        <f>IF(1=1,IFERROR(CORREL('03_原始数据'!$B$241:$B$300,'03_原始数据'!$C$241:$C$300),""),"")</f>
        <v/>
      </c>
      <c r="D300" s="34">
        <f>IF(1=1,IFERROR(CORREL('03_原始数据'!$B$181:$B$300,'03_原始数据'!$C$181:$C$300),""),"")</f>
        <v/>
      </c>
      <c r="E300" s="34">
        <f>IF(1=1,IFERROR(CORREL('03_原始数据'!$G$241:$G$300,'03_原始数据'!$H$241:$H$300),""),"")</f>
        <v/>
      </c>
      <c r="F300" s="55">
        <f>IF(N(B300)=0,"不足","有效")</f>
        <v/>
      </c>
    </row>
    <row r="301" ht="17" customHeight="1">
      <c r="A301" s="38">
        <f>'03_原始数据'!A301</f>
        <v/>
      </c>
      <c r="B301" s="31">
        <f>IF(1=1,IFERROR(CORREL('03_原始数据'!$B$282:$B$301,'03_原始数据'!$C$282:$C$301),""),"")</f>
        <v/>
      </c>
      <c r="C301" s="31">
        <f>IF(1=1,IFERROR(CORREL('03_原始数据'!$B$242:$B$301,'03_原始数据'!$C$242:$C$301),""),"")</f>
        <v/>
      </c>
      <c r="D301" s="31">
        <f>IF(1=1,IFERROR(CORREL('03_原始数据'!$B$182:$B$301,'03_原始数据'!$C$182:$C$301),""),"")</f>
        <v/>
      </c>
      <c r="E301" s="31">
        <f>IF(1=1,IFERROR(CORREL('03_原始数据'!$G$242:$G$301,'03_原始数据'!$H$242:$H$301),""),"")</f>
        <v/>
      </c>
      <c r="F301" s="54">
        <f>IF(N(B301)=0,"不足","有效")</f>
        <v/>
      </c>
    </row>
    <row r="302" ht="17" customHeight="1">
      <c r="A302" s="40">
        <f>'03_原始数据'!A302</f>
        <v/>
      </c>
      <c r="B302" s="34">
        <f>IF(1=1,IFERROR(CORREL('03_原始数据'!$B$283:$B$302,'03_原始数据'!$C$283:$C$302),""),"")</f>
        <v/>
      </c>
      <c r="C302" s="34">
        <f>IF(1=1,IFERROR(CORREL('03_原始数据'!$B$243:$B$302,'03_原始数据'!$C$243:$C$302),""),"")</f>
        <v/>
      </c>
      <c r="D302" s="34">
        <f>IF(1=1,IFERROR(CORREL('03_原始数据'!$B$183:$B$302,'03_原始数据'!$C$183:$C$302),""),"")</f>
        <v/>
      </c>
      <c r="E302" s="34">
        <f>IF(1=1,IFERROR(CORREL('03_原始数据'!$G$243:$G$302,'03_原始数据'!$H$243:$H$302),""),"")</f>
        <v/>
      </c>
      <c r="F302" s="55">
        <f>IF(N(B302)=0,"不足","有效")</f>
        <v/>
      </c>
    </row>
    <row r="303" ht="17" customHeight="1">
      <c r="A303" s="38">
        <f>'03_原始数据'!A303</f>
        <v/>
      </c>
      <c r="B303" s="31">
        <f>IF(1=1,IFERROR(CORREL('03_原始数据'!$B$284:$B$303,'03_原始数据'!$C$284:$C$303),""),"")</f>
        <v/>
      </c>
      <c r="C303" s="31">
        <f>IF(1=1,IFERROR(CORREL('03_原始数据'!$B$244:$B$303,'03_原始数据'!$C$244:$C$303),""),"")</f>
        <v/>
      </c>
      <c r="D303" s="31">
        <f>IF(1=1,IFERROR(CORREL('03_原始数据'!$B$184:$B$303,'03_原始数据'!$C$184:$C$303),""),"")</f>
        <v/>
      </c>
      <c r="E303" s="31">
        <f>IF(1=1,IFERROR(CORREL('03_原始数据'!$G$244:$G$303,'03_原始数据'!$H$244:$H$303),""),"")</f>
        <v/>
      </c>
      <c r="F303" s="54">
        <f>IF(N(B303)=0,"不足","有效")</f>
        <v/>
      </c>
    </row>
    <row r="304" ht="17" customHeight="1">
      <c r="A304" s="40">
        <f>'03_原始数据'!A304</f>
        <v/>
      </c>
      <c r="B304" s="34">
        <f>IF(1=1,IFERROR(CORREL('03_原始数据'!$B$285:$B$304,'03_原始数据'!$C$285:$C$304),""),"")</f>
        <v/>
      </c>
      <c r="C304" s="34">
        <f>IF(1=1,IFERROR(CORREL('03_原始数据'!$B$245:$B$304,'03_原始数据'!$C$245:$C$304),""),"")</f>
        <v/>
      </c>
      <c r="D304" s="34">
        <f>IF(1=1,IFERROR(CORREL('03_原始数据'!$B$185:$B$304,'03_原始数据'!$C$185:$C$304),""),"")</f>
        <v/>
      </c>
      <c r="E304" s="34">
        <f>IF(1=1,IFERROR(CORREL('03_原始数据'!$G$245:$G$304,'03_原始数据'!$H$245:$H$304),""),"")</f>
        <v/>
      </c>
      <c r="F304" s="55">
        <f>IF(N(B304)=0,"不足","有效")</f>
        <v/>
      </c>
    </row>
    <row r="305" ht="17" customHeight="1">
      <c r="A305" s="38">
        <f>'03_原始数据'!A305</f>
        <v/>
      </c>
      <c r="B305" s="31">
        <f>IF(1=1,IFERROR(CORREL('03_原始数据'!$B$286:$B$305,'03_原始数据'!$C$286:$C$305),""),"")</f>
        <v/>
      </c>
      <c r="C305" s="31">
        <f>IF(1=1,IFERROR(CORREL('03_原始数据'!$B$246:$B$305,'03_原始数据'!$C$246:$C$305),""),"")</f>
        <v/>
      </c>
      <c r="D305" s="31">
        <f>IF(1=1,IFERROR(CORREL('03_原始数据'!$B$186:$B$305,'03_原始数据'!$C$186:$C$305),""),"")</f>
        <v/>
      </c>
      <c r="E305" s="31">
        <f>IF(1=1,IFERROR(CORREL('03_原始数据'!$G$246:$G$305,'03_原始数据'!$H$246:$H$305),""),"")</f>
        <v/>
      </c>
      <c r="F305" s="54">
        <f>IF(N(B305)=0,"不足","有效")</f>
        <v/>
      </c>
    </row>
    <row r="306" ht="17" customHeight="1">
      <c r="A306" s="40">
        <f>'03_原始数据'!A306</f>
        <v/>
      </c>
      <c r="B306" s="34">
        <f>IF(1=1,IFERROR(CORREL('03_原始数据'!$B$287:$B$306,'03_原始数据'!$C$287:$C$306),""),"")</f>
        <v/>
      </c>
      <c r="C306" s="34">
        <f>IF(1=1,IFERROR(CORREL('03_原始数据'!$B$247:$B$306,'03_原始数据'!$C$247:$C$306),""),"")</f>
        <v/>
      </c>
      <c r="D306" s="34">
        <f>IF(1=1,IFERROR(CORREL('03_原始数据'!$B$187:$B$306,'03_原始数据'!$C$187:$C$306),""),"")</f>
        <v/>
      </c>
      <c r="E306" s="34">
        <f>IF(1=1,IFERROR(CORREL('03_原始数据'!$G$247:$G$306,'03_原始数据'!$H$247:$H$306),""),"")</f>
        <v/>
      </c>
      <c r="F306" s="55">
        <f>IF(N(B306)=0,"不足","有效")</f>
        <v/>
      </c>
    </row>
    <row r="307" ht="17" customHeight="1">
      <c r="A307" s="38">
        <f>'03_原始数据'!A307</f>
        <v/>
      </c>
      <c r="B307" s="31">
        <f>IF(1=1,IFERROR(CORREL('03_原始数据'!$B$288:$B$307,'03_原始数据'!$C$288:$C$307),""),"")</f>
        <v/>
      </c>
      <c r="C307" s="31">
        <f>IF(1=1,IFERROR(CORREL('03_原始数据'!$B$248:$B$307,'03_原始数据'!$C$248:$C$307),""),"")</f>
        <v/>
      </c>
      <c r="D307" s="31">
        <f>IF(1=1,IFERROR(CORREL('03_原始数据'!$B$188:$B$307,'03_原始数据'!$C$188:$C$307),""),"")</f>
        <v/>
      </c>
      <c r="E307" s="31">
        <f>IF(1=1,IFERROR(CORREL('03_原始数据'!$G$248:$G$307,'03_原始数据'!$H$248:$H$307),""),"")</f>
        <v/>
      </c>
      <c r="F307" s="54">
        <f>IF(N(B307)=0,"不足","有效")</f>
        <v/>
      </c>
    </row>
    <row r="308" ht="17" customHeight="1">
      <c r="A308" s="40">
        <f>'03_原始数据'!A308</f>
        <v/>
      </c>
      <c r="B308" s="34">
        <f>IF(1=1,IFERROR(CORREL('03_原始数据'!$B$289:$B$308,'03_原始数据'!$C$289:$C$308),""),"")</f>
        <v/>
      </c>
      <c r="C308" s="34">
        <f>IF(1=1,IFERROR(CORREL('03_原始数据'!$B$249:$B$308,'03_原始数据'!$C$249:$C$308),""),"")</f>
        <v/>
      </c>
      <c r="D308" s="34">
        <f>IF(1=1,IFERROR(CORREL('03_原始数据'!$B$189:$B$308,'03_原始数据'!$C$189:$C$308),""),"")</f>
        <v/>
      </c>
      <c r="E308" s="34">
        <f>IF(1=1,IFERROR(CORREL('03_原始数据'!$G$249:$G$308,'03_原始数据'!$H$249:$H$308),""),"")</f>
        <v/>
      </c>
      <c r="F308" s="55">
        <f>IF(N(B308)=0,"不足","有效")</f>
        <v/>
      </c>
    </row>
    <row r="309" ht="17" customHeight="1">
      <c r="A309" s="38">
        <f>'03_原始数据'!A309</f>
        <v/>
      </c>
      <c r="B309" s="31">
        <f>IF(1=1,IFERROR(CORREL('03_原始数据'!$B$290:$B$309,'03_原始数据'!$C$290:$C$309),""),"")</f>
        <v/>
      </c>
      <c r="C309" s="31">
        <f>IF(1=1,IFERROR(CORREL('03_原始数据'!$B$250:$B$309,'03_原始数据'!$C$250:$C$309),""),"")</f>
        <v/>
      </c>
      <c r="D309" s="31">
        <f>IF(1=1,IFERROR(CORREL('03_原始数据'!$B$190:$B$309,'03_原始数据'!$C$190:$C$309),""),"")</f>
        <v/>
      </c>
      <c r="E309" s="31">
        <f>IF(1=1,IFERROR(CORREL('03_原始数据'!$G$250:$G$309,'03_原始数据'!$H$250:$H$309),""),"")</f>
        <v/>
      </c>
      <c r="F309" s="54">
        <f>IF(N(B309)=0,"不足","有效")</f>
        <v/>
      </c>
    </row>
    <row r="310" ht="17" customHeight="1">
      <c r="A310" s="40">
        <f>'03_原始数据'!A310</f>
        <v/>
      </c>
      <c r="B310" s="34">
        <f>IF(1=1,IFERROR(CORREL('03_原始数据'!$B$291:$B$310,'03_原始数据'!$C$291:$C$310),""),"")</f>
        <v/>
      </c>
      <c r="C310" s="34">
        <f>IF(1=1,IFERROR(CORREL('03_原始数据'!$B$251:$B$310,'03_原始数据'!$C$251:$C$310),""),"")</f>
        <v/>
      </c>
      <c r="D310" s="34">
        <f>IF(1=1,IFERROR(CORREL('03_原始数据'!$B$191:$B$310,'03_原始数据'!$C$191:$C$310),""),"")</f>
        <v/>
      </c>
      <c r="E310" s="34">
        <f>IF(1=1,IFERROR(CORREL('03_原始数据'!$G$251:$G$310,'03_原始数据'!$H$251:$H$310),""),"")</f>
        <v/>
      </c>
      <c r="F310" s="55">
        <f>IF(N(B310)=0,"不足","有效")</f>
        <v/>
      </c>
    </row>
    <row r="311" ht="17" customHeight="1">
      <c r="A311" s="38">
        <f>'03_原始数据'!A311</f>
        <v/>
      </c>
      <c r="B311" s="31">
        <f>IF(1=1,IFERROR(CORREL('03_原始数据'!$B$292:$B$311,'03_原始数据'!$C$292:$C$311),""),"")</f>
        <v/>
      </c>
      <c r="C311" s="31">
        <f>IF(1=1,IFERROR(CORREL('03_原始数据'!$B$252:$B$311,'03_原始数据'!$C$252:$C$311),""),"")</f>
        <v/>
      </c>
      <c r="D311" s="31">
        <f>IF(1=1,IFERROR(CORREL('03_原始数据'!$B$192:$B$311,'03_原始数据'!$C$192:$C$311),""),"")</f>
        <v/>
      </c>
      <c r="E311" s="31">
        <f>IF(1=1,IFERROR(CORREL('03_原始数据'!$G$252:$G$311,'03_原始数据'!$H$252:$H$311),""),"")</f>
        <v/>
      </c>
      <c r="F311" s="54">
        <f>IF(N(B311)=0,"不足","有效")</f>
        <v/>
      </c>
    </row>
    <row r="312" ht="17" customHeight="1">
      <c r="A312" s="40">
        <f>'03_原始数据'!A312</f>
        <v/>
      </c>
      <c r="B312" s="34">
        <f>IF(1=1,IFERROR(CORREL('03_原始数据'!$B$293:$B$312,'03_原始数据'!$C$293:$C$312),""),"")</f>
        <v/>
      </c>
      <c r="C312" s="34">
        <f>IF(1=1,IFERROR(CORREL('03_原始数据'!$B$253:$B$312,'03_原始数据'!$C$253:$C$312),""),"")</f>
        <v/>
      </c>
      <c r="D312" s="34">
        <f>IF(1=1,IFERROR(CORREL('03_原始数据'!$B$193:$B$312,'03_原始数据'!$C$193:$C$312),""),"")</f>
        <v/>
      </c>
      <c r="E312" s="34">
        <f>IF(1=1,IFERROR(CORREL('03_原始数据'!$G$253:$G$312,'03_原始数据'!$H$253:$H$312),""),"")</f>
        <v/>
      </c>
      <c r="F312" s="55">
        <f>IF(N(B312)=0,"不足","有效")</f>
        <v/>
      </c>
    </row>
    <row r="313" ht="17" customHeight="1">
      <c r="A313" s="38">
        <f>'03_原始数据'!A313</f>
        <v/>
      </c>
      <c r="B313" s="31">
        <f>IF(1=1,IFERROR(CORREL('03_原始数据'!$B$294:$B$313,'03_原始数据'!$C$294:$C$313),""),"")</f>
        <v/>
      </c>
      <c r="C313" s="31">
        <f>IF(1=1,IFERROR(CORREL('03_原始数据'!$B$254:$B$313,'03_原始数据'!$C$254:$C$313),""),"")</f>
        <v/>
      </c>
      <c r="D313" s="31">
        <f>IF(1=1,IFERROR(CORREL('03_原始数据'!$B$194:$B$313,'03_原始数据'!$C$194:$C$313),""),"")</f>
        <v/>
      </c>
      <c r="E313" s="31">
        <f>IF(1=1,IFERROR(CORREL('03_原始数据'!$G$254:$G$313,'03_原始数据'!$H$254:$H$313),""),"")</f>
        <v/>
      </c>
      <c r="F313" s="54">
        <f>IF(N(B313)=0,"不足","有效")</f>
        <v/>
      </c>
    </row>
    <row r="314" ht="17" customHeight="1">
      <c r="A314" s="40">
        <f>'03_原始数据'!A314</f>
        <v/>
      </c>
      <c r="B314" s="34">
        <f>IF(1=1,IFERROR(CORREL('03_原始数据'!$B$295:$B$314,'03_原始数据'!$C$295:$C$314),""),"")</f>
        <v/>
      </c>
      <c r="C314" s="34">
        <f>IF(1=1,IFERROR(CORREL('03_原始数据'!$B$255:$B$314,'03_原始数据'!$C$255:$C$314),""),"")</f>
        <v/>
      </c>
      <c r="D314" s="34">
        <f>IF(1=1,IFERROR(CORREL('03_原始数据'!$B$195:$B$314,'03_原始数据'!$C$195:$C$314),""),"")</f>
        <v/>
      </c>
      <c r="E314" s="34">
        <f>IF(1=1,IFERROR(CORREL('03_原始数据'!$G$255:$G$314,'03_原始数据'!$H$255:$H$314),""),"")</f>
        <v/>
      </c>
      <c r="F314" s="55">
        <f>IF(N(B314)=0,"不足","有效")</f>
        <v/>
      </c>
    </row>
    <row r="315" ht="17" customHeight="1">
      <c r="A315" s="38">
        <f>'03_原始数据'!A315</f>
        <v/>
      </c>
      <c r="B315" s="31">
        <f>IF(1=1,IFERROR(CORREL('03_原始数据'!$B$296:$B$315,'03_原始数据'!$C$296:$C$315),""),"")</f>
        <v/>
      </c>
      <c r="C315" s="31">
        <f>IF(1=1,IFERROR(CORREL('03_原始数据'!$B$256:$B$315,'03_原始数据'!$C$256:$C$315),""),"")</f>
        <v/>
      </c>
      <c r="D315" s="31">
        <f>IF(1=1,IFERROR(CORREL('03_原始数据'!$B$196:$B$315,'03_原始数据'!$C$196:$C$315),""),"")</f>
        <v/>
      </c>
      <c r="E315" s="31">
        <f>IF(1=1,IFERROR(CORREL('03_原始数据'!$G$256:$G$315,'03_原始数据'!$H$256:$H$315),""),"")</f>
        <v/>
      </c>
      <c r="F315" s="54">
        <f>IF(N(B315)=0,"不足","有效")</f>
        <v/>
      </c>
    </row>
    <row r="316" ht="17" customHeight="1">
      <c r="A316" s="40">
        <f>'03_原始数据'!A316</f>
        <v/>
      </c>
      <c r="B316" s="34">
        <f>IF(1=1,IFERROR(CORREL('03_原始数据'!$B$297:$B$316,'03_原始数据'!$C$297:$C$316),""),"")</f>
        <v/>
      </c>
      <c r="C316" s="34">
        <f>IF(1=1,IFERROR(CORREL('03_原始数据'!$B$257:$B$316,'03_原始数据'!$C$257:$C$316),""),"")</f>
        <v/>
      </c>
      <c r="D316" s="34">
        <f>IF(1=1,IFERROR(CORREL('03_原始数据'!$B$197:$B$316,'03_原始数据'!$C$197:$C$316),""),"")</f>
        <v/>
      </c>
      <c r="E316" s="34">
        <f>IF(1=1,IFERROR(CORREL('03_原始数据'!$G$257:$G$316,'03_原始数据'!$H$257:$H$316),""),"")</f>
        <v/>
      </c>
      <c r="F316" s="55">
        <f>IF(N(B316)=0,"不足","有效")</f>
        <v/>
      </c>
    </row>
    <row r="317" ht="17" customHeight="1">
      <c r="A317" s="38">
        <f>'03_原始数据'!A317</f>
        <v/>
      </c>
      <c r="B317" s="31">
        <f>IF(1=1,IFERROR(CORREL('03_原始数据'!$B$298:$B$317,'03_原始数据'!$C$298:$C$317),""),"")</f>
        <v/>
      </c>
      <c r="C317" s="31">
        <f>IF(1=1,IFERROR(CORREL('03_原始数据'!$B$258:$B$317,'03_原始数据'!$C$258:$C$317),""),"")</f>
        <v/>
      </c>
      <c r="D317" s="31">
        <f>IF(1=1,IFERROR(CORREL('03_原始数据'!$B$198:$B$317,'03_原始数据'!$C$198:$C$317),""),"")</f>
        <v/>
      </c>
      <c r="E317" s="31">
        <f>IF(1=1,IFERROR(CORREL('03_原始数据'!$G$258:$G$317,'03_原始数据'!$H$258:$H$317),""),"")</f>
        <v/>
      </c>
      <c r="F317" s="54">
        <f>IF(N(B317)=0,"不足","有效")</f>
        <v/>
      </c>
    </row>
    <row r="318" ht="17" customHeight="1">
      <c r="A318" s="40">
        <f>'03_原始数据'!A318</f>
        <v/>
      </c>
      <c r="B318" s="34">
        <f>IF(1=1,IFERROR(CORREL('03_原始数据'!$B$299:$B$318,'03_原始数据'!$C$299:$C$318),""),"")</f>
        <v/>
      </c>
      <c r="C318" s="34">
        <f>IF(1=1,IFERROR(CORREL('03_原始数据'!$B$259:$B$318,'03_原始数据'!$C$259:$C$318),""),"")</f>
        <v/>
      </c>
      <c r="D318" s="34">
        <f>IF(1=1,IFERROR(CORREL('03_原始数据'!$B$199:$B$318,'03_原始数据'!$C$199:$C$318),""),"")</f>
        <v/>
      </c>
      <c r="E318" s="34">
        <f>IF(1=1,IFERROR(CORREL('03_原始数据'!$G$259:$G$318,'03_原始数据'!$H$259:$H$318),""),"")</f>
        <v/>
      </c>
      <c r="F318" s="55">
        <f>IF(N(B318)=0,"不足","有效")</f>
        <v/>
      </c>
    </row>
    <row r="319" ht="17" customHeight="1">
      <c r="A319" s="38">
        <f>'03_原始数据'!A319</f>
        <v/>
      </c>
      <c r="B319" s="31">
        <f>IF(1=1,IFERROR(CORREL('03_原始数据'!$B$300:$B$319,'03_原始数据'!$C$300:$C$319),""),"")</f>
        <v/>
      </c>
      <c r="C319" s="31">
        <f>IF(1=1,IFERROR(CORREL('03_原始数据'!$B$260:$B$319,'03_原始数据'!$C$260:$C$319),""),"")</f>
        <v/>
      </c>
      <c r="D319" s="31">
        <f>IF(1=1,IFERROR(CORREL('03_原始数据'!$B$200:$B$319,'03_原始数据'!$C$200:$C$319),""),"")</f>
        <v/>
      </c>
      <c r="E319" s="31">
        <f>IF(1=1,IFERROR(CORREL('03_原始数据'!$G$260:$G$319,'03_原始数据'!$H$260:$H$319),""),"")</f>
        <v/>
      </c>
      <c r="F319" s="54">
        <f>IF(N(B319)=0,"不足","有效")</f>
        <v/>
      </c>
    </row>
    <row r="320" ht="17" customHeight="1">
      <c r="A320" s="40">
        <f>'03_原始数据'!A320</f>
        <v/>
      </c>
      <c r="B320" s="34">
        <f>IF(1=1,IFERROR(CORREL('03_原始数据'!$B$301:$B$320,'03_原始数据'!$C$301:$C$320),""),"")</f>
        <v/>
      </c>
      <c r="C320" s="34">
        <f>IF(1=1,IFERROR(CORREL('03_原始数据'!$B$261:$B$320,'03_原始数据'!$C$261:$C$320),""),"")</f>
        <v/>
      </c>
      <c r="D320" s="34">
        <f>IF(1=1,IFERROR(CORREL('03_原始数据'!$B$201:$B$320,'03_原始数据'!$C$201:$C$320),""),"")</f>
        <v/>
      </c>
      <c r="E320" s="34">
        <f>IF(1=1,IFERROR(CORREL('03_原始数据'!$G$261:$G$320,'03_原始数据'!$H$261:$H$320),""),"")</f>
        <v/>
      </c>
      <c r="F320" s="55">
        <f>IF(N(B320)=0,"不足","有效")</f>
        <v/>
      </c>
    </row>
    <row r="321" ht="17" customHeight="1">
      <c r="A321" s="38">
        <f>'03_原始数据'!A321</f>
        <v/>
      </c>
      <c r="B321" s="31">
        <f>IF(1=1,IFERROR(CORREL('03_原始数据'!$B$302:$B$321,'03_原始数据'!$C$302:$C$321),""),"")</f>
        <v/>
      </c>
      <c r="C321" s="31">
        <f>IF(1=1,IFERROR(CORREL('03_原始数据'!$B$262:$B$321,'03_原始数据'!$C$262:$C$321),""),"")</f>
        <v/>
      </c>
      <c r="D321" s="31">
        <f>IF(1=1,IFERROR(CORREL('03_原始数据'!$B$202:$B$321,'03_原始数据'!$C$202:$C$321),""),"")</f>
        <v/>
      </c>
      <c r="E321" s="31">
        <f>IF(1=1,IFERROR(CORREL('03_原始数据'!$G$262:$G$321,'03_原始数据'!$H$262:$H$321),""),"")</f>
        <v/>
      </c>
      <c r="F321" s="54">
        <f>IF(N(B321)=0,"不足","有效")</f>
        <v/>
      </c>
    </row>
    <row r="322" ht="17" customHeight="1">
      <c r="A322" s="40">
        <f>'03_原始数据'!A322</f>
        <v/>
      </c>
      <c r="B322" s="34">
        <f>IF(1=1,IFERROR(CORREL('03_原始数据'!$B$303:$B$322,'03_原始数据'!$C$303:$C$322),""),"")</f>
        <v/>
      </c>
      <c r="C322" s="34">
        <f>IF(1=1,IFERROR(CORREL('03_原始数据'!$B$263:$B$322,'03_原始数据'!$C$263:$C$322),""),"")</f>
        <v/>
      </c>
      <c r="D322" s="34">
        <f>IF(1=1,IFERROR(CORREL('03_原始数据'!$B$203:$B$322,'03_原始数据'!$C$203:$C$322),""),"")</f>
        <v/>
      </c>
      <c r="E322" s="34">
        <f>IF(1=1,IFERROR(CORREL('03_原始数据'!$G$263:$G$322,'03_原始数据'!$H$263:$H$322),""),"")</f>
        <v/>
      </c>
      <c r="F322" s="55">
        <f>IF(N(B322)=0,"不足","有效")</f>
        <v/>
      </c>
    </row>
    <row r="323" ht="17" customHeight="1">
      <c r="A323" s="38">
        <f>'03_原始数据'!A323</f>
        <v/>
      </c>
      <c r="B323" s="31">
        <f>IF(1=1,IFERROR(CORREL('03_原始数据'!$B$304:$B$323,'03_原始数据'!$C$304:$C$323),""),"")</f>
        <v/>
      </c>
      <c r="C323" s="31">
        <f>IF(1=1,IFERROR(CORREL('03_原始数据'!$B$264:$B$323,'03_原始数据'!$C$264:$C$323),""),"")</f>
        <v/>
      </c>
      <c r="D323" s="31">
        <f>IF(1=1,IFERROR(CORREL('03_原始数据'!$B$204:$B$323,'03_原始数据'!$C$204:$C$323),""),"")</f>
        <v/>
      </c>
      <c r="E323" s="31">
        <f>IF(1=1,IFERROR(CORREL('03_原始数据'!$G$264:$G$323,'03_原始数据'!$H$264:$H$323),""),"")</f>
        <v/>
      </c>
      <c r="F323" s="54">
        <f>IF(N(B323)=0,"不足","有效")</f>
        <v/>
      </c>
    </row>
    <row r="324" ht="17" customHeight="1">
      <c r="A324" s="40">
        <f>'03_原始数据'!A324</f>
        <v/>
      </c>
      <c r="B324" s="34">
        <f>IF(1=1,IFERROR(CORREL('03_原始数据'!$B$305:$B$324,'03_原始数据'!$C$305:$C$324),""),"")</f>
        <v/>
      </c>
      <c r="C324" s="34">
        <f>IF(1=1,IFERROR(CORREL('03_原始数据'!$B$265:$B$324,'03_原始数据'!$C$265:$C$324),""),"")</f>
        <v/>
      </c>
      <c r="D324" s="34">
        <f>IF(1=1,IFERROR(CORREL('03_原始数据'!$B$205:$B$324,'03_原始数据'!$C$205:$C$324),""),"")</f>
        <v/>
      </c>
      <c r="E324" s="34">
        <f>IF(1=1,IFERROR(CORREL('03_原始数据'!$G$265:$G$324,'03_原始数据'!$H$265:$H$324),""),"")</f>
        <v/>
      </c>
      <c r="F324" s="55">
        <f>IF(N(B324)=0,"不足","有效")</f>
        <v/>
      </c>
    </row>
    <row r="325" ht="17" customHeight="1">
      <c r="A325" s="38">
        <f>'03_原始数据'!A325</f>
        <v/>
      </c>
      <c r="B325" s="31">
        <f>IF(1=1,IFERROR(CORREL('03_原始数据'!$B$306:$B$325,'03_原始数据'!$C$306:$C$325),""),"")</f>
        <v/>
      </c>
      <c r="C325" s="31">
        <f>IF(1=1,IFERROR(CORREL('03_原始数据'!$B$266:$B$325,'03_原始数据'!$C$266:$C$325),""),"")</f>
        <v/>
      </c>
      <c r="D325" s="31">
        <f>IF(1=1,IFERROR(CORREL('03_原始数据'!$B$206:$B$325,'03_原始数据'!$C$206:$C$325),""),"")</f>
        <v/>
      </c>
      <c r="E325" s="31">
        <f>IF(1=1,IFERROR(CORREL('03_原始数据'!$G$266:$G$325,'03_原始数据'!$H$266:$H$325),""),"")</f>
        <v/>
      </c>
      <c r="F325" s="54">
        <f>IF(N(B325)=0,"不足","有效")</f>
        <v/>
      </c>
    </row>
    <row r="326" ht="17" customHeight="1">
      <c r="A326" s="40">
        <f>'03_原始数据'!A326</f>
        <v/>
      </c>
      <c r="B326" s="34">
        <f>IF(1=1,IFERROR(CORREL('03_原始数据'!$B$307:$B$326,'03_原始数据'!$C$307:$C$326),""),"")</f>
        <v/>
      </c>
      <c r="C326" s="34">
        <f>IF(1=1,IFERROR(CORREL('03_原始数据'!$B$267:$B$326,'03_原始数据'!$C$267:$C$326),""),"")</f>
        <v/>
      </c>
      <c r="D326" s="34">
        <f>IF(1=1,IFERROR(CORREL('03_原始数据'!$B$207:$B$326,'03_原始数据'!$C$207:$C$326),""),"")</f>
        <v/>
      </c>
      <c r="E326" s="34">
        <f>IF(1=1,IFERROR(CORREL('03_原始数据'!$G$267:$G$326,'03_原始数据'!$H$267:$H$326),""),"")</f>
        <v/>
      </c>
      <c r="F326" s="55">
        <f>IF(N(B326)=0,"不足","有效")</f>
        <v/>
      </c>
    </row>
    <row r="327" ht="17" customHeight="1">
      <c r="A327" s="38">
        <f>'03_原始数据'!A327</f>
        <v/>
      </c>
      <c r="B327" s="31">
        <f>IF(1=1,IFERROR(CORREL('03_原始数据'!$B$308:$B$327,'03_原始数据'!$C$308:$C$327),""),"")</f>
        <v/>
      </c>
      <c r="C327" s="31">
        <f>IF(1=1,IFERROR(CORREL('03_原始数据'!$B$268:$B$327,'03_原始数据'!$C$268:$C$327),""),"")</f>
        <v/>
      </c>
      <c r="D327" s="31">
        <f>IF(1=1,IFERROR(CORREL('03_原始数据'!$B$208:$B$327,'03_原始数据'!$C$208:$C$327),""),"")</f>
        <v/>
      </c>
      <c r="E327" s="31">
        <f>IF(1=1,IFERROR(CORREL('03_原始数据'!$G$268:$G$327,'03_原始数据'!$H$268:$H$327),""),"")</f>
        <v/>
      </c>
      <c r="F327" s="54">
        <f>IF(N(B327)=0,"不足","有效")</f>
        <v/>
      </c>
    </row>
    <row r="328" ht="17" customHeight="1">
      <c r="A328" s="40">
        <f>'03_原始数据'!A328</f>
        <v/>
      </c>
      <c r="B328" s="34">
        <f>IF(1=1,IFERROR(CORREL('03_原始数据'!$B$309:$B$328,'03_原始数据'!$C$309:$C$328),""),"")</f>
        <v/>
      </c>
      <c r="C328" s="34">
        <f>IF(1=1,IFERROR(CORREL('03_原始数据'!$B$269:$B$328,'03_原始数据'!$C$269:$C$328),""),"")</f>
        <v/>
      </c>
      <c r="D328" s="34">
        <f>IF(1=1,IFERROR(CORREL('03_原始数据'!$B$209:$B$328,'03_原始数据'!$C$209:$C$328),""),"")</f>
        <v/>
      </c>
      <c r="E328" s="34">
        <f>IF(1=1,IFERROR(CORREL('03_原始数据'!$G$269:$G$328,'03_原始数据'!$H$269:$H$328),""),"")</f>
        <v/>
      </c>
      <c r="F328" s="55">
        <f>IF(N(B328)=0,"不足","有效")</f>
        <v/>
      </c>
    </row>
    <row r="329" ht="17" customHeight="1">
      <c r="A329" s="38">
        <f>'03_原始数据'!A329</f>
        <v/>
      </c>
      <c r="B329" s="31">
        <f>IF(1=1,IFERROR(CORREL('03_原始数据'!$B$310:$B$329,'03_原始数据'!$C$310:$C$329),""),"")</f>
        <v/>
      </c>
      <c r="C329" s="31">
        <f>IF(1=1,IFERROR(CORREL('03_原始数据'!$B$270:$B$329,'03_原始数据'!$C$270:$C$329),""),"")</f>
        <v/>
      </c>
      <c r="D329" s="31">
        <f>IF(1=1,IFERROR(CORREL('03_原始数据'!$B$210:$B$329,'03_原始数据'!$C$210:$C$329),""),"")</f>
        <v/>
      </c>
      <c r="E329" s="31">
        <f>IF(1=1,IFERROR(CORREL('03_原始数据'!$G$270:$G$329,'03_原始数据'!$H$270:$H$329),""),"")</f>
        <v/>
      </c>
      <c r="F329" s="54">
        <f>IF(N(B329)=0,"不足","有效")</f>
        <v/>
      </c>
    </row>
    <row r="330" ht="17" customHeight="1">
      <c r="A330" s="40">
        <f>'03_原始数据'!A330</f>
        <v/>
      </c>
      <c r="B330" s="34">
        <f>IF(1=1,IFERROR(CORREL('03_原始数据'!$B$311:$B$330,'03_原始数据'!$C$311:$C$330),""),"")</f>
        <v/>
      </c>
      <c r="C330" s="34">
        <f>IF(1=1,IFERROR(CORREL('03_原始数据'!$B$271:$B$330,'03_原始数据'!$C$271:$C$330),""),"")</f>
        <v/>
      </c>
      <c r="D330" s="34">
        <f>IF(1=1,IFERROR(CORREL('03_原始数据'!$B$211:$B$330,'03_原始数据'!$C$211:$C$330),""),"")</f>
        <v/>
      </c>
      <c r="E330" s="34">
        <f>IF(1=1,IFERROR(CORREL('03_原始数据'!$G$271:$G$330,'03_原始数据'!$H$271:$H$330),""),"")</f>
        <v/>
      </c>
      <c r="F330" s="55">
        <f>IF(N(B330)=0,"不足","有效")</f>
        <v/>
      </c>
    </row>
    <row r="331" ht="17" customHeight="1">
      <c r="A331" s="38">
        <f>'03_原始数据'!A331</f>
        <v/>
      </c>
      <c r="B331" s="31">
        <f>IF(1=1,IFERROR(CORREL('03_原始数据'!$B$312:$B$331,'03_原始数据'!$C$312:$C$331),""),"")</f>
        <v/>
      </c>
      <c r="C331" s="31">
        <f>IF(1=1,IFERROR(CORREL('03_原始数据'!$B$272:$B$331,'03_原始数据'!$C$272:$C$331),""),"")</f>
        <v/>
      </c>
      <c r="D331" s="31">
        <f>IF(1=1,IFERROR(CORREL('03_原始数据'!$B$212:$B$331,'03_原始数据'!$C$212:$C$331),""),"")</f>
        <v/>
      </c>
      <c r="E331" s="31">
        <f>IF(1=1,IFERROR(CORREL('03_原始数据'!$G$272:$G$331,'03_原始数据'!$H$272:$H$331),""),"")</f>
        <v/>
      </c>
      <c r="F331" s="54">
        <f>IF(N(B331)=0,"不足","有效")</f>
        <v/>
      </c>
    </row>
    <row r="332" ht="17" customHeight="1">
      <c r="A332" s="40">
        <f>'03_原始数据'!A332</f>
        <v/>
      </c>
      <c r="B332" s="34">
        <f>IF(1=1,IFERROR(CORREL('03_原始数据'!$B$313:$B$332,'03_原始数据'!$C$313:$C$332),""),"")</f>
        <v/>
      </c>
      <c r="C332" s="34">
        <f>IF(1=1,IFERROR(CORREL('03_原始数据'!$B$273:$B$332,'03_原始数据'!$C$273:$C$332),""),"")</f>
        <v/>
      </c>
      <c r="D332" s="34">
        <f>IF(1=1,IFERROR(CORREL('03_原始数据'!$B$213:$B$332,'03_原始数据'!$C$213:$C$332),""),"")</f>
        <v/>
      </c>
      <c r="E332" s="34">
        <f>IF(1=1,IFERROR(CORREL('03_原始数据'!$G$273:$G$332,'03_原始数据'!$H$273:$H$332),""),"")</f>
        <v/>
      </c>
      <c r="F332" s="55">
        <f>IF(N(B332)=0,"不足","有效")</f>
        <v/>
      </c>
    </row>
    <row r="333" ht="17" customHeight="1">
      <c r="A333" s="38">
        <f>'03_原始数据'!A333</f>
        <v/>
      </c>
      <c r="B333" s="31">
        <f>IF(1=1,IFERROR(CORREL('03_原始数据'!$B$314:$B$333,'03_原始数据'!$C$314:$C$333),""),"")</f>
        <v/>
      </c>
      <c r="C333" s="31">
        <f>IF(1=1,IFERROR(CORREL('03_原始数据'!$B$274:$B$333,'03_原始数据'!$C$274:$C$333),""),"")</f>
        <v/>
      </c>
      <c r="D333" s="31">
        <f>IF(1=1,IFERROR(CORREL('03_原始数据'!$B$214:$B$333,'03_原始数据'!$C$214:$C$333),""),"")</f>
        <v/>
      </c>
      <c r="E333" s="31">
        <f>IF(1=1,IFERROR(CORREL('03_原始数据'!$G$274:$G$333,'03_原始数据'!$H$274:$H$333),""),"")</f>
        <v/>
      </c>
      <c r="F333" s="54">
        <f>IF(N(B333)=0,"不足","有效")</f>
        <v/>
      </c>
    </row>
    <row r="334" ht="17" customHeight="1">
      <c r="A334" s="40">
        <f>'03_原始数据'!A334</f>
        <v/>
      </c>
      <c r="B334" s="34">
        <f>IF(1=1,IFERROR(CORREL('03_原始数据'!$B$315:$B$334,'03_原始数据'!$C$315:$C$334),""),"")</f>
        <v/>
      </c>
      <c r="C334" s="34">
        <f>IF(1=1,IFERROR(CORREL('03_原始数据'!$B$275:$B$334,'03_原始数据'!$C$275:$C$334),""),"")</f>
        <v/>
      </c>
      <c r="D334" s="34">
        <f>IF(1=1,IFERROR(CORREL('03_原始数据'!$B$215:$B$334,'03_原始数据'!$C$215:$C$334),""),"")</f>
        <v/>
      </c>
      <c r="E334" s="34">
        <f>IF(1=1,IFERROR(CORREL('03_原始数据'!$G$275:$G$334,'03_原始数据'!$H$275:$H$334),""),"")</f>
        <v/>
      </c>
      <c r="F334" s="55">
        <f>IF(N(B334)=0,"不足","有效")</f>
        <v/>
      </c>
    </row>
    <row r="335" ht="17" customHeight="1">
      <c r="A335" s="38">
        <f>'03_原始数据'!A335</f>
        <v/>
      </c>
      <c r="B335" s="31">
        <f>IF(1=1,IFERROR(CORREL('03_原始数据'!$B$316:$B$335,'03_原始数据'!$C$316:$C$335),""),"")</f>
        <v/>
      </c>
      <c r="C335" s="31">
        <f>IF(1=1,IFERROR(CORREL('03_原始数据'!$B$276:$B$335,'03_原始数据'!$C$276:$C$335),""),"")</f>
        <v/>
      </c>
      <c r="D335" s="31">
        <f>IF(1=1,IFERROR(CORREL('03_原始数据'!$B$216:$B$335,'03_原始数据'!$C$216:$C$335),""),"")</f>
        <v/>
      </c>
      <c r="E335" s="31">
        <f>IF(1=1,IFERROR(CORREL('03_原始数据'!$G$276:$G$335,'03_原始数据'!$H$276:$H$335),""),"")</f>
        <v/>
      </c>
      <c r="F335" s="54">
        <f>IF(N(B335)=0,"不足","有效")</f>
        <v/>
      </c>
    </row>
    <row r="336" ht="17" customHeight="1">
      <c r="A336" s="40">
        <f>'03_原始数据'!A336</f>
        <v/>
      </c>
      <c r="B336" s="34">
        <f>IF(1=1,IFERROR(CORREL('03_原始数据'!$B$317:$B$336,'03_原始数据'!$C$317:$C$336),""),"")</f>
        <v/>
      </c>
      <c r="C336" s="34">
        <f>IF(1=1,IFERROR(CORREL('03_原始数据'!$B$277:$B$336,'03_原始数据'!$C$277:$C$336),""),"")</f>
        <v/>
      </c>
      <c r="D336" s="34">
        <f>IF(1=1,IFERROR(CORREL('03_原始数据'!$B$217:$B$336,'03_原始数据'!$C$217:$C$336),""),"")</f>
        <v/>
      </c>
      <c r="E336" s="34">
        <f>IF(1=1,IFERROR(CORREL('03_原始数据'!$G$277:$G$336,'03_原始数据'!$H$277:$H$336),""),"")</f>
        <v/>
      </c>
      <c r="F336" s="55">
        <f>IF(N(B336)=0,"不足","有效")</f>
        <v/>
      </c>
    </row>
    <row r="337" ht="17" customHeight="1">
      <c r="A337" s="38">
        <f>'03_原始数据'!A337</f>
        <v/>
      </c>
      <c r="B337" s="31">
        <f>IF(1=1,IFERROR(CORREL('03_原始数据'!$B$318:$B$337,'03_原始数据'!$C$318:$C$337),""),"")</f>
        <v/>
      </c>
      <c r="C337" s="31">
        <f>IF(1=1,IFERROR(CORREL('03_原始数据'!$B$278:$B$337,'03_原始数据'!$C$278:$C$337),""),"")</f>
        <v/>
      </c>
      <c r="D337" s="31">
        <f>IF(1=1,IFERROR(CORREL('03_原始数据'!$B$218:$B$337,'03_原始数据'!$C$218:$C$337),""),"")</f>
        <v/>
      </c>
      <c r="E337" s="31">
        <f>IF(1=1,IFERROR(CORREL('03_原始数据'!$G$278:$G$337,'03_原始数据'!$H$278:$H$337),""),"")</f>
        <v/>
      </c>
      <c r="F337" s="54">
        <f>IF(N(B337)=0,"不足","有效")</f>
        <v/>
      </c>
    </row>
    <row r="338" ht="17" customHeight="1">
      <c r="A338" s="40">
        <f>'03_原始数据'!A338</f>
        <v/>
      </c>
      <c r="B338" s="34">
        <f>IF(1=1,IFERROR(CORREL('03_原始数据'!$B$319:$B$338,'03_原始数据'!$C$319:$C$338),""),"")</f>
        <v/>
      </c>
      <c r="C338" s="34">
        <f>IF(1=1,IFERROR(CORREL('03_原始数据'!$B$279:$B$338,'03_原始数据'!$C$279:$C$338),""),"")</f>
        <v/>
      </c>
      <c r="D338" s="34">
        <f>IF(1=1,IFERROR(CORREL('03_原始数据'!$B$219:$B$338,'03_原始数据'!$C$219:$C$338),""),"")</f>
        <v/>
      </c>
      <c r="E338" s="34">
        <f>IF(1=1,IFERROR(CORREL('03_原始数据'!$G$279:$G$338,'03_原始数据'!$H$279:$H$338),""),"")</f>
        <v/>
      </c>
      <c r="F338" s="55">
        <f>IF(N(B338)=0,"不足","有效")</f>
        <v/>
      </c>
    </row>
    <row r="339" ht="17" customHeight="1">
      <c r="A339" s="38">
        <f>'03_原始数据'!A339</f>
        <v/>
      </c>
      <c r="B339" s="31">
        <f>IF(1=1,IFERROR(CORREL('03_原始数据'!$B$320:$B$339,'03_原始数据'!$C$320:$C$339),""),"")</f>
        <v/>
      </c>
      <c r="C339" s="31">
        <f>IF(1=1,IFERROR(CORREL('03_原始数据'!$B$280:$B$339,'03_原始数据'!$C$280:$C$339),""),"")</f>
        <v/>
      </c>
      <c r="D339" s="31">
        <f>IF(1=1,IFERROR(CORREL('03_原始数据'!$B$220:$B$339,'03_原始数据'!$C$220:$C$339),""),"")</f>
        <v/>
      </c>
      <c r="E339" s="31">
        <f>IF(1=1,IFERROR(CORREL('03_原始数据'!$G$280:$G$339,'03_原始数据'!$H$280:$H$339),""),"")</f>
        <v/>
      </c>
      <c r="F339" s="54">
        <f>IF(N(B339)=0,"不足","有效")</f>
        <v/>
      </c>
    </row>
    <row r="340" ht="17" customHeight="1">
      <c r="A340" s="40">
        <f>'03_原始数据'!A340</f>
        <v/>
      </c>
      <c r="B340" s="34">
        <f>IF(1=1,IFERROR(CORREL('03_原始数据'!$B$321:$B$340,'03_原始数据'!$C$321:$C$340),""),"")</f>
        <v/>
      </c>
      <c r="C340" s="34">
        <f>IF(1=1,IFERROR(CORREL('03_原始数据'!$B$281:$B$340,'03_原始数据'!$C$281:$C$340),""),"")</f>
        <v/>
      </c>
      <c r="D340" s="34">
        <f>IF(1=1,IFERROR(CORREL('03_原始数据'!$B$221:$B$340,'03_原始数据'!$C$221:$C$340),""),"")</f>
        <v/>
      </c>
      <c r="E340" s="34">
        <f>IF(1=1,IFERROR(CORREL('03_原始数据'!$G$281:$G$340,'03_原始数据'!$H$281:$H$340),""),"")</f>
        <v/>
      </c>
      <c r="F340" s="55">
        <f>IF(N(B340)=0,"不足","有效")</f>
        <v/>
      </c>
    </row>
    <row r="341" ht="17" customHeight="1">
      <c r="A341" s="38">
        <f>'03_原始数据'!A341</f>
        <v/>
      </c>
      <c r="B341" s="31">
        <f>IF(1=1,IFERROR(CORREL('03_原始数据'!$B$322:$B$341,'03_原始数据'!$C$322:$C$341),""),"")</f>
        <v/>
      </c>
      <c r="C341" s="31">
        <f>IF(1=1,IFERROR(CORREL('03_原始数据'!$B$282:$B$341,'03_原始数据'!$C$282:$C$341),""),"")</f>
        <v/>
      </c>
      <c r="D341" s="31">
        <f>IF(1=1,IFERROR(CORREL('03_原始数据'!$B$222:$B$341,'03_原始数据'!$C$222:$C$341),""),"")</f>
        <v/>
      </c>
      <c r="E341" s="31">
        <f>IF(1=1,IFERROR(CORREL('03_原始数据'!$G$282:$G$341,'03_原始数据'!$H$282:$H$341),""),"")</f>
        <v/>
      </c>
      <c r="F341" s="54">
        <f>IF(N(B341)=0,"不足","有效")</f>
        <v/>
      </c>
    </row>
    <row r="342" ht="17" customHeight="1">
      <c r="A342" s="40">
        <f>'03_原始数据'!A342</f>
        <v/>
      </c>
      <c r="B342" s="34">
        <f>IF(1=1,IFERROR(CORREL('03_原始数据'!$B$323:$B$342,'03_原始数据'!$C$323:$C$342),""),"")</f>
        <v/>
      </c>
      <c r="C342" s="34">
        <f>IF(1=1,IFERROR(CORREL('03_原始数据'!$B$283:$B$342,'03_原始数据'!$C$283:$C$342),""),"")</f>
        <v/>
      </c>
      <c r="D342" s="34">
        <f>IF(1=1,IFERROR(CORREL('03_原始数据'!$B$223:$B$342,'03_原始数据'!$C$223:$C$342),""),"")</f>
        <v/>
      </c>
      <c r="E342" s="34">
        <f>IF(1=1,IFERROR(CORREL('03_原始数据'!$G$283:$G$342,'03_原始数据'!$H$283:$H$342),""),"")</f>
        <v/>
      </c>
      <c r="F342" s="55">
        <f>IF(N(B342)=0,"不足","有效")</f>
        <v/>
      </c>
    </row>
    <row r="343" ht="17" customHeight="1">
      <c r="A343" s="38">
        <f>'03_原始数据'!A343</f>
        <v/>
      </c>
      <c r="B343" s="31">
        <f>IF(1=1,IFERROR(CORREL('03_原始数据'!$B$324:$B$343,'03_原始数据'!$C$324:$C$343),""),"")</f>
        <v/>
      </c>
      <c r="C343" s="31">
        <f>IF(1=1,IFERROR(CORREL('03_原始数据'!$B$284:$B$343,'03_原始数据'!$C$284:$C$343),""),"")</f>
        <v/>
      </c>
      <c r="D343" s="31">
        <f>IF(1=1,IFERROR(CORREL('03_原始数据'!$B$224:$B$343,'03_原始数据'!$C$224:$C$343),""),"")</f>
        <v/>
      </c>
      <c r="E343" s="31">
        <f>IF(1=1,IFERROR(CORREL('03_原始数据'!$G$284:$G$343,'03_原始数据'!$H$284:$H$343),""),"")</f>
        <v/>
      </c>
      <c r="F343" s="54">
        <f>IF(N(B343)=0,"不足","有效")</f>
        <v/>
      </c>
    </row>
    <row r="344" ht="17" customHeight="1">
      <c r="A344" s="40">
        <f>'03_原始数据'!A344</f>
        <v/>
      </c>
      <c r="B344" s="34">
        <f>IF(1=1,IFERROR(CORREL('03_原始数据'!$B$325:$B$344,'03_原始数据'!$C$325:$C$344),""),"")</f>
        <v/>
      </c>
      <c r="C344" s="34">
        <f>IF(1=1,IFERROR(CORREL('03_原始数据'!$B$285:$B$344,'03_原始数据'!$C$285:$C$344),""),"")</f>
        <v/>
      </c>
      <c r="D344" s="34">
        <f>IF(1=1,IFERROR(CORREL('03_原始数据'!$B$225:$B$344,'03_原始数据'!$C$225:$C$344),""),"")</f>
        <v/>
      </c>
      <c r="E344" s="34">
        <f>IF(1=1,IFERROR(CORREL('03_原始数据'!$G$285:$G$344,'03_原始数据'!$H$285:$H$344),""),"")</f>
        <v/>
      </c>
      <c r="F344" s="55">
        <f>IF(N(B344)=0,"不足","有效")</f>
        <v/>
      </c>
    </row>
    <row r="345" ht="17" customHeight="1">
      <c r="A345" s="38">
        <f>'03_原始数据'!A345</f>
        <v/>
      </c>
      <c r="B345" s="31">
        <f>IF(1=1,IFERROR(CORREL('03_原始数据'!$B$326:$B$345,'03_原始数据'!$C$326:$C$345),""),"")</f>
        <v/>
      </c>
      <c r="C345" s="31">
        <f>IF(1=1,IFERROR(CORREL('03_原始数据'!$B$286:$B$345,'03_原始数据'!$C$286:$C$345),""),"")</f>
        <v/>
      </c>
      <c r="D345" s="31">
        <f>IF(1=1,IFERROR(CORREL('03_原始数据'!$B$226:$B$345,'03_原始数据'!$C$226:$C$345),""),"")</f>
        <v/>
      </c>
      <c r="E345" s="31">
        <f>IF(1=1,IFERROR(CORREL('03_原始数据'!$G$286:$G$345,'03_原始数据'!$H$286:$H$345),""),"")</f>
        <v/>
      </c>
      <c r="F345" s="54">
        <f>IF(N(B345)=0,"不足","有效")</f>
        <v/>
      </c>
    </row>
    <row r="346" ht="17" customHeight="1">
      <c r="A346" s="40">
        <f>'03_原始数据'!A346</f>
        <v/>
      </c>
      <c r="B346" s="34">
        <f>IF(1=1,IFERROR(CORREL('03_原始数据'!$B$327:$B$346,'03_原始数据'!$C$327:$C$346),""),"")</f>
        <v/>
      </c>
      <c r="C346" s="34">
        <f>IF(1=1,IFERROR(CORREL('03_原始数据'!$B$287:$B$346,'03_原始数据'!$C$287:$C$346),""),"")</f>
        <v/>
      </c>
      <c r="D346" s="34">
        <f>IF(1=1,IFERROR(CORREL('03_原始数据'!$B$227:$B$346,'03_原始数据'!$C$227:$C$346),""),"")</f>
        <v/>
      </c>
      <c r="E346" s="34">
        <f>IF(1=1,IFERROR(CORREL('03_原始数据'!$G$287:$G$346,'03_原始数据'!$H$287:$H$346),""),"")</f>
        <v/>
      </c>
      <c r="F346" s="55">
        <f>IF(N(B346)=0,"不足","有效")</f>
        <v/>
      </c>
    </row>
    <row r="347" ht="17" customHeight="1">
      <c r="A347" s="38">
        <f>'03_原始数据'!A347</f>
        <v/>
      </c>
      <c r="B347" s="31">
        <f>IF(1=1,IFERROR(CORREL('03_原始数据'!$B$328:$B$347,'03_原始数据'!$C$328:$C$347),""),"")</f>
        <v/>
      </c>
      <c r="C347" s="31">
        <f>IF(1=1,IFERROR(CORREL('03_原始数据'!$B$288:$B$347,'03_原始数据'!$C$288:$C$347),""),"")</f>
        <v/>
      </c>
      <c r="D347" s="31">
        <f>IF(1=1,IFERROR(CORREL('03_原始数据'!$B$228:$B$347,'03_原始数据'!$C$228:$C$347),""),"")</f>
        <v/>
      </c>
      <c r="E347" s="31">
        <f>IF(1=1,IFERROR(CORREL('03_原始数据'!$G$288:$G$347,'03_原始数据'!$H$288:$H$347),""),"")</f>
        <v/>
      </c>
      <c r="F347" s="54">
        <f>IF(N(B347)=0,"不足","有效")</f>
        <v/>
      </c>
    </row>
    <row r="348" ht="17" customHeight="1">
      <c r="A348" s="40">
        <f>'03_原始数据'!A348</f>
        <v/>
      </c>
      <c r="B348" s="34">
        <f>IF(1=1,IFERROR(CORREL('03_原始数据'!$B$329:$B$348,'03_原始数据'!$C$329:$C$348),""),"")</f>
        <v/>
      </c>
      <c r="C348" s="34">
        <f>IF(1=1,IFERROR(CORREL('03_原始数据'!$B$289:$B$348,'03_原始数据'!$C$289:$C$348),""),"")</f>
        <v/>
      </c>
      <c r="D348" s="34">
        <f>IF(1=1,IFERROR(CORREL('03_原始数据'!$B$229:$B$348,'03_原始数据'!$C$229:$C$348),""),"")</f>
        <v/>
      </c>
      <c r="E348" s="34">
        <f>IF(1=1,IFERROR(CORREL('03_原始数据'!$G$289:$G$348,'03_原始数据'!$H$289:$H$348),""),"")</f>
        <v/>
      </c>
      <c r="F348" s="55">
        <f>IF(N(B348)=0,"不足","有效")</f>
        <v/>
      </c>
    </row>
    <row r="349" ht="17" customHeight="1">
      <c r="A349" s="38">
        <f>'03_原始数据'!A349</f>
        <v/>
      </c>
      <c r="B349" s="31">
        <f>IF(1=1,IFERROR(CORREL('03_原始数据'!$B$330:$B$349,'03_原始数据'!$C$330:$C$349),""),"")</f>
        <v/>
      </c>
      <c r="C349" s="31">
        <f>IF(1=1,IFERROR(CORREL('03_原始数据'!$B$290:$B$349,'03_原始数据'!$C$290:$C$349),""),"")</f>
        <v/>
      </c>
      <c r="D349" s="31">
        <f>IF(1=1,IFERROR(CORREL('03_原始数据'!$B$230:$B$349,'03_原始数据'!$C$230:$C$349),""),"")</f>
        <v/>
      </c>
      <c r="E349" s="31">
        <f>IF(1=1,IFERROR(CORREL('03_原始数据'!$G$290:$G$349,'03_原始数据'!$H$290:$H$349),""),"")</f>
        <v/>
      </c>
      <c r="F349" s="54">
        <f>IF(N(B349)=0,"不足","有效")</f>
        <v/>
      </c>
    </row>
    <row r="350" ht="17" customHeight="1">
      <c r="A350" s="40">
        <f>'03_原始数据'!A350</f>
        <v/>
      </c>
      <c r="B350" s="34">
        <f>IF(1=1,IFERROR(CORREL('03_原始数据'!$B$331:$B$350,'03_原始数据'!$C$331:$C$350),""),"")</f>
        <v/>
      </c>
      <c r="C350" s="34">
        <f>IF(1=1,IFERROR(CORREL('03_原始数据'!$B$291:$B$350,'03_原始数据'!$C$291:$C$350),""),"")</f>
        <v/>
      </c>
      <c r="D350" s="34">
        <f>IF(1=1,IFERROR(CORREL('03_原始数据'!$B$231:$B$350,'03_原始数据'!$C$231:$C$350),""),"")</f>
        <v/>
      </c>
      <c r="E350" s="34">
        <f>IF(1=1,IFERROR(CORREL('03_原始数据'!$G$291:$G$350,'03_原始数据'!$H$291:$H$350),""),"")</f>
        <v/>
      </c>
      <c r="F350" s="55">
        <f>IF(N(B350)=0,"不足","有效")</f>
        <v/>
      </c>
    </row>
    <row r="351" ht="17" customHeight="1">
      <c r="A351" s="38">
        <f>'03_原始数据'!A351</f>
        <v/>
      </c>
      <c r="B351" s="31">
        <f>IF(1=1,IFERROR(CORREL('03_原始数据'!$B$332:$B$351,'03_原始数据'!$C$332:$C$351),""),"")</f>
        <v/>
      </c>
      <c r="C351" s="31">
        <f>IF(1=1,IFERROR(CORREL('03_原始数据'!$B$292:$B$351,'03_原始数据'!$C$292:$C$351),""),"")</f>
        <v/>
      </c>
      <c r="D351" s="31">
        <f>IF(1=1,IFERROR(CORREL('03_原始数据'!$B$232:$B$351,'03_原始数据'!$C$232:$C$351),""),"")</f>
        <v/>
      </c>
      <c r="E351" s="31">
        <f>IF(1=1,IFERROR(CORREL('03_原始数据'!$G$292:$G$351,'03_原始数据'!$H$292:$H$351),""),"")</f>
        <v/>
      </c>
      <c r="F351" s="54">
        <f>IF(N(B351)=0,"不足","有效")</f>
        <v/>
      </c>
    </row>
    <row r="352" ht="17" customHeight="1">
      <c r="A352" s="40">
        <f>'03_原始数据'!A352</f>
        <v/>
      </c>
      <c r="B352" s="34">
        <f>IF(1=1,IFERROR(CORREL('03_原始数据'!$B$333:$B$352,'03_原始数据'!$C$333:$C$352),""),"")</f>
        <v/>
      </c>
      <c r="C352" s="34">
        <f>IF(1=1,IFERROR(CORREL('03_原始数据'!$B$293:$B$352,'03_原始数据'!$C$293:$C$352),""),"")</f>
        <v/>
      </c>
      <c r="D352" s="34">
        <f>IF(1=1,IFERROR(CORREL('03_原始数据'!$B$233:$B$352,'03_原始数据'!$C$233:$C$352),""),"")</f>
        <v/>
      </c>
      <c r="E352" s="34">
        <f>IF(1=1,IFERROR(CORREL('03_原始数据'!$G$293:$G$352,'03_原始数据'!$H$293:$H$352),""),"")</f>
        <v/>
      </c>
      <c r="F352" s="55">
        <f>IF(N(B352)=0,"不足","有效")</f>
        <v/>
      </c>
    </row>
    <row r="353" ht="17" customHeight="1">
      <c r="A353" s="38">
        <f>'03_原始数据'!A353</f>
        <v/>
      </c>
      <c r="B353" s="31">
        <f>IF(1=1,IFERROR(CORREL('03_原始数据'!$B$334:$B$353,'03_原始数据'!$C$334:$C$353),""),"")</f>
        <v/>
      </c>
      <c r="C353" s="31">
        <f>IF(1=1,IFERROR(CORREL('03_原始数据'!$B$294:$B$353,'03_原始数据'!$C$294:$C$353),""),"")</f>
        <v/>
      </c>
      <c r="D353" s="31">
        <f>IF(1=1,IFERROR(CORREL('03_原始数据'!$B$234:$B$353,'03_原始数据'!$C$234:$C$353),""),"")</f>
        <v/>
      </c>
      <c r="E353" s="31">
        <f>IF(1=1,IFERROR(CORREL('03_原始数据'!$G$294:$G$353,'03_原始数据'!$H$294:$H$353),""),"")</f>
        <v/>
      </c>
      <c r="F353" s="54">
        <f>IF(N(B353)=0,"不足","有效")</f>
        <v/>
      </c>
    </row>
    <row r="354" ht="17" customHeight="1">
      <c r="A354" s="40">
        <f>'03_原始数据'!A354</f>
        <v/>
      </c>
      <c r="B354" s="34">
        <f>IF(1=1,IFERROR(CORREL('03_原始数据'!$B$335:$B$354,'03_原始数据'!$C$335:$C$354),""),"")</f>
        <v/>
      </c>
      <c r="C354" s="34">
        <f>IF(1=1,IFERROR(CORREL('03_原始数据'!$B$295:$B$354,'03_原始数据'!$C$295:$C$354),""),"")</f>
        <v/>
      </c>
      <c r="D354" s="34">
        <f>IF(1=1,IFERROR(CORREL('03_原始数据'!$B$235:$B$354,'03_原始数据'!$C$235:$C$354),""),"")</f>
        <v/>
      </c>
      <c r="E354" s="34">
        <f>IF(1=1,IFERROR(CORREL('03_原始数据'!$G$295:$G$354,'03_原始数据'!$H$295:$H$354),""),"")</f>
        <v/>
      </c>
      <c r="F354" s="55">
        <f>IF(N(B354)=0,"不足","有效")</f>
        <v/>
      </c>
    </row>
    <row r="355" ht="17" customHeight="1">
      <c r="A355" s="38">
        <f>'03_原始数据'!A355</f>
        <v/>
      </c>
      <c r="B355" s="31">
        <f>IF(1=1,IFERROR(CORREL('03_原始数据'!$B$336:$B$355,'03_原始数据'!$C$336:$C$355),""),"")</f>
        <v/>
      </c>
      <c r="C355" s="31">
        <f>IF(1=1,IFERROR(CORREL('03_原始数据'!$B$296:$B$355,'03_原始数据'!$C$296:$C$355),""),"")</f>
        <v/>
      </c>
      <c r="D355" s="31">
        <f>IF(1=1,IFERROR(CORREL('03_原始数据'!$B$236:$B$355,'03_原始数据'!$C$236:$C$355),""),"")</f>
        <v/>
      </c>
      <c r="E355" s="31">
        <f>IF(1=1,IFERROR(CORREL('03_原始数据'!$G$296:$G$355,'03_原始数据'!$H$296:$H$355),""),"")</f>
        <v/>
      </c>
      <c r="F355" s="54">
        <f>IF(N(B355)=0,"不足","有效")</f>
        <v/>
      </c>
    </row>
    <row r="356" ht="17" customHeight="1">
      <c r="A356" s="40">
        <f>'03_原始数据'!A356</f>
        <v/>
      </c>
      <c r="B356" s="34">
        <f>IF(1=1,IFERROR(CORREL('03_原始数据'!$B$337:$B$356,'03_原始数据'!$C$337:$C$356),""),"")</f>
        <v/>
      </c>
      <c r="C356" s="34">
        <f>IF(1=1,IFERROR(CORREL('03_原始数据'!$B$297:$B$356,'03_原始数据'!$C$297:$C$356),""),"")</f>
        <v/>
      </c>
      <c r="D356" s="34">
        <f>IF(1=1,IFERROR(CORREL('03_原始数据'!$B$237:$B$356,'03_原始数据'!$C$237:$C$356),""),"")</f>
        <v/>
      </c>
      <c r="E356" s="34">
        <f>IF(1=1,IFERROR(CORREL('03_原始数据'!$G$297:$G$356,'03_原始数据'!$H$297:$H$356),""),"")</f>
        <v/>
      </c>
      <c r="F356" s="55">
        <f>IF(N(B356)=0,"不足","有效")</f>
        <v/>
      </c>
    </row>
    <row r="357" ht="17" customHeight="1">
      <c r="A357" s="38">
        <f>'03_原始数据'!A357</f>
        <v/>
      </c>
      <c r="B357" s="31">
        <f>IF(1=1,IFERROR(CORREL('03_原始数据'!$B$338:$B$357,'03_原始数据'!$C$338:$C$357),""),"")</f>
        <v/>
      </c>
      <c r="C357" s="31">
        <f>IF(1=1,IFERROR(CORREL('03_原始数据'!$B$298:$B$357,'03_原始数据'!$C$298:$C$357),""),"")</f>
        <v/>
      </c>
      <c r="D357" s="31">
        <f>IF(1=1,IFERROR(CORREL('03_原始数据'!$B$238:$B$357,'03_原始数据'!$C$238:$C$357),""),"")</f>
        <v/>
      </c>
      <c r="E357" s="31">
        <f>IF(1=1,IFERROR(CORREL('03_原始数据'!$G$298:$G$357,'03_原始数据'!$H$298:$H$357),""),"")</f>
        <v/>
      </c>
      <c r="F357" s="54">
        <f>IF(N(B357)=0,"不足","有效")</f>
        <v/>
      </c>
    </row>
    <row r="358" ht="17" customHeight="1">
      <c r="A358" s="40">
        <f>'03_原始数据'!A358</f>
        <v/>
      </c>
      <c r="B358" s="34">
        <f>IF(1=1,IFERROR(CORREL('03_原始数据'!$B$339:$B$358,'03_原始数据'!$C$339:$C$358),""),"")</f>
        <v/>
      </c>
      <c r="C358" s="34">
        <f>IF(1=1,IFERROR(CORREL('03_原始数据'!$B$299:$B$358,'03_原始数据'!$C$299:$C$358),""),"")</f>
        <v/>
      </c>
      <c r="D358" s="34">
        <f>IF(1=1,IFERROR(CORREL('03_原始数据'!$B$239:$B$358,'03_原始数据'!$C$239:$C$358),""),"")</f>
        <v/>
      </c>
      <c r="E358" s="34">
        <f>IF(1=1,IFERROR(CORREL('03_原始数据'!$G$299:$G$358,'03_原始数据'!$H$299:$H$358),""),"")</f>
        <v/>
      </c>
      <c r="F358" s="55">
        <f>IF(N(B358)=0,"不足","有效")</f>
        <v/>
      </c>
    </row>
    <row r="359" ht="17" customHeight="1">
      <c r="A359" s="38">
        <f>'03_原始数据'!A359</f>
        <v/>
      </c>
      <c r="B359" s="31">
        <f>IF(1=1,IFERROR(CORREL('03_原始数据'!$B$340:$B$359,'03_原始数据'!$C$340:$C$359),""),"")</f>
        <v/>
      </c>
      <c r="C359" s="31">
        <f>IF(1=1,IFERROR(CORREL('03_原始数据'!$B$300:$B$359,'03_原始数据'!$C$300:$C$359),""),"")</f>
        <v/>
      </c>
      <c r="D359" s="31">
        <f>IF(1=1,IFERROR(CORREL('03_原始数据'!$B$240:$B$359,'03_原始数据'!$C$240:$C$359),""),"")</f>
        <v/>
      </c>
      <c r="E359" s="31">
        <f>IF(1=1,IFERROR(CORREL('03_原始数据'!$G$300:$G$359,'03_原始数据'!$H$300:$H$359),""),"")</f>
        <v/>
      </c>
      <c r="F359" s="54">
        <f>IF(N(B359)=0,"不足","有效")</f>
        <v/>
      </c>
    </row>
    <row r="360" ht="17" customHeight="1">
      <c r="A360" s="40">
        <f>'03_原始数据'!A360</f>
        <v/>
      </c>
      <c r="B360" s="34">
        <f>IF(1=1,IFERROR(CORREL('03_原始数据'!$B$341:$B$360,'03_原始数据'!$C$341:$C$360),""),"")</f>
        <v/>
      </c>
      <c r="C360" s="34">
        <f>IF(1=1,IFERROR(CORREL('03_原始数据'!$B$301:$B$360,'03_原始数据'!$C$301:$C$360),""),"")</f>
        <v/>
      </c>
      <c r="D360" s="34">
        <f>IF(1=1,IFERROR(CORREL('03_原始数据'!$B$241:$B$360,'03_原始数据'!$C$241:$C$360),""),"")</f>
        <v/>
      </c>
      <c r="E360" s="34">
        <f>IF(1=1,IFERROR(CORREL('03_原始数据'!$G$301:$G$360,'03_原始数据'!$H$301:$H$360),""),"")</f>
        <v/>
      </c>
      <c r="F360" s="55">
        <f>IF(N(B360)=0,"不足","有效")</f>
        <v/>
      </c>
    </row>
    <row r="361" ht="17" customHeight="1">
      <c r="A361" s="38">
        <f>'03_原始数据'!A361</f>
        <v/>
      </c>
      <c r="B361" s="31">
        <f>IF(1=1,IFERROR(CORREL('03_原始数据'!$B$342:$B$361,'03_原始数据'!$C$342:$C$361),""),"")</f>
        <v/>
      </c>
      <c r="C361" s="31">
        <f>IF(1=1,IFERROR(CORREL('03_原始数据'!$B$302:$B$361,'03_原始数据'!$C$302:$C$361),""),"")</f>
        <v/>
      </c>
      <c r="D361" s="31">
        <f>IF(1=1,IFERROR(CORREL('03_原始数据'!$B$242:$B$361,'03_原始数据'!$C$242:$C$361),""),"")</f>
        <v/>
      </c>
      <c r="E361" s="31">
        <f>IF(1=1,IFERROR(CORREL('03_原始数据'!$G$302:$G$361,'03_原始数据'!$H$302:$H$361),""),"")</f>
        <v/>
      </c>
      <c r="F361" s="54">
        <f>IF(N(B361)=0,"不足","有效")</f>
        <v/>
      </c>
    </row>
    <row r="362" ht="17" customHeight="1">
      <c r="A362" s="40">
        <f>'03_原始数据'!A362</f>
        <v/>
      </c>
      <c r="B362" s="34">
        <f>IF(1=1,IFERROR(CORREL('03_原始数据'!$B$343:$B$362,'03_原始数据'!$C$343:$C$362),""),"")</f>
        <v/>
      </c>
      <c r="C362" s="34">
        <f>IF(1=1,IFERROR(CORREL('03_原始数据'!$B$303:$B$362,'03_原始数据'!$C$303:$C$362),""),"")</f>
        <v/>
      </c>
      <c r="D362" s="34">
        <f>IF(1=1,IFERROR(CORREL('03_原始数据'!$B$243:$B$362,'03_原始数据'!$C$243:$C$362),""),"")</f>
        <v/>
      </c>
      <c r="E362" s="34">
        <f>IF(1=1,IFERROR(CORREL('03_原始数据'!$G$303:$G$362,'03_原始数据'!$H$303:$H$362),""),"")</f>
        <v/>
      </c>
      <c r="F362" s="55">
        <f>IF(N(B362)=0,"不足","有效")</f>
        <v/>
      </c>
    </row>
    <row r="363" ht="17" customHeight="1">
      <c r="A363" s="38">
        <f>'03_原始数据'!A363</f>
        <v/>
      </c>
      <c r="B363" s="31">
        <f>IF(1=1,IFERROR(CORREL('03_原始数据'!$B$344:$B$363,'03_原始数据'!$C$344:$C$363),""),"")</f>
        <v/>
      </c>
      <c r="C363" s="31">
        <f>IF(1=1,IFERROR(CORREL('03_原始数据'!$B$304:$B$363,'03_原始数据'!$C$304:$C$363),""),"")</f>
        <v/>
      </c>
      <c r="D363" s="31">
        <f>IF(1=1,IFERROR(CORREL('03_原始数据'!$B$244:$B$363,'03_原始数据'!$C$244:$C$363),""),"")</f>
        <v/>
      </c>
      <c r="E363" s="31">
        <f>IF(1=1,IFERROR(CORREL('03_原始数据'!$G$304:$G$363,'03_原始数据'!$H$304:$H$363),""),"")</f>
        <v/>
      </c>
      <c r="F363" s="54">
        <f>IF(N(B363)=0,"不足","有效")</f>
        <v/>
      </c>
    </row>
    <row r="364" ht="17" customHeight="1">
      <c r="A364" s="40">
        <f>'03_原始数据'!A364</f>
        <v/>
      </c>
      <c r="B364" s="34">
        <f>IF(1=1,IFERROR(CORREL('03_原始数据'!$B$345:$B$364,'03_原始数据'!$C$345:$C$364),""),"")</f>
        <v/>
      </c>
      <c r="C364" s="34">
        <f>IF(1=1,IFERROR(CORREL('03_原始数据'!$B$305:$B$364,'03_原始数据'!$C$305:$C$364),""),"")</f>
        <v/>
      </c>
      <c r="D364" s="34">
        <f>IF(1=1,IFERROR(CORREL('03_原始数据'!$B$245:$B$364,'03_原始数据'!$C$245:$C$364),""),"")</f>
        <v/>
      </c>
      <c r="E364" s="34">
        <f>IF(1=1,IFERROR(CORREL('03_原始数据'!$G$305:$G$364,'03_原始数据'!$H$305:$H$364),""),"")</f>
        <v/>
      </c>
      <c r="F364" s="55">
        <f>IF(N(B364)=0,"不足","有效")</f>
        <v/>
      </c>
    </row>
    <row r="365" ht="17" customHeight="1">
      <c r="A365" s="38">
        <f>'03_原始数据'!A365</f>
        <v/>
      </c>
      <c r="B365" s="31">
        <f>IF(1=1,IFERROR(CORREL('03_原始数据'!$B$346:$B$365,'03_原始数据'!$C$346:$C$365),""),"")</f>
        <v/>
      </c>
      <c r="C365" s="31">
        <f>IF(1=1,IFERROR(CORREL('03_原始数据'!$B$306:$B$365,'03_原始数据'!$C$306:$C$365),""),"")</f>
        <v/>
      </c>
      <c r="D365" s="31">
        <f>IF(1=1,IFERROR(CORREL('03_原始数据'!$B$246:$B$365,'03_原始数据'!$C$246:$C$365),""),"")</f>
        <v/>
      </c>
      <c r="E365" s="31">
        <f>IF(1=1,IFERROR(CORREL('03_原始数据'!$G$306:$G$365,'03_原始数据'!$H$306:$H$365),""),"")</f>
        <v/>
      </c>
      <c r="F365" s="54">
        <f>IF(N(B365)=0,"不足","有效")</f>
        <v/>
      </c>
    </row>
    <row r="366" ht="17" customHeight="1">
      <c r="A366" s="40">
        <f>'03_原始数据'!A366</f>
        <v/>
      </c>
      <c r="B366" s="34">
        <f>IF(1=1,IFERROR(CORREL('03_原始数据'!$B$347:$B$366,'03_原始数据'!$C$347:$C$366),""),"")</f>
        <v/>
      </c>
      <c r="C366" s="34">
        <f>IF(1=1,IFERROR(CORREL('03_原始数据'!$B$307:$B$366,'03_原始数据'!$C$307:$C$366),""),"")</f>
        <v/>
      </c>
      <c r="D366" s="34">
        <f>IF(1=1,IFERROR(CORREL('03_原始数据'!$B$247:$B$366,'03_原始数据'!$C$247:$C$366),""),"")</f>
        <v/>
      </c>
      <c r="E366" s="34">
        <f>IF(1=1,IFERROR(CORREL('03_原始数据'!$G$307:$G$366,'03_原始数据'!$H$307:$H$366),""),"")</f>
        <v/>
      </c>
      <c r="F366" s="55">
        <f>IF(N(B366)=0,"不足","有效")</f>
        <v/>
      </c>
    </row>
    <row r="367" ht="17" customHeight="1">
      <c r="A367" s="38">
        <f>'03_原始数据'!A367</f>
        <v/>
      </c>
      <c r="B367" s="31">
        <f>IF(1=1,IFERROR(CORREL('03_原始数据'!$B$348:$B$367,'03_原始数据'!$C$348:$C$367),""),"")</f>
        <v/>
      </c>
      <c r="C367" s="31">
        <f>IF(1=1,IFERROR(CORREL('03_原始数据'!$B$308:$B$367,'03_原始数据'!$C$308:$C$367),""),"")</f>
        <v/>
      </c>
      <c r="D367" s="31">
        <f>IF(1=1,IFERROR(CORREL('03_原始数据'!$B$248:$B$367,'03_原始数据'!$C$248:$C$367),""),"")</f>
        <v/>
      </c>
      <c r="E367" s="31">
        <f>IF(1=1,IFERROR(CORREL('03_原始数据'!$G$308:$G$367,'03_原始数据'!$H$308:$H$367),""),"")</f>
        <v/>
      </c>
      <c r="F367" s="54">
        <f>IF(N(B367)=0,"不足","有效")</f>
        <v/>
      </c>
    </row>
    <row r="368" ht="17" customHeight="1">
      <c r="A368" s="40">
        <f>'03_原始数据'!A368</f>
        <v/>
      </c>
      <c r="B368" s="34">
        <f>IF(1=1,IFERROR(CORREL('03_原始数据'!$B$349:$B$368,'03_原始数据'!$C$349:$C$368),""),"")</f>
        <v/>
      </c>
      <c r="C368" s="34">
        <f>IF(1=1,IFERROR(CORREL('03_原始数据'!$B$309:$B$368,'03_原始数据'!$C$309:$C$368),""),"")</f>
        <v/>
      </c>
      <c r="D368" s="34">
        <f>IF(1=1,IFERROR(CORREL('03_原始数据'!$B$249:$B$368,'03_原始数据'!$C$249:$C$368),""),"")</f>
        <v/>
      </c>
      <c r="E368" s="34">
        <f>IF(1=1,IFERROR(CORREL('03_原始数据'!$G$309:$G$368,'03_原始数据'!$H$309:$H$368),""),"")</f>
        <v/>
      </c>
      <c r="F368" s="55">
        <f>IF(N(B368)=0,"不足","有效")</f>
        <v/>
      </c>
    </row>
    <row r="369" ht="17" customHeight="1">
      <c r="A369" s="38">
        <f>'03_原始数据'!A369</f>
        <v/>
      </c>
      <c r="B369" s="31">
        <f>IF(1=1,IFERROR(CORREL('03_原始数据'!$B$350:$B$369,'03_原始数据'!$C$350:$C$369),""),"")</f>
        <v/>
      </c>
      <c r="C369" s="31">
        <f>IF(1=1,IFERROR(CORREL('03_原始数据'!$B$310:$B$369,'03_原始数据'!$C$310:$C$369),""),"")</f>
        <v/>
      </c>
      <c r="D369" s="31">
        <f>IF(1=1,IFERROR(CORREL('03_原始数据'!$B$250:$B$369,'03_原始数据'!$C$250:$C$369),""),"")</f>
        <v/>
      </c>
      <c r="E369" s="31">
        <f>IF(1=1,IFERROR(CORREL('03_原始数据'!$G$310:$G$369,'03_原始数据'!$H$310:$H$369),""),"")</f>
        <v/>
      </c>
      <c r="F369" s="54">
        <f>IF(N(B369)=0,"不足","有效")</f>
        <v/>
      </c>
    </row>
    <row r="370" ht="17" customHeight="1">
      <c r="A370" s="40">
        <f>'03_原始数据'!A370</f>
        <v/>
      </c>
      <c r="B370" s="34">
        <f>IF(1=1,IFERROR(CORREL('03_原始数据'!$B$351:$B$370,'03_原始数据'!$C$351:$C$370),""),"")</f>
        <v/>
      </c>
      <c r="C370" s="34">
        <f>IF(1=1,IFERROR(CORREL('03_原始数据'!$B$311:$B$370,'03_原始数据'!$C$311:$C$370),""),"")</f>
        <v/>
      </c>
      <c r="D370" s="34">
        <f>IF(1=1,IFERROR(CORREL('03_原始数据'!$B$251:$B$370,'03_原始数据'!$C$251:$C$370),""),"")</f>
        <v/>
      </c>
      <c r="E370" s="34">
        <f>IF(1=1,IFERROR(CORREL('03_原始数据'!$G$311:$G$370,'03_原始数据'!$H$311:$H$370),""),"")</f>
        <v/>
      </c>
      <c r="F370" s="55">
        <f>IF(N(B370)=0,"不足","有效")</f>
        <v/>
      </c>
    </row>
    <row r="371" ht="17" customHeight="1">
      <c r="A371" s="38">
        <f>'03_原始数据'!A371</f>
        <v/>
      </c>
      <c r="B371" s="31">
        <f>IF(1=1,IFERROR(CORREL('03_原始数据'!$B$352:$B$371,'03_原始数据'!$C$352:$C$371),""),"")</f>
        <v/>
      </c>
      <c r="C371" s="31">
        <f>IF(1=1,IFERROR(CORREL('03_原始数据'!$B$312:$B$371,'03_原始数据'!$C$312:$C$371),""),"")</f>
        <v/>
      </c>
      <c r="D371" s="31">
        <f>IF(1=1,IFERROR(CORREL('03_原始数据'!$B$252:$B$371,'03_原始数据'!$C$252:$C$371),""),"")</f>
        <v/>
      </c>
      <c r="E371" s="31">
        <f>IF(1=1,IFERROR(CORREL('03_原始数据'!$G$312:$G$371,'03_原始数据'!$H$312:$H$371),""),"")</f>
        <v/>
      </c>
      <c r="F371" s="54">
        <f>IF(N(B371)=0,"不足","有效")</f>
        <v/>
      </c>
    </row>
    <row r="372" ht="17" customHeight="1">
      <c r="A372" s="40">
        <f>'03_原始数据'!A372</f>
        <v/>
      </c>
      <c r="B372" s="34">
        <f>IF(1=1,IFERROR(CORREL('03_原始数据'!$B$353:$B$372,'03_原始数据'!$C$353:$C$372),""),"")</f>
        <v/>
      </c>
      <c r="C372" s="34">
        <f>IF(1=1,IFERROR(CORREL('03_原始数据'!$B$313:$B$372,'03_原始数据'!$C$313:$C$372),""),"")</f>
        <v/>
      </c>
      <c r="D372" s="34">
        <f>IF(1=1,IFERROR(CORREL('03_原始数据'!$B$253:$B$372,'03_原始数据'!$C$253:$C$372),""),"")</f>
        <v/>
      </c>
      <c r="E372" s="34">
        <f>IF(1=1,IFERROR(CORREL('03_原始数据'!$G$313:$G$372,'03_原始数据'!$H$313:$H$372),""),"")</f>
        <v/>
      </c>
      <c r="F372" s="55">
        <f>IF(N(B372)=0,"不足","有效")</f>
        <v/>
      </c>
    </row>
    <row r="373" ht="17" customHeight="1">
      <c r="A373" s="38">
        <f>'03_原始数据'!A373</f>
        <v/>
      </c>
      <c r="B373" s="31">
        <f>IF(1=1,IFERROR(CORREL('03_原始数据'!$B$354:$B$373,'03_原始数据'!$C$354:$C$373),""),"")</f>
        <v/>
      </c>
      <c r="C373" s="31">
        <f>IF(1=1,IFERROR(CORREL('03_原始数据'!$B$314:$B$373,'03_原始数据'!$C$314:$C$373),""),"")</f>
        <v/>
      </c>
      <c r="D373" s="31">
        <f>IF(1=1,IFERROR(CORREL('03_原始数据'!$B$254:$B$373,'03_原始数据'!$C$254:$C$373),""),"")</f>
        <v/>
      </c>
      <c r="E373" s="31">
        <f>IF(1=1,IFERROR(CORREL('03_原始数据'!$G$314:$G$373,'03_原始数据'!$H$314:$H$373),""),"")</f>
        <v/>
      </c>
      <c r="F373" s="54">
        <f>IF(N(B373)=0,"不足","有效")</f>
        <v/>
      </c>
    </row>
    <row r="374" ht="17" customHeight="1">
      <c r="A374" s="40">
        <f>'03_原始数据'!A374</f>
        <v/>
      </c>
      <c r="B374" s="34">
        <f>IF(1=1,IFERROR(CORREL('03_原始数据'!$B$355:$B$374,'03_原始数据'!$C$355:$C$374),""),"")</f>
        <v/>
      </c>
      <c r="C374" s="34">
        <f>IF(1=1,IFERROR(CORREL('03_原始数据'!$B$315:$B$374,'03_原始数据'!$C$315:$C$374),""),"")</f>
        <v/>
      </c>
      <c r="D374" s="34">
        <f>IF(1=1,IFERROR(CORREL('03_原始数据'!$B$255:$B$374,'03_原始数据'!$C$255:$C$374),""),"")</f>
        <v/>
      </c>
      <c r="E374" s="34">
        <f>IF(1=1,IFERROR(CORREL('03_原始数据'!$G$315:$G$374,'03_原始数据'!$H$315:$H$374),""),"")</f>
        <v/>
      </c>
      <c r="F374" s="55">
        <f>IF(N(B374)=0,"不足","有效")</f>
        <v/>
      </c>
    </row>
    <row r="375" ht="17" customHeight="1">
      <c r="A375" s="38">
        <f>'03_原始数据'!A375</f>
        <v/>
      </c>
      <c r="B375" s="31">
        <f>IF(1=1,IFERROR(CORREL('03_原始数据'!$B$356:$B$375,'03_原始数据'!$C$356:$C$375),""),"")</f>
        <v/>
      </c>
      <c r="C375" s="31">
        <f>IF(1=1,IFERROR(CORREL('03_原始数据'!$B$316:$B$375,'03_原始数据'!$C$316:$C$375),""),"")</f>
        <v/>
      </c>
      <c r="D375" s="31">
        <f>IF(1=1,IFERROR(CORREL('03_原始数据'!$B$256:$B$375,'03_原始数据'!$C$256:$C$375),""),"")</f>
        <v/>
      </c>
      <c r="E375" s="31">
        <f>IF(1=1,IFERROR(CORREL('03_原始数据'!$G$316:$G$375,'03_原始数据'!$H$316:$H$375),""),"")</f>
        <v/>
      </c>
      <c r="F375" s="54">
        <f>IF(N(B375)=0,"不足","有效")</f>
        <v/>
      </c>
    </row>
    <row r="376" ht="17" customHeight="1">
      <c r="A376" s="40">
        <f>'03_原始数据'!A376</f>
        <v/>
      </c>
      <c r="B376" s="34">
        <f>IF(1=1,IFERROR(CORREL('03_原始数据'!$B$357:$B$376,'03_原始数据'!$C$357:$C$376),""),"")</f>
        <v/>
      </c>
      <c r="C376" s="34">
        <f>IF(1=1,IFERROR(CORREL('03_原始数据'!$B$317:$B$376,'03_原始数据'!$C$317:$C$376),""),"")</f>
        <v/>
      </c>
      <c r="D376" s="34">
        <f>IF(1=1,IFERROR(CORREL('03_原始数据'!$B$257:$B$376,'03_原始数据'!$C$257:$C$376),""),"")</f>
        <v/>
      </c>
      <c r="E376" s="34">
        <f>IF(1=1,IFERROR(CORREL('03_原始数据'!$G$317:$G$376,'03_原始数据'!$H$317:$H$376),""),"")</f>
        <v/>
      </c>
      <c r="F376" s="55">
        <f>IF(N(B376)=0,"不足","有效")</f>
        <v/>
      </c>
    </row>
    <row r="377" ht="17" customHeight="1">
      <c r="A377" s="38">
        <f>'03_原始数据'!A377</f>
        <v/>
      </c>
      <c r="B377" s="31">
        <f>IF(1=1,IFERROR(CORREL('03_原始数据'!$B$358:$B$377,'03_原始数据'!$C$358:$C$377),""),"")</f>
        <v/>
      </c>
      <c r="C377" s="31">
        <f>IF(1=1,IFERROR(CORREL('03_原始数据'!$B$318:$B$377,'03_原始数据'!$C$318:$C$377),""),"")</f>
        <v/>
      </c>
      <c r="D377" s="31">
        <f>IF(1=1,IFERROR(CORREL('03_原始数据'!$B$258:$B$377,'03_原始数据'!$C$258:$C$377),""),"")</f>
        <v/>
      </c>
      <c r="E377" s="31">
        <f>IF(1=1,IFERROR(CORREL('03_原始数据'!$G$318:$G$377,'03_原始数据'!$H$318:$H$377),""),"")</f>
        <v/>
      </c>
      <c r="F377" s="54">
        <f>IF(N(B377)=0,"不足","有效")</f>
        <v/>
      </c>
    </row>
    <row r="378" ht="17" customHeight="1">
      <c r="A378" s="40">
        <f>'03_原始数据'!A378</f>
        <v/>
      </c>
      <c r="B378" s="34">
        <f>IF(1=1,IFERROR(CORREL('03_原始数据'!$B$359:$B$378,'03_原始数据'!$C$359:$C$378),""),"")</f>
        <v/>
      </c>
      <c r="C378" s="34">
        <f>IF(1=1,IFERROR(CORREL('03_原始数据'!$B$319:$B$378,'03_原始数据'!$C$319:$C$378),""),"")</f>
        <v/>
      </c>
      <c r="D378" s="34">
        <f>IF(1=1,IFERROR(CORREL('03_原始数据'!$B$259:$B$378,'03_原始数据'!$C$259:$C$378),""),"")</f>
        <v/>
      </c>
      <c r="E378" s="34">
        <f>IF(1=1,IFERROR(CORREL('03_原始数据'!$G$319:$G$378,'03_原始数据'!$H$319:$H$378),""),"")</f>
        <v/>
      </c>
      <c r="F378" s="55">
        <f>IF(N(B378)=0,"不足","有效")</f>
        <v/>
      </c>
    </row>
    <row r="379" ht="17" customHeight="1">
      <c r="A379" s="38">
        <f>'03_原始数据'!A379</f>
        <v/>
      </c>
      <c r="B379" s="31">
        <f>IF(1=1,IFERROR(CORREL('03_原始数据'!$B$360:$B$379,'03_原始数据'!$C$360:$C$379),""),"")</f>
        <v/>
      </c>
      <c r="C379" s="31">
        <f>IF(1=1,IFERROR(CORREL('03_原始数据'!$B$320:$B$379,'03_原始数据'!$C$320:$C$379),""),"")</f>
        <v/>
      </c>
      <c r="D379" s="31">
        <f>IF(1=1,IFERROR(CORREL('03_原始数据'!$B$260:$B$379,'03_原始数据'!$C$260:$C$379),""),"")</f>
        <v/>
      </c>
      <c r="E379" s="31">
        <f>IF(1=1,IFERROR(CORREL('03_原始数据'!$G$320:$G$379,'03_原始数据'!$H$320:$H$379),""),"")</f>
        <v/>
      </c>
      <c r="F379" s="54">
        <f>IF(N(B379)=0,"不足","有效")</f>
        <v/>
      </c>
    </row>
    <row r="380" ht="17" customHeight="1">
      <c r="A380" s="40">
        <f>'03_原始数据'!A380</f>
        <v/>
      </c>
      <c r="B380" s="34">
        <f>IF(1=1,IFERROR(CORREL('03_原始数据'!$B$361:$B$380,'03_原始数据'!$C$361:$C$380),""),"")</f>
        <v/>
      </c>
      <c r="C380" s="34">
        <f>IF(1=1,IFERROR(CORREL('03_原始数据'!$B$321:$B$380,'03_原始数据'!$C$321:$C$380),""),"")</f>
        <v/>
      </c>
      <c r="D380" s="34">
        <f>IF(1=1,IFERROR(CORREL('03_原始数据'!$B$261:$B$380,'03_原始数据'!$C$261:$C$380),""),"")</f>
        <v/>
      </c>
      <c r="E380" s="34">
        <f>IF(1=1,IFERROR(CORREL('03_原始数据'!$G$321:$G$380,'03_原始数据'!$H$321:$H$380),""),"")</f>
        <v/>
      </c>
      <c r="F380" s="55">
        <f>IF(N(B380)=0,"不足","有效")</f>
        <v/>
      </c>
    </row>
    <row r="381" ht="17" customHeight="1">
      <c r="A381" s="38">
        <f>'03_原始数据'!A381</f>
        <v/>
      </c>
      <c r="B381" s="31">
        <f>IF(1=1,IFERROR(CORREL('03_原始数据'!$B$362:$B$381,'03_原始数据'!$C$362:$C$381),""),"")</f>
        <v/>
      </c>
      <c r="C381" s="31">
        <f>IF(1=1,IFERROR(CORREL('03_原始数据'!$B$322:$B$381,'03_原始数据'!$C$322:$C$381),""),"")</f>
        <v/>
      </c>
      <c r="D381" s="31">
        <f>IF(1=1,IFERROR(CORREL('03_原始数据'!$B$262:$B$381,'03_原始数据'!$C$262:$C$381),""),"")</f>
        <v/>
      </c>
      <c r="E381" s="31">
        <f>IF(1=1,IFERROR(CORREL('03_原始数据'!$G$322:$G$381,'03_原始数据'!$H$322:$H$381),""),"")</f>
        <v/>
      </c>
      <c r="F381" s="54">
        <f>IF(N(B381)=0,"不足","有效")</f>
        <v/>
      </c>
    </row>
    <row r="382" ht="17" customHeight="1">
      <c r="A382" s="40">
        <f>'03_原始数据'!A382</f>
        <v/>
      </c>
      <c r="B382" s="34">
        <f>IF(1=1,IFERROR(CORREL('03_原始数据'!$B$363:$B$382,'03_原始数据'!$C$363:$C$382),""),"")</f>
        <v/>
      </c>
      <c r="C382" s="34">
        <f>IF(1=1,IFERROR(CORREL('03_原始数据'!$B$323:$B$382,'03_原始数据'!$C$323:$C$382),""),"")</f>
        <v/>
      </c>
      <c r="D382" s="34">
        <f>IF(1=1,IFERROR(CORREL('03_原始数据'!$B$263:$B$382,'03_原始数据'!$C$263:$C$382),""),"")</f>
        <v/>
      </c>
      <c r="E382" s="34">
        <f>IF(1=1,IFERROR(CORREL('03_原始数据'!$G$323:$G$382,'03_原始数据'!$H$323:$H$382),""),"")</f>
        <v/>
      </c>
      <c r="F382" s="55">
        <f>IF(N(B382)=0,"不足","有效")</f>
        <v/>
      </c>
    </row>
    <row r="383" ht="17" customHeight="1">
      <c r="A383" s="38">
        <f>'03_原始数据'!A383</f>
        <v/>
      </c>
      <c r="B383" s="31">
        <f>IF(1=1,IFERROR(CORREL('03_原始数据'!$B$364:$B$383,'03_原始数据'!$C$364:$C$383),""),"")</f>
        <v/>
      </c>
      <c r="C383" s="31">
        <f>IF(1=1,IFERROR(CORREL('03_原始数据'!$B$324:$B$383,'03_原始数据'!$C$324:$C$383),""),"")</f>
        <v/>
      </c>
      <c r="D383" s="31">
        <f>IF(1=1,IFERROR(CORREL('03_原始数据'!$B$264:$B$383,'03_原始数据'!$C$264:$C$383),""),"")</f>
        <v/>
      </c>
      <c r="E383" s="31">
        <f>IF(1=1,IFERROR(CORREL('03_原始数据'!$G$324:$G$383,'03_原始数据'!$H$324:$H$383),""),"")</f>
        <v/>
      </c>
      <c r="F383" s="54">
        <f>IF(N(B383)=0,"不足","有效")</f>
        <v/>
      </c>
    </row>
    <row r="384" ht="17" customHeight="1">
      <c r="A384" s="40">
        <f>'03_原始数据'!A384</f>
        <v/>
      </c>
      <c r="B384" s="34">
        <f>IF(1=1,IFERROR(CORREL('03_原始数据'!$B$365:$B$384,'03_原始数据'!$C$365:$C$384),""),"")</f>
        <v/>
      </c>
      <c r="C384" s="34">
        <f>IF(1=1,IFERROR(CORREL('03_原始数据'!$B$325:$B$384,'03_原始数据'!$C$325:$C$384),""),"")</f>
        <v/>
      </c>
      <c r="D384" s="34">
        <f>IF(1=1,IFERROR(CORREL('03_原始数据'!$B$265:$B$384,'03_原始数据'!$C$265:$C$384),""),"")</f>
        <v/>
      </c>
      <c r="E384" s="34">
        <f>IF(1=1,IFERROR(CORREL('03_原始数据'!$G$325:$G$384,'03_原始数据'!$H$325:$H$384),""),"")</f>
        <v/>
      </c>
      <c r="F384" s="55">
        <f>IF(N(B384)=0,"不足","有效")</f>
        <v/>
      </c>
    </row>
    <row r="385" ht="17" customHeight="1">
      <c r="A385" s="38">
        <f>'03_原始数据'!A385</f>
        <v/>
      </c>
      <c r="B385" s="31">
        <f>IF(1=1,IFERROR(CORREL('03_原始数据'!$B$366:$B$385,'03_原始数据'!$C$366:$C$385),""),"")</f>
        <v/>
      </c>
      <c r="C385" s="31">
        <f>IF(1=1,IFERROR(CORREL('03_原始数据'!$B$326:$B$385,'03_原始数据'!$C$326:$C$385),""),"")</f>
        <v/>
      </c>
      <c r="D385" s="31">
        <f>IF(1=1,IFERROR(CORREL('03_原始数据'!$B$266:$B$385,'03_原始数据'!$C$266:$C$385),""),"")</f>
        <v/>
      </c>
      <c r="E385" s="31">
        <f>IF(1=1,IFERROR(CORREL('03_原始数据'!$G$326:$G$385,'03_原始数据'!$H$326:$H$385),""),"")</f>
        <v/>
      </c>
      <c r="F385" s="54">
        <f>IF(N(B385)=0,"不足","有效")</f>
        <v/>
      </c>
    </row>
    <row r="386" ht="17" customHeight="1">
      <c r="A386" s="40">
        <f>'03_原始数据'!A386</f>
        <v/>
      </c>
      <c r="B386" s="34">
        <f>IF(1=1,IFERROR(CORREL('03_原始数据'!$B$367:$B$386,'03_原始数据'!$C$367:$C$386),""),"")</f>
        <v/>
      </c>
      <c r="C386" s="34">
        <f>IF(1=1,IFERROR(CORREL('03_原始数据'!$B$327:$B$386,'03_原始数据'!$C$327:$C$386),""),"")</f>
        <v/>
      </c>
      <c r="D386" s="34">
        <f>IF(1=1,IFERROR(CORREL('03_原始数据'!$B$267:$B$386,'03_原始数据'!$C$267:$C$386),""),"")</f>
        <v/>
      </c>
      <c r="E386" s="34">
        <f>IF(1=1,IFERROR(CORREL('03_原始数据'!$G$327:$G$386,'03_原始数据'!$H$327:$H$386),""),"")</f>
        <v/>
      </c>
      <c r="F386" s="55">
        <f>IF(N(B386)=0,"不足","有效")</f>
        <v/>
      </c>
    </row>
    <row r="387" ht="17" customHeight="1">
      <c r="A387" s="38">
        <f>'03_原始数据'!A387</f>
        <v/>
      </c>
      <c r="B387" s="31">
        <f>IF(1=1,IFERROR(CORREL('03_原始数据'!$B$368:$B$387,'03_原始数据'!$C$368:$C$387),""),"")</f>
        <v/>
      </c>
      <c r="C387" s="31">
        <f>IF(1=1,IFERROR(CORREL('03_原始数据'!$B$328:$B$387,'03_原始数据'!$C$328:$C$387),""),"")</f>
        <v/>
      </c>
      <c r="D387" s="31">
        <f>IF(1=1,IFERROR(CORREL('03_原始数据'!$B$268:$B$387,'03_原始数据'!$C$268:$C$387),""),"")</f>
        <v/>
      </c>
      <c r="E387" s="31">
        <f>IF(1=1,IFERROR(CORREL('03_原始数据'!$G$328:$G$387,'03_原始数据'!$H$328:$H$387),""),"")</f>
        <v/>
      </c>
      <c r="F387" s="54">
        <f>IF(N(B387)=0,"不足","有效")</f>
        <v/>
      </c>
    </row>
    <row r="388" ht="17" customHeight="1">
      <c r="A388" s="40">
        <f>'03_原始数据'!A388</f>
        <v/>
      </c>
      <c r="B388" s="34">
        <f>IF(1=1,IFERROR(CORREL('03_原始数据'!$B$369:$B$388,'03_原始数据'!$C$369:$C$388),""),"")</f>
        <v/>
      </c>
      <c r="C388" s="34">
        <f>IF(1=1,IFERROR(CORREL('03_原始数据'!$B$329:$B$388,'03_原始数据'!$C$329:$C$388),""),"")</f>
        <v/>
      </c>
      <c r="D388" s="34">
        <f>IF(1=1,IFERROR(CORREL('03_原始数据'!$B$269:$B$388,'03_原始数据'!$C$269:$C$388),""),"")</f>
        <v/>
      </c>
      <c r="E388" s="34">
        <f>IF(1=1,IFERROR(CORREL('03_原始数据'!$G$329:$G$388,'03_原始数据'!$H$329:$H$388),""),"")</f>
        <v/>
      </c>
      <c r="F388" s="55">
        <f>IF(N(B388)=0,"不足","有效")</f>
        <v/>
      </c>
    </row>
    <row r="389" ht="17" customHeight="1">
      <c r="A389" s="38">
        <f>'03_原始数据'!A389</f>
        <v/>
      </c>
      <c r="B389" s="31">
        <f>IF(1=1,IFERROR(CORREL('03_原始数据'!$B$370:$B$389,'03_原始数据'!$C$370:$C$389),""),"")</f>
        <v/>
      </c>
      <c r="C389" s="31">
        <f>IF(1=1,IFERROR(CORREL('03_原始数据'!$B$330:$B$389,'03_原始数据'!$C$330:$C$389),""),"")</f>
        <v/>
      </c>
      <c r="D389" s="31">
        <f>IF(1=1,IFERROR(CORREL('03_原始数据'!$B$270:$B$389,'03_原始数据'!$C$270:$C$389),""),"")</f>
        <v/>
      </c>
      <c r="E389" s="31">
        <f>IF(1=1,IFERROR(CORREL('03_原始数据'!$G$330:$G$389,'03_原始数据'!$H$330:$H$389),""),"")</f>
        <v/>
      </c>
      <c r="F389" s="54">
        <f>IF(N(B389)=0,"不足","有效")</f>
        <v/>
      </c>
    </row>
    <row r="390" ht="17" customHeight="1">
      <c r="A390" s="40">
        <f>'03_原始数据'!A390</f>
        <v/>
      </c>
      <c r="B390" s="34">
        <f>IF(1=1,IFERROR(CORREL('03_原始数据'!$B$371:$B$390,'03_原始数据'!$C$371:$C$390),""),"")</f>
        <v/>
      </c>
      <c r="C390" s="34">
        <f>IF(1=1,IFERROR(CORREL('03_原始数据'!$B$331:$B$390,'03_原始数据'!$C$331:$C$390),""),"")</f>
        <v/>
      </c>
      <c r="D390" s="34">
        <f>IF(1=1,IFERROR(CORREL('03_原始数据'!$B$271:$B$390,'03_原始数据'!$C$271:$C$390),""),"")</f>
        <v/>
      </c>
      <c r="E390" s="34">
        <f>IF(1=1,IFERROR(CORREL('03_原始数据'!$G$331:$G$390,'03_原始数据'!$H$331:$H$390),""),"")</f>
        <v/>
      </c>
      <c r="F390" s="55">
        <f>IF(N(B390)=0,"不足","有效")</f>
        <v/>
      </c>
    </row>
    <row r="391" ht="17" customHeight="1">
      <c r="A391" s="38">
        <f>'03_原始数据'!A391</f>
        <v/>
      </c>
      <c r="B391" s="31">
        <f>IF(1=1,IFERROR(CORREL('03_原始数据'!$B$372:$B$391,'03_原始数据'!$C$372:$C$391),""),"")</f>
        <v/>
      </c>
      <c r="C391" s="31">
        <f>IF(1=1,IFERROR(CORREL('03_原始数据'!$B$332:$B$391,'03_原始数据'!$C$332:$C$391),""),"")</f>
        <v/>
      </c>
      <c r="D391" s="31">
        <f>IF(1=1,IFERROR(CORREL('03_原始数据'!$B$272:$B$391,'03_原始数据'!$C$272:$C$391),""),"")</f>
        <v/>
      </c>
      <c r="E391" s="31">
        <f>IF(1=1,IFERROR(CORREL('03_原始数据'!$G$332:$G$391,'03_原始数据'!$H$332:$H$391),""),"")</f>
        <v/>
      </c>
      <c r="F391" s="54">
        <f>IF(N(B391)=0,"不足","有效")</f>
        <v/>
      </c>
    </row>
    <row r="392" ht="17" customHeight="1">
      <c r="A392" s="40">
        <f>'03_原始数据'!A392</f>
        <v/>
      </c>
      <c r="B392" s="34">
        <f>IF(1=1,IFERROR(CORREL('03_原始数据'!$B$373:$B$392,'03_原始数据'!$C$373:$C$392),""),"")</f>
        <v/>
      </c>
      <c r="C392" s="34">
        <f>IF(1=1,IFERROR(CORREL('03_原始数据'!$B$333:$B$392,'03_原始数据'!$C$333:$C$392),""),"")</f>
        <v/>
      </c>
      <c r="D392" s="34">
        <f>IF(1=1,IFERROR(CORREL('03_原始数据'!$B$273:$B$392,'03_原始数据'!$C$273:$C$392),""),"")</f>
        <v/>
      </c>
      <c r="E392" s="34">
        <f>IF(1=1,IFERROR(CORREL('03_原始数据'!$G$333:$G$392,'03_原始数据'!$H$333:$H$392),""),"")</f>
        <v/>
      </c>
      <c r="F392" s="55">
        <f>IF(N(B392)=0,"不足","有效")</f>
        <v/>
      </c>
    </row>
    <row r="393" ht="17" customHeight="1">
      <c r="A393" s="38">
        <f>'03_原始数据'!A393</f>
        <v/>
      </c>
      <c r="B393" s="31">
        <f>IF(1=1,IFERROR(CORREL('03_原始数据'!$B$374:$B$393,'03_原始数据'!$C$374:$C$393),""),"")</f>
        <v/>
      </c>
      <c r="C393" s="31">
        <f>IF(1=1,IFERROR(CORREL('03_原始数据'!$B$334:$B$393,'03_原始数据'!$C$334:$C$393),""),"")</f>
        <v/>
      </c>
      <c r="D393" s="31">
        <f>IF(1=1,IFERROR(CORREL('03_原始数据'!$B$274:$B$393,'03_原始数据'!$C$274:$C$393),""),"")</f>
        <v/>
      </c>
      <c r="E393" s="31">
        <f>IF(1=1,IFERROR(CORREL('03_原始数据'!$G$334:$G$393,'03_原始数据'!$H$334:$H$393),""),"")</f>
        <v/>
      </c>
      <c r="F393" s="54">
        <f>IF(N(B393)=0,"不足","有效")</f>
        <v/>
      </c>
    </row>
    <row r="394" ht="17" customHeight="1">
      <c r="A394" s="40">
        <f>'03_原始数据'!A394</f>
        <v/>
      </c>
      <c r="B394" s="34">
        <f>IF(1=1,IFERROR(CORREL('03_原始数据'!$B$375:$B$394,'03_原始数据'!$C$375:$C$394),""),"")</f>
        <v/>
      </c>
      <c r="C394" s="34">
        <f>IF(1=1,IFERROR(CORREL('03_原始数据'!$B$335:$B$394,'03_原始数据'!$C$335:$C$394),""),"")</f>
        <v/>
      </c>
      <c r="D394" s="34">
        <f>IF(1=1,IFERROR(CORREL('03_原始数据'!$B$275:$B$394,'03_原始数据'!$C$275:$C$394),""),"")</f>
        <v/>
      </c>
      <c r="E394" s="34">
        <f>IF(1=1,IFERROR(CORREL('03_原始数据'!$G$335:$G$394,'03_原始数据'!$H$335:$H$394),""),"")</f>
        <v/>
      </c>
      <c r="F394" s="55">
        <f>IF(N(B394)=0,"不足","有效")</f>
        <v/>
      </c>
    </row>
    <row r="395" ht="17" customHeight="1">
      <c r="A395" s="38">
        <f>'03_原始数据'!A395</f>
        <v/>
      </c>
      <c r="B395" s="31">
        <f>IF(1=1,IFERROR(CORREL('03_原始数据'!$B$376:$B$395,'03_原始数据'!$C$376:$C$395),""),"")</f>
        <v/>
      </c>
      <c r="C395" s="31">
        <f>IF(1=1,IFERROR(CORREL('03_原始数据'!$B$336:$B$395,'03_原始数据'!$C$336:$C$395),""),"")</f>
        <v/>
      </c>
      <c r="D395" s="31">
        <f>IF(1=1,IFERROR(CORREL('03_原始数据'!$B$276:$B$395,'03_原始数据'!$C$276:$C$395),""),"")</f>
        <v/>
      </c>
      <c r="E395" s="31">
        <f>IF(1=1,IFERROR(CORREL('03_原始数据'!$G$336:$G$395,'03_原始数据'!$H$336:$H$395),""),"")</f>
        <v/>
      </c>
      <c r="F395" s="54">
        <f>IF(N(B395)=0,"不足","有效")</f>
        <v/>
      </c>
    </row>
    <row r="396" ht="17" customHeight="1">
      <c r="A396" s="40">
        <f>'03_原始数据'!A396</f>
        <v/>
      </c>
      <c r="B396" s="34">
        <f>IF(1=1,IFERROR(CORREL('03_原始数据'!$B$377:$B$396,'03_原始数据'!$C$377:$C$396),""),"")</f>
        <v/>
      </c>
      <c r="C396" s="34">
        <f>IF(1=1,IFERROR(CORREL('03_原始数据'!$B$337:$B$396,'03_原始数据'!$C$337:$C$396),""),"")</f>
        <v/>
      </c>
      <c r="D396" s="34">
        <f>IF(1=1,IFERROR(CORREL('03_原始数据'!$B$277:$B$396,'03_原始数据'!$C$277:$C$396),""),"")</f>
        <v/>
      </c>
      <c r="E396" s="34">
        <f>IF(1=1,IFERROR(CORREL('03_原始数据'!$G$337:$G$396,'03_原始数据'!$H$337:$H$396),""),"")</f>
        <v/>
      </c>
      <c r="F396" s="55">
        <f>IF(N(B396)=0,"不足","有效")</f>
        <v/>
      </c>
    </row>
    <row r="397" ht="17" customHeight="1">
      <c r="A397" s="38">
        <f>'03_原始数据'!A397</f>
        <v/>
      </c>
      <c r="B397" s="31">
        <f>IF(1=1,IFERROR(CORREL('03_原始数据'!$B$378:$B$397,'03_原始数据'!$C$378:$C$397),""),"")</f>
        <v/>
      </c>
      <c r="C397" s="31">
        <f>IF(1=1,IFERROR(CORREL('03_原始数据'!$B$338:$B$397,'03_原始数据'!$C$338:$C$397),""),"")</f>
        <v/>
      </c>
      <c r="D397" s="31">
        <f>IF(1=1,IFERROR(CORREL('03_原始数据'!$B$278:$B$397,'03_原始数据'!$C$278:$C$397),""),"")</f>
        <v/>
      </c>
      <c r="E397" s="31">
        <f>IF(1=1,IFERROR(CORREL('03_原始数据'!$G$338:$G$397,'03_原始数据'!$H$338:$H$397),""),"")</f>
        <v/>
      </c>
      <c r="F397" s="54">
        <f>IF(N(B397)=0,"不足","有效")</f>
        <v/>
      </c>
    </row>
    <row r="398" ht="17" customHeight="1">
      <c r="A398" s="40">
        <f>'03_原始数据'!A398</f>
        <v/>
      </c>
      <c r="B398" s="34">
        <f>IF(1=1,IFERROR(CORREL('03_原始数据'!$B$379:$B$398,'03_原始数据'!$C$379:$C$398),""),"")</f>
        <v/>
      </c>
      <c r="C398" s="34">
        <f>IF(1=1,IFERROR(CORREL('03_原始数据'!$B$339:$B$398,'03_原始数据'!$C$339:$C$398),""),"")</f>
        <v/>
      </c>
      <c r="D398" s="34">
        <f>IF(1=1,IFERROR(CORREL('03_原始数据'!$B$279:$B$398,'03_原始数据'!$C$279:$C$398),""),"")</f>
        <v/>
      </c>
      <c r="E398" s="34">
        <f>IF(1=1,IFERROR(CORREL('03_原始数据'!$G$339:$G$398,'03_原始数据'!$H$339:$H$398),""),"")</f>
        <v/>
      </c>
      <c r="F398" s="55">
        <f>IF(N(B398)=0,"不足","有效")</f>
        <v/>
      </c>
    </row>
    <row r="399" ht="17" customHeight="1">
      <c r="A399" s="38">
        <f>'03_原始数据'!A399</f>
        <v/>
      </c>
      <c r="B399" s="31">
        <f>IF(1=1,IFERROR(CORREL('03_原始数据'!$B$380:$B$399,'03_原始数据'!$C$380:$C$399),""),"")</f>
        <v/>
      </c>
      <c r="C399" s="31">
        <f>IF(1=1,IFERROR(CORREL('03_原始数据'!$B$340:$B$399,'03_原始数据'!$C$340:$C$399),""),"")</f>
        <v/>
      </c>
      <c r="D399" s="31">
        <f>IF(1=1,IFERROR(CORREL('03_原始数据'!$B$280:$B$399,'03_原始数据'!$C$280:$C$399),""),"")</f>
        <v/>
      </c>
      <c r="E399" s="31">
        <f>IF(1=1,IFERROR(CORREL('03_原始数据'!$G$340:$G$399,'03_原始数据'!$H$340:$H$399),""),"")</f>
        <v/>
      </c>
      <c r="F399" s="54">
        <f>IF(N(B399)=0,"不足","有效")</f>
        <v/>
      </c>
    </row>
    <row r="400" ht="17" customHeight="1">
      <c r="A400" s="40">
        <f>'03_原始数据'!A400</f>
        <v/>
      </c>
      <c r="B400" s="34">
        <f>IF(1=1,IFERROR(CORREL('03_原始数据'!$B$381:$B$400,'03_原始数据'!$C$381:$C$400),""),"")</f>
        <v/>
      </c>
      <c r="C400" s="34">
        <f>IF(1=1,IFERROR(CORREL('03_原始数据'!$B$341:$B$400,'03_原始数据'!$C$341:$C$400),""),"")</f>
        <v/>
      </c>
      <c r="D400" s="34">
        <f>IF(1=1,IFERROR(CORREL('03_原始数据'!$B$281:$B$400,'03_原始数据'!$C$281:$C$400),""),"")</f>
        <v/>
      </c>
      <c r="E400" s="34">
        <f>IF(1=1,IFERROR(CORREL('03_原始数据'!$G$341:$G$400,'03_原始数据'!$H$341:$H$400),""),"")</f>
        <v/>
      </c>
      <c r="F400" s="55">
        <f>IF(N(B400)=0,"不足","有效")</f>
        <v/>
      </c>
    </row>
    <row r="401" ht="17" customHeight="1">
      <c r="A401" s="38">
        <f>'03_原始数据'!A401</f>
        <v/>
      </c>
      <c r="B401" s="31">
        <f>IF(1=1,IFERROR(CORREL('03_原始数据'!$B$382:$B$401,'03_原始数据'!$C$382:$C$401),""),"")</f>
        <v/>
      </c>
      <c r="C401" s="31">
        <f>IF(1=1,IFERROR(CORREL('03_原始数据'!$B$342:$B$401,'03_原始数据'!$C$342:$C$401),""),"")</f>
        <v/>
      </c>
      <c r="D401" s="31">
        <f>IF(1=1,IFERROR(CORREL('03_原始数据'!$B$282:$B$401,'03_原始数据'!$C$282:$C$401),""),"")</f>
        <v/>
      </c>
      <c r="E401" s="31">
        <f>IF(1=1,IFERROR(CORREL('03_原始数据'!$G$342:$G$401,'03_原始数据'!$H$342:$H$401),""),"")</f>
        <v/>
      </c>
      <c r="F401" s="54">
        <f>IF(N(B401)=0,"不足","有效")</f>
        <v/>
      </c>
    </row>
    <row r="402" ht="17" customHeight="1">
      <c r="A402" s="40">
        <f>'03_原始数据'!A402</f>
        <v/>
      </c>
      <c r="B402" s="34">
        <f>IF(1=1,IFERROR(CORREL('03_原始数据'!$B$383:$B$402,'03_原始数据'!$C$383:$C$402),""),"")</f>
        <v/>
      </c>
      <c r="C402" s="34">
        <f>IF(1=1,IFERROR(CORREL('03_原始数据'!$B$343:$B$402,'03_原始数据'!$C$343:$C$402),""),"")</f>
        <v/>
      </c>
      <c r="D402" s="34">
        <f>IF(1=1,IFERROR(CORREL('03_原始数据'!$B$283:$B$402,'03_原始数据'!$C$283:$C$402),""),"")</f>
        <v/>
      </c>
      <c r="E402" s="34">
        <f>IF(1=1,IFERROR(CORREL('03_原始数据'!$G$343:$G$402,'03_原始数据'!$H$343:$H$402),""),"")</f>
        <v/>
      </c>
      <c r="F402" s="55">
        <f>IF(N(B402)=0,"不足","有效")</f>
        <v/>
      </c>
    </row>
    <row r="403" ht="17" customHeight="1">
      <c r="A403" s="38">
        <f>'03_原始数据'!A403</f>
        <v/>
      </c>
      <c r="B403" s="31">
        <f>IF(1=1,IFERROR(CORREL('03_原始数据'!$B$384:$B$403,'03_原始数据'!$C$384:$C$403),""),"")</f>
        <v/>
      </c>
      <c r="C403" s="31">
        <f>IF(1=1,IFERROR(CORREL('03_原始数据'!$B$344:$B$403,'03_原始数据'!$C$344:$C$403),""),"")</f>
        <v/>
      </c>
      <c r="D403" s="31">
        <f>IF(1=1,IFERROR(CORREL('03_原始数据'!$B$284:$B$403,'03_原始数据'!$C$284:$C$403),""),"")</f>
        <v/>
      </c>
      <c r="E403" s="31">
        <f>IF(1=1,IFERROR(CORREL('03_原始数据'!$G$344:$G$403,'03_原始数据'!$H$344:$H$403),""),"")</f>
        <v/>
      </c>
      <c r="F403" s="54">
        <f>IF(N(B403)=0,"不足","有效")</f>
        <v/>
      </c>
    </row>
    <row r="404" ht="17" customHeight="1">
      <c r="A404" s="40">
        <f>'03_原始数据'!A404</f>
        <v/>
      </c>
      <c r="B404" s="34">
        <f>IF(1=1,IFERROR(CORREL('03_原始数据'!$B$385:$B$404,'03_原始数据'!$C$385:$C$404),""),"")</f>
        <v/>
      </c>
      <c r="C404" s="34">
        <f>IF(1=1,IFERROR(CORREL('03_原始数据'!$B$345:$B$404,'03_原始数据'!$C$345:$C$404),""),"")</f>
        <v/>
      </c>
      <c r="D404" s="34">
        <f>IF(1=1,IFERROR(CORREL('03_原始数据'!$B$285:$B$404,'03_原始数据'!$C$285:$C$404),""),"")</f>
        <v/>
      </c>
      <c r="E404" s="34">
        <f>IF(1=1,IFERROR(CORREL('03_原始数据'!$G$345:$G$404,'03_原始数据'!$H$345:$H$404),""),"")</f>
        <v/>
      </c>
      <c r="F404" s="55">
        <f>IF(N(B404)=0,"不足","有效")</f>
        <v/>
      </c>
    </row>
    <row r="405" ht="17" customHeight="1">
      <c r="A405" s="38">
        <f>'03_原始数据'!A405</f>
        <v/>
      </c>
      <c r="B405" s="31">
        <f>IF(1=1,IFERROR(CORREL('03_原始数据'!$B$386:$B$405,'03_原始数据'!$C$386:$C$405),""),"")</f>
        <v/>
      </c>
      <c r="C405" s="31">
        <f>IF(1=1,IFERROR(CORREL('03_原始数据'!$B$346:$B$405,'03_原始数据'!$C$346:$C$405),""),"")</f>
        <v/>
      </c>
      <c r="D405" s="31">
        <f>IF(1=1,IFERROR(CORREL('03_原始数据'!$B$286:$B$405,'03_原始数据'!$C$286:$C$405),""),"")</f>
        <v/>
      </c>
      <c r="E405" s="31">
        <f>IF(1=1,IFERROR(CORREL('03_原始数据'!$G$346:$G$405,'03_原始数据'!$H$346:$H$405),""),"")</f>
        <v/>
      </c>
      <c r="F405" s="54">
        <f>IF(N(B405)=0,"不足","有效")</f>
        <v/>
      </c>
    </row>
    <row r="406" ht="17" customHeight="1">
      <c r="A406" s="40">
        <f>'03_原始数据'!A406</f>
        <v/>
      </c>
      <c r="B406" s="34">
        <f>IF(1=1,IFERROR(CORREL('03_原始数据'!$B$387:$B$406,'03_原始数据'!$C$387:$C$406),""),"")</f>
        <v/>
      </c>
      <c r="C406" s="34">
        <f>IF(1=1,IFERROR(CORREL('03_原始数据'!$B$347:$B$406,'03_原始数据'!$C$347:$C$406),""),"")</f>
        <v/>
      </c>
      <c r="D406" s="34">
        <f>IF(1=1,IFERROR(CORREL('03_原始数据'!$B$287:$B$406,'03_原始数据'!$C$287:$C$406),""),"")</f>
        <v/>
      </c>
      <c r="E406" s="34">
        <f>IF(1=1,IFERROR(CORREL('03_原始数据'!$G$347:$G$406,'03_原始数据'!$H$347:$H$406),""),"")</f>
        <v/>
      </c>
      <c r="F406" s="55">
        <f>IF(N(B406)=0,"不足","有效")</f>
        <v/>
      </c>
    </row>
    <row r="407" ht="17" customHeight="1">
      <c r="A407" s="38">
        <f>'03_原始数据'!A407</f>
        <v/>
      </c>
      <c r="B407" s="31">
        <f>IF(1=1,IFERROR(CORREL('03_原始数据'!$B$388:$B$407,'03_原始数据'!$C$388:$C$407),""),"")</f>
        <v/>
      </c>
      <c r="C407" s="31">
        <f>IF(1=1,IFERROR(CORREL('03_原始数据'!$B$348:$B$407,'03_原始数据'!$C$348:$C$407),""),"")</f>
        <v/>
      </c>
      <c r="D407" s="31">
        <f>IF(1=1,IFERROR(CORREL('03_原始数据'!$B$288:$B$407,'03_原始数据'!$C$288:$C$407),""),"")</f>
        <v/>
      </c>
      <c r="E407" s="31">
        <f>IF(1=1,IFERROR(CORREL('03_原始数据'!$G$348:$G$407,'03_原始数据'!$H$348:$H$407),""),"")</f>
        <v/>
      </c>
      <c r="F407" s="54">
        <f>IF(N(B407)=0,"不足","有效")</f>
        <v/>
      </c>
    </row>
    <row r="408" ht="17" customHeight="1">
      <c r="A408" s="40">
        <f>'03_原始数据'!A408</f>
        <v/>
      </c>
      <c r="B408" s="34">
        <f>IF(1=1,IFERROR(CORREL('03_原始数据'!$B$389:$B$408,'03_原始数据'!$C$389:$C$408),""),"")</f>
        <v/>
      </c>
      <c r="C408" s="34">
        <f>IF(1=1,IFERROR(CORREL('03_原始数据'!$B$349:$B$408,'03_原始数据'!$C$349:$C$408),""),"")</f>
        <v/>
      </c>
      <c r="D408" s="34">
        <f>IF(1=1,IFERROR(CORREL('03_原始数据'!$B$289:$B$408,'03_原始数据'!$C$289:$C$408),""),"")</f>
        <v/>
      </c>
      <c r="E408" s="34">
        <f>IF(1=1,IFERROR(CORREL('03_原始数据'!$G$349:$G$408,'03_原始数据'!$H$349:$H$408),""),"")</f>
        <v/>
      </c>
      <c r="F408" s="55">
        <f>IF(N(B408)=0,"不足","有效")</f>
        <v/>
      </c>
    </row>
    <row r="409" ht="17" customHeight="1">
      <c r="A409" s="38">
        <f>'03_原始数据'!A409</f>
        <v/>
      </c>
      <c r="B409" s="31">
        <f>IF(1=1,IFERROR(CORREL('03_原始数据'!$B$390:$B$409,'03_原始数据'!$C$390:$C$409),""),"")</f>
        <v/>
      </c>
      <c r="C409" s="31">
        <f>IF(1=1,IFERROR(CORREL('03_原始数据'!$B$350:$B$409,'03_原始数据'!$C$350:$C$409),""),"")</f>
        <v/>
      </c>
      <c r="D409" s="31">
        <f>IF(1=1,IFERROR(CORREL('03_原始数据'!$B$290:$B$409,'03_原始数据'!$C$290:$C$409),""),"")</f>
        <v/>
      </c>
      <c r="E409" s="31">
        <f>IF(1=1,IFERROR(CORREL('03_原始数据'!$G$350:$G$409,'03_原始数据'!$H$350:$H$409),""),"")</f>
        <v/>
      </c>
      <c r="F409" s="54">
        <f>IF(N(B409)=0,"不足","有效")</f>
        <v/>
      </c>
    </row>
    <row r="410" ht="17" customHeight="1">
      <c r="A410" s="40">
        <f>'03_原始数据'!A410</f>
        <v/>
      </c>
      <c r="B410" s="34">
        <f>IF(1=1,IFERROR(CORREL('03_原始数据'!$B$391:$B$410,'03_原始数据'!$C$391:$C$410),""),"")</f>
        <v/>
      </c>
      <c r="C410" s="34">
        <f>IF(1=1,IFERROR(CORREL('03_原始数据'!$B$351:$B$410,'03_原始数据'!$C$351:$C$410),""),"")</f>
        <v/>
      </c>
      <c r="D410" s="34">
        <f>IF(1=1,IFERROR(CORREL('03_原始数据'!$B$291:$B$410,'03_原始数据'!$C$291:$C$410),""),"")</f>
        <v/>
      </c>
      <c r="E410" s="34">
        <f>IF(1=1,IFERROR(CORREL('03_原始数据'!$G$351:$G$410,'03_原始数据'!$H$351:$H$410),""),"")</f>
        <v/>
      </c>
      <c r="F410" s="55">
        <f>IF(N(B410)=0,"不足","有效")</f>
        <v/>
      </c>
    </row>
    <row r="411" ht="17" customHeight="1">
      <c r="A411" s="38">
        <f>'03_原始数据'!A411</f>
        <v/>
      </c>
      <c r="B411" s="31">
        <f>IF(1=1,IFERROR(CORREL('03_原始数据'!$B$392:$B$411,'03_原始数据'!$C$392:$C$411),""),"")</f>
        <v/>
      </c>
      <c r="C411" s="31">
        <f>IF(1=1,IFERROR(CORREL('03_原始数据'!$B$352:$B$411,'03_原始数据'!$C$352:$C$411),""),"")</f>
        <v/>
      </c>
      <c r="D411" s="31">
        <f>IF(1=1,IFERROR(CORREL('03_原始数据'!$B$292:$B$411,'03_原始数据'!$C$292:$C$411),""),"")</f>
        <v/>
      </c>
      <c r="E411" s="31">
        <f>IF(1=1,IFERROR(CORREL('03_原始数据'!$G$352:$G$411,'03_原始数据'!$H$352:$H$411),""),"")</f>
        <v/>
      </c>
      <c r="F411" s="54">
        <f>IF(N(B411)=0,"不足","有效")</f>
        <v/>
      </c>
    </row>
    <row r="412" ht="17" customHeight="1">
      <c r="A412" s="40">
        <f>'03_原始数据'!A412</f>
        <v/>
      </c>
      <c r="B412" s="34">
        <f>IF(1=1,IFERROR(CORREL('03_原始数据'!$B$393:$B$412,'03_原始数据'!$C$393:$C$412),""),"")</f>
        <v/>
      </c>
      <c r="C412" s="34">
        <f>IF(1=1,IFERROR(CORREL('03_原始数据'!$B$353:$B$412,'03_原始数据'!$C$353:$C$412),""),"")</f>
        <v/>
      </c>
      <c r="D412" s="34">
        <f>IF(1=1,IFERROR(CORREL('03_原始数据'!$B$293:$B$412,'03_原始数据'!$C$293:$C$412),""),"")</f>
        <v/>
      </c>
      <c r="E412" s="34">
        <f>IF(1=1,IFERROR(CORREL('03_原始数据'!$G$353:$G$412,'03_原始数据'!$H$353:$H$412),""),"")</f>
        <v/>
      </c>
      <c r="F412" s="55">
        <f>IF(N(B412)=0,"不足","有效")</f>
        <v/>
      </c>
    </row>
    <row r="413" ht="17" customHeight="1">
      <c r="A413" s="38">
        <f>'03_原始数据'!A413</f>
        <v/>
      </c>
      <c r="B413" s="31">
        <f>IF(1=1,IFERROR(CORREL('03_原始数据'!$B$394:$B$413,'03_原始数据'!$C$394:$C$413),""),"")</f>
        <v/>
      </c>
      <c r="C413" s="31">
        <f>IF(1=1,IFERROR(CORREL('03_原始数据'!$B$354:$B$413,'03_原始数据'!$C$354:$C$413),""),"")</f>
        <v/>
      </c>
      <c r="D413" s="31">
        <f>IF(1=1,IFERROR(CORREL('03_原始数据'!$B$294:$B$413,'03_原始数据'!$C$294:$C$413),""),"")</f>
        <v/>
      </c>
      <c r="E413" s="31">
        <f>IF(1=1,IFERROR(CORREL('03_原始数据'!$G$354:$G$413,'03_原始数据'!$H$354:$H$413),""),"")</f>
        <v/>
      </c>
      <c r="F413" s="54">
        <f>IF(N(B413)=0,"不足","有效")</f>
        <v/>
      </c>
    </row>
    <row r="414" ht="17" customHeight="1">
      <c r="A414" s="40">
        <f>'03_原始数据'!A414</f>
        <v/>
      </c>
      <c r="B414" s="34">
        <f>IF(1=1,IFERROR(CORREL('03_原始数据'!$B$395:$B$414,'03_原始数据'!$C$395:$C$414),""),"")</f>
        <v/>
      </c>
      <c r="C414" s="34">
        <f>IF(1=1,IFERROR(CORREL('03_原始数据'!$B$355:$B$414,'03_原始数据'!$C$355:$C$414),""),"")</f>
        <v/>
      </c>
      <c r="D414" s="34">
        <f>IF(1=1,IFERROR(CORREL('03_原始数据'!$B$295:$B$414,'03_原始数据'!$C$295:$C$414),""),"")</f>
        <v/>
      </c>
      <c r="E414" s="34">
        <f>IF(1=1,IFERROR(CORREL('03_原始数据'!$G$355:$G$414,'03_原始数据'!$H$355:$H$414),""),"")</f>
        <v/>
      </c>
      <c r="F414" s="55">
        <f>IF(N(B414)=0,"不足","有效")</f>
        <v/>
      </c>
    </row>
    <row r="415" ht="17" customHeight="1">
      <c r="A415" s="38">
        <f>'03_原始数据'!A415</f>
        <v/>
      </c>
      <c r="B415" s="31">
        <f>IF(1=1,IFERROR(CORREL('03_原始数据'!$B$396:$B$415,'03_原始数据'!$C$396:$C$415),""),"")</f>
        <v/>
      </c>
      <c r="C415" s="31">
        <f>IF(1=1,IFERROR(CORREL('03_原始数据'!$B$356:$B$415,'03_原始数据'!$C$356:$C$415),""),"")</f>
        <v/>
      </c>
      <c r="D415" s="31">
        <f>IF(1=1,IFERROR(CORREL('03_原始数据'!$B$296:$B$415,'03_原始数据'!$C$296:$C$415),""),"")</f>
        <v/>
      </c>
      <c r="E415" s="31">
        <f>IF(1=1,IFERROR(CORREL('03_原始数据'!$G$356:$G$415,'03_原始数据'!$H$356:$H$415),""),"")</f>
        <v/>
      </c>
      <c r="F415" s="54">
        <f>IF(N(B415)=0,"不足","有效")</f>
        <v/>
      </c>
    </row>
    <row r="416" ht="17" customHeight="1">
      <c r="A416" s="40">
        <f>'03_原始数据'!A416</f>
        <v/>
      </c>
      <c r="B416" s="34">
        <f>IF(1=1,IFERROR(CORREL('03_原始数据'!$B$397:$B$416,'03_原始数据'!$C$397:$C$416),""),"")</f>
        <v/>
      </c>
      <c r="C416" s="34">
        <f>IF(1=1,IFERROR(CORREL('03_原始数据'!$B$357:$B$416,'03_原始数据'!$C$357:$C$416),""),"")</f>
        <v/>
      </c>
      <c r="D416" s="34">
        <f>IF(1=1,IFERROR(CORREL('03_原始数据'!$B$297:$B$416,'03_原始数据'!$C$297:$C$416),""),"")</f>
        <v/>
      </c>
      <c r="E416" s="34">
        <f>IF(1=1,IFERROR(CORREL('03_原始数据'!$G$357:$G$416,'03_原始数据'!$H$357:$H$416),""),"")</f>
        <v/>
      </c>
      <c r="F416" s="55">
        <f>IF(N(B416)=0,"不足","有效")</f>
        <v/>
      </c>
    </row>
    <row r="417" ht="17" customHeight="1">
      <c r="A417" s="38">
        <f>'03_原始数据'!A417</f>
        <v/>
      </c>
      <c r="B417" s="31">
        <f>IF(1=1,IFERROR(CORREL('03_原始数据'!$B$398:$B$417,'03_原始数据'!$C$398:$C$417),""),"")</f>
        <v/>
      </c>
      <c r="C417" s="31">
        <f>IF(1=1,IFERROR(CORREL('03_原始数据'!$B$358:$B$417,'03_原始数据'!$C$358:$C$417),""),"")</f>
        <v/>
      </c>
      <c r="D417" s="31">
        <f>IF(1=1,IFERROR(CORREL('03_原始数据'!$B$298:$B$417,'03_原始数据'!$C$298:$C$417),""),"")</f>
        <v/>
      </c>
      <c r="E417" s="31">
        <f>IF(1=1,IFERROR(CORREL('03_原始数据'!$G$358:$G$417,'03_原始数据'!$H$358:$H$417),""),"")</f>
        <v/>
      </c>
      <c r="F417" s="54">
        <f>IF(N(B417)=0,"不足","有效")</f>
        <v/>
      </c>
    </row>
    <row r="418" ht="17" customHeight="1">
      <c r="A418" s="40">
        <f>'03_原始数据'!A418</f>
        <v/>
      </c>
      <c r="B418" s="34">
        <f>IF(1=1,IFERROR(CORREL('03_原始数据'!$B$399:$B$418,'03_原始数据'!$C$399:$C$418),""),"")</f>
        <v/>
      </c>
      <c r="C418" s="34">
        <f>IF(1=1,IFERROR(CORREL('03_原始数据'!$B$359:$B$418,'03_原始数据'!$C$359:$C$418),""),"")</f>
        <v/>
      </c>
      <c r="D418" s="34">
        <f>IF(1=1,IFERROR(CORREL('03_原始数据'!$B$299:$B$418,'03_原始数据'!$C$299:$C$418),""),"")</f>
        <v/>
      </c>
      <c r="E418" s="34">
        <f>IF(1=1,IFERROR(CORREL('03_原始数据'!$G$359:$G$418,'03_原始数据'!$H$359:$H$418),""),"")</f>
        <v/>
      </c>
      <c r="F418" s="55">
        <f>IF(N(B418)=0,"不足","有效")</f>
        <v/>
      </c>
    </row>
    <row r="419" ht="17" customHeight="1">
      <c r="A419" s="38">
        <f>'03_原始数据'!A419</f>
        <v/>
      </c>
      <c r="B419" s="31">
        <f>IF(1=1,IFERROR(CORREL('03_原始数据'!$B$400:$B$419,'03_原始数据'!$C$400:$C$419),""),"")</f>
        <v/>
      </c>
      <c r="C419" s="31">
        <f>IF(1=1,IFERROR(CORREL('03_原始数据'!$B$360:$B$419,'03_原始数据'!$C$360:$C$419),""),"")</f>
        <v/>
      </c>
      <c r="D419" s="31">
        <f>IF(1=1,IFERROR(CORREL('03_原始数据'!$B$300:$B$419,'03_原始数据'!$C$300:$C$419),""),"")</f>
        <v/>
      </c>
      <c r="E419" s="31">
        <f>IF(1=1,IFERROR(CORREL('03_原始数据'!$G$360:$G$419,'03_原始数据'!$H$360:$H$419),""),"")</f>
        <v/>
      </c>
      <c r="F419" s="54">
        <f>IF(N(B419)=0,"不足","有效")</f>
        <v/>
      </c>
    </row>
    <row r="420" ht="17" customHeight="1">
      <c r="A420" s="40">
        <f>'03_原始数据'!A420</f>
        <v/>
      </c>
      <c r="B420" s="34">
        <f>IF(1=1,IFERROR(CORREL('03_原始数据'!$B$401:$B$420,'03_原始数据'!$C$401:$C$420),""),"")</f>
        <v/>
      </c>
      <c r="C420" s="34">
        <f>IF(1=1,IFERROR(CORREL('03_原始数据'!$B$361:$B$420,'03_原始数据'!$C$361:$C$420),""),"")</f>
        <v/>
      </c>
      <c r="D420" s="34">
        <f>IF(1=1,IFERROR(CORREL('03_原始数据'!$B$301:$B$420,'03_原始数据'!$C$301:$C$420),""),"")</f>
        <v/>
      </c>
      <c r="E420" s="34">
        <f>IF(1=1,IFERROR(CORREL('03_原始数据'!$G$361:$G$420,'03_原始数据'!$H$361:$H$420),""),"")</f>
        <v/>
      </c>
      <c r="F420" s="55">
        <f>IF(N(B420)=0,"不足","有效")</f>
        <v/>
      </c>
    </row>
    <row r="421" ht="17" customHeight="1">
      <c r="A421" s="38">
        <f>'03_原始数据'!A421</f>
        <v/>
      </c>
      <c r="B421" s="31">
        <f>IF(1=1,IFERROR(CORREL('03_原始数据'!$B$402:$B$421,'03_原始数据'!$C$402:$C$421),""),"")</f>
        <v/>
      </c>
      <c r="C421" s="31">
        <f>IF(1=1,IFERROR(CORREL('03_原始数据'!$B$362:$B$421,'03_原始数据'!$C$362:$C$421),""),"")</f>
        <v/>
      </c>
      <c r="D421" s="31">
        <f>IF(1=1,IFERROR(CORREL('03_原始数据'!$B$302:$B$421,'03_原始数据'!$C$302:$C$421),""),"")</f>
        <v/>
      </c>
      <c r="E421" s="31">
        <f>IF(1=1,IFERROR(CORREL('03_原始数据'!$G$362:$G$421,'03_原始数据'!$H$362:$H$421),""),"")</f>
        <v/>
      </c>
      <c r="F421" s="54">
        <f>IF(N(B421)=0,"不足","有效")</f>
        <v/>
      </c>
    </row>
    <row r="422" ht="17" customHeight="1">
      <c r="A422" s="40">
        <f>'03_原始数据'!A422</f>
        <v/>
      </c>
      <c r="B422" s="34">
        <f>IF(1=1,IFERROR(CORREL('03_原始数据'!$B$403:$B$422,'03_原始数据'!$C$403:$C$422),""),"")</f>
        <v/>
      </c>
      <c r="C422" s="34">
        <f>IF(1=1,IFERROR(CORREL('03_原始数据'!$B$363:$B$422,'03_原始数据'!$C$363:$C$422),""),"")</f>
        <v/>
      </c>
      <c r="D422" s="34">
        <f>IF(1=1,IFERROR(CORREL('03_原始数据'!$B$303:$B$422,'03_原始数据'!$C$303:$C$422),""),"")</f>
        <v/>
      </c>
      <c r="E422" s="34">
        <f>IF(1=1,IFERROR(CORREL('03_原始数据'!$G$363:$G$422,'03_原始数据'!$H$363:$H$422),""),"")</f>
        <v/>
      </c>
      <c r="F422" s="55">
        <f>IF(N(B422)=0,"不足","有效")</f>
        <v/>
      </c>
    </row>
    <row r="423" ht="17" customHeight="1">
      <c r="A423" s="38">
        <f>'03_原始数据'!A423</f>
        <v/>
      </c>
      <c r="B423" s="31">
        <f>IF(1=1,IFERROR(CORREL('03_原始数据'!$B$404:$B$423,'03_原始数据'!$C$404:$C$423),""),"")</f>
        <v/>
      </c>
      <c r="C423" s="31">
        <f>IF(1=1,IFERROR(CORREL('03_原始数据'!$B$364:$B$423,'03_原始数据'!$C$364:$C$423),""),"")</f>
        <v/>
      </c>
      <c r="D423" s="31">
        <f>IF(1=1,IFERROR(CORREL('03_原始数据'!$B$304:$B$423,'03_原始数据'!$C$304:$C$423),""),"")</f>
        <v/>
      </c>
      <c r="E423" s="31">
        <f>IF(1=1,IFERROR(CORREL('03_原始数据'!$G$364:$G$423,'03_原始数据'!$H$364:$H$423),""),"")</f>
        <v/>
      </c>
      <c r="F423" s="54">
        <f>IF(N(B423)=0,"不足","有效")</f>
        <v/>
      </c>
    </row>
    <row r="424" ht="17" customHeight="1">
      <c r="A424" s="40">
        <f>'03_原始数据'!A424</f>
        <v/>
      </c>
      <c r="B424" s="34">
        <f>IF(1=1,IFERROR(CORREL('03_原始数据'!$B$405:$B$424,'03_原始数据'!$C$405:$C$424),""),"")</f>
        <v/>
      </c>
      <c r="C424" s="34">
        <f>IF(1=1,IFERROR(CORREL('03_原始数据'!$B$365:$B$424,'03_原始数据'!$C$365:$C$424),""),"")</f>
        <v/>
      </c>
      <c r="D424" s="34">
        <f>IF(1=1,IFERROR(CORREL('03_原始数据'!$B$305:$B$424,'03_原始数据'!$C$305:$C$424),""),"")</f>
        <v/>
      </c>
      <c r="E424" s="34">
        <f>IF(1=1,IFERROR(CORREL('03_原始数据'!$G$365:$G$424,'03_原始数据'!$H$365:$H$424),""),"")</f>
        <v/>
      </c>
      <c r="F424" s="55">
        <f>IF(N(B424)=0,"不足","有效")</f>
        <v/>
      </c>
    </row>
    <row r="425" ht="17" customHeight="1">
      <c r="A425" s="38">
        <f>'03_原始数据'!A425</f>
        <v/>
      </c>
      <c r="B425" s="31">
        <f>IF(1=1,IFERROR(CORREL('03_原始数据'!$B$406:$B$425,'03_原始数据'!$C$406:$C$425),""),"")</f>
        <v/>
      </c>
      <c r="C425" s="31">
        <f>IF(1=1,IFERROR(CORREL('03_原始数据'!$B$366:$B$425,'03_原始数据'!$C$366:$C$425),""),"")</f>
        <v/>
      </c>
      <c r="D425" s="31">
        <f>IF(1=1,IFERROR(CORREL('03_原始数据'!$B$306:$B$425,'03_原始数据'!$C$306:$C$425),""),"")</f>
        <v/>
      </c>
      <c r="E425" s="31">
        <f>IF(1=1,IFERROR(CORREL('03_原始数据'!$G$366:$G$425,'03_原始数据'!$H$366:$H$425),""),"")</f>
        <v/>
      </c>
      <c r="F425" s="54">
        <f>IF(N(B425)=0,"不足","有效")</f>
        <v/>
      </c>
    </row>
    <row r="426" ht="17" customHeight="1">
      <c r="A426" s="40">
        <f>'03_原始数据'!A426</f>
        <v/>
      </c>
      <c r="B426" s="34">
        <f>IF(1=1,IFERROR(CORREL('03_原始数据'!$B$407:$B$426,'03_原始数据'!$C$407:$C$426),""),"")</f>
        <v/>
      </c>
      <c r="C426" s="34">
        <f>IF(1=1,IFERROR(CORREL('03_原始数据'!$B$367:$B$426,'03_原始数据'!$C$367:$C$426),""),"")</f>
        <v/>
      </c>
      <c r="D426" s="34">
        <f>IF(1=1,IFERROR(CORREL('03_原始数据'!$B$307:$B$426,'03_原始数据'!$C$307:$C$426),""),"")</f>
        <v/>
      </c>
      <c r="E426" s="34">
        <f>IF(1=1,IFERROR(CORREL('03_原始数据'!$G$367:$G$426,'03_原始数据'!$H$367:$H$426),""),"")</f>
        <v/>
      </c>
      <c r="F426" s="55">
        <f>IF(N(B426)=0,"不足","有效")</f>
        <v/>
      </c>
    </row>
    <row r="427" ht="17" customHeight="1">
      <c r="A427" s="38">
        <f>'03_原始数据'!A427</f>
        <v/>
      </c>
      <c r="B427" s="31">
        <f>IF(1=1,IFERROR(CORREL('03_原始数据'!$B$408:$B$427,'03_原始数据'!$C$408:$C$427),""),"")</f>
        <v/>
      </c>
      <c r="C427" s="31">
        <f>IF(1=1,IFERROR(CORREL('03_原始数据'!$B$368:$B$427,'03_原始数据'!$C$368:$C$427),""),"")</f>
        <v/>
      </c>
      <c r="D427" s="31">
        <f>IF(1=1,IFERROR(CORREL('03_原始数据'!$B$308:$B$427,'03_原始数据'!$C$308:$C$427),""),"")</f>
        <v/>
      </c>
      <c r="E427" s="31">
        <f>IF(1=1,IFERROR(CORREL('03_原始数据'!$G$368:$G$427,'03_原始数据'!$H$368:$H$427),""),"")</f>
        <v/>
      </c>
      <c r="F427" s="54">
        <f>IF(N(B427)=0,"不足","有效")</f>
        <v/>
      </c>
    </row>
    <row r="428" ht="17" customHeight="1">
      <c r="A428" s="40">
        <f>'03_原始数据'!A428</f>
        <v/>
      </c>
      <c r="B428" s="34">
        <f>IF(1=1,IFERROR(CORREL('03_原始数据'!$B$409:$B$428,'03_原始数据'!$C$409:$C$428),""),"")</f>
        <v/>
      </c>
      <c r="C428" s="34">
        <f>IF(1=1,IFERROR(CORREL('03_原始数据'!$B$369:$B$428,'03_原始数据'!$C$369:$C$428),""),"")</f>
        <v/>
      </c>
      <c r="D428" s="34">
        <f>IF(1=1,IFERROR(CORREL('03_原始数据'!$B$309:$B$428,'03_原始数据'!$C$309:$C$428),""),"")</f>
        <v/>
      </c>
      <c r="E428" s="34">
        <f>IF(1=1,IFERROR(CORREL('03_原始数据'!$G$369:$G$428,'03_原始数据'!$H$369:$H$428),""),"")</f>
        <v/>
      </c>
      <c r="F428" s="55">
        <f>IF(N(B428)=0,"不足","有效")</f>
        <v/>
      </c>
    </row>
    <row r="429" ht="17" customHeight="1">
      <c r="A429" s="38">
        <f>'03_原始数据'!A429</f>
        <v/>
      </c>
      <c r="B429" s="31">
        <f>IF(1=1,IFERROR(CORREL('03_原始数据'!$B$410:$B$429,'03_原始数据'!$C$410:$C$429),""),"")</f>
        <v/>
      </c>
      <c r="C429" s="31">
        <f>IF(1=1,IFERROR(CORREL('03_原始数据'!$B$370:$B$429,'03_原始数据'!$C$370:$C$429),""),"")</f>
        <v/>
      </c>
      <c r="D429" s="31">
        <f>IF(1=1,IFERROR(CORREL('03_原始数据'!$B$310:$B$429,'03_原始数据'!$C$310:$C$429),""),"")</f>
        <v/>
      </c>
      <c r="E429" s="31">
        <f>IF(1=1,IFERROR(CORREL('03_原始数据'!$G$370:$G$429,'03_原始数据'!$H$370:$H$429),""),"")</f>
        <v/>
      </c>
      <c r="F429" s="54">
        <f>IF(N(B429)=0,"不足","有效")</f>
        <v/>
      </c>
    </row>
    <row r="430" ht="17" customHeight="1">
      <c r="A430" s="40">
        <f>'03_原始数据'!A430</f>
        <v/>
      </c>
      <c r="B430" s="34">
        <f>IF(1=1,IFERROR(CORREL('03_原始数据'!$B$411:$B$430,'03_原始数据'!$C$411:$C$430),""),"")</f>
        <v/>
      </c>
      <c r="C430" s="34">
        <f>IF(1=1,IFERROR(CORREL('03_原始数据'!$B$371:$B$430,'03_原始数据'!$C$371:$C$430),""),"")</f>
        <v/>
      </c>
      <c r="D430" s="34">
        <f>IF(1=1,IFERROR(CORREL('03_原始数据'!$B$311:$B$430,'03_原始数据'!$C$311:$C$430),""),"")</f>
        <v/>
      </c>
      <c r="E430" s="34">
        <f>IF(1=1,IFERROR(CORREL('03_原始数据'!$G$371:$G$430,'03_原始数据'!$H$371:$H$430),""),"")</f>
        <v/>
      </c>
      <c r="F430" s="55">
        <f>IF(N(B430)=0,"不足","有效")</f>
        <v/>
      </c>
    </row>
    <row r="431" ht="17" customHeight="1">
      <c r="A431" s="38">
        <f>'03_原始数据'!A431</f>
        <v/>
      </c>
      <c r="B431" s="31">
        <f>IF(1=1,IFERROR(CORREL('03_原始数据'!$B$412:$B$431,'03_原始数据'!$C$412:$C$431),""),"")</f>
        <v/>
      </c>
      <c r="C431" s="31">
        <f>IF(1=1,IFERROR(CORREL('03_原始数据'!$B$372:$B$431,'03_原始数据'!$C$372:$C$431),""),"")</f>
        <v/>
      </c>
      <c r="D431" s="31">
        <f>IF(1=1,IFERROR(CORREL('03_原始数据'!$B$312:$B$431,'03_原始数据'!$C$312:$C$431),""),"")</f>
        <v/>
      </c>
      <c r="E431" s="31">
        <f>IF(1=1,IFERROR(CORREL('03_原始数据'!$G$372:$G$431,'03_原始数据'!$H$372:$H$431),""),"")</f>
        <v/>
      </c>
      <c r="F431" s="54">
        <f>IF(N(B431)=0,"不足","有效")</f>
        <v/>
      </c>
    </row>
    <row r="432" ht="17" customHeight="1">
      <c r="A432" s="40">
        <f>'03_原始数据'!A432</f>
        <v/>
      </c>
      <c r="B432" s="34">
        <f>IF(1=1,IFERROR(CORREL('03_原始数据'!$B$413:$B$432,'03_原始数据'!$C$413:$C$432),""),"")</f>
        <v/>
      </c>
      <c r="C432" s="34">
        <f>IF(1=1,IFERROR(CORREL('03_原始数据'!$B$373:$B$432,'03_原始数据'!$C$373:$C$432),""),"")</f>
        <v/>
      </c>
      <c r="D432" s="34">
        <f>IF(1=1,IFERROR(CORREL('03_原始数据'!$B$313:$B$432,'03_原始数据'!$C$313:$C$432),""),"")</f>
        <v/>
      </c>
      <c r="E432" s="34">
        <f>IF(1=1,IFERROR(CORREL('03_原始数据'!$G$373:$G$432,'03_原始数据'!$H$373:$H$432),""),"")</f>
        <v/>
      </c>
      <c r="F432" s="55">
        <f>IF(N(B432)=0,"不足","有效")</f>
        <v/>
      </c>
    </row>
    <row r="433" ht="17" customHeight="1">
      <c r="A433" s="38">
        <f>'03_原始数据'!A433</f>
        <v/>
      </c>
      <c r="B433" s="31">
        <f>IF(1=1,IFERROR(CORREL('03_原始数据'!$B$414:$B$433,'03_原始数据'!$C$414:$C$433),""),"")</f>
        <v/>
      </c>
      <c r="C433" s="31">
        <f>IF(1=1,IFERROR(CORREL('03_原始数据'!$B$374:$B$433,'03_原始数据'!$C$374:$C$433),""),"")</f>
        <v/>
      </c>
      <c r="D433" s="31">
        <f>IF(1=1,IFERROR(CORREL('03_原始数据'!$B$314:$B$433,'03_原始数据'!$C$314:$C$433),""),"")</f>
        <v/>
      </c>
      <c r="E433" s="31">
        <f>IF(1=1,IFERROR(CORREL('03_原始数据'!$G$374:$G$433,'03_原始数据'!$H$374:$H$433),""),"")</f>
        <v/>
      </c>
      <c r="F433" s="54">
        <f>IF(N(B433)=0,"不足","有效")</f>
        <v/>
      </c>
    </row>
    <row r="434" ht="17" customHeight="1">
      <c r="A434" s="40">
        <f>'03_原始数据'!A434</f>
        <v/>
      </c>
      <c r="B434" s="34">
        <f>IF(1=1,IFERROR(CORREL('03_原始数据'!$B$415:$B$434,'03_原始数据'!$C$415:$C$434),""),"")</f>
        <v/>
      </c>
      <c r="C434" s="34">
        <f>IF(1=1,IFERROR(CORREL('03_原始数据'!$B$375:$B$434,'03_原始数据'!$C$375:$C$434),""),"")</f>
        <v/>
      </c>
      <c r="D434" s="34">
        <f>IF(1=1,IFERROR(CORREL('03_原始数据'!$B$315:$B$434,'03_原始数据'!$C$315:$C$434),""),"")</f>
        <v/>
      </c>
      <c r="E434" s="34">
        <f>IF(1=1,IFERROR(CORREL('03_原始数据'!$G$375:$G$434,'03_原始数据'!$H$375:$H$434),""),"")</f>
        <v/>
      </c>
      <c r="F434" s="55">
        <f>IF(N(B434)=0,"不足","有效")</f>
        <v/>
      </c>
    </row>
    <row r="435" ht="17" customHeight="1">
      <c r="A435" s="38">
        <f>'03_原始数据'!A435</f>
        <v/>
      </c>
      <c r="B435" s="31">
        <f>IF(1=1,IFERROR(CORREL('03_原始数据'!$B$416:$B$435,'03_原始数据'!$C$416:$C$435),""),"")</f>
        <v/>
      </c>
      <c r="C435" s="31">
        <f>IF(1=1,IFERROR(CORREL('03_原始数据'!$B$376:$B$435,'03_原始数据'!$C$376:$C$435),""),"")</f>
        <v/>
      </c>
      <c r="D435" s="31">
        <f>IF(1=1,IFERROR(CORREL('03_原始数据'!$B$316:$B$435,'03_原始数据'!$C$316:$C$435),""),"")</f>
        <v/>
      </c>
      <c r="E435" s="31">
        <f>IF(1=1,IFERROR(CORREL('03_原始数据'!$G$376:$G$435,'03_原始数据'!$H$376:$H$435),""),"")</f>
        <v/>
      </c>
      <c r="F435" s="54">
        <f>IF(N(B435)=0,"不足","有效")</f>
        <v/>
      </c>
    </row>
    <row r="436" ht="17" customHeight="1">
      <c r="A436" s="40">
        <f>'03_原始数据'!A436</f>
        <v/>
      </c>
      <c r="B436" s="34">
        <f>IF(1=1,IFERROR(CORREL('03_原始数据'!$B$417:$B$436,'03_原始数据'!$C$417:$C$436),""),"")</f>
        <v/>
      </c>
      <c r="C436" s="34">
        <f>IF(1=1,IFERROR(CORREL('03_原始数据'!$B$377:$B$436,'03_原始数据'!$C$377:$C$436),""),"")</f>
        <v/>
      </c>
      <c r="D436" s="34">
        <f>IF(1=1,IFERROR(CORREL('03_原始数据'!$B$317:$B$436,'03_原始数据'!$C$317:$C$436),""),"")</f>
        <v/>
      </c>
      <c r="E436" s="34">
        <f>IF(1=1,IFERROR(CORREL('03_原始数据'!$G$377:$G$436,'03_原始数据'!$H$377:$H$436),""),"")</f>
        <v/>
      </c>
      <c r="F436" s="55">
        <f>IF(N(B436)=0,"不足","有效")</f>
        <v/>
      </c>
    </row>
    <row r="437" ht="17" customHeight="1">
      <c r="A437" s="38">
        <f>'03_原始数据'!A437</f>
        <v/>
      </c>
      <c r="B437" s="31">
        <f>IF(1=1,IFERROR(CORREL('03_原始数据'!$B$418:$B$437,'03_原始数据'!$C$418:$C$437),""),"")</f>
        <v/>
      </c>
      <c r="C437" s="31">
        <f>IF(1=1,IFERROR(CORREL('03_原始数据'!$B$378:$B$437,'03_原始数据'!$C$378:$C$437),""),"")</f>
        <v/>
      </c>
      <c r="D437" s="31">
        <f>IF(1=1,IFERROR(CORREL('03_原始数据'!$B$318:$B$437,'03_原始数据'!$C$318:$C$437),""),"")</f>
        <v/>
      </c>
      <c r="E437" s="31">
        <f>IF(1=1,IFERROR(CORREL('03_原始数据'!$G$378:$G$437,'03_原始数据'!$H$378:$H$437),""),"")</f>
        <v/>
      </c>
      <c r="F437" s="54">
        <f>IF(N(B437)=0,"不足","有效")</f>
        <v/>
      </c>
    </row>
    <row r="438" ht="17" customHeight="1">
      <c r="A438" s="40">
        <f>'03_原始数据'!A438</f>
        <v/>
      </c>
      <c r="B438" s="34">
        <f>IF(1=1,IFERROR(CORREL('03_原始数据'!$B$419:$B$438,'03_原始数据'!$C$419:$C$438),""),"")</f>
        <v/>
      </c>
      <c r="C438" s="34">
        <f>IF(1=1,IFERROR(CORREL('03_原始数据'!$B$379:$B$438,'03_原始数据'!$C$379:$C$438),""),"")</f>
        <v/>
      </c>
      <c r="D438" s="34">
        <f>IF(1=1,IFERROR(CORREL('03_原始数据'!$B$319:$B$438,'03_原始数据'!$C$319:$C$438),""),"")</f>
        <v/>
      </c>
      <c r="E438" s="34">
        <f>IF(1=1,IFERROR(CORREL('03_原始数据'!$G$379:$G$438,'03_原始数据'!$H$379:$H$438),""),"")</f>
        <v/>
      </c>
      <c r="F438" s="55">
        <f>IF(N(B438)=0,"不足","有效")</f>
        <v/>
      </c>
    </row>
    <row r="439" ht="17" customHeight="1">
      <c r="A439" s="38">
        <f>'03_原始数据'!A439</f>
        <v/>
      </c>
      <c r="B439" s="31">
        <f>IF(1=1,IFERROR(CORREL('03_原始数据'!$B$420:$B$439,'03_原始数据'!$C$420:$C$439),""),"")</f>
        <v/>
      </c>
      <c r="C439" s="31">
        <f>IF(1=1,IFERROR(CORREL('03_原始数据'!$B$380:$B$439,'03_原始数据'!$C$380:$C$439),""),"")</f>
        <v/>
      </c>
      <c r="D439" s="31">
        <f>IF(1=1,IFERROR(CORREL('03_原始数据'!$B$320:$B$439,'03_原始数据'!$C$320:$C$439),""),"")</f>
        <v/>
      </c>
      <c r="E439" s="31">
        <f>IF(1=1,IFERROR(CORREL('03_原始数据'!$G$380:$G$439,'03_原始数据'!$H$380:$H$439),""),"")</f>
        <v/>
      </c>
      <c r="F439" s="54">
        <f>IF(N(B439)=0,"不足","有效")</f>
        <v/>
      </c>
    </row>
    <row r="440" ht="17" customHeight="1">
      <c r="A440" s="40">
        <f>'03_原始数据'!A440</f>
        <v/>
      </c>
      <c r="B440" s="34">
        <f>IF(1=1,IFERROR(CORREL('03_原始数据'!$B$421:$B$440,'03_原始数据'!$C$421:$C$440),""),"")</f>
        <v/>
      </c>
      <c r="C440" s="34">
        <f>IF(1=1,IFERROR(CORREL('03_原始数据'!$B$381:$B$440,'03_原始数据'!$C$381:$C$440),""),"")</f>
        <v/>
      </c>
      <c r="D440" s="34">
        <f>IF(1=1,IFERROR(CORREL('03_原始数据'!$B$321:$B$440,'03_原始数据'!$C$321:$C$440),""),"")</f>
        <v/>
      </c>
      <c r="E440" s="34">
        <f>IF(1=1,IFERROR(CORREL('03_原始数据'!$G$381:$G$440,'03_原始数据'!$H$381:$H$440),""),"")</f>
        <v/>
      </c>
      <c r="F440" s="55">
        <f>IF(N(B440)=0,"不足","有效")</f>
        <v/>
      </c>
    </row>
    <row r="441" ht="17" customHeight="1">
      <c r="A441" s="38">
        <f>'03_原始数据'!A441</f>
        <v/>
      </c>
      <c r="B441" s="31">
        <f>IF(1=1,IFERROR(CORREL('03_原始数据'!$B$422:$B$441,'03_原始数据'!$C$422:$C$441),""),"")</f>
        <v/>
      </c>
      <c r="C441" s="31">
        <f>IF(1=1,IFERROR(CORREL('03_原始数据'!$B$382:$B$441,'03_原始数据'!$C$382:$C$441),""),"")</f>
        <v/>
      </c>
      <c r="D441" s="31">
        <f>IF(1=1,IFERROR(CORREL('03_原始数据'!$B$322:$B$441,'03_原始数据'!$C$322:$C$441),""),"")</f>
        <v/>
      </c>
      <c r="E441" s="31">
        <f>IF(1=1,IFERROR(CORREL('03_原始数据'!$G$382:$G$441,'03_原始数据'!$H$382:$H$441),""),"")</f>
        <v/>
      </c>
      <c r="F441" s="54">
        <f>IF(N(B441)=0,"不足","有效")</f>
        <v/>
      </c>
    </row>
    <row r="442" ht="17" customHeight="1">
      <c r="A442" s="40">
        <f>'03_原始数据'!A442</f>
        <v/>
      </c>
      <c r="B442" s="34">
        <f>IF(1=1,IFERROR(CORREL('03_原始数据'!$B$423:$B$442,'03_原始数据'!$C$423:$C$442),""),"")</f>
        <v/>
      </c>
      <c r="C442" s="34">
        <f>IF(1=1,IFERROR(CORREL('03_原始数据'!$B$383:$B$442,'03_原始数据'!$C$383:$C$442),""),"")</f>
        <v/>
      </c>
      <c r="D442" s="34">
        <f>IF(1=1,IFERROR(CORREL('03_原始数据'!$B$323:$B$442,'03_原始数据'!$C$323:$C$442),""),"")</f>
        <v/>
      </c>
      <c r="E442" s="34">
        <f>IF(1=1,IFERROR(CORREL('03_原始数据'!$G$383:$G$442,'03_原始数据'!$H$383:$H$442),""),"")</f>
        <v/>
      </c>
      <c r="F442" s="55">
        <f>IF(N(B442)=0,"不足","有效")</f>
        <v/>
      </c>
    </row>
    <row r="443" ht="17" customHeight="1">
      <c r="A443" s="38">
        <f>'03_原始数据'!A443</f>
        <v/>
      </c>
      <c r="B443" s="31">
        <f>IF(1=1,IFERROR(CORREL('03_原始数据'!$B$424:$B$443,'03_原始数据'!$C$424:$C$443),""),"")</f>
        <v/>
      </c>
      <c r="C443" s="31">
        <f>IF(1=1,IFERROR(CORREL('03_原始数据'!$B$384:$B$443,'03_原始数据'!$C$384:$C$443),""),"")</f>
        <v/>
      </c>
      <c r="D443" s="31">
        <f>IF(1=1,IFERROR(CORREL('03_原始数据'!$B$324:$B$443,'03_原始数据'!$C$324:$C$443),""),"")</f>
        <v/>
      </c>
      <c r="E443" s="31">
        <f>IF(1=1,IFERROR(CORREL('03_原始数据'!$G$384:$G$443,'03_原始数据'!$H$384:$H$443),""),"")</f>
        <v/>
      </c>
      <c r="F443" s="54">
        <f>IF(N(B443)=0,"不足","有效")</f>
        <v/>
      </c>
    </row>
    <row r="444" ht="17" customHeight="1">
      <c r="A444" s="40">
        <f>'03_原始数据'!A444</f>
        <v/>
      </c>
      <c r="B444" s="34">
        <f>IF(1=1,IFERROR(CORREL('03_原始数据'!$B$425:$B$444,'03_原始数据'!$C$425:$C$444),""),"")</f>
        <v/>
      </c>
      <c r="C444" s="34">
        <f>IF(1=1,IFERROR(CORREL('03_原始数据'!$B$385:$B$444,'03_原始数据'!$C$385:$C$444),""),"")</f>
        <v/>
      </c>
      <c r="D444" s="34">
        <f>IF(1=1,IFERROR(CORREL('03_原始数据'!$B$325:$B$444,'03_原始数据'!$C$325:$C$444),""),"")</f>
        <v/>
      </c>
      <c r="E444" s="34">
        <f>IF(1=1,IFERROR(CORREL('03_原始数据'!$G$385:$G$444,'03_原始数据'!$H$385:$H$444),""),"")</f>
        <v/>
      </c>
      <c r="F444" s="55">
        <f>IF(N(B444)=0,"不足","有效")</f>
        <v/>
      </c>
    </row>
    <row r="445" ht="17" customHeight="1">
      <c r="A445" s="38">
        <f>'03_原始数据'!A445</f>
        <v/>
      </c>
      <c r="B445" s="31">
        <f>IF(1=1,IFERROR(CORREL('03_原始数据'!$B$426:$B$445,'03_原始数据'!$C$426:$C$445),""),"")</f>
        <v/>
      </c>
      <c r="C445" s="31">
        <f>IF(1=1,IFERROR(CORREL('03_原始数据'!$B$386:$B$445,'03_原始数据'!$C$386:$C$445),""),"")</f>
        <v/>
      </c>
      <c r="D445" s="31">
        <f>IF(1=1,IFERROR(CORREL('03_原始数据'!$B$326:$B$445,'03_原始数据'!$C$326:$C$445),""),"")</f>
        <v/>
      </c>
      <c r="E445" s="31">
        <f>IF(1=1,IFERROR(CORREL('03_原始数据'!$G$386:$G$445,'03_原始数据'!$H$386:$H$445),""),"")</f>
        <v/>
      </c>
      <c r="F445" s="54">
        <f>IF(N(B445)=0,"不足","有效")</f>
        <v/>
      </c>
    </row>
    <row r="446" ht="17" customHeight="1">
      <c r="A446" s="40">
        <f>'03_原始数据'!A446</f>
        <v/>
      </c>
      <c r="B446" s="34">
        <f>IF(1=1,IFERROR(CORREL('03_原始数据'!$B$427:$B$446,'03_原始数据'!$C$427:$C$446),""),"")</f>
        <v/>
      </c>
      <c r="C446" s="34">
        <f>IF(1=1,IFERROR(CORREL('03_原始数据'!$B$387:$B$446,'03_原始数据'!$C$387:$C$446),""),"")</f>
        <v/>
      </c>
      <c r="D446" s="34">
        <f>IF(1=1,IFERROR(CORREL('03_原始数据'!$B$327:$B$446,'03_原始数据'!$C$327:$C$446),""),"")</f>
        <v/>
      </c>
      <c r="E446" s="34">
        <f>IF(1=1,IFERROR(CORREL('03_原始数据'!$G$387:$G$446,'03_原始数据'!$H$387:$H$446),""),"")</f>
        <v/>
      </c>
      <c r="F446" s="55">
        <f>IF(N(B446)=0,"不足","有效")</f>
        <v/>
      </c>
    </row>
    <row r="447" ht="17" customHeight="1">
      <c r="A447" s="38">
        <f>'03_原始数据'!A447</f>
        <v/>
      </c>
      <c r="B447" s="31">
        <f>IF(1=1,IFERROR(CORREL('03_原始数据'!$B$428:$B$447,'03_原始数据'!$C$428:$C$447),""),"")</f>
        <v/>
      </c>
      <c r="C447" s="31">
        <f>IF(1=1,IFERROR(CORREL('03_原始数据'!$B$388:$B$447,'03_原始数据'!$C$388:$C$447),""),"")</f>
        <v/>
      </c>
      <c r="D447" s="31">
        <f>IF(1=1,IFERROR(CORREL('03_原始数据'!$B$328:$B$447,'03_原始数据'!$C$328:$C$447),""),"")</f>
        <v/>
      </c>
      <c r="E447" s="31">
        <f>IF(1=1,IFERROR(CORREL('03_原始数据'!$G$388:$G$447,'03_原始数据'!$H$388:$H$447),""),"")</f>
        <v/>
      </c>
      <c r="F447" s="54">
        <f>IF(N(B447)=0,"不足","有效")</f>
        <v/>
      </c>
    </row>
    <row r="448" ht="17" customHeight="1">
      <c r="A448" s="40">
        <f>'03_原始数据'!A448</f>
        <v/>
      </c>
      <c r="B448" s="34">
        <f>IF(1=1,IFERROR(CORREL('03_原始数据'!$B$429:$B$448,'03_原始数据'!$C$429:$C$448),""),"")</f>
        <v/>
      </c>
      <c r="C448" s="34">
        <f>IF(1=1,IFERROR(CORREL('03_原始数据'!$B$389:$B$448,'03_原始数据'!$C$389:$C$448),""),"")</f>
        <v/>
      </c>
      <c r="D448" s="34">
        <f>IF(1=1,IFERROR(CORREL('03_原始数据'!$B$329:$B$448,'03_原始数据'!$C$329:$C$448),""),"")</f>
        <v/>
      </c>
      <c r="E448" s="34">
        <f>IF(1=1,IFERROR(CORREL('03_原始数据'!$G$389:$G$448,'03_原始数据'!$H$389:$H$448),""),"")</f>
        <v/>
      </c>
      <c r="F448" s="55">
        <f>IF(N(B448)=0,"不足","有效")</f>
        <v/>
      </c>
    </row>
    <row r="449" ht="17" customHeight="1">
      <c r="A449" s="38">
        <f>'03_原始数据'!A449</f>
        <v/>
      </c>
      <c r="B449" s="31">
        <f>IF(1=1,IFERROR(CORREL('03_原始数据'!$B$430:$B$449,'03_原始数据'!$C$430:$C$449),""),"")</f>
        <v/>
      </c>
      <c r="C449" s="31">
        <f>IF(1=1,IFERROR(CORREL('03_原始数据'!$B$390:$B$449,'03_原始数据'!$C$390:$C$449),""),"")</f>
        <v/>
      </c>
      <c r="D449" s="31">
        <f>IF(1=1,IFERROR(CORREL('03_原始数据'!$B$330:$B$449,'03_原始数据'!$C$330:$C$449),""),"")</f>
        <v/>
      </c>
      <c r="E449" s="31">
        <f>IF(1=1,IFERROR(CORREL('03_原始数据'!$G$390:$G$449,'03_原始数据'!$H$390:$H$449),""),"")</f>
        <v/>
      </c>
      <c r="F449" s="54">
        <f>IF(N(B449)=0,"不足","有效")</f>
        <v/>
      </c>
    </row>
    <row r="450" ht="17" customHeight="1">
      <c r="A450" s="40">
        <f>'03_原始数据'!A450</f>
        <v/>
      </c>
      <c r="B450" s="34">
        <f>IF(1=1,IFERROR(CORREL('03_原始数据'!$B$431:$B$450,'03_原始数据'!$C$431:$C$450),""),"")</f>
        <v/>
      </c>
      <c r="C450" s="34">
        <f>IF(1=1,IFERROR(CORREL('03_原始数据'!$B$391:$B$450,'03_原始数据'!$C$391:$C$450),""),"")</f>
        <v/>
      </c>
      <c r="D450" s="34">
        <f>IF(1=1,IFERROR(CORREL('03_原始数据'!$B$331:$B$450,'03_原始数据'!$C$331:$C$450),""),"")</f>
        <v/>
      </c>
      <c r="E450" s="34">
        <f>IF(1=1,IFERROR(CORREL('03_原始数据'!$G$391:$G$450,'03_原始数据'!$H$391:$H$450),""),"")</f>
        <v/>
      </c>
      <c r="F450" s="55">
        <f>IF(N(B450)=0,"不足","有效")</f>
        <v/>
      </c>
    </row>
    <row r="451" ht="17" customHeight="1">
      <c r="A451" s="38">
        <f>'03_原始数据'!A451</f>
        <v/>
      </c>
      <c r="B451" s="31">
        <f>IF(1=1,IFERROR(CORREL('03_原始数据'!$B$432:$B$451,'03_原始数据'!$C$432:$C$451),""),"")</f>
        <v/>
      </c>
      <c r="C451" s="31">
        <f>IF(1=1,IFERROR(CORREL('03_原始数据'!$B$392:$B$451,'03_原始数据'!$C$392:$C$451),""),"")</f>
        <v/>
      </c>
      <c r="D451" s="31">
        <f>IF(1=1,IFERROR(CORREL('03_原始数据'!$B$332:$B$451,'03_原始数据'!$C$332:$C$451),""),"")</f>
        <v/>
      </c>
      <c r="E451" s="31">
        <f>IF(1=1,IFERROR(CORREL('03_原始数据'!$G$392:$G$451,'03_原始数据'!$H$392:$H$451),""),"")</f>
        <v/>
      </c>
      <c r="F451" s="54">
        <f>IF(N(B451)=0,"不足","有效")</f>
        <v/>
      </c>
    </row>
    <row r="452" ht="17" customHeight="1">
      <c r="A452" s="40">
        <f>'03_原始数据'!A452</f>
        <v/>
      </c>
      <c r="B452" s="34">
        <f>IF(1=1,IFERROR(CORREL('03_原始数据'!$B$433:$B$452,'03_原始数据'!$C$433:$C$452),""),"")</f>
        <v/>
      </c>
      <c r="C452" s="34">
        <f>IF(1=1,IFERROR(CORREL('03_原始数据'!$B$393:$B$452,'03_原始数据'!$C$393:$C$452),""),"")</f>
        <v/>
      </c>
      <c r="D452" s="34">
        <f>IF(1=1,IFERROR(CORREL('03_原始数据'!$B$333:$B$452,'03_原始数据'!$C$333:$C$452),""),"")</f>
        <v/>
      </c>
      <c r="E452" s="34">
        <f>IF(1=1,IFERROR(CORREL('03_原始数据'!$G$393:$G$452,'03_原始数据'!$H$393:$H$452),""),"")</f>
        <v/>
      </c>
      <c r="F452" s="55">
        <f>IF(N(B452)=0,"不足","有效")</f>
        <v/>
      </c>
    </row>
    <row r="453" ht="17" customHeight="1">
      <c r="A453" s="38">
        <f>'03_原始数据'!A453</f>
        <v/>
      </c>
      <c r="B453" s="31">
        <f>IF(1=1,IFERROR(CORREL('03_原始数据'!$B$434:$B$453,'03_原始数据'!$C$434:$C$453),""),"")</f>
        <v/>
      </c>
      <c r="C453" s="31">
        <f>IF(1=1,IFERROR(CORREL('03_原始数据'!$B$394:$B$453,'03_原始数据'!$C$394:$C$453),""),"")</f>
        <v/>
      </c>
      <c r="D453" s="31">
        <f>IF(1=1,IFERROR(CORREL('03_原始数据'!$B$334:$B$453,'03_原始数据'!$C$334:$C$453),""),"")</f>
        <v/>
      </c>
      <c r="E453" s="31">
        <f>IF(1=1,IFERROR(CORREL('03_原始数据'!$G$394:$G$453,'03_原始数据'!$H$394:$H$453),""),"")</f>
        <v/>
      </c>
      <c r="F453" s="54">
        <f>IF(N(B453)=0,"不足","有效")</f>
        <v/>
      </c>
    </row>
    <row r="454" ht="17" customHeight="1">
      <c r="A454" s="40">
        <f>'03_原始数据'!A454</f>
        <v/>
      </c>
      <c r="B454" s="34">
        <f>IF(1=1,IFERROR(CORREL('03_原始数据'!$B$435:$B$454,'03_原始数据'!$C$435:$C$454),""),"")</f>
        <v/>
      </c>
      <c r="C454" s="34">
        <f>IF(1=1,IFERROR(CORREL('03_原始数据'!$B$395:$B$454,'03_原始数据'!$C$395:$C$454),""),"")</f>
        <v/>
      </c>
      <c r="D454" s="34">
        <f>IF(1=1,IFERROR(CORREL('03_原始数据'!$B$335:$B$454,'03_原始数据'!$C$335:$C$454),""),"")</f>
        <v/>
      </c>
      <c r="E454" s="34">
        <f>IF(1=1,IFERROR(CORREL('03_原始数据'!$G$395:$G$454,'03_原始数据'!$H$395:$H$454),""),"")</f>
        <v/>
      </c>
      <c r="F454" s="55">
        <f>IF(N(B454)=0,"不足","有效")</f>
        <v/>
      </c>
    </row>
    <row r="455" ht="17" customHeight="1">
      <c r="A455" s="38">
        <f>'03_原始数据'!A455</f>
        <v/>
      </c>
      <c r="B455" s="31">
        <f>IF(1=1,IFERROR(CORREL('03_原始数据'!$B$436:$B$455,'03_原始数据'!$C$436:$C$455),""),"")</f>
        <v/>
      </c>
      <c r="C455" s="31">
        <f>IF(1=1,IFERROR(CORREL('03_原始数据'!$B$396:$B$455,'03_原始数据'!$C$396:$C$455),""),"")</f>
        <v/>
      </c>
      <c r="D455" s="31">
        <f>IF(1=1,IFERROR(CORREL('03_原始数据'!$B$336:$B$455,'03_原始数据'!$C$336:$C$455),""),"")</f>
        <v/>
      </c>
      <c r="E455" s="31">
        <f>IF(1=1,IFERROR(CORREL('03_原始数据'!$G$396:$G$455,'03_原始数据'!$H$396:$H$455),""),"")</f>
        <v/>
      </c>
      <c r="F455" s="54">
        <f>IF(N(B455)=0,"不足","有效")</f>
        <v/>
      </c>
    </row>
    <row r="456" ht="17" customHeight="1">
      <c r="A456" s="40">
        <f>'03_原始数据'!A456</f>
        <v/>
      </c>
      <c r="B456" s="34">
        <f>IF(1=1,IFERROR(CORREL('03_原始数据'!$B$437:$B$456,'03_原始数据'!$C$437:$C$456),""),"")</f>
        <v/>
      </c>
      <c r="C456" s="34">
        <f>IF(1=1,IFERROR(CORREL('03_原始数据'!$B$397:$B$456,'03_原始数据'!$C$397:$C$456),""),"")</f>
        <v/>
      </c>
      <c r="D456" s="34">
        <f>IF(1=1,IFERROR(CORREL('03_原始数据'!$B$337:$B$456,'03_原始数据'!$C$337:$C$456),""),"")</f>
        <v/>
      </c>
      <c r="E456" s="34">
        <f>IF(1=1,IFERROR(CORREL('03_原始数据'!$G$397:$G$456,'03_原始数据'!$H$397:$H$456),""),"")</f>
        <v/>
      </c>
      <c r="F456" s="55">
        <f>IF(N(B456)=0,"不足","有效")</f>
        <v/>
      </c>
    </row>
    <row r="457" ht="17" customHeight="1">
      <c r="A457" s="38">
        <f>'03_原始数据'!A457</f>
        <v/>
      </c>
      <c r="B457" s="31">
        <f>IF(1=1,IFERROR(CORREL('03_原始数据'!$B$438:$B$457,'03_原始数据'!$C$438:$C$457),""),"")</f>
        <v/>
      </c>
      <c r="C457" s="31">
        <f>IF(1=1,IFERROR(CORREL('03_原始数据'!$B$398:$B$457,'03_原始数据'!$C$398:$C$457),""),"")</f>
        <v/>
      </c>
      <c r="D457" s="31">
        <f>IF(1=1,IFERROR(CORREL('03_原始数据'!$B$338:$B$457,'03_原始数据'!$C$338:$C$457),""),"")</f>
        <v/>
      </c>
      <c r="E457" s="31">
        <f>IF(1=1,IFERROR(CORREL('03_原始数据'!$G$398:$G$457,'03_原始数据'!$H$398:$H$457),""),"")</f>
        <v/>
      </c>
      <c r="F457" s="54">
        <f>IF(N(B457)=0,"不足","有效")</f>
        <v/>
      </c>
    </row>
    <row r="458" ht="17" customHeight="1">
      <c r="A458" s="40">
        <f>'03_原始数据'!A458</f>
        <v/>
      </c>
      <c r="B458" s="34">
        <f>IF(1=1,IFERROR(CORREL('03_原始数据'!$B$439:$B$458,'03_原始数据'!$C$439:$C$458),""),"")</f>
        <v/>
      </c>
      <c r="C458" s="34">
        <f>IF(1=1,IFERROR(CORREL('03_原始数据'!$B$399:$B$458,'03_原始数据'!$C$399:$C$458),""),"")</f>
        <v/>
      </c>
      <c r="D458" s="34">
        <f>IF(1=1,IFERROR(CORREL('03_原始数据'!$B$339:$B$458,'03_原始数据'!$C$339:$C$458),""),"")</f>
        <v/>
      </c>
      <c r="E458" s="34">
        <f>IF(1=1,IFERROR(CORREL('03_原始数据'!$G$399:$G$458,'03_原始数据'!$H$399:$H$458),""),"")</f>
        <v/>
      </c>
      <c r="F458" s="55">
        <f>IF(N(B458)=0,"不足","有效")</f>
        <v/>
      </c>
    </row>
    <row r="459" ht="17" customHeight="1">
      <c r="A459" s="38">
        <f>'03_原始数据'!A459</f>
        <v/>
      </c>
      <c r="B459" s="31">
        <f>IF(1=1,IFERROR(CORREL('03_原始数据'!$B$440:$B$459,'03_原始数据'!$C$440:$C$459),""),"")</f>
        <v/>
      </c>
      <c r="C459" s="31">
        <f>IF(1=1,IFERROR(CORREL('03_原始数据'!$B$400:$B$459,'03_原始数据'!$C$400:$C$459),""),"")</f>
        <v/>
      </c>
      <c r="D459" s="31">
        <f>IF(1=1,IFERROR(CORREL('03_原始数据'!$B$340:$B$459,'03_原始数据'!$C$340:$C$459),""),"")</f>
        <v/>
      </c>
      <c r="E459" s="31">
        <f>IF(1=1,IFERROR(CORREL('03_原始数据'!$G$400:$G$459,'03_原始数据'!$H$400:$H$459),""),"")</f>
        <v/>
      </c>
      <c r="F459" s="54">
        <f>IF(N(B459)=0,"不足","有效")</f>
        <v/>
      </c>
    </row>
    <row r="460" ht="17" customHeight="1">
      <c r="A460" s="40">
        <f>'03_原始数据'!A460</f>
        <v/>
      </c>
      <c r="B460" s="34">
        <f>IF(1=1,IFERROR(CORREL('03_原始数据'!$B$441:$B$460,'03_原始数据'!$C$441:$C$460),""),"")</f>
        <v/>
      </c>
      <c r="C460" s="34">
        <f>IF(1=1,IFERROR(CORREL('03_原始数据'!$B$401:$B$460,'03_原始数据'!$C$401:$C$460),""),"")</f>
        <v/>
      </c>
      <c r="D460" s="34">
        <f>IF(1=1,IFERROR(CORREL('03_原始数据'!$B$341:$B$460,'03_原始数据'!$C$341:$C$460),""),"")</f>
        <v/>
      </c>
      <c r="E460" s="34">
        <f>IF(1=1,IFERROR(CORREL('03_原始数据'!$G$401:$G$460,'03_原始数据'!$H$401:$H$460),""),"")</f>
        <v/>
      </c>
      <c r="F460" s="55">
        <f>IF(N(B460)=0,"不足","有效")</f>
        <v/>
      </c>
    </row>
    <row r="461" ht="17" customHeight="1">
      <c r="A461" s="38">
        <f>'03_原始数据'!A461</f>
        <v/>
      </c>
      <c r="B461" s="31">
        <f>IF(1=1,IFERROR(CORREL('03_原始数据'!$B$442:$B$461,'03_原始数据'!$C$442:$C$461),""),"")</f>
        <v/>
      </c>
      <c r="C461" s="31">
        <f>IF(1=1,IFERROR(CORREL('03_原始数据'!$B$402:$B$461,'03_原始数据'!$C$402:$C$461),""),"")</f>
        <v/>
      </c>
      <c r="D461" s="31">
        <f>IF(1=1,IFERROR(CORREL('03_原始数据'!$B$342:$B$461,'03_原始数据'!$C$342:$C$461),""),"")</f>
        <v/>
      </c>
      <c r="E461" s="31">
        <f>IF(1=1,IFERROR(CORREL('03_原始数据'!$G$402:$G$461,'03_原始数据'!$H$402:$H$461),""),"")</f>
        <v/>
      </c>
      <c r="F461" s="54">
        <f>IF(N(B461)=0,"不足","有效")</f>
        <v/>
      </c>
    </row>
    <row r="462" ht="17" customHeight="1">
      <c r="A462" s="40">
        <f>'03_原始数据'!A462</f>
        <v/>
      </c>
      <c r="B462" s="34">
        <f>IF(1=1,IFERROR(CORREL('03_原始数据'!$B$443:$B$462,'03_原始数据'!$C$443:$C$462),""),"")</f>
        <v/>
      </c>
      <c r="C462" s="34">
        <f>IF(1=1,IFERROR(CORREL('03_原始数据'!$B$403:$B$462,'03_原始数据'!$C$403:$C$462),""),"")</f>
        <v/>
      </c>
      <c r="D462" s="34">
        <f>IF(1=1,IFERROR(CORREL('03_原始数据'!$B$343:$B$462,'03_原始数据'!$C$343:$C$462),""),"")</f>
        <v/>
      </c>
      <c r="E462" s="34">
        <f>IF(1=1,IFERROR(CORREL('03_原始数据'!$G$403:$G$462,'03_原始数据'!$H$403:$H$462),""),"")</f>
        <v/>
      </c>
      <c r="F462" s="55">
        <f>IF(N(B462)=0,"不足","有效")</f>
        <v/>
      </c>
    </row>
    <row r="463" ht="17" customHeight="1">
      <c r="A463" s="38">
        <f>'03_原始数据'!A463</f>
        <v/>
      </c>
      <c r="B463" s="31">
        <f>IF(1=1,IFERROR(CORREL('03_原始数据'!$B$444:$B$463,'03_原始数据'!$C$444:$C$463),""),"")</f>
        <v/>
      </c>
      <c r="C463" s="31">
        <f>IF(1=1,IFERROR(CORREL('03_原始数据'!$B$404:$B$463,'03_原始数据'!$C$404:$C$463),""),"")</f>
        <v/>
      </c>
      <c r="D463" s="31">
        <f>IF(1=1,IFERROR(CORREL('03_原始数据'!$B$344:$B$463,'03_原始数据'!$C$344:$C$463),""),"")</f>
        <v/>
      </c>
      <c r="E463" s="31">
        <f>IF(1=1,IFERROR(CORREL('03_原始数据'!$G$404:$G$463,'03_原始数据'!$H$404:$H$463),""),"")</f>
        <v/>
      </c>
      <c r="F463" s="54">
        <f>IF(N(B463)=0,"不足","有效")</f>
        <v/>
      </c>
    </row>
    <row r="464" ht="17" customHeight="1">
      <c r="A464" s="40">
        <f>'03_原始数据'!A464</f>
        <v/>
      </c>
      <c r="B464" s="34">
        <f>IF(1=1,IFERROR(CORREL('03_原始数据'!$B$445:$B$464,'03_原始数据'!$C$445:$C$464),""),"")</f>
        <v/>
      </c>
      <c r="C464" s="34">
        <f>IF(1=1,IFERROR(CORREL('03_原始数据'!$B$405:$B$464,'03_原始数据'!$C$405:$C$464),""),"")</f>
        <v/>
      </c>
      <c r="D464" s="34">
        <f>IF(1=1,IFERROR(CORREL('03_原始数据'!$B$345:$B$464,'03_原始数据'!$C$345:$C$464),""),"")</f>
        <v/>
      </c>
      <c r="E464" s="34">
        <f>IF(1=1,IFERROR(CORREL('03_原始数据'!$G$405:$G$464,'03_原始数据'!$H$405:$H$464),""),"")</f>
        <v/>
      </c>
      <c r="F464" s="55">
        <f>IF(N(B464)=0,"不足","有效")</f>
        <v/>
      </c>
    </row>
    <row r="465" ht="17" customHeight="1">
      <c r="A465" s="38">
        <f>'03_原始数据'!A465</f>
        <v/>
      </c>
      <c r="B465" s="31">
        <f>IF(1=1,IFERROR(CORREL('03_原始数据'!$B$446:$B$465,'03_原始数据'!$C$446:$C$465),""),"")</f>
        <v/>
      </c>
      <c r="C465" s="31">
        <f>IF(1=1,IFERROR(CORREL('03_原始数据'!$B$406:$B$465,'03_原始数据'!$C$406:$C$465),""),"")</f>
        <v/>
      </c>
      <c r="D465" s="31">
        <f>IF(1=1,IFERROR(CORREL('03_原始数据'!$B$346:$B$465,'03_原始数据'!$C$346:$C$465),""),"")</f>
        <v/>
      </c>
      <c r="E465" s="31">
        <f>IF(1=1,IFERROR(CORREL('03_原始数据'!$G$406:$G$465,'03_原始数据'!$H$406:$H$465),""),"")</f>
        <v/>
      </c>
      <c r="F465" s="54">
        <f>IF(N(B465)=0,"不足","有效")</f>
        <v/>
      </c>
    </row>
    <row r="466" ht="17" customHeight="1">
      <c r="A466" s="40">
        <f>'03_原始数据'!A466</f>
        <v/>
      </c>
      <c r="B466" s="34">
        <f>IF(1=1,IFERROR(CORREL('03_原始数据'!$B$447:$B$466,'03_原始数据'!$C$447:$C$466),""),"")</f>
        <v/>
      </c>
      <c r="C466" s="34">
        <f>IF(1=1,IFERROR(CORREL('03_原始数据'!$B$407:$B$466,'03_原始数据'!$C$407:$C$466),""),"")</f>
        <v/>
      </c>
      <c r="D466" s="34">
        <f>IF(1=1,IFERROR(CORREL('03_原始数据'!$B$347:$B$466,'03_原始数据'!$C$347:$C$466),""),"")</f>
        <v/>
      </c>
      <c r="E466" s="34">
        <f>IF(1=1,IFERROR(CORREL('03_原始数据'!$G$407:$G$466,'03_原始数据'!$H$407:$H$466),""),"")</f>
        <v/>
      </c>
      <c r="F466" s="55">
        <f>IF(N(B466)=0,"不足","有效")</f>
        <v/>
      </c>
    </row>
    <row r="467" ht="17" customHeight="1">
      <c r="A467" s="38">
        <f>'03_原始数据'!A467</f>
        <v/>
      </c>
      <c r="B467" s="31">
        <f>IF(1=1,IFERROR(CORREL('03_原始数据'!$B$448:$B$467,'03_原始数据'!$C$448:$C$467),""),"")</f>
        <v/>
      </c>
      <c r="C467" s="31">
        <f>IF(1=1,IFERROR(CORREL('03_原始数据'!$B$408:$B$467,'03_原始数据'!$C$408:$C$467),""),"")</f>
        <v/>
      </c>
      <c r="D467" s="31">
        <f>IF(1=1,IFERROR(CORREL('03_原始数据'!$B$348:$B$467,'03_原始数据'!$C$348:$C$467),""),"")</f>
        <v/>
      </c>
      <c r="E467" s="31">
        <f>IF(1=1,IFERROR(CORREL('03_原始数据'!$G$408:$G$467,'03_原始数据'!$H$408:$H$467),""),"")</f>
        <v/>
      </c>
      <c r="F467" s="54">
        <f>IF(N(B467)=0,"不足","有效")</f>
        <v/>
      </c>
    </row>
    <row r="468" ht="17" customHeight="1">
      <c r="A468" s="40">
        <f>'03_原始数据'!A468</f>
        <v/>
      </c>
      <c r="B468" s="34">
        <f>IF(1=1,IFERROR(CORREL('03_原始数据'!$B$449:$B$468,'03_原始数据'!$C$449:$C$468),""),"")</f>
        <v/>
      </c>
      <c r="C468" s="34">
        <f>IF(1=1,IFERROR(CORREL('03_原始数据'!$B$409:$B$468,'03_原始数据'!$C$409:$C$468),""),"")</f>
        <v/>
      </c>
      <c r="D468" s="34">
        <f>IF(1=1,IFERROR(CORREL('03_原始数据'!$B$349:$B$468,'03_原始数据'!$C$349:$C$468),""),"")</f>
        <v/>
      </c>
      <c r="E468" s="34">
        <f>IF(1=1,IFERROR(CORREL('03_原始数据'!$G$409:$G$468,'03_原始数据'!$H$409:$H$468),""),"")</f>
        <v/>
      </c>
      <c r="F468" s="55">
        <f>IF(N(B468)=0,"不足","有效")</f>
        <v/>
      </c>
    </row>
    <row r="469" ht="17" customHeight="1">
      <c r="A469" s="38">
        <f>'03_原始数据'!A469</f>
        <v/>
      </c>
      <c r="B469" s="31">
        <f>IF(1=1,IFERROR(CORREL('03_原始数据'!$B$450:$B$469,'03_原始数据'!$C$450:$C$469),""),"")</f>
        <v/>
      </c>
      <c r="C469" s="31">
        <f>IF(1=1,IFERROR(CORREL('03_原始数据'!$B$410:$B$469,'03_原始数据'!$C$410:$C$469),""),"")</f>
        <v/>
      </c>
      <c r="D469" s="31">
        <f>IF(1=1,IFERROR(CORREL('03_原始数据'!$B$350:$B$469,'03_原始数据'!$C$350:$C$469),""),"")</f>
        <v/>
      </c>
      <c r="E469" s="31">
        <f>IF(1=1,IFERROR(CORREL('03_原始数据'!$G$410:$G$469,'03_原始数据'!$H$410:$H$469),""),"")</f>
        <v/>
      </c>
      <c r="F469" s="54">
        <f>IF(N(B469)=0,"不足","有效")</f>
        <v/>
      </c>
    </row>
    <row r="470" ht="17" customHeight="1">
      <c r="A470" s="40">
        <f>'03_原始数据'!A470</f>
        <v/>
      </c>
      <c r="B470" s="34">
        <f>IF(1=1,IFERROR(CORREL('03_原始数据'!$B$451:$B$470,'03_原始数据'!$C$451:$C$470),""),"")</f>
        <v/>
      </c>
      <c r="C470" s="34">
        <f>IF(1=1,IFERROR(CORREL('03_原始数据'!$B$411:$B$470,'03_原始数据'!$C$411:$C$470),""),"")</f>
        <v/>
      </c>
      <c r="D470" s="34">
        <f>IF(1=1,IFERROR(CORREL('03_原始数据'!$B$351:$B$470,'03_原始数据'!$C$351:$C$470),""),"")</f>
        <v/>
      </c>
      <c r="E470" s="34">
        <f>IF(1=1,IFERROR(CORREL('03_原始数据'!$G$411:$G$470,'03_原始数据'!$H$411:$H$470),""),"")</f>
        <v/>
      </c>
      <c r="F470" s="55">
        <f>IF(N(B470)=0,"不足","有效")</f>
        <v/>
      </c>
    </row>
    <row r="471" ht="17" customHeight="1">
      <c r="A471" s="38">
        <f>'03_原始数据'!A471</f>
        <v/>
      </c>
      <c r="B471" s="31">
        <f>IF(1=1,IFERROR(CORREL('03_原始数据'!$B$452:$B$471,'03_原始数据'!$C$452:$C$471),""),"")</f>
        <v/>
      </c>
      <c r="C471" s="31">
        <f>IF(1=1,IFERROR(CORREL('03_原始数据'!$B$412:$B$471,'03_原始数据'!$C$412:$C$471),""),"")</f>
        <v/>
      </c>
      <c r="D471" s="31">
        <f>IF(1=1,IFERROR(CORREL('03_原始数据'!$B$352:$B$471,'03_原始数据'!$C$352:$C$471),""),"")</f>
        <v/>
      </c>
      <c r="E471" s="31">
        <f>IF(1=1,IFERROR(CORREL('03_原始数据'!$G$412:$G$471,'03_原始数据'!$H$412:$H$471),""),"")</f>
        <v/>
      </c>
      <c r="F471" s="54">
        <f>IF(N(B471)=0,"不足","有效")</f>
        <v/>
      </c>
    </row>
    <row r="472" ht="17" customHeight="1">
      <c r="A472" s="40">
        <f>'03_原始数据'!A472</f>
        <v/>
      </c>
      <c r="B472" s="34">
        <f>IF(1=1,IFERROR(CORREL('03_原始数据'!$B$453:$B$472,'03_原始数据'!$C$453:$C$472),""),"")</f>
        <v/>
      </c>
      <c r="C472" s="34">
        <f>IF(1=1,IFERROR(CORREL('03_原始数据'!$B$413:$B$472,'03_原始数据'!$C$413:$C$472),""),"")</f>
        <v/>
      </c>
      <c r="D472" s="34">
        <f>IF(1=1,IFERROR(CORREL('03_原始数据'!$B$353:$B$472,'03_原始数据'!$C$353:$C$472),""),"")</f>
        <v/>
      </c>
      <c r="E472" s="34">
        <f>IF(1=1,IFERROR(CORREL('03_原始数据'!$G$413:$G$472,'03_原始数据'!$H$413:$H$472),""),"")</f>
        <v/>
      </c>
      <c r="F472" s="55">
        <f>IF(N(B472)=0,"不足","有效")</f>
        <v/>
      </c>
    </row>
    <row r="473" ht="17" customHeight="1">
      <c r="A473" s="38">
        <f>'03_原始数据'!A473</f>
        <v/>
      </c>
      <c r="B473" s="31">
        <f>IF(1=1,IFERROR(CORREL('03_原始数据'!$B$454:$B$473,'03_原始数据'!$C$454:$C$473),""),"")</f>
        <v/>
      </c>
      <c r="C473" s="31">
        <f>IF(1=1,IFERROR(CORREL('03_原始数据'!$B$414:$B$473,'03_原始数据'!$C$414:$C$473),""),"")</f>
        <v/>
      </c>
      <c r="D473" s="31">
        <f>IF(1=1,IFERROR(CORREL('03_原始数据'!$B$354:$B$473,'03_原始数据'!$C$354:$C$473),""),"")</f>
        <v/>
      </c>
      <c r="E473" s="31">
        <f>IF(1=1,IFERROR(CORREL('03_原始数据'!$G$414:$G$473,'03_原始数据'!$H$414:$H$473),""),"")</f>
        <v/>
      </c>
      <c r="F473" s="54">
        <f>IF(N(B473)=0,"不足","有效")</f>
        <v/>
      </c>
    </row>
    <row r="474" ht="17" customHeight="1">
      <c r="A474" s="40">
        <f>'03_原始数据'!A474</f>
        <v/>
      </c>
      <c r="B474" s="34">
        <f>IF(1=1,IFERROR(CORREL('03_原始数据'!$B$455:$B$474,'03_原始数据'!$C$455:$C$474),""),"")</f>
        <v/>
      </c>
      <c r="C474" s="34">
        <f>IF(1=1,IFERROR(CORREL('03_原始数据'!$B$415:$B$474,'03_原始数据'!$C$415:$C$474),""),"")</f>
        <v/>
      </c>
      <c r="D474" s="34">
        <f>IF(1=1,IFERROR(CORREL('03_原始数据'!$B$355:$B$474,'03_原始数据'!$C$355:$C$474),""),"")</f>
        <v/>
      </c>
      <c r="E474" s="34">
        <f>IF(1=1,IFERROR(CORREL('03_原始数据'!$G$415:$G$474,'03_原始数据'!$H$415:$H$474),""),"")</f>
        <v/>
      </c>
      <c r="F474" s="55">
        <f>IF(N(B474)=0,"不足","有效")</f>
        <v/>
      </c>
    </row>
    <row r="475" ht="17" customHeight="1">
      <c r="A475" s="38">
        <f>'03_原始数据'!A475</f>
        <v/>
      </c>
      <c r="B475" s="31">
        <f>IF(1=1,IFERROR(CORREL('03_原始数据'!$B$456:$B$475,'03_原始数据'!$C$456:$C$475),""),"")</f>
        <v/>
      </c>
      <c r="C475" s="31">
        <f>IF(1=1,IFERROR(CORREL('03_原始数据'!$B$416:$B$475,'03_原始数据'!$C$416:$C$475),""),"")</f>
        <v/>
      </c>
      <c r="D475" s="31">
        <f>IF(1=1,IFERROR(CORREL('03_原始数据'!$B$356:$B$475,'03_原始数据'!$C$356:$C$475),""),"")</f>
        <v/>
      </c>
      <c r="E475" s="31">
        <f>IF(1=1,IFERROR(CORREL('03_原始数据'!$G$416:$G$475,'03_原始数据'!$H$416:$H$475),""),"")</f>
        <v/>
      </c>
      <c r="F475" s="54">
        <f>IF(N(B475)=0,"不足","有效")</f>
        <v/>
      </c>
    </row>
    <row r="476" ht="17" customHeight="1">
      <c r="A476" s="40">
        <f>'03_原始数据'!A476</f>
        <v/>
      </c>
      <c r="B476" s="34">
        <f>IF(1=1,IFERROR(CORREL('03_原始数据'!$B$457:$B$476,'03_原始数据'!$C$457:$C$476),""),"")</f>
        <v/>
      </c>
      <c r="C476" s="34">
        <f>IF(1=1,IFERROR(CORREL('03_原始数据'!$B$417:$B$476,'03_原始数据'!$C$417:$C$476),""),"")</f>
        <v/>
      </c>
      <c r="D476" s="34">
        <f>IF(1=1,IFERROR(CORREL('03_原始数据'!$B$357:$B$476,'03_原始数据'!$C$357:$C$476),""),"")</f>
        <v/>
      </c>
      <c r="E476" s="34">
        <f>IF(1=1,IFERROR(CORREL('03_原始数据'!$G$417:$G$476,'03_原始数据'!$H$417:$H$476),""),"")</f>
        <v/>
      </c>
      <c r="F476" s="55">
        <f>IF(N(B476)=0,"不足","有效")</f>
        <v/>
      </c>
    </row>
    <row r="477" ht="17" customHeight="1">
      <c r="A477" s="38">
        <f>'03_原始数据'!A477</f>
        <v/>
      </c>
      <c r="B477" s="31">
        <f>IF(1=1,IFERROR(CORREL('03_原始数据'!$B$458:$B$477,'03_原始数据'!$C$458:$C$477),""),"")</f>
        <v/>
      </c>
      <c r="C477" s="31">
        <f>IF(1=1,IFERROR(CORREL('03_原始数据'!$B$418:$B$477,'03_原始数据'!$C$418:$C$477),""),"")</f>
        <v/>
      </c>
      <c r="D477" s="31">
        <f>IF(1=1,IFERROR(CORREL('03_原始数据'!$B$358:$B$477,'03_原始数据'!$C$358:$C$477),""),"")</f>
        <v/>
      </c>
      <c r="E477" s="31">
        <f>IF(1=1,IFERROR(CORREL('03_原始数据'!$G$418:$G$477,'03_原始数据'!$H$418:$H$477),""),"")</f>
        <v/>
      </c>
      <c r="F477" s="54">
        <f>IF(N(B477)=0,"不足","有效")</f>
        <v/>
      </c>
    </row>
    <row r="478" ht="17" customHeight="1">
      <c r="A478" s="40">
        <f>'03_原始数据'!A478</f>
        <v/>
      </c>
      <c r="B478" s="34">
        <f>IF(1=1,IFERROR(CORREL('03_原始数据'!$B$459:$B$478,'03_原始数据'!$C$459:$C$478),""),"")</f>
        <v/>
      </c>
      <c r="C478" s="34">
        <f>IF(1=1,IFERROR(CORREL('03_原始数据'!$B$419:$B$478,'03_原始数据'!$C$419:$C$478),""),"")</f>
        <v/>
      </c>
      <c r="D478" s="34">
        <f>IF(1=1,IFERROR(CORREL('03_原始数据'!$B$359:$B$478,'03_原始数据'!$C$359:$C$478),""),"")</f>
        <v/>
      </c>
      <c r="E478" s="34">
        <f>IF(1=1,IFERROR(CORREL('03_原始数据'!$G$419:$G$478,'03_原始数据'!$H$419:$H$478),""),"")</f>
        <v/>
      </c>
      <c r="F478" s="55">
        <f>IF(N(B478)=0,"不足","有效")</f>
        <v/>
      </c>
    </row>
    <row r="479" ht="17" customHeight="1">
      <c r="A479" s="38">
        <f>'03_原始数据'!A479</f>
        <v/>
      </c>
      <c r="B479" s="31">
        <f>IF(1=1,IFERROR(CORREL('03_原始数据'!$B$460:$B$479,'03_原始数据'!$C$460:$C$479),""),"")</f>
        <v/>
      </c>
      <c r="C479" s="31">
        <f>IF(1=1,IFERROR(CORREL('03_原始数据'!$B$420:$B$479,'03_原始数据'!$C$420:$C$479),""),"")</f>
        <v/>
      </c>
      <c r="D479" s="31">
        <f>IF(1=1,IFERROR(CORREL('03_原始数据'!$B$360:$B$479,'03_原始数据'!$C$360:$C$479),""),"")</f>
        <v/>
      </c>
      <c r="E479" s="31">
        <f>IF(1=1,IFERROR(CORREL('03_原始数据'!$G$420:$G$479,'03_原始数据'!$H$420:$H$479),""),"")</f>
        <v/>
      </c>
      <c r="F479" s="54">
        <f>IF(N(B479)=0,"不足","有效")</f>
        <v/>
      </c>
    </row>
    <row r="480" ht="17" customHeight="1">
      <c r="A480" s="40">
        <f>'03_原始数据'!A480</f>
        <v/>
      </c>
      <c r="B480" s="34">
        <f>IF(1=1,IFERROR(CORREL('03_原始数据'!$B$461:$B$480,'03_原始数据'!$C$461:$C$480),""),"")</f>
        <v/>
      </c>
      <c r="C480" s="34">
        <f>IF(1=1,IFERROR(CORREL('03_原始数据'!$B$421:$B$480,'03_原始数据'!$C$421:$C$480),""),"")</f>
        <v/>
      </c>
      <c r="D480" s="34">
        <f>IF(1=1,IFERROR(CORREL('03_原始数据'!$B$361:$B$480,'03_原始数据'!$C$361:$C$480),""),"")</f>
        <v/>
      </c>
      <c r="E480" s="34">
        <f>IF(1=1,IFERROR(CORREL('03_原始数据'!$G$421:$G$480,'03_原始数据'!$H$421:$H$480),""),"")</f>
        <v/>
      </c>
      <c r="F480" s="55">
        <f>IF(N(B480)=0,"不足","有效")</f>
        <v/>
      </c>
    </row>
    <row r="481" ht="17" customHeight="1">
      <c r="A481" s="38">
        <f>'03_原始数据'!A481</f>
        <v/>
      </c>
      <c r="B481" s="31">
        <f>IF(1=1,IFERROR(CORREL('03_原始数据'!$B$462:$B$481,'03_原始数据'!$C$462:$C$481),""),"")</f>
        <v/>
      </c>
      <c r="C481" s="31">
        <f>IF(1=1,IFERROR(CORREL('03_原始数据'!$B$422:$B$481,'03_原始数据'!$C$422:$C$481),""),"")</f>
        <v/>
      </c>
      <c r="D481" s="31">
        <f>IF(1=1,IFERROR(CORREL('03_原始数据'!$B$362:$B$481,'03_原始数据'!$C$362:$C$481),""),"")</f>
        <v/>
      </c>
      <c r="E481" s="31">
        <f>IF(1=1,IFERROR(CORREL('03_原始数据'!$G$422:$G$481,'03_原始数据'!$H$422:$H$481),""),"")</f>
        <v/>
      </c>
      <c r="F481" s="54">
        <f>IF(N(B481)=0,"不足","有效")</f>
        <v/>
      </c>
    </row>
    <row r="482" ht="17" customHeight="1">
      <c r="A482" s="40">
        <f>'03_原始数据'!A482</f>
        <v/>
      </c>
      <c r="B482" s="34">
        <f>IF(1=1,IFERROR(CORREL('03_原始数据'!$B$463:$B$482,'03_原始数据'!$C$463:$C$482),""),"")</f>
        <v/>
      </c>
      <c r="C482" s="34">
        <f>IF(1=1,IFERROR(CORREL('03_原始数据'!$B$423:$B$482,'03_原始数据'!$C$423:$C$482),""),"")</f>
        <v/>
      </c>
      <c r="D482" s="34">
        <f>IF(1=1,IFERROR(CORREL('03_原始数据'!$B$363:$B$482,'03_原始数据'!$C$363:$C$482),""),"")</f>
        <v/>
      </c>
      <c r="E482" s="34">
        <f>IF(1=1,IFERROR(CORREL('03_原始数据'!$G$423:$G$482,'03_原始数据'!$H$423:$H$482),""),"")</f>
        <v/>
      </c>
      <c r="F482" s="55">
        <f>IF(N(B482)=0,"不足","有效")</f>
        <v/>
      </c>
    </row>
    <row r="483" ht="17" customHeight="1">
      <c r="A483" s="38">
        <f>'03_原始数据'!A483</f>
        <v/>
      </c>
      <c r="B483" s="31">
        <f>IF(1=1,IFERROR(CORREL('03_原始数据'!$B$464:$B$483,'03_原始数据'!$C$464:$C$483),""),"")</f>
        <v/>
      </c>
      <c r="C483" s="31">
        <f>IF(1=1,IFERROR(CORREL('03_原始数据'!$B$424:$B$483,'03_原始数据'!$C$424:$C$483),""),"")</f>
        <v/>
      </c>
      <c r="D483" s="31">
        <f>IF(1=1,IFERROR(CORREL('03_原始数据'!$B$364:$B$483,'03_原始数据'!$C$364:$C$483),""),"")</f>
        <v/>
      </c>
      <c r="E483" s="31">
        <f>IF(1=1,IFERROR(CORREL('03_原始数据'!$G$424:$G$483,'03_原始数据'!$H$424:$H$483),""),"")</f>
        <v/>
      </c>
      <c r="F483" s="54">
        <f>IF(N(B483)=0,"不足","有效")</f>
        <v/>
      </c>
    </row>
    <row r="484" ht="17" customHeight="1">
      <c r="A484" s="40">
        <f>'03_原始数据'!A484</f>
        <v/>
      </c>
      <c r="B484" s="34">
        <f>IF(1=1,IFERROR(CORREL('03_原始数据'!$B$465:$B$484,'03_原始数据'!$C$465:$C$484),""),"")</f>
        <v/>
      </c>
      <c r="C484" s="34">
        <f>IF(1=1,IFERROR(CORREL('03_原始数据'!$B$425:$B$484,'03_原始数据'!$C$425:$C$484),""),"")</f>
        <v/>
      </c>
      <c r="D484" s="34">
        <f>IF(1=1,IFERROR(CORREL('03_原始数据'!$B$365:$B$484,'03_原始数据'!$C$365:$C$484),""),"")</f>
        <v/>
      </c>
      <c r="E484" s="34">
        <f>IF(1=1,IFERROR(CORREL('03_原始数据'!$G$425:$G$484,'03_原始数据'!$H$425:$H$484),""),"")</f>
        <v/>
      </c>
      <c r="F484" s="55">
        <f>IF(N(B484)=0,"不足","有效")</f>
        <v/>
      </c>
    </row>
    <row r="485" ht="17" customHeight="1">
      <c r="A485" s="38">
        <f>'03_原始数据'!A485</f>
        <v/>
      </c>
      <c r="B485" s="31">
        <f>IF(1=1,IFERROR(CORREL('03_原始数据'!$B$466:$B$485,'03_原始数据'!$C$466:$C$485),""),"")</f>
        <v/>
      </c>
      <c r="C485" s="31">
        <f>IF(1=1,IFERROR(CORREL('03_原始数据'!$B$426:$B$485,'03_原始数据'!$C$426:$C$485),""),"")</f>
        <v/>
      </c>
      <c r="D485" s="31">
        <f>IF(1=1,IFERROR(CORREL('03_原始数据'!$B$366:$B$485,'03_原始数据'!$C$366:$C$485),""),"")</f>
        <v/>
      </c>
      <c r="E485" s="31">
        <f>IF(1=1,IFERROR(CORREL('03_原始数据'!$G$426:$G$485,'03_原始数据'!$H$426:$H$485),""),"")</f>
        <v/>
      </c>
      <c r="F485" s="54">
        <f>IF(N(B485)=0,"不足","有效")</f>
        <v/>
      </c>
    </row>
    <row r="486" ht="17" customHeight="1">
      <c r="A486" s="40">
        <f>'03_原始数据'!A486</f>
        <v/>
      </c>
      <c r="B486" s="34">
        <f>IF(1=1,IFERROR(CORREL('03_原始数据'!$B$467:$B$486,'03_原始数据'!$C$467:$C$486),""),"")</f>
        <v/>
      </c>
      <c r="C486" s="34">
        <f>IF(1=1,IFERROR(CORREL('03_原始数据'!$B$427:$B$486,'03_原始数据'!$C$427:$C$486),""),"")</f>
        <v/>
      </c>
      <c r="D486" s="34">
        <f>IF(1=1,IFERROR(CORREL('03_原始数据'!$B$367:$B$486,'03_原始数据'!$C$367:$C$486),""),"")</f>
        <v/>
      </c>
      <c r="E486" s="34">
        <f>IF(1=1,IFERROR(CORREL('03_原始数据'!$G$427:$G$486,'03_原始数据'!$H$427:$H$486),""),"")</f>
        <v/>
      </c>
      <c r="F486" s="55">
        <f>IF(N(B486)=0,"不足","有效")</f>
        <v/>
      </c>
    </row>
    <row r="487" ht="17" customHeight="1">
      <c r="A487" s="38">
        <f>'03_原始数据'!A487</f>
        <v/>
      </c>
      <c r="B487" s="31">
        <f>IF(1=1,IFERROR(CORREL('03_原始数据'!$B$468:$B$487,'03_原始数据'!$C$468:$C$487),""),"")</f>
        <v/>
      </c>
      <c r="C487" s="31">
        <f>IF(1=1,IFERROR(CORREL('03_原始数据'!$B$428:$B$487,'03_原始数据'!$C$428:$C$487),""),"")</f>
        <v/>
      </c>
      <c r="D487" s="31">
        <f>IF(1=1,IFERROR(CORREL('03_原始数据'!$B$368:$B$487,'03_原始数据'!$C$368:$C$487),""),"")</f>
        <v/>
      </c>
      <c r="E487" s="31">
        <f>IF(1=1,IFERROR(CORREL('03_原始数据'!$G$428:$G$487,'03_原始数据'!$H$428:$H$487),""),"")</f>
        <v/>
      </c>
      <c r="F487" s="54">
        <f>IF(N(B487)=0,"不足","有效")</f>
        <v/>
      </c>
    </row>
    <row r="488" ht="17" customHeight="1">
      <c r="A488" s="40">
        <f>'03_原始数据'!A488</f>
        <v/>
      </c>
      <c r="B488" s="34">
        <f>IF(1=1,IFERROR(CORREL('03_原始数据'!$B$469:$B$488,'03_原始数据'!$C$469:$C$488),""),"")</f>
        <v/>
      </c>
      <c r="C488" s="34">
        <f>IF(1=1,IFERROR(CORREL('03_原始数据'!$B$429:$B$488,'03_原始数据'!$C$429:$C$488),""),"")</f>
        <v/>
      </c>
      <c r="D488" s="34">
        <f>IF(1=1,IFERROR(CORREL('03_原始数据'!$B$369:$B$488,'03_原始数据'!$C$369:$C$488),""),"")</f>
        <v/>
      </c>
      <c r="E488" s="34">
        <f>IF(1=1,IFERROR(CORREL('03_原始数据'!$G$429:$G$488,'03_原始数据'!$H$429:$H$488),""),"")</f>
        <v/>
      </c>
      <c r="F488" s="55">
        <f>IF(N(B488)=0,"不足","有效")</f>
        <v/>
      </c>
    </row>
    <row r="489" ht="17" customHeight="1">
      <c r="A489" s="38">
        <f>'03_原始数据'!A489</f>
        <v/>
      </c>
      <c r="B489" s="31">
        <f>IF(1=1,IFERROR(CORREL('03_原始数据'!$B$470:$B$489,'03_原始数据'!$C$470:$C$489),""),"")</f>
        <v/>
      </c>
      <c r="C489" s="31">
        <f>IF(1=1,IFERROR(CORREL('03_原始数据'!$B$430:$B$489,'03_原始数据'!$C$430:$C$489),""),"")</f>
        <v/>
      </c>
      <c r="D489" s="31">
        <f>IF(1=1,IFERROR(CORREL('03_原始数据'!$B$370:$B$489,'03_原始数据'!$C$370:$C$489),""),"")</f>
        <v/>
      </c>
      <c r="E489" s="31">
        <f>IF(1=1,IFERROR(CORREL('03_原始数据'!$G$430:$G$489,'03_原始数据'!$H$430:$H$489),""),"")</f>
        <v/>
      </c>
      <c r="F489" s="54">
        <f>IF(N(B489)=0,"不足","有效")</f>
        <v/>
      </c>
    </row>
    <row r="490" ht="17" customHeight="1">
      <c r="A490" s="40">
        <f>'03_原始数据'!A490</f>
        <v/>
      </c>
      <c r="B490" s="34">
        <f>IF(1=1,IFERROR(CORREL('03_原始数据'!$B$471:$B$490,'03_原始数据'!$C$471:$C$490),""),"")</f>
        <v/>
      </c>
      <c r="C490" s="34">
        <f>IF(1=1,IFERROR(CORREL('03_原始数据'!$B$431:$B$490,'03_原始数据'!$C$431:$C$490),""),"")</f>
        <v/>
      </c>
      <c r="D490" s="34">
        <f>IF(1=1,IFERROR(CORREL('03_原始数据'!$B$371:$B$490,'03_原始数据'!$C$371:$C$490),""),"")</f>
        <v/>
      </c>
      <c r="E490" s="34">
        <f>IF(1=1,IFERROR(CORREL('03_原始数据'!$G$431:$G$490,'03_原始数据'!$H$431:$H$490),""),"")</f>
        <v/>
      </c>
      <c r="F490" s="55">
        <f>IF(N(B490)=0,"不足","有效")</f>
        <v/>
      </c>
    </row>
    <row r="491" ht="17" customHeight="1">
      <c r="A491" s="38">
        <f>'03_原始数据'!A491</f>
        <v/>
      </c>
      <c r="B491" s="31">
        <f>IF(1=1,IFERROR(CORREL('03_原始数据'!$B$472:$B$491,'03_原始数据'!$C$472:$C$491),""),"")</f>
        <v/>
      </c>
      <c r="C491" s="31">
        <f>IF(1=1,IFERROR(CORREL('03_原始数据'!$B$432:$B$491,'03_原始数据'!$C$432:$C$491),""),"")</f>
        <v/>
      </c>
      <c r="D491" s="31">
        <f>IF(1=1,IFERROR(CORREL('03_原始数据'!$B$372:$B$491,'03_原始数据'!$C$372:$C$491),""),"")</f>
        <v/>
      </c>
      <c r="E491" s="31">
        <f>IF(1=1,IFERROR(CORREL('03_原始数据'!$G$432:$G$491,'03_原始数据'!$H$432:$H$491),""),"")</f>
        <v/>
      </c>
      <c r="F491" s="54">
        <f>IF(N(B491)=0,"不足","有效")</f>
        <v/>
      </c>
    </row>
    <row r="492" ht="17" customHeight="1">
      <c r="A492" s="40">
        <f>'03_原始数据'!A492</f>
        <v/>
      </c>
      <c r="B492" s="34">
        <f>IF(1=1,IFERROR(CORREL('03_原始数据'!$B$473:$B$492,'03_原始数据'!$C$473:$C$492),""),"")</f>
        <v/>
      </c>
      <c r="C492" s="34">
        <f>IF(1=1,IFERROR(CORREL('03_原始数据'!$B$433:$B$492,'03_原始数据'!$C$433:$C$492),""),"")</f>
        <v/>
      </c>
      <c r="D492" s="34">
        <f>IF(1=1,IFERROR(CORREL('03_原始数据'!$B$373:$B$492,'03_原始数据'!$C$373:$C$492),""),"")</f>
        <v/>
      </c>
      <c r="E492" s="34">
        <f>IF(1=1,IFERROR(CORREL('03_原始数据'!$G$433:$G$492,'03_原始数据'!$H$433:$H$492),""),"")</f>
        <v/>
      </c>
      <c r="F492" s="55">
        <f>IF(N(B492)=0,"不足","有效")</f>
        <v/>
      </c>
    </row>
    <row r="493" ht="17" customHeight="1">
      <c r="A493" s="38">
        <f>'03_原始数据'!A493</f>
        <v/>
      </c>
      <c r="B493" s="31">
        <f>IF(1=1,IFERROR(CORREL('03_原始数据'!$B$474:$B$493,'03_原始数据'!$C$474:$C$493),""),"")</f>
        <v/>
      </c>
      <c r="C493" s="31">
        <f>IF(1=1,IFERROR(CORREL('03_原始数据'!$B$434:$B$493,'03_原始数据'!$C$434:$C$493),""),"")</f>
        <v/>
      </c>
      <c r="D493" s="31">
        <f>IF(1=1,IFERROR(CORREL('03_原始数据'!$B$374:$B$493,'03_原始数据'!$C$374:$C$493),""),"")</f>
        <v/>
      </c>
      <c r="E493" s="31">
        <f>IF(1=1,IFERROR(CORREL('03_原始数据'!$G$434:$G$493,'03_原始数据'!$H$434:$H$493),""),"")</f>
        <v/>
      </c>
      <c r="F493" s="54">
        <f>IF(N(B493)=0,"不足","有效")</f>
        <v/>
      </c>
    </row>
    <row r="494" ht="17" customHeight="1">
      <c r="A494" s="40">
        <f>'03_原始数据'!A494</f>
        <v/>
      </c>
      <c r="B494" s="34">
        <f>IF(1=1,IFERROR(CORREL('03_原始数据'!$B$475:$B$494,'03_原始数据'!$C$475:$C$494),""),"")</f>
        <v/>
      </c>
      <c r="C494" s="34">
        <f>IF(1=1,IFERROR(CORREL('03_原始数据'!$B$435:$B$494,'03_原始数据'!$C$435:$C$494),""),"")</f>
        <v/>
      </c>
      <c r="D494" s="34">
        <f>IF(1=1,IFERROR(CORREL('03_原始数据'!$B$375:$B$494,'03_原始数据'!$C$375:$C$494),""),"")</f>
        <v/>
      </c>
      <c r="E494" s="34">
        <f>IF(1=1,IFERROR(CORREL('03_原始数据'!$G$435:$G$494,'03_原始数据'!$H$435:$H$494),""),"")</f>
        <v/>
      </c>
      <c r="F494" s="55">
        <f>IF(N(B494)=0,"不足","有效")</f>
        <v/>
      </c>
    </row>
    <row r="495" ht="17" customHeight="1">
      <c r="A495" s="38">
        <f>'03_原始数据'!A495</f>
        <v/>
      </c>
      <c r="B495" s="31">
        <f>IF(1=1,IFERROR(CORREL('03_原始数据'!$B$476:$B$495,'03_原始数据'!$C$476:$C$495),""),"")</f>
        <v/>
      </c>
      <c r="C495" s="31">
        <f>IF(1=1,IFERROR(CORREL('03_原始数据'!$B$436:$B$495,'03_原始数据'!$C$436:$C$495),""),"")</f>
        <v/>
      </c>
      <c r="D495" s="31">
        <f>IF(1=1,IFERROR(CORREL('03_原始数据'!$B$376:$B$495,'03_原始数据'!$C$376:$C$495),""),"")</f>
        <v/>
      </c>
      <c r="E495" s="31">
        <f>IF(1=1,IFERROR(CORREL('03_原始数据'!$G$436:$G$495,'03_原始数据'!$H$436:$H$495),""),"")</f>
        <v/>
      </c>
      <c r="F495" s="54">
        <f>IF(N(B495)=0,"不足","有效")</f>
        <v/>
      </c>
    </row>
    <row r="496" ht="17" customHeight="1">
      <c r="A496" s="40">
        <f>'03_原始数据'!A496</f>
        <v/>
      </c>
      <c r="B496" s="34">
        <f>IF(1=1,IFERROR(CORREL('03_原始数据'!$B$477:$B$496,'03_原始数据'!$C$477:$C$496),""),"")</f>
        <v/>
      </c>
      <c r="C496" s="34">
        <f>IF(1=1,IFERROR(CORREL('03_原始数据'!$B$437:$B$496,'03_原始数据'!$C$437:$C$496),""),"")</f>
        <v/>
      </c>
      <c r="D496" s="34">
        <f>IF(1=1,IFERROR(CORREL('03_原始数据'!$B$377:$B$496,'03_原始数据'!$C$377:$C$496),""),"")</f>
        <v/>
      </c>
      <c r="E496" s="34">
        <f>IF(1=1,IFERROR(CORREL('03_原始数据'!$G$437:$G$496,'03_原始数据'!$H$437:$H$496),""),"")</f>
        <v/>
      </c>
      <c r="F496" s="55">
        <f>IF(N(B496)=0,"不足","有效")</f>
        <v/>
      </c>
    </row>
    <row r="497" ht="17" customHeight="1">
      <c r="A497" s="38">
        <f>'03_原始数据'!A497</f>
        <v/>
      </c>
      <c r="B497" s="31">
        <f>IF(1=1,IFERROR(CORREL('03_原始数据'!$B$478:$B$497,'03_原始数据'!$C$478:$C$497),""),"")</f>
        <v/>
      </c>
      <c r="C497" s="31">
        <f>IF(1=1,IFERROR(CORREL('03_原始数据'!$B$438:$B$497,'03_原始数据'!$C$438:$C$497),""),"")</f>
        <v/>
      </c>
      <c r="D497" s="31">
        <f>IF(1=1,IFERROR(CORREL('03_原始数据'!$B$378:$B$497,'03_原始数据'!$C$378:$C$497),""),"")</f>
        <v/>
      </c>
      <c r="E497" s="31">
        <f>IF(1=1,IFERROR(CORREL('03_原始数据'!$G$438:$G$497,'03_原始数据'!$H$438:$H$497),""),"")</f>
        <v/>
      </c>
      <c r="F497" s="54">
        <f>IF(N(B497)=0,"不足","有效")</f>
        <v/>
      </c>
    </row>
    <row r="498" ht="17" customHeight="1">
      <c r="A498" s="40">
        <f>'03_原始数据'!A498</f>
        <v/>
      </c>
      <c r="B498" s="34">
        <f>IF(1=1,IFERROR(CORREL('03_原始数据'!$B$479:$B$498,'03_原始数据'!$C$479:$C$498),""),"")</f>
        <v/>
      </c>
      <c r="C498" s="34">
        <f>IF(1=1,IFERROR(CORREL('03_原始数据'!$B$439:$B$498,'03_原始数据'!$C$439:$C$498),""),"")</f>
        <v/>
      </c>
      <c r="D498" s="34">
        <f>IF(1=1,IFERROR(CORREL('03_原始数据'!$B$379:$B$498,'03_原始数据'!$C$379:$C$498),""),"")</f>
        <v/>
      </c>
      <c r="E498" s="34">
        <f>IF(1=1,IFERROR(CORREL('03_原始数据'!$G$439:$G$498,'03_原始数据'!$H$439:$H$498),""),"")</f>
        <v/>
      </c>
      <c r="F498" s="55">
        <f>IF(N(B498)=0,"不足","有效")</f>
        <v/>
      </c>
    </row>
    <row r="499" ht="17" customHeight="1">
      <c r="A499" s="38">
        <f>'03_原始数据'!A499</f>
        <v/>
      </c>
      <c r="B499" s="31">
        <f>IF(1=1,IFERROR(CORREL('03_原始数据'!$B$480:$B$499,'03_原始数据'!$C$480:$C$499),""),"")</f>
        <v/>
      </c>
      <c r="C499" s="31">
        <f>IF(1=1,IFERROR(CORREL('03_原始数据'!$B$440:$B$499,'03_原始数据'!$C$440:$C$499),""),"")</f>
        <v/>
      </c>
      <c r="D499" s="31">
        <f>IF(1=1,IFERROR(CORREL('03_原始数据'!$B$380:$B$499,'03_原始数据'!$C$380:$C$499),""),"")</f>
        <v/>
      </c>
      <c r="E499" s="31">
        <f>IF(1=1,IFERROR(CORREL('03_原始数据'!$G$440:$G$499,'03_原始数据'!$H$440:$H$499),""),"")</f>
        <v/>
      </c>
      <c r="F499" s="54">
        <f>IF(N(B499)=0,"不足","有效")</f>
        <v/>
      </c>
    </row>
    <row r="500" ht="17" customHeight="1">
      <c r="A500" s="40">
        <f>'03_原始数据'!A500</f>
        <v/>
      </c>
      <c r="B500" s="34">
        <f>IF(1=1,IFERROR(CORREL('03_原始数据'!$B$481:$B$500,'03_原始数据'!$C$481:$C$500),""),"")</f>
        <v/>
      </c>
      <c r="C500" s="34">
        <f>IF(1=1,IFERROR(CORREL('03_原始数据'!$B$441:$B$500,'03_原始数据'!$C$441:$C$500),""),"")</f>
        <v/>
      </c>
      <c r="D500" s="34">
        <f>IF(1=1,IFERROR(CORREL('03_原始数据'!$B$381:$B$500,'03_原始数据'!$C$381:$C$500),""),"")</f>
        <v/>
      </c>
      <c r="E500" s="34">
        <f>IF(1=1,IFERROR(CORREL('03_原始数据'!$G$441:$G$500,'03_原始数据'!$H$441:$H$500),""),"")</f>
        <v/>
      </c>
      <c r="F500" s="55">
        <f>IF(N(B500)=0,"不足","有效")</f>
        <v/>
      </c>
    </row>
    <row r="501" ht="17" customHeight="1">
      <c r="A501" s="38">
        <f>'03_原始数据'!A501</f>
        <v/>
      </c>
      <c r="B501" s="31">
        <f>IF(1=1,IFERROR(CORREL('03_原始数据'!$B$482:$B$501,'03_原始数据'!$C$482:$C$501),""),"")</f>
        <v/>
      </c>
      <c r="C501" s="31">
        <f>IF(1=1,IFERROR(CORREL('03_原始数据'!$B$442:$B$501,'03_原始数据'!$C$442:$C$501),""),"")</f>
        <v/>
      </c>
      <c r="D501" s="31">
        <f>IF(1=1,IFERROR(CORREL('03_原始数据'!$B$382:$B$501,'03_原始数据'!$C$382:$C$501),""),"")</f>
        <v/>
      </c>
      <c r="E501" s="31">
        <f>IF(1=1,IFERROR(CORREL('03_原始数据'!$G$442:$G$501,'03_原始数据'!$H$442:$H$501),""),"")</f>
        <v/>
      </c>
      <c r="F501" s="54">
        <f>IF(N(B501)=0,"不足","有效")</f>
        <v/>
      </c>
    </row>
    <row r="502" ht="17" customHeight="1">
      <c r="A502" s="40">
        <f>'03_原始数据'!A502</f>
        <v/>
      </c>
      <c r="B502" s="34">
        <f>IF(1=1,IFERROR(CORREL('03_原始数据'!$B$483:$B$502,'03_原始数据'!$C$483:$C$502),""),"")</f>
        <v/>
      </c>
      <c r="C502" s="34">
        <f>IF(1=1,IFERROR(CORREL('03_原始数据'!$B$443:$B$502,'03_原始数据'!$C$443:$C$502),""),"")</f>
        <v/>
      </c>
      <c r="D502" s="34">
        <f>IF(1=1,IFERROR(CORREL('03_原始数据'!$B$383:$B$502,'03_原始数据'!$C$383:$C$502),""),"")</f>
        <v/>
      </c>
      <c r="E502" s="34">
        <f>IF(1=1,IFERROR(CORREL('03_原始数据'!$G$443:$G$502,'03_原始数据'!$H$443:$H$502),""),"")</f>
        <v/>
      </c>
      <c r="F502" s="55">
        <f>IF(N(B502)=0,"不足","有效")</f>
        <v/>
      </c>
    </row>
    <row r="503" ht="17" customHeight="1">
      <c r="A503" s="38">
        <f>'03_原始数据'!A503</f>
        <v/>
      </c>
      <c r="B503" s="31">
        <f>IF(1=1,IFERROR(CORREL('03_原始数据'!$B$484:$B$503,'03_原始数据'!$C$484:$C$503),""),"")</f>
        <v/>
      </c>
      <c r="C503" s="31">
        <f>IF(1=1,IFERROR(CORREL('03_原始数据'!$B$444:$B$503,'03_原始数据'!$C$444:$C$503),""),"")</f>
        <v/>
      </c>
      <c r="D503" s="31">
        <f>IF(1=1,IFERROR(CORREL('03_原始数据'!$B$384:$B$503,'03_原始数据'!$C$384:$C$503),""),"")</f>
        <v/>
      </c>
      <c r="E503" s="31">
        <f>IF(1=1,IFERROR(CORREL('03_原始数据'!$G$444:$G$503,'03_原始数据'!$H$444:$H$503),""),"")</f>
        <v/>
      </c>
      <c r="F503" s="54">
        <f>IF(N(B503)=0,"不足","有效")</f>
        <v/>
      </c>
    </row>
    <row r="504" ht="17" customHeight="1">
      <c r="A504" s="40">
        <f>'03_原始数据'!A504</f>
        <v/>
      </c>
      <c r="B504" s="34">
        <f>IF(1=1,IFERROR(CORREL('03_原始数据'!$B$485:$B$504,'03_原始数据'!$C$485:$C$504),""),"")</f>
        <v/>
      </c>
      <c r="C504" s="34">
        <f>IF(1=1,IFERROR(CORREL('03_原始数据'!$B$445:$B$504,'03_原始数据'!$C$445:$C$504),""),"")</f>
        <v/>
      </c>
      <c r="D504" s="34">
        <f>IF(1=1,IFERROR(CORREL('03_原始数据'!$B$385:$B$504,'03_原始数据'!$C$385:$C$504),""),"")</f>
        <v/>
      </c>
      <c r="E504" s="34">
        <f>IF(1=1,IFERROR(CORREL('03_原始数据'!$G$445:$G$504,'03_原始数据'!$H$445:$H$504),""),"")</f>
        <v/>
      </c>
      <c r="F504" s="55">
        <f>IF(N(B504)=0,"不足","有效")</f>
        <v/>
      </c>
    </row>
    <row r="505" ht="17" customHeight="1">
      <c r="A505" s="38">
        <f>'03_原始数据'!A505</f>
        <v/>
      </c>
      <c r="B505" s="31">
        <f>IF(1=1,IFERROR(CORREL('03_原始数据'!$B$486:$B$505,'03_原始数据'!$C$486:$C$505),""),"")</f>
        <v/>
      </c>
      <c r="C505" s="31">
        <f>IF(1=1,IFERROR(CORREL('03_原始数据'!$B$446:$B$505,'03_原始数据'!$C$446:$C$505),""),"")</f>
        <v/>
      </c>
      <c r="D505" s="31">
        <f>IF(1=1,IFERROR(CORREL('03_原始数据'!$B$386:$B$505,'03_原始数据'!$C$386:$C$505),""),"")</f>
        <v/>
      </c>
      <c r="E505" s="31">
        <f>IF(1=1,IFERROR(CORREL('03_原始数据'!$G$446:$G$505,'03_原始数据'!$H$446:$H$505),""),"")</f>
        <v/>
      </c>
      <c r="F505" s="54">
        <f>IF(N(B505)=0,"不足","有效")</f>
        <v/>
      </c>
    </row>
    <row r="506" ht="17" customHeight="1">
      <c r="A506" s="40">
        <f>'03_原始数据'!A506</f>
        <v/>
      </c>
      <c r="B506" s="34">
        <f>IF(1=1,IFERROR(CORREL('03_原始数据'!$B$487:$B$506,'03_原始数据'!$C$487:$C$506),""),"")</f>
        <v/>
      </c>
      <c r="C506" s="34">
        <f>IF(1=1,IFERROR(CORREL('03_原始数据'!$B$447:$B$506,'03_原始数据'!$C$447:$C$506),""),"")</f>
        <v/>
      </c>
      <c r="D506" s="34">
        <f>IF(1=1,IFERROR(CORREL('03_原始数据'!$B$387:$B$506,'03_原始数据'!$C$387:$C$506),""),"")</f>
        <v/>
      </c>
      <c r="E506" s="34">
        <f>IF(1=1,IFERROR(CORREL('03_原始数据'!$G$447:$G$506,'03_原始数据'!$H$447:$H$506),""),"")</f>
        <v/>
      </c>
      <c r="F506" s="55">
        <f>IF(N(B506)=0,"不足","有效")</f>
        <v/>
      </c>
    </row>
    <row r="507" ht="17" customHeight="1">
      <c r="A507" s="38">
        <f>'03_原始数据'!A507</f>
        <v/>
      </c>
      <c r="B507" s="31">
        <f>IF(1=1,IFERROR(CORREL('03_原始数据'!$B$488:$B$507,'03_原始数据'!$C$488:$C$507),""),"")</f>
        <v/>
      </c>
      <c r="C507" s="31">
        <f>IF(1=1,IFERROR(CORREL('03_原始数据'!$B$448:$B$507,'03_原始数据'!$C$448:$C$507),""),"")</f>
        <v/>
      </c>
      <c r="D507" s="31">
        <f>IF(1=1,IFERROR(CORREL('03_原始数据'!$B$388:$B$507,'03_原始数据'!$C$388:$C$507),""),"")</f>
        <v/>
      </c>
      <c r="E507" s="31">
        <f>IF(1=1,IFERROR(CORREL('03_原始数据'!$G$448:$G$507,'03_原始数据'!$H$448:$H$507),""),"")</f>
        <v/>
      </c>
      <c r="F507" s="54">
        <f>IF(N(B507)=0,"不足","有效")</f>
        <v/>
      </c>
    </row>
    <row r="508" ht="17" customHeight="1">
      <c r="A508" s="40">
        <f>'03_原始数据'!A508</f>
        <v/>
      </c>
      <c r="B508" s="34">
        <f>IF(1=1,IFERROR(CORREL('03_原始数据'!$B$489:$B$508,'03_原始数据'!$C$489:$C$508),""),"")</f>
        <v/>
      </c>
      <c r="C508" s="34">
        <f>IF(1=1,IFERROR(CORREL('03_原始数据'!$B$449:$B$508,'03_原始数据'!$C$449:$C$508),""),"")</f>
        <v/>
      </c>
      <c r="D508" s="34">
        <f>IF(1=1,IFERROR(CORREL('03_原始数据'!$B$389:$B$508,'03_原始数据'!$C$389:$C$508),""),"")</f>
        <v/>
      </c>
      <c r="E508" s="34">
        <f>IF(1=1,IFERROR(CORREL('03_原始数据'!$G$449:$G$508,'03_原始数据'!$H$449:$H$508),""),"")</f>
        <v/>
      </c>
      <c r="F508" s="55">
        <f>IF(N(B508)=0,"不足","有效")</f>
        <v/>
      </c>
    </row>
    <row r="509" ht="17" customHeight="1">
      <c r="A509" s="38">
        <f>'03_原始数据'!A509</f>
        <v/>
      </c>
      <c r="B509" s="31">
        <f>IF(1=1,IFERROR(CORREL('03_原始数据'!$B$490:$B$509,'03_原始数据'!$C$490:$C$509),""),"")</f>
        <v/>
      </c>
      <c r="C509" s="31">
        <f>IF(1=1,IFERROR(CORREL('03_原始数据'!$B$450:$B$509,'03_原始数据'!$C$450:$C$509),""),"")</f>
        <v/>
      </c>
      <c r="D509" s="31">
        <f>IF(1=1,IFERROR(CORREL('03_原始数据'!$B$390:$B$509,'03_原始数据'!$C$390:$C$509),""),"")</f>
        <v/>
      </c>
      <c r="E509" s="31">
        <f>IF(1=1,IFERROR(CORREL('03_原始数据'!$G$450:$G$509,'03_原始数据'!$H$450:$H$509),""),"")</f>
        <v/>
      </c>
      <c r="F509" s="54">
        <f>IF(N(B509)=0,"不足","有效")</f>
        <v/>
      </c>
    </row>
    <row r="510" ht="17" customHeight="1">
      <c r="A510" s="40">
        <f>'03_原始数据'!A510</f>
        <v/>
      </c>
      <c r="B510" s="34">
        <f>IF(1=1,IFERROR(CORREL('03_原始数据'!$B$491:$B$510,'03_原始数据'!$C$491:$C$510),""),"")</f>
        <v/>
      </c>
      <c r="C510" s="34">
        <f>IF(1=1,IFERROR(CORREL('03_原始数据'!$B$451:$B$510,'03_原始数据'!$C$451:$C$510),""),"")</f>
        <v/>
      </c>
      <c r="D510" s="34">
        <f>IF(1=1,IFERROR(CORREL('03_原始数据'!$B$391:$B$510,'03_原始数据'!$C$391:$C$510),""),"")</f>
        <v/>
      </c>
      <c r="E510" s="34">
        <f>IF(1=1,IFERROR(CORREL('03_原始数据'!$G$451:$G$510,'03_原始数据'!$H$451:$H$510),""),"")</f>
        <v/>
      </c>
      <c r="F510" s="55">
        <f>IF(N(B510)=0,"不足","有效")</f>
        <v/>
      </c>
    </row>
    <row r="511" ht="17" customHeight="1">
      <c r="A511" s="38">
        <f>'03_原始数据'!A511</f>
        <v/>
      </c>
      <c r="B511" s="31">
        <f>IF(1=1,IFERROR(CORREL('03_原始数据'!$B$492:$B$511,'03_原始数据'!$C$492:$C$511),""),"")</f>
        <v/>
      </c>
      <c r="C511" s="31">
        <f>IF(1=1,IFERROR(CORREL('03_原始数据'!$B$452:$B$511,'03_原始数据'!$C$452:$C$511),""),"")</f>
        <v/>
      </c>
      <c r="D511" s="31">
        <f>IF(1=1,IFERROR(CORREL('03_原始数据'!$B$392:$B$511,'03_原始数据'!$C$392:$C$511),""),"")</f>
        <v/>
      </c>
      <c r="E511" s="31">
        <f>IF(1=1,IFERROR(CORREL('03_原始数据'!$G$452:$G$511,'03_原始数据'!$H$452:$H$511),""),"")</f>
        <v/>
      </c>
      <c r="F511" s="54">
        <f>IF(N(B511)=0,"不足","有效")</f>
        <v/>
      </c>
    </row>
    <row r="512" ht="17" customHeight="1">
      <c r="A512" s="40">
        <f>'03_原始数据'!A512</f>
        <v/>
      </c>
      <c r="B512" s="34">
        <f>IF(1=1,IFERROR(CORREL('03_原始数据'!$B$493:$B$512,'03_原始数据'!$C$493:$C$512),""),"")</f>
        <v/>
      </c>
      <c r="C512" s="34">
        <f>IF(1=1,IFERROR(CORREL('03_原始数据'!$B$453:$B$512,'03_原始数据'!$C$453:$C$512),""),"")</f>
        <v/>
      </c>
      <c r="D512" s="34">
        <f>IF(1=1,IFERROR(CORREL('03_原始数据'!$B$393:$B$512,'03_原始数据'!$C$393:$C$512),""),"")</f>
        <v/>
      </c>
      <c r="E512" s="34">
        <f>IF(1=1,IFERROR(CORREL('03_原始数据'!$G$453:$G$512,'03_原始数据'!$H$453:$H$512),""),"")</f>
        <v/>
      </c>
      <c r="F512" s="55">
        <f>IF(N(B512)=0,"不足","有效")</f>
        <v/>
      </c>
    </row>
    <row r="513" ht="17" customHeight="1">
      <c r="A513" s="38">
        <f>'03_原始数据'!A513</f>
        <v/>
      </c>
      <c r="B513" s="31">
        <f>IF(1=1,IFERROR(CORREL('03_原始数据'!$B$494:$B$513,'03_原始数据'!$C$494:$C$513),""),"")</f>
        <v/>
      </c>
      <c r="C513" s="31">
        <f>IF(1=1,IFERROR(CORREL('03_原始数据'!$B$454:$B$513,'03_原始数据'!$C$454:$C$513),""),"")</f>
        <v/>
      </c>
      <c r="D513" s="31">
        <f>IF(1=1,IFERROR(CORREL('03_原始数据'!$B$394:$B$513,'03_原始数据'!$C$394:$C$513),""),"")</f>
        <v/>
      </c>
      <c r="E513" s="31">
        <f>IF(1=1,IFERROR(CORREL('03_原始数据'!$G$454:$G$513,'03_原始数据'!$H$454:$H$513),""),"")</f>
        <v/>
      </c>
      <c r="F513" s="54">
        <f>IF(N(B513)=0,"不足","有效")</f>
        <v/>
      </c>
    </row>
    <row r="514" ht="17" customHeight="1">
      <c r="A514" s="40">
        <f>'03_原始数据'!A514</f>
        <v/>
      </c>
      <c r="B514" s="34">
        <f>IF(1=1,IFERROR(CORREL('03_原始数据'!$B$495:$B$514,'03_原始数据'!$C$495:$C$514),""),"")</f>
        <v/>
      </c>
      <c r="C514" s="34">
        <f>IF(1=1,IFERROR(CORREL('03_原始数据'!$B$455:$B$514,'03_原始数据'!$C$455:$C$514),""),"")</f>
        <v/>
      </c>
      <c r="D514" s="34">
        <f>IF(1=1,IFERROR(CORREL('03_原始数据'!$B$395:$B$514,'03_原始数据'!$C$395:$C$514),""),"")</f>
        <v/>
      </c>
      <c r="E514" s="34">
        <f>IF(1=1,IFERROR(CORREL('03_原始数据'!$G$455:$G$514,'03_原始数据'!$H$455:$H$514),""),"")</f>
        <v/>
      </c>
      <c r="F514" s="55">
        <f>IF(N(B514)=0,"不足","有效")</f>
        <v/>
      </c>
    </row>
    <row r="515" ht="17" customHeight="1">
      <c r="A515" s="38">
        <f>'03_原始数据'!A515</f>
        <v/>
      </c>
      <c r="B515" s="31">
        <f>IF(1=1,IFERROR(CORREL('03_原始数据'!$B$496:$B$515,'03_原始数据'!$C$496:$C$515),""),"")</f>
        <v/>
      </c>
      <c r="C515" s="31">
        <f>IF(1=1,IFERROR(CORREL('03_原始数据'!$B$456:$B$515,'03_原始数据'!$C$456:$C$515),""),"")</f>
        <v/>
      </c>
      <c r="D515" s="31">
        <f>IF(1=1,IFERROR(CORREL('03_原始数据'!$B$396:$B$515,'03_原始数据'!$C$396:$C$515),""),"")</f>
        <v/>
      </c>
      <c r="E515" s="31">
        <f>IF(1=1,IFERROR(CORREL('03_原始数据'!$G$456:$G$515,'03_原始数据'!$H$456:$H$515),""),"")</f>
        <v/>
      </c>
      <c r="F515" s="54">
        <f>IF(N(B515)=0,"不足","有效")</f>
        <v/>
      </c>
    </row>
    <row r="516" ht="17" customHeight="1">
      <c r="A516" s="40">
        <f>'03_原始数据'!A516</f>
        <v/>
      </c>
      <c r="B516" s="34">
        <f>IF(1=1,IFERROR(CORREL('03_原始数据'!$B$497:$B$516,'03_原始数据'!$C$497:$C$516),""),"")</f>
        <v/>
      </c>
      <c r="C516" s="34">
        <f>IF(1=1,IFERROR(CORREL('03_原始数据'!$B$457:$B$516,'03_原始数据'!$C$457:$C$516),""),"")</f>
        <v/>
      </c>
      <c r="D516" s="34">
        <f>IF(1=1,IFERROR(CORREL('03_原始数据'!$B$397:$B$516,'03_原始数据'!$C$397:$C$516),""),"")</f>
        <v/>
      </c>
      <c r="E516" s="34">
        <f>IF(1=1,IFERROR(CORREL('03_原始数据'!$G$457:$G$516,'03_原始数据'!$H$457:$H$516),""),"")</f>
        <v/>
      </c>
      <c r="F516" s="55">
        <f>IF(N(B516)=0,"不足","有效")</f>
        <v/>
      </c>
    </row>
    <row r="517" ht="17" customHeight="1">
      <c r="A517" s="38">
        <f>'03_原始数据'!A517</f>
        <v/>
      </c>
      <c r="B517" s="31">
        <f>IF(1=1,IFERROR(CORREL('03_原始数据'!$B$498:$B$517,'03_原始数据'!$C$498:$C$517),""),"")</f>
        <v/>
      </c>
      <c r="C517" s="31">
        <f>IF(1=1,IFERROR(CORREL('03_原始数据'!$B$458:$B$517,'03_原始数据'!$C$458:$C$517),""),"")</f>
        <v/>
      </c>
      <c r="D517" s="31">
        <f>IF(1=1,IFERROR(CORREL('03_原始数据'!$B$398:$B$517,'03_原始数据'!$C$398:$C$517),""),"")</f>
        <v/>
      </c>
      <c r="E517" s="31">
        <f>IF(1=1,IFERROR(CORREL('03_原始数据'!$G$458:$G$517,'03_原始数据'!$H$458:$H$517),""),"")</f>
        <v/>
      </c>
      <c r="F517" s="54">
        <f>IF(N(B517)=0,"不足","有效")</f>
        <v/>
      </c>
    </row>
    <row r="518" ht="17" customHeight="1">
      <c r="A518" s="40">
        <f>'03_原始数据'!A518</f>
        <v/>
      </c>
      <c r="B518" s="34">
        <f>IF(1=1,IFERROR(CORREL('03_原始数据'!$B$499:$B$518,'03_原始数据'!$C$499:$C$518),""),"")</f>
        <v/>
      </c>
      <c r="C518" s="34">
        <f>IF(1=1,IFERROR(CORREL('03_原始数据'!$B$459:$B$518,'03_原始数据'!$C$459:$C$518),""),"")</f>
        <v/>
      </c>
      <c r="D518" s="34">
        <f>IF(1=1,IFERROR(CORREL('03_原始数据'!$B$399:$B$518,'03_原始数据'!$C$399:$C$518),""),"")</f>
        <v/>
      </c>
      <c r="E518" s="34">
        <f>IF(1=1,IFERROR(CORREL('03_原始数据'!$G$459:$G$518,'03_原始数据'!$H$459:$H$518),""),"")</f>
        <v/>
      </c>
      <c r="F518" s="55">
        <f>IF(N(B518)=0,"不足","有效")</f>
        <v/>
      </c>
    </row>
    <row r="519" ht="17" customHeight="1">
      <c r="A519" s="38">
        <f>'03_原始数据'!A519</f>
        <v/>
      </c>
      <c r="B519" s="31">
        <f>IF(1=1,IFERROR(CORREL('03_原始数据'!$B$500:$B$519,'03_原始数据'!$C$500:$C$519),""),"")</f>
        <v/>
      </c>
      <c r="C519" s="31">
        <f>IF(1=1,IFERROR(CORREL('03_原始数据'!$B$460:$B$519,'03_原始数据'!$C$460:$C$519),""),"")</f>
        <v/>
      </c>
      <c r="D519" s="31">
        <f>IF(1=1,IFERROR(CORREL('03_原始数据'!$B$400:$B$519,'03_原始数据'!$C$400:$C$519),""),"")</f>
        <v/>
      </c>
      <c r="E519" s="31">
        <f>IF(1=1,IFERROR(CORREL('03_原始数据'!$G$460:$G$519,'03_原始数据'!$H$460:$H$519),""),"")</f>
        <v/>
      </c>
      <c r="F519" s="54">
        <f>IF(N(B519)=0,"不足","有效")</f>
        <v/>
      </c>
    </row>
    <row r="520" ht="17" customHeight="1">
      <c r="A520" s="40">
        <f>'03_原始数据'!A520</f>
        <v/>
      </c>
      <c r="B520" s="34">
        <f>IF(1=1,IFERROR(CORREL('03_原始数据'!$B$501:$B$520,'03_原始数据'!$C$501:$C$520),""),"")</f>
        <v/>
      </c>
      <c r="C520" s="34">
        <f>IF(1=1,IFERROR(CORREL('03_原始数据'!$B$461:$B$520,'03_原始数据'!$C$461:$C$520),""),"")</f>
        <v/>
      </c>
      <c r="D520" s="34">
        <f>IF(1=1,IFERROR(CORREL('03_原始数据'!$B$401:$B$520,'03_原始数据'!$C$401:$C$520),""),"")</f>
        <v/>
      </c>
      <c r="E520" s="34">
        <f>IF(1=1,IFERROR(CORREL('03_原始数据'!$G$461:$G$520,'03_原始数据'!$H$461:$H$520),""),"")</f>
        <v/>
      </c>
      <c r="F520" s="55">
        <f>IF(N(B520)=0,"不足","有效")</f>
        <v/>
      </c>
    </row>
    <row r="521" ht="17" customHeight="1">
      <c r="A521" s="38">
        <f>'03_原始数据'!A521</f>
        <v/>
      </c>
      <c r="B521" s="31">
        <f>IF(1=1,IFERROR(CORREL('03_原始数据'!$B$502:$B$521,'03_原始数据'!$C$502:$C$521),""),"")</f>
        <v/>
      </c>
      <c r="C521" s="31">
        <f>IF(1=1,IFERROR(CORREL('03_原始数据'!$B$462:$B$521,'03_原始数据'!$C$462:$C$521),""),"")</f>
        <v/>
      </c>
      <c r="D521" s="31">
        <f>IF(1=1,IFERROR(CORREL('03_原始数据'!$B$402:$B$521,'03_原始数据'!$C$402:$C$521),""),"")</f>
        <v/>
      </c>
      <c r="E521" s="31">
        <f>IF(1=1,IFERROR(CORREL('03_原始数据'!$G$462:$G$521,'03_原始数据'!$H$462:$H$521),""),"")</f>
        <v/>
      </c>
      <c r="F521" s="54">
        <f>IF(N(B521)=0,"不足","有效")</f>
        <v/>
      </c>
    </row>
    <row r="522" ht="17" customHeight="1">
      <c r="A522" s="40">
        <f>'03_原始数据'!A522</f>
        <v/>
      </c>
      <c r="B522" s="34">
        <f>IF(1=1,IFERROR(CORREL('03_原始数据'!$B$503:$B$522,'03_原始数据'!$C$503:$C$522),""),"")</f>
        <v/>
      </c>
      <c r="C522" s="34">
        <f>IF(1=1,IFERROR(CORREL('03_原始数据'!$B$463:$B$522,'03_原始数据'!$C$463:$C$522),""),"")</f>
        <v/>
      </c>
      <c r="D522" s="34">
        <f>IF(1=1,IFERROR(CORREL('03_原始数据'!$B$403:$B$522,'03_原始数据'!$C$403:$C$522),""),"")</f>
        <v/>
      </c>
      <c r="E522" s="34">
        <f>IF(1=1,IFERROR(CORREL('03_原始数据'!$G$463:$G$522,'03_原始数据'!$H$463:$H$522),""),"")</f>
        <v/>
      </c>
      <c r="F522" s="55">
        <f>IF(N(B522)=0,"不足","有效")</f>
        <v/>
      </c>
    </row>
    <row r="523" ht="17" customHeight="1">
      <c r="A523" s="38">
        <f>'03_原始数据'!A523</f>
        <v/>
      </c>
      <c r="B523" s="31">
        <f>IF(1=1,IFERROR(CORREL('03_原始数据'!$B$504:$B$523,'03_原始数据'!$C$504:$C$523),""),"")</f>
        <v/>
      </c>
      <c r="C523" s="31">
        <f>IF(1=1,IFERROR(CORREL('03_原始数据'!$B$464:$B$523,'03_原始数据'!$C$464:$C$523),""),"")</f>
        <v/>
      </c>
      <c r="D523" s="31">
        <f>IF(1=1,IFERROR(CORREL('03_原始数据'!$B$404:$B$523,'03_原始数据'!$C$404:$C$523),""),"")</f>
        <v/>
      </c>
      <c r="E523" s="31">
        <f>IF(1=1,IFERROR(CORREL('03_原始数据'!$G$464:$G$523,'03_原始数据'!$H$464:$H$523),""),"")</f>
        <v/>
      </c>
      <c r="F523" s="54">
        <f>IF(N(B523)=0,"不足","有效")</f>
        <v/>
      </c>
    </row>
    <row r="524" ht="17" customHeight="1">
      <c r="A524" s="40">
        <f>'03_原始数据'!A524</f>
        <v/>
      </c>
      <c r="B524" s="34">
        <f>IF(1=1,IFERROR(CORREL('03_原始数据'!$B$505:$B$524,'03_原始数据'!$C$505:$C$524),""),"")</f>
        <v/>
      </c>
      <c r="C524" s="34">
        <f>IF(1=1,IFERROR(CORREL('03_原始数据'!$B$465:$B$524,'03_原始数据'!$C$465:$C$524),""),"")</f>
        <v/>
      </c>
      <c r="D524" s="34">
        <f>IF(1=1,IFERROR(CORREL('03_原始数据'!$B$405:$B$524,'03_原始数据'!$C$405:$C$524),""),"")</f>
        <v/>
      </c>
      <c r="E524" s="34">
        <f>IF(1=1,IFERROR(CORREL('03_原始数据'!$G$465:$G$524,'03_原始数据'!$H$465:$H$524),""),"")</f>
        <v/>
      </c>
      <c r="F524" s="55">
        <f>IF(N(B524)=0,"不足","有效")</f>
        <v/>
      </c>
    </row>
    <row r="525" ht="17" customHeight="1">
      <c r="A525" s="38">
        <f>'03_原始数据'!A525</f>
        <v/>
      </c>
      <c r="B525" s="31">
        <f>IF(1=1,IFERROR(CORREL('03_原始数据'!$B$506:$B$525,'03_原始数据'!$C$506:$C$525),""),"")</f>
        <v/>
      </c>
      <c r="C525" s="31">
        <f>IF(1=1,IFERROR(CORREL('03_原始数据'!$B$466:$B$525,'03_原始数据'!$C$466:$C$525),""),"")</f>
        <v/>
      </c>
      <c r="D525" s="31">
        <f>IF(1=1,IFERROR(CORREL('03_原始数据'!$B$406:$B$525,'03_原始数据'!$C$406:$C$525),""),"")</f>
        <v/>
      </c>
      <c r="E525" s="31">
        <f>IF(1=1,IFERROR(CORREL('03_原始数据'!$G$466:$G$525,'03_原始数据'!$H$466:$H$525),""),"")</f>
        <v/>
      </c>
      <c r="F525" s="54">
        <f>IF(N(B525)=0,"不足","有效")</f>
        <v/>
      </c>
    </row>
    <row r="526" ht="17" customHeight="1">
      <c r="A526" s="40">
        <f>'03_原始数据'!A526</f>
        <v/>
      </c>
      <c r="B526" s="34">
        <f>IF(1=1,IFERROR(CORREL('03_原始数据'!$B$507:$B$526,'03_原始数据'!$C$507:$C$526),""),"")</f>
        <v/>
      </c>
      <c r="C526" s="34">
        <f>IF(1=1,IFERROR(CORREL('03_原始数据'!$B$467:$B$526,'03_原始数据'!$C$467:$C$526),""),"")</f>
        <v/>
      </c>
      <c r="D526" s="34">
        <f>IF(1=1,IFERROR(CORREL('03_原始数据'!$B$407:$B$526,'03_原始数据'!$C$407:$C$526),""),"")</f>
        <v/>
      </c>
      <c r="E526" s="34">
        <f>IF(1=1,IFERROR(CORREL('03_原始数据'!$G$467:$G$526,'03_原始数据'!$H$467:$H$526),""),"")</f>
        <v/>
      </c>
      <c r="F526" s="55">
        <f>IF(N(B526)=0,"不足","有效")</f>
        <v/>
      </c>
    </row>
    <row r="527" ht="17" customHeight="1">
      <c r="A527" s="38">
        <f>'03_原始数据'!A527</f>
        <v/>
      </c>
      <c r="B527" s="31">
        <f>IF(1=1,IFERROR(CORREL('03_原始数据'!$B$508:$B$527,'03_原始数据'!$C$508:$C$527),""),"")</f>
        <v/>
      </c>
      <c r="C527" s="31">
        <f>IF(1=1,IFERROR(CORREL('03_原始数据'!$B$468:$B$527,'03_原始数据'!$C$468:$C$527),""),"")</f>
        <v/>
      </c>
      <c r="D527" s="31">
        <f>IF(1=1,IFERROR(CORREL('03_原始数据'!$B$408:$B$527,'03_原始数据'!$C$408:$C$527),""),"")</f>
        <v/>
      </c>
      <c r="E527" s="31">
        <f>IF(1=1,IFERROR(CORREL('03_原始数据'!$G$468:$G$527,'03_原始数据'!$H$468:$H$527),""),"")</f>
        <v/>
      </c>
      <c r="F527" s="54">
        <f>IF(N(B527)=0,"不足","有效")</f>
        <v/>
      </c>
    </row>
    <row r="528" ht="17" customHeight="1">
      <c r="A528" s="40">
        <f>'03_原始数据'!A528</f>
        <v/>
      </c>
      <c r="B528" s="34">
        <f>IF(1=1,IFERROR(CORREL('03_原始数据'!$B$509:$B$528,'03_原始数据'!$C$509:$C$528),""),"")</f>
        <v/>
      </c>
      <c r="C528" s="34">
        <f>IF(1=1,IFERROR(CORREL('03_原始数据'!$B$469:$B$528,'03_原始数据'!$C$469:$C$528),""),"")</f>
        <v/>
      </c>
      <c r="D528" s="34">
        <f>IF(1=1,IFERROR(CORREL('03_原始数据'!$B$409:$B$528,'03_原始数据'!$C$409:$C$528),""),"")</f>
        <v/>
      </c>
      <c r="E528" s="34">
        <f>IF(1=1,IFERROR(CORREL('03_原始数据'!$G$469:$G$528,'03_原始数据'!$H$469:$H$528),""),"")</f>
        <v/>
      </c>
      <c r="F528" s="55">
        <f>IF(N(B528)=0,"不足","有效")</f>
        <v/>
      </c>
    </row>
    <row r="529" ht="17" customHeight="1">
      <c r="A529" s="38">
        <f>'03_原始数据'!A529</f>
        <v/>
      </c>
      <c r="B529" s="31">
        <f>IF(1=1,IFERROR(CORREL('03_原始数据'!$B$510:$B$529,'03_原始数据'!$C$510:$C$529),""),"")</f>
        <v/>
      </c>
      <c r="C529" s="31">
        <f>IF(1=1,IFERROR(CORREL('03_原始数据'!$B$470:$B$529,'03_原始数据'!$C$470:$C$529),""),"")</f>
        <v/>
      </c>
      <c r="D529" s="31">
        <f>IF(1=1,IFERROR(CORREL('03_原始数据'!$B$410:$B$529,'03_原始数据'!$C$410:$C$529),""),"")</f>
        <v/>
      </c>
      <c r="E529" s="31">
        <f>IF(1=1,IFERROR(CORREL('03_原始数据'!$G$470:$G$529,'03_原始数据'!$H$470:$H$529),""),"")</f>
        <v/>
      </c>
      <c r="F529" s="54">
        <f>IF(N(B529)=0,"不足","有效")</f>
        <v/>
      </c>
    </row>
    <row r="530" ht="17" customHeight="1">
      <c r="A530" s="40">
        <f>'03_原始数据'!A530</f>
        <v/>
      </c>
      <c r="B530" s="34">
        <f>IF(1=1,IFERROR(CORREL('03_原始数据'!$B$511:$B$530,'03_原始数据'!$C$511:$C$530),""),"")</f>
        <v/>
      </c>
      <c r="C530" s="34">
        <f>IF(1=1,IFERROR(CORREL('03_原始数据'!$B$471:$B$530,'03_原始数据'!$C$471:$C$530),""),"")</f>
        <v/>
      </c>
      <c r="D530" s="34">
        <f>IF(1=1,IFERROR(CORREL('03_原始数据'!$B$411:$B$530,'03_原始数据'!$C$411:$C$530),""),"")</f>
        <v/>
      </c>
      <c r="E530" s="34">
        <f>IF(1=1,IFERROR(CORREL('03_原始数据'!$G$471:$G$530,'03_原始数据'!$H$471:$H$530),""),"")</f>
        <v/>
      </c>
      <c r="F530" s="55">
        <f>IF(N(B530)=0,"不足","有效")</f>
        <v/>
      </c>
    </row>
    <row r="531" ht="17" customHeight="1">
      <c r="A531" s="38">
        <f>'03_原始数据'!A531</f>
        <v/>
      </c>
      <c r="B531" s="31">
        <f>IF(1=1,IFERROR(CORREL('03_原始数据'!$B$512:$B$531,'03_原始数据'!$C$512:$C$531),""),"")</f>
        <v/>
      </c>
      <c r="C531" s="31">
        <f>IF(1=1,IFERROR(CORREL('03_原始数据'!$B$472:$B$531,'03_原始数据'!$C$472:$C$531),""),"")</f>
        <v/>
      </c>
      <c r="D531" s="31">
        <f>IF(1=1,IFERROR(CORREL('03_原始数据'!$B$412:$B$531,'03_原始数据'!$C$412:$C$531),""),"")</f>
        <v/>
      </c>
      <c r="E531" s="31">
        <f>IF(1=1,IFERROR(CORREL('03_原始数据'!$G$472:$G$531,'03_原始数据'!$H$472:$H$531),""),"")</f>
        <v/>
      </c>
      <c r="F531" s="54">
        <f>IF(N(B531)=0,"不足","有效")</f>
        <v/>
      </c>
    </row>
    <row r="532" ht="17" customHeight="1">
      <c r="A532" s="40">
        <f>'03_原始数据'!A532</f>
        <v/>
      </c>
      <c r="B532" s="34">
        <f>IF(1=1,IFERROR(CORREL('03_原始数据'!$B$513:$B$532,'03_原始数据'!$C$513:$C$532),""),"")</f>
        <v/>
      </c>
      <c r="C532" s="34">
        <f>IF(1=1,IFERROR(CORREL('03_原始数据'!$B$473:$B$532,'03_原始数据'!$C$473:$C$532),""),"")</f>
        <v/>
      </c>
      <c r="D532" s="34">
        <f>IF(1=1,IFERROR(CORREL('03_原始数据'!$B$413:$B$532,'03_原始数据'!$C$413:$C$532),""),"")</f>
        <v/>
      </c>
      <c r="E532" s="34">
        <f>IF(1=1,IFERROR(CORREL('03_原始数据'!$G$473:$G$532,'03_原始数据'!$H$473:$H$532),""),"")</f>
        <v/>
      </c>
      <c r="F532" s="55">
        <f>IF(N(B532)=0,"不足","有效")</f>
        <v/>
      </c>
    </row>
    <row r="533" ht="17" customHeight="1">
      <c r="A533" s="38">
        <f>'03_原始数据'!A533</f>
        <v/>
      </c>
      <c r="B533" s="31">
        <f>IF(1=1,IFERROR(CORREL('03_原始数据'!$B$514:$B$533,'03_原始数据'!$C$514:$C$533),""),"")</f>
        <v/>
      </c>
      <c r="C533" s="31">
        <f>IF(1=1,IFERROR(CORREL('03_原始数据'!$B$474:$B$533,'03_原始数据'!$C$474:$C$533),""),"")</f>
        <v/>
      </c>
      <c r="D533" s="31">
        <f>IF(1=1,IFERROR(CORREL('03_原始数据'!$B$414:$B$533,'03_原始数据'!$C$414:$C$533),""),"")</f>
        <v/>
      </c>
      <c r="E533" s="31">
        <f>IF(1=1,IFERROR(CORREL('03_原始数据'!$G$474:$G$533,'03_原始数据'!$H$474:$H$533),""),"")</f>
        <v/>
      </c>
      <c r="F533" s="54">
        <f>IF(N(B533)=0,"不足","有效")</f>
        <v/>
      </c>
    </row>
    <row r="534" ht="17" customHeight="1">
      <c r="A534" s="40">
        <f>'03_原始数据'!A534</f>
        <v/>
      </c>
      <c r="B534" s="34">
        <f>IF(1=1,IFERROR(CORREL('03_原始数据'!$B$515:$B$534,'03_原始数据'!$C$515:$C$534),""),"")</f>
        <v/>
      </c>
      <c r="C534" s="34">
        <f>IF(1=1,IFERROR(CORREL('03_原始数据'!$B$475:$B$534,'03_原始数据'!$C$475:$C$534),""),"")</f>
        <v/>
      </c>
      <c r="D534" s="34">
        <f>IF(1=1,IFERROR(CORREL('03_原始数据'!$B$415:$B$534,'03_原始数据'!$C$415:$C$534),""),"")</f>
        <v/>
      </c>
      <c r="E534" s="34">
        <f>IF(1=1,IFERROR(CORREL('03_原始数据'!$G$475:$G$534,'03_原始数据'!$H$475:$H$534),""),"")</f>
        <v/>
      </c>
      <c r="F534" s="55">
        <f>IF(N(B534)=0,"不足","有效")</f>
        <v/>
      </c>
    </row>
    <row r="535" ht="17" customHeight="1">
      <c r="A535" s="38">
        <f>'03_原始数据'!A535</f>
        <v/>
      </c>
      <c r="B535" s="31">
        <f>IF(1=1,IFERROR(CORREL('03_原始数据'!$B$516:$B$535,'03_原始数据'!$C$516:$C$535),""),"")</f>
        <v/>
      </c>
      <c r="C535" s="31">
        <f>IF(1=1,IFERROR(CORREL('03_原始数据'!$B$476:$B$535,'03_原始数据'!$C$476:$C$535),""),"")</f>
        <v/>
      </c>
      <c r="D535" s="31">
        <f>IF(1=1,IFERROR(CORREL('03_原始数据'!$B$416:$B$535,'03_原始数据'!$C$416:$C$535),""),"")</f>
        <v/>
      </c>
      <c r="E535" s="31">
        <f>IF(1=1,IFERROR(CORREL('03_原始数据'!$G$476:$G$535,'03_原始数据'!$H$476:$H$535),""),"")</f>
        <v/>
      </c>
      <c r="F535" s="54">
        <f>IF(N(B535)=0,"不足","有效")</f>
        <v/>
      </c>
    </row>
    <row r="536" ht="17" customHeight="1">
      <c r="A536" s="40">
        <f>'03_原始数据'!A536</f>
        <v/>
      </c>
      <c r="B536" s="34">
        <f>IF(1=1,IFERROR(CORREL('03_原始数据'!$B$517:$B$536,'03_原始数据'!$C$517:$C$536),""),"")</f>
        <v/>
      </c>
      <c r="C536" s="34">
        <f>IF(1=1,IFERROR(CORREL('03_原始数据'!$B$477:$B$536,'03_原始数据'!$C$477:$C$536),""),"")</f>
        <v/>
      </c>
      <c r="D536" s="34">
        <f>IF(1=1,IFERROR(CORREL('03_原始数据'!$B$417:$B$536,'03_原始数据'!$C$417:$C$536),""),"")</f>
        <v/>
      </c>
      <c r="E536" s="34">
        <f>IF(1=1,IFERROR(CORREL('03_原始数据'!$G$477:$G$536,'03_原始数据'!$H$477:$H$536),""),"")</f>
        <v/>
      </c>
      <c r="F536" s="55">
        <f>IF(N(B536)=0,"不足","有效")</f>
        <v/>
      </c>
    </row>
    <row r="537" ht="17" customHeight="1">
      <c r="A537" s="38">
        <f>'03_原始数据'!A537</f>
        <v/>
      </c>
      <c r="B537" s="31">
        <f>IF(1=1,IFERROR(CORREL('03_原始数据'!$B$518:$B$537,'03_原始数据'!$C$518:$C$537),""),"")</f>
        <v/>
      </c>
      <c r="C537" s="31">
        <f>IF(1=1,IFERROR(CORREL('03_原始数据'!$B$478:$B$537,'03_原始数据'!$C$478:$C$537),""),"")</f>
        <v/>
      </c>
      <c r="D537" s="31">
        <f>IF(1=1,IFERROR(CORREL('03_原始数据'!$B$418:$B$537,'03_原始数据'!$C$418:$C$537),""),"")</f>
        <v/>
      </c>
      <c r="E537" s="31">
        <f>IF(1=1,IFERROR(CORREL('03_原始数据'!$G$478:$G$537,'03_原始数据'!$H$478:$H$537),""),"")</f>
        <v/>
      </c>
      <c r="F537" s="54">
        <f>IF(N(B537)=0,"不足","有效")</f>
        <v/>
      </c>
    </row>
    <row r="538" ht="17" customHeight="1">
      <c r="A538" s="40">
        <f>'03_原始数据'!A538</f>
        <v/>
      </c>
      <c r="B538" s="34">
        <f>IF(1=1,IFERROR(CORREL('03_原始数据'!$B$519:$B$538,'03_原始数据'!$C$519:$C$538),""),"")</f>
        <v/>
      </c>
      <c r="C538" s="34">
        <f>IF(1=1,IFERROR(CORREL('03_原始数据'!$B$479:$B$538,'03_原始数据'!$C$479:$C$538),""),"")</f>
        <v/>
      </c>
      <c r="D538" s="34">
        <f>IF(1=1,IFERROR(CORREL('03_原始数据'!$B$419:$B$538,'03_原始数据'!$C$419:$C$538),""),"")</f>
        <v/>
      </c>
      <c r="E538" s="34">
        <f>IF(1=1,IFERROR(CORREL('03_原始数据'!$G$479:$G$538,'03_原始数据'!$H$479:$H$538),""),"")</f>
        <v/>
      </c>
      <c r="F538" s="55">
        <f>IF(N(B538)=0,"不足","有效")</f>
        <v/>
      </c>
    </row>
    <row r="539" ht="17" customHeight="1">
      <c r="A539" s="38">
        <f>'03_原始数据'!A539</f>
        <v/>
      </c>
      <c r="B539" s="31">
        <f>IF(1=1,IFERROR(CORREL('03_原始数据'!$B$520:$B$539,'03_原始数据'!$C$520:$C$539),""),"")</f>
        <v/>
      </c>
      <c r="C539" s="31">
        <f>IF(1=1,IFERROR(CORREL('03_原始数据'!$B$480:$B$539,'03_原始数据'!$C$480:$C$539),""),"")</f>
        <v/>
      </c>
      <c r="D539" s="31">
        <f>IF(1=1,IFERROR(CORREL('03_原始数据'!$B$420:$B$539,'03_原始数据'!$C$420:$C$539),""),"")</f>
        <v/>
      </c>
      <c r="E539" s="31">
        <f>IF(1=1,IFERROR(CORREL('03_原始数据'!$G$480:$G$539,'03_原始数据'!$H$480:$H$539),""),"")</f>
        <v/>
      </c>
      <c r="F539" s="54">
        <f>IF(N(B539)=0,"不足","有效")</f>
        <v/>
      </c>
    </row>
    <row r="540" ht="17" customHeight="1">
      <c r="A540" s="40">
        <f>'03_原始数据'!A540</f>
        <v/>
      </c>
      <c r="B540" s="34">
        <f>IF(1=1,IFERROR(CORREL('03_原始数据'!$B$521:$B$540,'03_原始数据'!$C$521:$C$540),""),"")</f>
        <v/>
      </c>
      <c r="C540" s="34">
        <f>IF(1=1,IFERROR(CORREL('03_原始数据'!$B$481:$B$540,'03_原始数据'!$C$481:$C$540),""),"")</f>
        <v/>
      </c>
      <c r="D540" s="34">
        <f>IF(1=1,IFERROR(CORREL('03_原始数据'!$B$421:$B$540,'03_原始数据'!$C$421:$C$540),""),"")</f>
        <v/>
      </c>
      <c r="E540" s="34">
        <f>IF(1=1,IFERROR(CORREL('03_原始数据'!$G$481:$G$540,'03_原始数据'!$H$481:$H$540),""),"")</f>
        <v/>
      </c>
      <c r="F540" s="55">
        <f>IF(N(B540)=0,"不足","有效")</f>
        <v/>
      </c>
    </row>
    <row r="541" ht="17" customHeight="1">
      <c r="A541" s="38">
        <f>'03_原始数据'!A541</f>
        <v/>
      </c>
      <c r="B541" s="31">
        <f>IF(1=1,IFERROR(CORREL('03_原始数据'!$B$522:$B$541,'03_原始数据'!$C$522:$C$541),""),"")</f>
        <v/>
      </c>
      <c r="C541" s="31">
        <f>IF(1=1,IFERROR(CORREL('03_原始数据'!$B$482:$B$541,'03_原始数据'!$C$482:$C$541),""),"")</f>
        <v/>
      </c>
      <c r="D541" s="31">
        <f>IF(1=1,IFERROR(CORREL('03_原始数据'!$B$422:$B$541,'03_原始数据'!$C$422:$C$541),""),"")</f>
        <v/>
      </c>
      <c r="E541" s="31">
        <f>IF(1=1,IFERROR(CORREL('03_原始数据'!$G$482:$G$541,'03_原始数据'!$H$482:$H$541),""),"")</f>
        <v/>
      </c>
      <c r="F541" s="54">
        <f>IF(N(B541)=0,"不足","有效")</f>
        <v/>
      </c>
    </row>
    <row r="542" ht="17" customHeight="1">
      <c r="A542" s="40">
        <f>'03_原始数据'!A542</f>
        <v/>
      </c>
      <c r="B542" s="34">
        <f>IF(1=1,IFERROR(CORREL('03_原始数据'!$B$523:$B$542,'03_原始数据'!$C$523:$C$542),""),"")</f>
        <v/>
      </c>
      <c r="C542" s="34">
        <f>IF(1=1,IFERROR(CORREL('03_原始数据'!$B$483:$B$542,'03_原始数据'!$C$483:$C$542),""),"")</f>
        <v/>
      </c>
      <c r="D542" s="34">
        <f>IF(1=1,IFERROR(CORREL('03_原始数据'!$B$423:$B$542,'03_原始数据'!$C$423:$C$542),""),"")</f>
        <v/>
      </c>
      <c r="E542" s="34">
        <f>IF(1=1,IFERROR(CORREL('03_原始数据'!$G$483:$G$542,'03_原始数据'!$H$483:$H$542),""),"")</f>
        <v/>
      </c>
      <c r="F542" s="55">
        <f>IF(N(B542)=0,"不足","有效")</f>
        <v/>
      </c>
    </row>
    <row r="543" ht="17" customHeight="1">
      <c r="A543" s="38">
        <f>'03_原始数据'!A543</f>
        <v/>
      </c>
      <c r="B543" s="31">
        <f>IF(1=1,IFERROR(CORREL('03_原始数据'!$B$524:$B$543,'03_原始数据'!$C$524:$C$543),""),"")</f>
        <v/>
      </c>
      <c r="C543" s="31">
        <f>IF(1=1,IFERROR(CORREL('03_原始数据'!$B$484:$B$543,'03_原始数据'!$C$484:$C$543),""),"")</f>
        <v/>
      </c>
      <c r="D543" s="31">
        <f>IF(1=1,IFERROR(CORREL('03_原始数据'!$B$424:$B$543,'03_原始数据'!$C$424:$C$543),""),"")</f>
        <v/>
      </c>
      <c r="E543" s="31">
        <f>IF(1=1,IFERROR(CORREL('03_原始数据'!$G$484:$G$543,'03_原始数据'!$H$484:$H$543),""),"")</f>
        <v/>
      </c>
      <c r="F543" s="54">
        <f>IF(N(B543)=0,"不足","有效")</f>
        <v/>
      </c>
    </row>
    <row r="544" ht="17" customHeight="1">
      <c r="A544" s="40">
        <f>'03_原始数据'!A544</f>
        <v/>
      </c>
      <c r="B544" s="34">
        <f>IF(1=1,IFERROR(CORREL('03_原始数据'!$B$525:$B$544,'03_原始数据'!$C$525:$C$544),""),"")</f>
        <v/>
      </c>
      <c r="C544" s="34">
        <f>IF(1=1,IFERROR(CORREL('03_原始数据'!$B$485:$B$544,'03_原始数据'!$C$485:$C$544),""),"")</f>
        <v/>
      </c>
      <c r="D544" s="34">
        <f>IF(1=1,IFERROR(CORREL('03_原始数据'!$B$425:$B$544,'03_原始数据'!$C$425:$C$544),""),"")</f>
        <v/>
      </c>
      <c r="E544" s="34">
        <f>IF(1=1,IFERROR(CORREL('03_原始数据'!$G$485:$G$544,'03_原始数据'!$H$485:$H$544),""),"")</f>
        <v/>
      </c>
      <c r="F544" s="55">
        <f>IF(N(B544)=0,"不足","有效")</f>
        <v/>
      </c>
    </row>
    <row r="545" ht="17" customHeight="1">
      <c r="A545" s="38">
        <f>'03_原始数据'!A545</f>
        <v/>
      </c>
      <c r="B545" s="31">
        <f>IF(1=1,IFERROR(CORREL('03_原始数据'!$B$526:$B$545,'03_原始数据'!$C$526:$C$545),""),"")</f>
        <v/>
      </c>
      <c r="C545" s="31">
        <f>IF(1=1,IFERROR(CORREL('03_原始数据'!$B$486:$B$545,'03_原始数据'!$C$486:$C$545),""),"")</f>
        <v/>
      </c>
      <c r="D545" s="31">
        <f>IF(1=1,IFERROR(CORREL('03_原始数据'!$B$426:$B$545,'03_原始数据'!$C$426:$C$545),""),"")</f>
        <v/>
      </c>
      <c r="E545" s="31">
        <f>IF(1=1,IFERROR(CORREL('03_原始数据'!$G$486:$G$545,'03_原始数据'!$H$486:$H$545),""),"")</f>
        <v/>
      </c>
      <c r="F545" s="54">
        <f>IF(N(B545)=0,"不足","有效")</f>
        <v/>
      </c>
    </row>
    <row r="546" ht="17" customHeight="1">
      <c r="A546" s="40">
        <f>'03_原始数据'!A546</f>
        <v/>
      </c>
      <c r="B546" s="34">
        <f>IF(1=1,IFERROR(CORREL('03_原始数据'!$B$527:$B$546,'03_原始数据'!$C$527:$C$546),""),"")</f>
        <v/>
      </c>
      <c r="C546" s="34">
        <f>IF(1=1,IFERROR(CORREL('03_原始数据'!$B$487:$B$546,'03_原始数据'!$C$487:$C$546),""),"")</f>
        <v/>
      </c>
      <c r="D546" s="34">
        <f>IF(1=1,IFERROR(CORREL('03_原始数据'!$B$427:$B$546,'03_原始数据'!$C$427:$C$546),""),"")</f>
        <v/>
      </c>
      <c r="E546" s="34">
        <f>IF(1=1,IFERROR(CORREL('03_原始数据'!$G$487:$G$546,'03_原始数据'!$H$487:$H$546),""),"")</f>
        <v/>
      </c>
      <c r="F546" s="55">
        <f>IF(N(B546)=0,"不足","有效")</f>
        <v/>
      </c>
    </row>
    <row r="547" ht="17" customHeight="1">
      <c r="A547" s="38">
        <f>'03_原始数据'!A547</f>
        <v/>
      </c>
      <c r="B547" s="31">
        <f>IF(1=1,IFERROR(CORREL('03_原始数据'!$B$528:$B$547,'03_原始数据'!$C$528:$C$547),""),"")</f>
        <v/>
      </c>
      <c r="C547" s="31">
        <f>IF(1=1,IFERROR(CORREL('03_原始数据'!$B$488:$B$547,'03_原始数据'!$C$488:$C$547),""),"")</f>
        <v/>
      </c>
      <c r="D547" s="31">
        <f>IF(1=1,IFERROR(CORREL('03_原始数据'!$B$428:$B$547,'03_原始数据'!$C$428:$C$547),""),"")</f>
        <v/>
      </c>
      <c r="E547" s="31">
        <f>IF(1=1,IFERROR(CORREL('03_原始数据'!$G$488:$G$547,'03_原始数据'!$H$488:$H$547),""),"")</f>
        <v/>
      </c>
      <c r="F547" s="54">
        <f>IF(N(B547)=0,"不足","有效")</f>
        <v/>
      </c>
    </row>
    <row r="548" ht="17" customHeight="1">
      <c r="A548" s="40">
        <f>'03_原始数据'!A548</f>
        <v/>
      </c>
      <c r="B548" s="34">
        <f>IF(1=1,IFERROR(CORREL('03_原始数据'!$B$529:$B$548,'03_原始数据'!$C$529:$C$548),""),"")</f>
        <v/>
      </c>
      <c r="C548" s="34">
        <f>IF(1=1,IFERROR(CORREL('03_原始数据'!$B$489:$B$548,'03_原始数据'!$C$489:$C$548),""),"")</f>
        <v/>
      </c>
      <c r="D548" s="34">
        <f>IF(1=1,IFERROR(CORREL('03_原始数据'!$B$429:$B$548,'03_原始数据'!$C$429:$C$548),""),"")</f>
        <v/>
      </c>
      <c r="E548" s="34">
        <f>IF(1=1,IFERROR(CORREL('03_原始数据'!$G$489:$G$548,'03_原始数据'!$H$489:$H$548),""),"")</f>
        <v/>
      </c>
      <c r="F548" s="55">
        <f>IF(N(B548)=0,"不足","有效")</f>
        <v/>
      </c>
    </row>
    <row r="549" ht="17" customHeight="1">
      <c r="A549" s="38">
        <f>'03_原始数据'!A549</f>
        <v/>
      </c>
      <c r="B549" s="31">
        <f>IF(1=1,IFERROR(CORREL('03_原始数据'!$B$530:$B$549,'03_原始数据'!$C$530:$C$549),""),"")</f>
        <v/>
      </c>
      <c r="C549" s="31">
        <f>IF(1=1,IFERROR(CORREL('03_原始数据'!$B$490:$B$549,'03_原始数据'!$C$490:$C$549),""),"")</f>
        <v/>
      </c>
      <c r="D549" s="31">
        <f>IF(1=1,IFERROR(CORREL('03_原始数据'!$B$430:$B$549,'03_原始数据'!$C$430:$C$549),""),"")</f>
        <v/>
      </c>
      <c r="E549" s="31">
        <f>IF(1=1,IFERROR(CORREL('03_原始数据'!$G$490:$G$549,'03_原始数据'!$H$490:$H$549),""),"")</f>
        <v/>
      </c>
      <c r="F549" s="54">
        <f>IF(N(B549)=0,"不足","有效")</f>
        <v/>
      </c>
    </row>
    <row r="550" ht="17" customHeight="1">
      <c r="A550" s="40">
        <f>'03_原始数据'!A550</f>
        <v/>
      </c>
      <c r="B550" s="34">
        <f>IF(1=1,IFERROR(CORREL('03_原始数据'!$B$531:$B$550,'03_原始数据'!$C$531:$C$550),""),"")</f>
        <v/>
      </c>
      <c r="C550" s="34">
        <f>IF(1=1,IFERROR(CORREL('03_原始数据'!$B$491:$B$550,'03_原始数据'!$C$491:$C$550),""),"")</f>
        <v/>
      </c>
      <c r="D550" s="34">
        <f>IF(1=1,IFERROR(CORREL('03_原始数据'!$B$431:$B$550,'03_原始数据'!$C$431:$C$550),""),"")</f>
        <v/>
      </c>
      <c r="E550" s="34">
        <f>IF(1=1,IFERROR(CORREL('03_原始数据'!$G$491:$G$550,'03_原始数据'!$H$491:$H$550),""),"")</f>
        <v/>
      </c>
      <c r="F550" s="55">
        <f>IF(N(B550)=0,"不足","有效")</f>
        <v/>
      </c>
    </row>
    <row r="551" ht="17" customHeight="1">
      <c r="A551" s="38">
        <f>'03_原始数据'!A551</f>
        <v/>
      </c>
      <c r="B551" s="31">
        <f>IF(1=1,IFERROR(CORREL('03_原始数据'!$B$532:$B$551,'03_原始数据'!$C$532:$C$551),""),"")</f>
        <v/>
      </c>
      <c r="C551" s="31">
        <f>IF(1=1,IFERROR(CORREL('03_原始数据'!$B$492:$B$551,'03_原始数据'!$C$492:$C$551),""),"")</f>
        <v/>
      </c>
      <c r="D551" s="31">
        <f>IF(1=1,IFERROR(CORREL('03_原始数据'!$B$432:$B$551,'03_原始数据'!$C$432:$C$551),""),"")</f>
        <v/>
      </c>
      <c r="E551" s="31">
        <f>IF(1=1,IFERROR(CORREL('03_原始数据'!$G$492:$G$551,'03_原始数据'!$H$492:$H$551),""),"")</f>
        <v/>
      </c>
      <c r="F551" s="54">
        <f>IF(N(B551)=0,"不足","有效")</f>
        <v/>
      </c>
    </row>
    <row r="552" ht="17" customHeight="1">
      <c r="A552" s="40">
        <f>'03_原始数据'!A552</f>
        <v/>
      </c>
      <c r="B552" s="34">
        <f>IF(1=1,IFERROR(CORREL('03_原始数据'!$B$533:$B$552,'03_原始数据'!$C$533:$C$552),""),"")</f>
        <v/>
      </c>
      <c r="C552" s="34">
        <f>IF(1=1,IFERROR(CORREL('03_原始数据'!$B$493:$B$552,'03_原始数据'!$C$493:$C$552),""),"")</f>
        <v/>
      </c>
      <c r="D552" s="34">
        <f>IF(1=1,IFERROR(CORREL('03_原始数据'!$B$433:$B$552,'03_原始数据'!$C$433:$C$552),""),"")</f>
        <v/>
      </c>
      <c r="E552" s="34">
        <f>IF(1=1,IFERROR(CORREL('03_原始数据'!$G$493:$G$552,'03_原始数据'!$H$493:$H$552),""),"")</f>
        <v/>
      </c>
      <c r="F552" s="55">
        <f>IF(N(B552)=0,"不足","有效")</f>
        <v/>
      </c>
    </row>
    <row r="553" ht="17" customHeight="1">
      <c r="A553" s="38">
        <f>'03_原始数据'!A553</f>
        <v/>
      </c>
      <c r="B553" s="31">
        <f>IF(1=1,IFERROR(CORREL('03_原始数据'!$B$534:$B$553,'03_原始数据'!$C$534:$C$553),""),"")</f>
        <v/>
      </c>
      <c r="C553" s="31">
        <f>IF(1=1,IFERROR(CORREL('03_原始数据'!$B$494:$B$553,'03_原始数据'!$C$494:$C$553),""),"")</f>
        <v/>
      </c>
      <c r="D553" s="31">
        <f>IF(1=1,IFERROR(CORREL('03_原始数据'!$B$434:$B$553,'03_原始数据'!$C$434:$C$553),""),"")</f>
        <v/>
      </c>
      <c r="E553" s="31">
        <f>IF(1=1,IFERROR(CORREL('03_原始数据'!$G$494:$G$553,'03_原始数据'!$H$494:$H$553),""),"")</f>
        <v/>
      </c>
      <c r="F553" s="54">
        <f>IF(N(B553)=0,"不足","有效")</f>
        <v/>
      </c>
    </row>
    <row r="554" ht="17" customHeight="1">
      <c r="A554" s="40">
        <f>'03_原始数据'!A554</f>
        <v/>
      </c>
      <c r="B554" s="34">
        <f>IF(1=1,IFERROR(CORREL('03_原始数据'!$B$535:$B$554,'03_原始数据'!$C$535:$C$554),""),"")</f>
        <v/>
      </c>
      <c r="C554" s="34">
        <f>IF(1=1,IFERROR(CORREL('03_原始数据'!$B$495:$B$554,'03_原始数据'!$C$495:$C$554),""),"")</f>
        <v/>
      </c>
      <c r="D554" s="34">
        <f>IF(1=1,IFERROR(CORREL('03_原始数据'!$B$435:$B$554,'03_原始数据'!$C$435:$C$554),""),"")</f>
        <v/>
      </c>
      <c r="E554" s="34">
        <f>IF(1=1,IFERROR(CORREL('03_原始数据'!$G$495:$G$554,'03_原始数据'!$H$495:$H$554),""),"")</f>
        <v/>
      </c>
      <c r="F554" s="55">
        <f>IF(N(B554)=0,"不足","有效")</f>
        <v/>
      </c>
    </row>
    <row r="555" ht="17" customHeight="1">
      <c r="A555" s="38">
        <f>'03_原始数据'!A555</f>
        <v/>
      </c>
      <c r="B555" s="31">
        <f>IF(1=1,IFERROR(CORREL('03_原始数据'!$B$536:$B$555,'03_原始数据'!$C$536:$C$555),""),"")</f>
        <v/>
      </c>
      <c r="C555" s="31">
        <f>IF(1=1,IFERROR(CORREL('03_原始数据'!$B$496:$B$555,'03_原始数据'!$C$496:$C$555),""),"")</f>
        <v/>
      </c>
      <c r="D555" s="31">
        <f>IF(1=1,IFERROR(CORREL('03_原始数据'!$B$436:$B$555,'03_原始数据'!$C$436:$C$555),""),"")</f>
        <v/>
      </c>
      <c r="E555" s="31">
        <f>IF(1=1,IFERROR(CORREL('03_原始数据'!$G$496:$G$555,'03_原始数据'!$H$496:$H$555),""),"")</f>
        <v/>
      </c>
      <c r="F555" s="54">
        <f>IF(N(B555)=0,"不足","有效")</f>
        <v/>
      </c>
    </row>
    <row r="556" ht="17" customHeight="1">
      <c r="A556" s="40">
        <f>'03_原始数据'!A556</f>
        <v/>
      </c>
      <c r="B556" s="34">
        <f>IF(1=1,IFERROR(CORREL('03_原始数据'!$B$537:$B$556,'03_原始数据'!$C$537:$C$556),""),"")</f>
        <v/>
      </c>
      <c r="C556" s="34">
        <f>IF(1=1,IFERROR(CORREL('03_原始数据'!$B$497:$B$556,'03_原始数据'!$C$497:$C$556),""),"")</f>
        <v/>
      </c>
      <c r="D556" s="34">
        <f>IF(1=1,IFERROR(CORREL('03_原始数据'!$B$437:$B$556,'03_原始数据'!$C$437:$C$556),""),"")</f>
        <v/>
      </c>
      <c r="E556" s="34">
        <f>IF(1=1,IFERROR(CORREL('03_原始数据'!$G$497:$G$556,'03_原始数据'!$H$497:$H$556),""),"")</f>
        <v/>
      </c>
      <c r="F556" s="55">
        <f>IF(N(B556)=0,"不足","有效")</f>
        <v/>
      </c>
    </row>
    <row r="557" ht="17" customHeight="1">
      <c r="A557" s="38">
        <f>'03_原始数据'!A557</f>
        <v/>
      </c>
      <c r="B557" s="31">
        <f>IF(1=1,IFERROR(CORREL('03_原始数据'!$B$538:$B$557,'03_原始数据'!$C$538:$C$557),""),"")</f>
        <v/>
      </c>
      <c r="C557" s="31">
        <f>IF(1=1,IFERROR(CORREL('03_原始数据'!$B$498:$B$557,'03_原始数据'!$C$498:$C$557),""),"")</f>
        <v/>
      </c>
      <c r="D557" s="31">
        <f>IF(1=1,IFERROR(CORREL('03_原始数据'!$B$438:$B$557,'03_原始数据'!$C$438:$C$557),""),"")</f>
        <v/>
      </c>
      <c r="E557" s="31">
        <f>IF(1=1,IFERROR(CORREL('03_原始数据'!$G$498:$G$557,'03_原始数据'!$H$498:$H$557),""),"")</f>
        <v/>
      </c>
      <c r="F557" s="54">
        <f>IF(N(B557)=0,"不足","有效")</f>
        <v/>
      </c>
    </row>
    <row r="558" ht="17" customHeight="1">
      <c r="A558" s="40">
        <f>'03_原始数据'!A558</f>
        <v/>
      </c>
      <c r="B558" s="34">
        <f>IF(1=1,IFERROR(CORREL('03_原始数据'!$B$539:$B$558,'03_原始数据'!$C$539:$C$558),""),"")</f>
        <v/>
      </c>
      <c r="C558" s="34">
        <f>IF(1=1,IFERROR(CORREL('03_原始数据'!$B$499:$B$558,'03_原始数据'!$C$499:$C$558),""),"")</f>
        <v/>
      </c>
      <c r="D558" s="34">
        <f>IF(1=1,IFERROR(CORREL('03_原始数据'!$B$439:$B$558,'03_原始数据'!$C$439:$C$558),""),"")</f>
        <v/>
      </c>
      <c r="E558" s="34">
        <f>IF(1=1,IFERROR(CORREL('03_原始数据'!$G$499:$G$558,'03_原始数据'!$H$499:$H$558),""),"")</f>
        <v/>
      </c>
      <c r="F558" s="55">
        <f>IF(N(B558)=0,"不足","有效")</f>
        <v/>
      </c>
    </row>
    <row r="559" ht="17" customHeight="1">
      <c r="A559" s="38">
        <f>'03_原始数据'!A559</f>
        <v/>
      </c>
      <c r="B559" s="31">
        <f>IF(1=1,IFERROR(CORREL('03_原始数据'!$B$540:$B$559,'03_原始数据'!$C$540:$C$559),""),"")</f>
        <v/>
      </c>
      <c r="C559" s="31">
        <f>IF(1=1,IFERROR(CORREL('03_原始数据'!$B$500:$B$559,'03_原始数据'!$C$500:$C$559),""),"")</f>
        <v/>
      </c>
      <c r="D559" s="31">
        <f>IF(1=1,IFERROR(CORREL('03_原始数据'!$B$440:$B$559,'03_原始数据'!$C$440:$C$559),""),"")</f>
        <v/>
      </c>
      <c r="E559" s="31">
        <f>IF(1=1,IFERROR(CORREL('03_原始数据'!$G$500:$G$559,'03_原始数据'!$H$500:$H$559),""),"")</f>
        <v/>
      </c>
      <c r="F559" s="54">
        <f>IF(N(B559)=0,"不足","有效")</f>
        <v/>
      </c>
    </row>
    <row r="560" ht="17" customHeight="1">
      <c r="A560" s="40">
        <f>'03_原始数据'!A560</f>
        <v/>
      </c>
      <c r="B560" s="34">
        <f>IF(1=1,IFERROR(CORREL('03_原始数据'!$B$541:$B$560,'03_原始数据'!$C$541:$C$560),""),"")</f>
        <v/>
      </c>
      <c r="C560" s="34">
        <f>IF(1=1,IFERROR(CORREL('03_原始数据'!$B$501:$B$560,'03_原始数据'!$C$501:$C$560),""),"")</f>
        <v/>
      </c>
      <c r="D560" s="34">
        <f>IF(1=1,IFERROR(CORREL('03_原始数据'!$B$441:$B$560,'03_原始数据'!$C$441:$C$560),""),"")</f>
        <v/>
      </c>
      <c r="E560" s="34">
        <f>IF(1=1,IFERROR(CORREL('03_原始数据'!$G$501:$G$560,'03_原始数据'!$H$501:$H$560),""),"")</f>
        <v/>
      </c>
      <c r="F560" s="55">
        <f>IF(N(B560)=0,"不足","有效")</f>
        <v/>
      </c>
    </row>
    <row r="561" ht="17" customHeight="1">
      <c r="A561" s="38">
        <f>'03_原始数据'!A561</f>
        <v/>
      </c>
      <c r="B561" s="31">
        <f>IF(1=1,IFERROR(CORREL('03_原始数据'!$B$542:$B$561,'03_原始数据'!$C$542:$C$561),""),"")</f>
        <v/>
      </c>
      <c r="C561" s="31">
        <f>IF(1=1,IFERROR(CORREL('03_原始数据'!$B$502:$B$561,'03_原始数据'!$C$502:$C$561),""),"")</f>
        <v/>
      </c>
      <c r="D561" s="31">
        <f>IF(1=1,IFERROR(CORREL('03_原始数据'!$B$442:$B$561,'03_原始数据'!$C$442:$C$561),""),"")</f>
        <v/>
      </c>
      <c r="E561" s="31">
        <f>IF(1=1,IFERROR(CORREL('03_原始数据'!$G$502:$G$561,'03_原始数据'!$H$502:$H$561),""),"")</f>
        <v/>
      </c>
      <c r="F561" s="54">
        <f>IF(N(B561)=0,"不足","有效")</f>
        <v/>
      </c>
    </row>
    <row r="562" ht="17" customHeight="1">
      <c r="A562" s="40">
        <f>'03_原始数据'!A562</f>
        <v/>
      </c>
      <c r="B562" s="34">
        <f>IF(1=1,IFERROR(CORREL('03_原始数据'!$B$543:$B$562,'03_原始数据'!$C$543:$C$562),""),"")</f>
        <v/>
      </c>
      <c r="C562" s="34">
        <f>IF(1=1,IFERROR(CORREL('03_原始数据'!$B$503:$B$562,'03_原始数据'!$C$503:$C$562),""),"")</f>
        <v/>
      </c>
      <c r="D562" s="34">
        <f>IF(1=1,IFERROR(CORREL('03_原始数据'!$B$443:$B$562,'03_原始数据'!$C$443:$C$562),""),"")</f>
        <v/>
      </c>
      <c r="E562" s="34">
        <f>IF(1=1,IFERROR(CORREL('03_原始数据'!$G$503:$G$562,'03_原始数据'!$H$503:$H$562),""),"")</f>
        <v/>
      </c>
      <c r="F562" s="55">
        <f>IF(N(B562)=0,"不足","有效")</f>
        <v/>
      </c>
    </row>
    <row r="563" ht="17" customHeight="1">
      <c r="A563" s="38">
        <f>'03_原始数据'!A563</f>
        <v/>
      </c>
      <c r="B563" s="31">
        <f>IF(1=1,IFERROR(CORREL('03_原始数据'!$B$544:$B$563,'03_原始数据'!$C$544:$C$563),""),"")</f>
        <v/>
      </c>
      <c r="C563" s="31">
        <f>IF(1=1,IFERROR(CORREL('03_原始数据'!$B$504:$B$563,'03_原始数据'!$C$504:$C$563),""),"")</f>
        <v/>
      </c>
      <c r="D563" s="31">
        <f>IF(1=1,IFERROR(CORREL('03_原始数据'!$B$444:$B$563,'03_原始数据'!$C$444:$C$563),""),"")</f>
        <v/>
      </c>
      <c r="E563" s="31">
        <f>IF(1=1,IFERROR(CORREL('03_原始数据'!$G$504:$G$563,'03_原始数据'!$H$504:$H$563),""),"")</f>
        <v/>
      </c>
      <c r="F563" s="54">
        <f>IF(N(B563)=0,"不足","有效")</f>
        <v/>
      </c>
    </row>
    <row r="564" ht="17" customHeight="1">
      <c r="A564" s="40">
        <f>'03_原始数据'!A564</f>
        <v/>
      </c>
      <c r="B564" s="34">
        <f>IF(1=1,IFERROR(CORREL('03_原始数据'!$B$545:$B$564,'03_原始数据'!$C$545:$C$564),""),"")</f>
        <v/>
      </c>
      <c r="C564" s="34">
        <f>IF(1=1,IFERROR(CORREL('03_原始数据'!$B$505:$B$564,'03_原始数据'!$C$505:$C$564),""),"")</f>
        <v/>
      </c>
      <c r="D564" s="34">
        <f>IF(1=1,IFERROR(CORREL('03_原始数据'!$B$445:$B$564,'03_原始数据'!$C$445:$C$564),""),"")</f>
        <v/>
      </c>
      <c r="E564" s="34">
        <f>IF(1=1,IFERROR(CORREL('03_原始数据'!$G$505:$G$564,'03_原始数据'!$H$505:$H$564),""),"")</f>
        <v/>
      </c>
      <c r="F564" s="55">
        <f>IF(N(B564)=0,"不足","有效")</f>
        <v/>
      </c>
    </row>
    <row r="565" ht="17" customHeight="1">
      <c r="A565" s="38">
        <f>'03_原始数据'!A565</f>
        <v/>
      </c>
      <c r="B565" s="31">
        <f>IF(1=1,IFERROR(CORREL('03_原始数据'!$B$546:$B$565,'03_原始数据'!$C$546:$C$565),""),"")</f>
        <v/>
      </c>
      <c r="C565" s="31">
        <f>IF(1=1,IFERROR(CORREL('03_原始数据'!$B$506:$B$565,'03_原始数据'!$C$506:$C$565),""),"")</f>
        <v/>
      </c>
      <c r="D565" s="31">
        <f>IF(1=1,IFERROR(CORREL('03_原始数据'!$B$446:$B$565,'03_原始数据'!$C$446:$C$565),""),"")</f>
        <v/>
      </c>
      <c r="E565" s="31">
        <f>IF(1=1,IFERROR(CORREL('03_原始数据'!$G$506:$G$565,'03_原始数据'!$H$506:$H$565),""),"")</f>
        <v/>
      </c>
      <c r="F565" s="54">
        <f>IF(N(B565)=0,"不足","有效")</f>
        <v/>
      </c>
    </row>
    <row r="566" ht="17" customHeight="1">
      <c r="A566" s="40">
        <f>'03_原始数据'!A566</f>
        <v/>
      </c>
      <c r="B566" s="34">
        <f>IF(1=1,IFERROR(CORREL('03_原始数据'!$B$547:$B$566,'03_原始数据'!$C$547:$C$566),""),"")</f>
        <v/>
      </c>
      <c r="C566" s="34">
        <f>IF(1=1,IFERROR(CORREL('03_原始数据'!$B$507:$B$566,'03_原始数据'!$C$507:$C$566),""),"")</f>
        <v/>
      </c>
      <c r="D566" s="34">
        <f>IF(1=1,IFERROR(CORREL('03_原始数据'!$B$447:$B$566,'03_原始数据'!$C$447:$C$566),""),"")</f>
        <v/>
      </c>
      <c r="E566" s="34">
        <f>IF(1=1,IFERROR(CORREL('03_原始数据'!$G$507:$G$566,'03_原始数据'!$H$507:$H$566),""),"")</f>
        <v/>
      </c>
      <c r="F566" s="55">
        <f>IF(N(B566)=0,"不足","有效")</f>
        <v/>
      </c>
    </row>
    <row r="567" ht="17" customHeight="1">
      <c r="A567" s="38">
        <f>'03_原始数据'!A567</f>
        <v/>
      </c>
      <c r="B567" s="31">
        <f>IF(1=1,IFERROR(CORREL('03_原始数据'!$B$548:$B$567,'03_原始数据'!$C$548:$C$567),""),"")</f>
        <v/>
      </c>
      <c r="C567" s="31">
        <f>IF(1=1,IFERROR(CORREL('03_原始数据'!$B$508:$B$567,'03_原始数据'!$C$508:$C$567),""),"")</f>
        <v/>
      </c>
      <c r="D567" s="31">
        <f>IF(1=1,IFERROR(CORREL('03_原始数据'!$B$448:$B$567,'03_原始数据'!$C$448:$C$567),""),"")</f>
        <v/>
      </c>
      <c r="E567" s="31">
        <f>IF(1=1,IFERROR(CORREL('03_原始数据'!$G$508:$G$567,'03_原始数据'!$H$508:$H$567),""),"")</f>
        <v/>
      </c>
      <c r="F567" s="54">
        <f>IF(N(B567)=0,"不足","有效")</f>
        <v/>
      </c>
    </row>
    <row r="568" ht="17" customHeight="1">
      <c r="A568" s="40">
        <f>'03_原始数据'!A568</f>
        <v/>
      </c>
      <c r="B568" s="34">
        <f>IF(1=1,IFERROR(CORREL('03_原始数据'!$B$549:$B$568,'03_原始数据'!$C$549:$C$568),""),"")</f>
        <v/>
      </c>
      <c r="C568" s="34">
        <f>IF(1=1,IFERROR(CORREL('03_原始数据'!$B$509:$B$568,'03_原始数据'!$C$509:$C$568),""),"")</f>
        <v/>
      </c>
      <c r="D568" s="34">
        <f>IF(1=1,IFERROR(CORREL('03_原始数据'!$B$449:$B$568,'03_原始数据'!$C$449:$C$568),""),"")</f>
        <v/>
      </c>
      <c r="E568" s="34">
        <f>IF(1=1,IFERROR(CORREL('03_原始数据'!$G$509:$G$568,'03_原始数据'!$H$509:$H$568),""),"")</f>
        <v/>
      </c>
      <c r="F568" s="55">
        <f>IF(N(B568)=0,"不足","有效")</f>
        <v/>
      </c>
    </row>
    <row r="569" ht="17" customHeight="1">
      <c r="A569" s="38">
        <f>'03_原始数据'!A569</f>
        <v/>
      </c>
      <c r="B569" s="31">
        <f>IF(1=1,IFERROR(CORREL('03_原始数据'!$B$550:$B$569,'03_原始数据'!$C$550:$C$569),""),"")</f>
        <v/>
      </c>
      <c r="C569" s="31">
        <f>IF(1=1,IFERROR(CORREL('03_原始数据'!$B$510:$B$569,'03_原始数据'!$C$510:$C$569),""),"")</f>
        <v/>
      </c>
      <c r="D569" s="31">
        <f>IF(1=1,IFERROR(CORREL('03_原始数据'!$B$450:$B$569,'03_原始数据'!$C$450:$C$569),""),"")</f>
        <v/>
      </c>
      <c r="E569" s="31">
        <f>IF(1=1,IFERROR(CORREL('03_原始数据'!$G$510:$G$569,'03_原始数据'!$H$510:$H$569),""),"")</f>
        <v/>
      </c>
      <c r="F569" s="54">
        <f>IF(N(B569)=0,"不足","有效")</f>
        <v/>
      </c>
    </row>
    <row r="570" ht="17" customHeight="1">
      <c r="A570" s="40">
        <f>'03_原始数据'!A570</f>
        <v/>
      </c>
      <c r="B570" s="34">
        <f>IF(1=1,IFERROR(CORREL('03_原始数据'!$B$551:$B$570,'03_原始数据'!$C$551:$C$570),""),"")</f>
        <v/>
      </c>
      <c r="C570" s="34">
        <f>IF(1=1,IFERROR(CORREL('03_原始数据'!$B$511:$B$570,'03_原始数据'!$C$511:$C$570),""),"")</f>
        <v/>
      </c>
      <c r="D570" s="34">
        <f>IF(1=1,IFERROR(CORREL('03_原始数据'!$B$451:$B$570,'03_原始数据'!$C$451:$C$570),""),"")</f>
        <v/>
      </c>
      <c r="E570" s="34">
        <f>IF(1=1,IFERROR(CORREL('03_原始数据'!$G$511:$G$570,'03_原始数据'!$H$511:$H$570),""),"")</f>
        <v/>
      </c>
      <c r="F570" s="55">
        <f>IF(N(B570)=0,"不足","有效")</f>
        <v/>
      </c>
    </row>
    <row r="571" ht="17" customHeight="1">
      <c r="A571" s="38">
        <f>'03_原始数据'!A571</f>
        <v/>
      </c>
      <c r="B571" s="31">
        <f>IF(1=1,IFERROR(CORREL('03_原始数据'!$B$552:$B$571,'03_原始数据'!$C$552:$C$571),""),"")</f>
        <v/>
      </c>
      <c r="C571" s="31">
        <f>IF(1=1,IFERROR(CORREL('03_原始数据'!$B$512:$B$571,'03_原始数据'!$C$512:$C$571),""),"")</f>
        <v/>
      </c>
      <c r="D571" s="31">
        <f>IF(1=1,IFERROR(CORREL('03_原始数据'!$B$452:$B$571,'03_原始数据'!$C$452:$C$571),""),"")</f>
        <v/>
      </c>
      <c r="E571" s="31">
        <f>IF(1=1,IFERROR(CORREL('03_原始数据'!$G$512:$G$571,'03_原始数据'!$H$512:$H$571),""),"")</f>
        <v/>
      </c>
      <c r="F571" s="54">
        <f>IF(N(B571)=0,"不足","有效")</f>
        <v/>
      </c>
    </row>
    <row r="572" ht="17" customHeight="1">
      <c r="A572" s="40">
        <f>'03_原始数据'!A572</f>
        <v/>
      </c>
      <c r="B572" s="34">
        <f>IF(1=1,IFERROR(CORREL('03_原始数据'!$B$553:$B$572,'03_原始数据'!$C$553:$C$572),""),"")</f>
        <v/>
      </c>
      <c r="C572" s="34">
        <f>IF(1=1,IFERROR(CORREL('03_原始数据'!$B$513:$B$572,'03_原始数据'!$C$513:$C$572),""),"")</f>
        <v/>
      </c>
      <c r="D572" s="34">
        <f>IF(1=1,IFERROR(CORREL('03_原始数据'!$B$453:$B$572,'03_原始数据'!$C$453:$C$572),""),"")</f>
        <v/>
      </c>
      <c r="E572" s="34">
        <f>IF(1=1,IFERROR(CORREL('03_原始数据'!$G$513:$G$572,'03_原始数据'!$H$513:$H$572),""),"")</f>
        <v/>
      </c>
      <c r="F572" s="55">
        <f>IF(N(B572)=0,"不足","有效")</f>
        <v/>
      </c>
    </row>
    <row r="573" ht="17" customHeight="1">
      <c r="A573" s="38">
        <f>'03_原始数据'!A573</f>
        <v/>
      </c>
      <c r="B573" s="31">
        <f>IF(1=1,IFERROR(CORREL('03_原始数据'!$B$554:$B$573,'03_原始数据'!$C$554:$C$573),""),"")</f>
        <v/>
      </c>
      <c r="C573" s="31">
        <f>IF(1=1,IFERROR(CORREL('03_原始数据'!$B$514:$B$573,'03_原始数据'!$C$514:$C$573),""),"")</f>
        <v/>
      </c>
      <c r="D573" s="31">
        <f>IF(1=1,IFERROR(CORREL('03_原始数据'!$B$454:$B$573,'03_原始数据'!$C$454:$C$573),""),"")</f>
        <v/>
      </c>
      <c r="E573" s="31">
        <f>IF(1=1,IFERROR(CORREL('03_原始数据'!$G$514:$G$573,'03_原始数据'!$H$514:$H$573),""),"")</f>
        <v/>
      </c>
      <c r="F573" s="54">
        <f>IF(N(B573)=0,"不足","有效")</f>
        <v/>
      </c>
    </row>
    <row r="574" ht="17" customHeight="1">
      <c r="A574" s="40">
        <f>'03_原始数据'!A574</f>
        <v/>
      </c>
      <c r="B574" s="34">
        <f>IF(1=1,IFERROR(CORREL('03_原始数据'!$B$555:$B$574,'03_原始数据'!$C$555:$C$574),""),"")</f>
        <v/>
      </c>
      <c r="C574" s="34">
        <f>IF(1=1,IFERROR(CORREL('03_原始数据'!$B$515:$B$574,'03_原始数据'!$C$515:$C$574),""),"")</f>
        <v/>
      </c>
      <c r="D574" s="34">
        <f>IF(1=1,IFERROR(CORREL('03_原始数据'!$B$455:$B$574,'03_原始数据'!$C$455:$C$574),""),"")</f>
        <v/>
      </c>
      <c r="E574" s="34">
        <f>IF(1=1,IFERROR(CORREL('03_原始数据'!$G$515:$G$574,'03_原始数据'!$H$515:$H$574),""),"")</f>
        <v/>
      </c>
      <c r="F574" s="55">
        <f>IF(N(B574)=0,"不足","有效")</f>
        <v/>
      </c>
    </row>
    <row r="575" ht="17" customHeight="1">
      <c r="A575" s="38">
        <f>'03_原始数据'!A575</f>
        <v/>
      </c>
      <c r="B575" s="31">
        <f>IF(1=1,IFERROR(CORREL('03_原始数据'!$B$556:$B$575,'03_原始数据'!$C$556:$C$575),""),"")</f>
        <v/>
      </c>
      <c r="C575" s="31">
        <f>IF(1=1,IFERROR(CORREL('03_原始数据'!$B$516:$B$575,'03_原始数据'!$C$516:$C$575),""),"")</f>
        <v/>
      </c>
      <c r="D575" s="31">
        <f>IF(1=1,IFERROR(CORREL('03_原始数据'!$B$456:$B$575,'03_原始数据'!$C$456:$C$575),""),"")</f>
        <v/>
      </c>
      <c r="E575" s="31">
        <f>IF(1=1,IFERROR(CORREL('03_原始数据'!$G$516:$G$575,'03_原始数据'!$H$516:$H$575),""),"")</f>
        <v/>
      </c>
      <c r="F575" s="54">
        <f>IF(N(B575)=0,"不足","有效")</f>
        <v/>
      </c>
    </row>
    <row r="576" ht="17" customHeight="1">
      <c r="A576" s="40">
        <f>'03_原始数据'!A576</f>
        <v/>
      </c>
      <c r="B576" s="34">
        <f>IF(1=1,IFERROR(CORREL('03_原始数据'!$B$557:$B$576,'03_原始数据'!$C$557:$C$576),""),"")</f>
        <v/>
      </c>
      <c r="C576" s="34">
        <f>IF(1=1,IFERROR(CORREL('03_原始数据'!$B$517:$B$576,'03_原始数据'!$C$517:$C$576),""),"")</f>
        <v/>
      </c>
      <c r="D576" s="34">
        <f>IF(1=1,IFERROR(CORREL('03_原始数据'!$B$457:$B$576,'03_原始数据'!$C$457:$C$576),""),"")</f>
        <v/>
      </c>
      <c r="E576" s="34">
        <f>IF(1=1,IFERROR(CORREL('03_原始数据'!$G$517:$G$576,'03_原始数据'!$H$517:$H$576),""),"")</f>
        <v/>
      </c>
      <c r="F576" s="55">
        <f>IF(N(B576)=0,"不足","有效")</f>
        <v/>
      </c>
    </row>
    <row r="577" ht="17" customHeight="1">
      <c r="A577" s="38">
        <f>'03_原始数据'!A577</f>
        <v/>
      </c>
      <c r="B577" s="31">
        <f>IF(1=1,IFERROR(CORREL('03_原始数据'!$B$558:$B$577,'03_原始数据'!$C$558:$C$577),""),"")</f>
        <v/>
      </c>
      <c r="C577" s="31">
        <f>IF(1=1,IFERROR(CORREL('03_原始数据'!$B$518:$B$577,'03_原始数据'!$C$518:$C$577),""),"")</f>
        <v/>
      </c>
      <c r="D577" s="31">
        <f>IF(1=1,IFERROR(CORREL('03_原始数据'!$B$458:$B$577,'03_原始数据'!$C$458:$C$577),""),"")</f>
        <v/>
      </c>
      <c r="E577" s="31">
        <f>IF(1=1,IFERROR(CORREL('03_原始数据'!$G$518:$G$577,'03_原始数据'!$H$518:$H$577),""),"")</f>
        <v/>
      </c>
      <c r="F577" s="54">
        <f>IF(N(B577)=0,"不足","有效")</f>
        <v/>
      </c>
    </row>
    <row r="578" ht="17" customHeight="1">
      <c r="A578" s="40">
        <f>'03_原始数据'!A578</f>
        <v/>
      </c>
      <c r="B578" s="34">
        <f>IF(1=1,IFERROR(CORREL('03_原始数据'!$B$559:$B$578,'03_原始数据'!$C$559:$C$578),""),"")</f>
        <v/>
      </c>
      <c r="C578" s="34">
        <f>IF(1=1,IFERROR(CORREL('03_原始数据'!$B$519:$B$578,'03_原始数据'!$C$519:$C$578),""),"")</f>
        <v/>
      </c>
      <c r="D578" s="34">
        <f>IF(1=1,IFERROR(CORREL('03_原始数据'!$B$459:$B$578,'03_原始数据'!$C$459:$C$578),""),"")</f>
        <v/>
      </c>
      <c r="E578" s="34">
        <f>IF(1=1,IFERROR(CORREL('03_原始数据'!$G$519:$G$578,'03_原始数据'!$H$519:$H$578),""),"")</f>
        <v/>
      </c>
      <c r="F578" s="55">
        <f>IF(N(B578)=0,"不足","有效")</f>
        <v/>
      </c>
    </row>
    <row r="579" ht="17" customHeight="1">
      <c r="A579" s="38">
        <f>'03_原始数据'!A579</f>
        <v/>
      </c>
      <c r="B579" s="31">
        <f>IF(1=1,IFERROR(CORREL('03_原始数据'!$B$560:$B$579,'03_原始数据'!$C$560:$C$579),""),"")</f>
        <v/>
      </c>
      <c r="C579" s="31">
        <f>IF(1=1,IFERROR(CORREL('03_原始数据'!$B$520:$B$579,'03_原始数据'!$C$520:$C$579),""),"")</f>
        <v/>
      </c>
      <c r="D579" s="31">
        <f>IF(1=1,IFERROR(CORREL('03_原始数据'!$B$460:$B$579,'03_原始数据'!$C$460:$C$579),""),"")</f>
        <v/>
      </c>
      <c r="E579" s="31">
        <f>IF(1=1,IFERROR(CORREL('03_原始数据'!$G$520:$G$579,'03_原始数据'!$H$520:$H$579),""),"")</f>
        <v/>
      </c>
      <c r="F579" s="54">
        <f>IF(N(B579)=0,"不足","有效")</f>
        <v/>
      </c>
    </row>
    <row r="580" ht="17" customHeight="1">
      <c r="A580" s="40">
        <f>'03_原始数据'!A580</f>
        <v/>
      </c>
      <c r="B580" s="34">
        <f>IF(1=1,IFERROR(CORREL('03_原始数据'!$B$561:$B$580,'03_原始数据'!$C$561:$C$580),""),"")</f>
        <v/>
      </c>
      <c r="C580" s="34">
        <f>IF(1=1,IFERROR(CORREL('03_原始数据'!$B$521:$B$580,'03_原始数据'!$C$521:$C$580),""),"")</f>
        <v/>
      </c>
      <c r="D580" s="34">
        <f>IF(1=1,IFERROR(CORREL('03_原始数据'!$B$461:$B$580,'03_原始数据'!$C$461:$C$580),""),"")</f>
        <v/>
      </c>
      <c r="E580" s="34">
        <f>IF(1=1,IFERROR(CORREL('03_原始数据'!$G$521:$G$580,'03_原始数据'!$H$521:$H$580),""),"")</f>
        <v/>
      </c>
      <c r="F580" s="55">
        <f>IF(N(B580)=0,"不足","有效")</f>
        <v/>
      </c>
    </row>
    <row r="581" ht="17" customHeight="1">
      <c r="A581" s="38">
        <f>'03_原始数据'!A581</f>
        <v/>
      </c>
      <c r="B581" s="31">
        <f>IF(1=1,IFERROR(CORREL('03_原始数据'!$B$562:$B$581,'03_原始数据'!$C$562:$C$581),""),"")</f>
        <v/>
      </c>
      <c r="C581" s="31">
        <f>IF(1=1,IFERROR(CORREL('03_原始数据'!$B$522:$B$581,'03_原始数据'!$C$522:$C$581),""),"")</f>
        <v/>
      </c>
      <c r="D581" s="31">
        <f>IF(1=1,IFERROR(CORREL('03_原始数据'!$B$462:$B$581,'03_原始数据'!$C$462:$C$581),""),"")</f>
        <v/>
      </c>
      <c r="E581" s="31">
        <f>IF(1=1,IFERROR(CORREL('03_原始数据'!$G$522:$G$581,'03_原始数据'!$H$522:$H$581),""),"")</f>
        <v/>
      </c>
      <c r="F581" s="54">
        <f>IF(N(B581)=0,"不足","有效")</f>
        <v/>
      </c>
    </row>
    <row r="582" ht="17" customHeight="1">
      <c r="A582" s="40">
        <f>'03_原始数据'!A582</f>
        <v/>
      </c>
      <c r="B582" s="34">
        <f>IF(1=1,IFERROR(CORREL('03_原始数据'!$B$563:$B$582,'03_原始数据'!$C$563:$C$582),""),"")</f>
        <v/>
      </c>
      <c r="C582" s="34">
        <f>IF(1=1,IFERROR(CORREL('03_原始数据'!$B$523:$B$582,'03_原始数据'!$C$523:$C$582),""),"")</f>
        <v/>
      </c>
      <c r="D582" s="34">
        <f>IF(1=1,IFERROR(CORREL('03_原始数据'!$B$463:$B$582,'03_原始数据'!$C$463:$C$582),""),"")</f>
        <v/>
      </c>
      <c r="E582" s="34">
        <f>IF(1=1,IFERROR(CORREL('03_原始数据'!$G$523:$G$582,'03_原始数据'!$H$523:$H$582),""),"")</f>
        <v/>
      </c>
      <c r="F582" s="55">
        <f>IF(N(B582)=0,"不足","有效")</f>
        <v/>
      </c>
    </row>
    <row r="583" ht="17" customHeight="1">
      <c r="A583" s="38">
        <f>'03_原始数据'!A583</f>
        <v/>
      </c>
      <c r="B583" s="31">
        <f>IF(1=1,IFERROR(CORREL('03_原始数据'!$B$564:$B$583,'03_原始数据'!$C$564:$C$583),""),"")</f>
        <v/>
      </c>
      <c r="C583" s="31">
        <f>IF(1=1,IFERROR(CORREL('03_原始数据'!$B$524:$B$583,'03_原始数据'!$C$524:$C$583),""),"")</f>
        <v/>
      </c>
      <c r="D583" s="31">
        <f>IF(1=1,IFERROR(CORREL('03_原始数据'!$B$464:$B$583,'03_原始数据'!$C$464:$C$583),""),"")</f>
        <v/>
      </c>
      <c r="E583" s="31">
        <f>IF(1=1,IFERROR(CORREL('03_原始数据'!$G$524:$G$583,'03_原始数据'!$H$524:$H$583),""),"")</f>
        <v/>
      </c>
      <c r="F583" s="54">
        <f>IF(N(B583)=0,"不足","有效")</f>
        <v/>
      </c>
    </row>
    <row r="584" ht="17" customHeight="1">
      <c r="A584" s="40">
        <f>'03_原始数据'!A584</f>
        <v/>
      </c>
      <c r="B584" s="34">
        <f>IF(1=1,IFERROR(CORREL('03_原始数据'!$B$565:$B$584,'03_原始数据'!$C$565:$C$584),""),"")</f>
        <v/>
      </c>
      <c r="C584" s="34">
        <f>IF(1=1,IFERROR(CORREL('03_原始数据'!$B$525:$B$584,'03_原始数据'!$C$525:$C$584),""),"")</f>
        <v/>
      </c>
      <c r="D584" s="34">
        <f>IF(1=1,IFERROR(CORREL('03_原始数据'!$B$465:$B$584,'03_原始数据'!$C$465:$C$584),""),"")</f>
        <v/>
      </c>
      <c r="E584" s="34">
        <f>IF(1=1,IFERROR(CORREL('03_原始数据'!$G$525:$G$584,'03_原始数据'!$H$525:$H$584),""),"")</f>
        <v/>
      </c>
      <c r="F584" s="55">
        <f>IF(N(B584)=0,"不足","有效")</f>
        <v/>
      </c>
    </row>
    <row r="585" ht="17" customHeight="1">
      <c r="A585" s="38">
        <f>'03_原始数据'!A585</f>
        <v/>
      </c>
      <c r="B585" s="31">
        <f>IF(1=1,IFERROR(CORREL('03_原始数据'!$B$566:$B$585,'03_原始数据'!$C$566:$C$585),""),"")</f>
        <v/>
      </c>
      <c r="C585" s="31">
        <f>IF(1=1,IFERROR(CORREL('03_原始数据'!$B$526:$B$585,'03_原始数据'!$C$526:$C$585),""),"")</f>
        <v/>
      </c>
      <c r="D585" s="31">
        <f>IF(1=1,IFERROR(CORREL('03_原始数据'!$B$466:$B$585,'03_原始数据'!$C$466:$C$585),""),"")</f>
        <v/>
      </c>
      <c r="E585" s="31">
        <f>IF(1=1,IFERROR(CORREL('03_原始数据'!$G$526:$G$585,'03_原始数据'!$H$526:$H$585),""),"")</f>
        <v/>
      </c>
      <c r="F585" s="54">
        <f>IF(N(B585)=0,"不足","有效")</f>
        <v/>
      </c>
    </row>
    <row r="586" ht="17" customHeight="1">
      <c r="A586" s="40">
        <f>'03_原始数据'!A586</f>
        <v/>
      </c>
      <c r="B586" s="34">
        <f>IF(1=1,IFERROR(CORREL('03_原始数据'!$B$567:$B$586,'03_原始数据'!$C$567:$C$586),""),"")</f>
        <v/>
      </c>
      <c r="C586" s="34">
        <f>IF(1=1,IFERROR(CORREL('03_原始数据'!$B$527:$B$586,'03_原始数据'!$C$527:$C$586),""),"")</f>
        <v/>
      </c>
      <c r="D586" s="34">
        <f>IF(1=1,IFERROR(CORREL('03_原始数据'!$B$467:$B$586,'03_原始数据'!$C$467:$C$586),""),"")</f>
        <v/>
      </c>
      <c r="E586" s="34">
        <f>IF(1=1,IFERROR(CORREL('03_原始数据'!$G$527:$G$586,'03_原始数据'!$H$527:$H$586),""),"")</f>
        <v/>
      </c>
      <c r="F586" s="55">
        <f>IF(N(B586)=0,"不足","有效")</f>
        <v/>
      </c>
    </row>
    <row r="587" ht="17" customHeight="1">
      <c r="A587" s="38">
        <f>'03_原始数据'!A587</f>
        <v/>
      </c>
      <c r="B587" s="31">
        <f>IF(1=1,IFERROR(CORREL('03_原始数据'!$B$568:$B$587,'03_原始数据'!$C$568:$C$587),""),"")</f>
        <v/>
      </c>
      <c r="C587" s="31">
        <f>IF(1=1,IFERROR(CORREL('03_原始数据'!$B$528:$B$587,'03_原始数据'!$C$528:$C$587),""),"")</f>
        <v/>
      </c>
      <c r="D587" s="31">
        <f>IF(1=1,IFERROR(CORREL('03_原始数据'!$B$468:$B$587,'03_原始数据'!$C$468:$C$587),""),"")</f>
        <v/>
      </c>
      <c r="E587" s="31">
        <f>IF(1=1,IFERROR(CORREL('03_原始数据'!$G$528:$G$587,'03_原始数据'!$H$528:$H$587),""),"")</f>
        <v/>
      </c>
      <c r="F587" s="54">
        <f>IF(N(B587)=0,"不足","有效")</f>
        <v/>
      </c>
    </row>
    <row r="588" ht="17" customHeight="1">
      <c r="A588" s="40">
        <f>'03_原始数据'!A588</f>
        <v/>
      </c>
      <c r="B588" s="34">
        <f>IF(1=1,IFERROR(CORREL('03_原始数据'!$B$569:$B$588,'03_原始数据'!$C$569:$C$588),""),"")</f>
        <v/>
      </c>
      <c r="C588" s="34">
        <f>IF(1=1,IFERROR(CORREL('03_原始数据'!$B$529:$B$588,'03_原始数据'!$C$529:$C$588),""),"")</f>
        <v/>
      </c>
      <c r="D588" s="34">
        <f>IF(1=1,IFERROR(CORREL('03_原始数据'!$B$469:$B$588,'03_原始数据'!$C$469:$C$588),""),"")</f>
        <v/>
      </c>
      <c r="E588" s="34">
        <f>IF(1=1,IFERROR(CORREL('03_原始数据'!$G$529:$G$588,'03_原始数据'!$H$529:$H$588),""),"")</f>
        <v/>
      </c>
      <c r="F588" s="55">
        <f>IF(N(B588)=0,"不足","有效")</f>
        <v/>
      </c>
    </row>
    <row r="589" ht="17" customHeight="1">
      <c r="A589" s="38">
        <f>'03_原始数据'!A589</f>
        <v/>
      </c>
      <c r="B589" s="31">
        <f>IF(1=1,IFERROR(CORREL('03_原始数据'!$B$570:$B$589,'03_原始数据'!$C$570:$C$589),""),"")</f>
        <v/>
      </c>
      <c r="C589" s="31">
        <f>IF(1=1,IFERROR(CORREL('03_原始数据'!$B$530:$B$589,'03_原始数据'!$C$530:$C$589),""),"")</f>
        <v/>
      </c>
      <c r="D589" s="31">
        <f>IF(1=1,IFERROR(CORREL('03_原始数据'!$B$470:$B$589,'03_原始数据'!$C$470:$C$589),""),"")</f>
        <v/>
      </c>
      <c r="E589" s="31">
        <f>IF(1=1,IFERROR(CORREL('03_原始数据'!$G$530:$G$589,'03_原始数据'!$H$530:$H$589),""),"")</f>
        <v/>
      </c>
      <c r="F589" s="54">
        <f>IF(N(B589)=0,"不足","有效")</f>
        <v/>
      </c>
    </row>
    <row r="590" ht="17" customHeight="1">
      <c r="A590" s="40">
        <f>'03_原始数据'!A590</f>
        <v/>
      </c>
      <c r="B590" s="34">
        <f>IF(1=1,IFERROR(CORREL('03_原始数据'!$B$571:$B$590,'03_原始数据'!$C$571:$C$590),""),"")</f>
        <v/>
      </c>
      <c r="C590" s="34">
        <f>IF(1=1,IFERROR(CORREL('03_原始数据'!$B$531:$B$590,'03_原始数据'!$C$531:$C$590),""),"")</f>
        <v/>
      </c>
      <c r="D590" s="34">
        <f>IF(1=1,IFERROR(CORREL('03_原始数据'!$B$471:$B$590,'03_原始数据'!$C$471:$C$590),""),"")</f>
        <v/>
      </c>
      <c r="E590" s="34">
        <f>IF(1=1,IFERROR(CORREL('03_原始数据'!$G$531:$G$590,'03_原始数据'!$H$531:$H$590),""),"")</f>
        <v/>
      </c>
      <c r="F590" s="55">
        <f>IF(N(B590)=0,"不足","有效")</f>
        <v/>
      </c>
    </row>
    <row r="591" ht="17" customHeight="1">
      <c r="A591" s="38">
        <f>'03_原始数据'!A591</f>
        <v/>
      </c>
      <c r="B591" s="31">
        <f>IF(1=1,IFERROR(CORREL('03_原始数据'!$B$572:$B$591,'03_原始数据'!$C$572:$C$591),""),"")</f>
        <v/>
      </c>
      <c r="C591" s="31">
        <f>IF(1=1,IFERROR(CORREL('03_原始数据'!$B$532:$B$591,'03_原始数据'!$C$532:$C$591),""),"")</f>
        <v/>
      </c>
      <c r="D591" s="31">
        <f>IF(1=1,IFERROR(CORREL('03_原始数据'!$B$472:$B$591,'03_原始数据'!$C$472:$C$591),""),"")</f>
        <v/>
      </c>
      <c r="E591" s="31">
        <f>IF(1=1,IFERROR(CORREL('03_原始数据'!$G$532:$G$591,'03_原始数据'!$H$532:$H$591),""),"")</f>
        <v/>
      </c>
      <c r="F591" s="54">
        <f>IF(N(B591)=0,"不足","有效")</f>
        <v/>
      </c>
    </row>
    <row r="592" ht="17" customHeight="1">
      <c r="A592" s="40">
        <f>'03_原始数据'!A592</f>
        <v/>
      </c>
      <c r="B592" s="34">
        <f>IF(1=1,IFERROR(CORREL('03_原始数据'!$B$573:$B$592,'03_原始数据'!$C$573:$C$592),""),"")</f>
        <v/>
      </c>
      <c r="C592" s="34">
        <f>IF(1=1,IFERROR(CORREL('03_原始数据'!$B$533:$B$592,'03_原始数据'!$C$533:$C$592),""),"")</f>
        <v/>
      </c>
      <c r="D592" s="34">
        <f>IF(1=1,IFERROR(CORREL('03_原始数据'!$B$473:$B$592,'03_原始数据'!$C$473:$C$592),""),"")</f>
        <v/>
      </c>
      <c r="E592" s="34">
        <f>IF(1=1,IFERROR(CORREL('03_原始数据'!$G$533:$G$592,'03_原始数据'!$H$533:$H$592),""),"")</f>
        <v/>
      </c>
      <c r="F592" s="55">
        <f>IF(N(B592)=0,"不足","有效")</f>
        <v/>
      </c>
    </row>
    <row r="593" ht="17" customHeight="1">
      <c r="A593" s="38">
        <f>'03_原始数据'!A593</f>
        <v/>
      </c>
      <c r="B593" s="31">
        <f>IF(1=1,IFERROR(CORREL('03_原始数据'!$B$574:$B$593,'03_原始数据'!$C$574:$C$593),""),"")</f>
        <v/>
      </c>
      <c r="C593" s="31">
        <f>IF(1=1,IFERROR(CORREL('03_原始数据'!$B$534:$B$593,'03_原始数据'!$C$534:$C$593),""),"")</f>
        <v/>
      </c>
      <c r="D593" s="31">
        <f>IF(1=1,IFERROR(CORREL('03_原始数据'!$B$474:$B$593,'03_原始数据'!$C$474:$C$593),""),"")</f>
        <v/>
      </c>
      <c r="E593" s="31">
        <f>IF(1=1,IFERROR(CORREL('03_原始数据'!$G$534:$G$593,'03_原始数据'!$H$534:$H$593),""),"")</f>
        <v/>
      </c>
      <c r="F593" s="54">
        <f>IF(N(B593)=0,"不足","有效")</f>
        <v/>
      </c>
    </row>
    <row r="594" ht="17" customHeight="1">
      <c r="A594" s="40">
        <f>'03_原始数据'!A594</f>
        <v/>
      </c>
      <c r="B594" s="34">
        <f>IF(1=1,IFERROR(CORREL('03_原始数据'!$B$575:$B$594,'03_原始数据'!$C$575:$C$594),""),"")</f>
        <v/>
      </c>
      <c r="C594" s="34">
        <f>IF(1=1,IFERROR(CORREL('03_原始数据'!$B$535:$B$594,'03_原始数据'!$C$535:$C$594),""),"")</f>
        <v/>
      </c>
      <c r="D594" s="34">
        <f>IF(1=1,IFERROR(CORREL('03_原始数据'!$B$475:$B$594,'03_原始数据'!$C$475:$C$594),""),"")</f>
        <v/>
      </c>
      <c r="E594" s="34">
        <f>IF(1=1,IFERROR(CORREL('03_原始数据'!$G$535:$G$594,'03_原始数据'!$H$535:$H$594),""),"")</f>
        <v/>
      </c>
      <c r="F594" s="55">
        <f>IF(N(B594)=0,"不足","有效")</f>
        <v/>
      </c>
    </row>
    <row r="595" ht="17" customHeight="1">
      <c r="A595" s="38">
        <f>'03_原始数据'!A595</f>
        <v/>
      </c>
      <c r="B595" s="31">
        <f>IF(1=1,IFERROR(CORREL('03_原始数据'!$B$576:$B$595,'03_原始数据'!$C$576:$C$595),""),"")</f>
        <v/>
      </c>
      <c r="C595" s="31">
        <f>IF(1=1,IFERROR(CORREL('03_原始数据'!$B$536:$B$595,'03_原始数据'!$C$536:$C$595),""),"")</f>
        <v/>
      </c>
      <c r="D595" s="31">
        <f>IF(1=1,IFERROR(CORREL('03_原始数据'!$B$476:$B$595,'03_原始数据'!$C$476:$C$595),""),"")</f>
        <v/>
      </c>
      <c r="E595" s="31">
        <f>IF(1=1,IFERROR(CORREL('03_原始数据'!$G$536:$G$595,'03_原始数据'!$H$536:$H$595),""),"")</f>
        <v/>
      </c>
      <c r="F595" s="54">
        <f>IF(N(B595)=0,"不足","有效")</f>
        <v/>
      </c>
    </row>
    <row r="596" ht="17" customHeight="1">
      <c r="A596" s="40">
        <f>'03_原始数据'!A596</f>
        <v/>
      </c>
      <c r="B596" s="34">
        <f>IF(1=1,IFERROR(CORREL('03_原始数据'!$B$577:$B$596,'03_原始数据'!$C$577:$C$596),""),"")</f>
        <v/>
      </c>
      <c r="C596" s="34">
        <f>IF(1=1,IFERROR(CORREL('03_原始数据'!$B$537:$B$596,'03_原始数据'!$C$537:$C$596),""),"")</f>
        <v/>
      </c>
      <c r="D596" s="34">
        <f>IF(1=1,IFERROR(CORREL('03_原始数据'!$B$477:$B$596,'03_原始数据'!$C$477:$C$596),""),"")</f>
        <v/>
      </c>
      <c r="E596" s="34">
        <f>IF(1=1,IFERROR(CORREL('03_原始数据'!$G$537:$G$596,'03_原始数据'!$H$537:$H$596),""),"")</f>
        <v/>
      </c>
      <c r="F596" s="55">
        <f>IF(N(B596)=0,"不足","有效")</f>
        <v/>
      </c>
    </row>
    <row r="597" ht="17" customHeight="1">
      <c r="A597" s="38">
        <f>'03_原始数据'!A597</f>
        <v/>
      </c>
      <c r="B597" s="31">
        <f>IF(1=1,IFERROR(CORREL('03_原始数据'!$B$578:$B$597,'03_原始数据'!$C$578:$C$597),""),"")</f>
        <v/>
      </c>
      <c r="C597" s="31">
        <f>IF(1=1,IFERROR(CORREL('03_原始数据'!$B$538:$B$597,'03_原始数据'!$C$538:$C$597),""),"")</f>
        <v/>
      </c>
      <c r="D597" s="31">
        <f>IF(1=1,IFERROR(CORREL('03_原始数据'!$B$478:$B$597,'03_原始数据'!$C$478:$C$597),""),"")</f>
        <v/>
      </c>
      <c r="E597" s="31">
        <f>IF(1=1,IFERROR(CORREL('03_原始数据'!$G$538:$G$597,'03_原始数据'!$H$538:$H$597),""),"")</f>
        <v/>
      </c>
      <c r="F597" s="54">
        <f>IF(N(B597)=0,"不足","有效")</f>
        <v/>
      </c>
    </row>
    <row r="598" ht="17" customHeight="1">
      <c r="A598" s="40">
        <f>'03_原始数据'!A598</f>
        <v/>
      </c>
      <c r="B598" s="34">
        <f>IF(1=1,IFERROR(CORREL('03_原始数据'!$B$579:$B$598,'03_原始数据'!$C$579:$C$598),""),"")</f>
        <v/>
      </c>
      <c r="C598" s="34">
        <f>IF(1=1,IFERROR(CORREL('03_原始数据'!$B$539:$B$598,'03_原始数据'!$C$539:$C$598),""),"")</f>
        <v/>
      </c>
      <c r="D598" s="34">
        <f>IF(1=1,IFERROR(CORREL('03_原始数据'!$B$479:$B$598,'03_原始数据'!$C$479:$C$598),""),"")</f>
        <v/>
      </c>
      <c r="E598" s="34">
        <f>IF(1=1,IFERROR(CORREL('03_原始数据'!$G$539:$G$598,'03_原始数据'!$H$539:$H$598),""),"")</f>
        <v/>
      </c>
      <c r="F598" s="55">
        <f>IF(N(B598)=0,"不足","有效")</f>
        <v/>
      </c>
    </row>
    <row r="599" ht="17" customHeight="1">
      <c r="A599" s="38">
        <f>'03_原始数据'!A599</f>
        <v/>
      </c>
      <c r="B599" s="31">
        <f>IF(1=1,IFERROR(CORREL('03_原始数据'!$B$580:$B$599,'03_原始数据'!$C$580:$C$599),""),"")</f>
        <v/>
      </c>
      <c r="C599" s="31">
        <f>IF(1=1,IFERROR(CORREL('03_原始数据'!$B$540:$B$599,'03_原始数据'!$C$540:$C$599),""),"")</f>
        <v/>
      </c>
      <c r="D599" s="31">
        <f>IF(1=1,IFERROR(CORREL('03_原始数据'!$B$480:$B$599,'03_原始数据'!$C$480:$C$599),""),"")</f>
        <v/>
      </c>
      <c r="E599" s="31">
        <f>IF(1=1,IFERROR(CORREL('03_原始数据'!$G$540:$G$599,'03_原始数据'!$H$540:$H$599),""),"")</f>
        <v/>
      </c>
      <c r="F599" s="54">
        <f>IF(N(B599)=0,"不足","有效")</f>
        <v/>
      </c>
    </row>
    <row r="600" ht="17" customHeight="1">
      <c r="A600" s="40">
        <f>'03_原始数据'!A600</f>
        <v/>
      </c>
      <c r="B600" s="34">
        <f>IF(1=1,IFERROR(CORREL('03_原始数据'!$B$581:$B$600,'03_原始数据'!$C$581:$C$600),""),"")</f>
        <v/>
      </c>
      <c r="C600" s="34">
        <f>IF(1=1,IFERROR(CORREL('03_原始数据'!$B$541:$B$600,'03_原始数据'!$C$541:$C$600),""),"")</f>
        <v/>
      </c>
      <c r="D600" s="34">
        <f>IF(1=1,IFERROR(CORREL('03_原始数据'!$B$481:$B$600,'03_原始数据'!$C$481:$C$600),""),"")</f>
        <v/>
      </c>
      <c r="E600" s="34">
        <f>IF(1=1,IFERROR(CORREL('03_原始数据'!$G$541:$G$600,'03_原始数据'!$H$541:$H$600),""),"")</f>
        <v/>
      </c>
      <c r="F600" s="55">
        <f>IF(N(B600)=0,"不足","有效")</f>
        <v/>
      </c>
    </row>
    <row r="601" ht="17" customHeight="1">
      <c r="A601" s="38">
        <f>'03_原始数据'!A601</f>
        <v/>
      </c>
      <c r="B601" s="31">
        <f>IF(1=1,IFERROR(CORREL('03_原始数据'!$B$582:$B$601,'03_原始数据'!$C$582:$C$601),""),"")</f>
        <v/>
      </c>
      <c r="C601" s="31">
        <f>IF(1=1,IFERROR(CORREL('03_原始数据'!$B$542:$B$601,'03_原始数据'!$C$542:$C$601),""),"")</f>
        <v/>
      </c>
      <c r="D601" s="31">
        <f>IF(1=1,IFERROR(CORREL('03_原始数据'!$B$482:$B$601,'03_原始数据'!$C$482:$C$601),""),"")</f>
        <v/>
      </c>
      <c r="E601" s="31">
        <f>IF(1=1,IFERROR(CORREL('03_原始数据'!$G$542:$G$601,'03_原始数据'!$H$542:$H$601),""),"")</f>
        <v/>
      </c>
      <c r="F601" s="54">
        <f>IF(N(B601)=0,"不足","有效")</f>
        <v/>
      </c>
    </row>
    <row r="602" ht="17" customHeight="1">
      <c r="A602" s="40">
        <f>'03_原始数据'!A602</f>
        <v/>
      </c>
      <c r="B602" s="34">
        <f>IF(1=1,IFERROR(CORREL('03_原始数据'!$B$583:$B$602,'03_原始数据'!$C$583:$C$602),""),"")</f>
        <v/>
      </c>
      <c r="C602" s="34">
        <f>IF(1=1,IFERROR(CORREL('03_原始数据'!$B$543:$B$602,'03_原始数据'!$C$543:$C$602),""),"")</f>
        <v/>
      </c>
      <c r="D602" s="34">
        <f>IF(1=1,IFERROR(CORREL('03_原始数据'!$B$483:$B$602,'03_原始数据'!$C$483:$C$602),""),"")</f>
        <v/>
      </c>
      <c r="E602" s="34">
        <f>IF(1=1,IFERROR(CORREL('03_原始数据'!$G$543:$G$602,'03_原始数据'!$H$543:$H$602),""),"")</f>
        <v/>
      </c>
      <c r="F602" s="55">
        <f>IF(N(B602)=0,"不足","有效")</f>
        <v/>
      </c>
    </row>
    <row r="603" ht="17" customHeight="1">
      <c r="A603" s="38">
        <f>'03_原始数据'!A603</f>
        <v/>
      </c>
      <c r="B603" s="31">
        <f>IF(1=1,IFERROR(CORREL('03_原始数据'!$B$584:$B$603,'03_原始数据'!$C$584:$C$603),""),"")</f>
        <v/>
      </c>
      <c r="C603" s="31">
        <f>IF(1=1,IFERROR(CORREL('03_原始数据'!$B$544:$B$603,'03_原始数据'!$C$544:$C$603),""),"")</f>
        <v/>
      </c>
      <c r="D603" s="31">
        <f>IF(1=1,IFERROR(CORREL('03_原始数据'!$B$484:$B$603,'03_原始数据'!$C$484:$C$603),""),"")</f>
        <v/>
      </c>
      <c r="E603" s="31">
        <f>IF(1=1,IFERROR(CORREL('03_原始数据'!$G$544:$G$603,'03_原始数据'!$H$544:$H$603),""),"")</f>
        <v/>
      </c>
      <c r="F603" s="54">
        <f>IF(N(B603)=0,"不足","有效")</f>
        <v/>
      </c>
    </row>
    <row r="604" ht="17" customHeight="1">
      <c r="A604" s="40">
        <f>'03_原始数据'!A604</f>
        <v/>
      </c>
      <c r="B604" s="34">
        <f>IF(1=1,IFERROR(CORREL('03_原始数据'!$B$585:$B$604,'03_原始数据'!$C$585:$C$604),""),"")</f>
        <v/>
      </c>
      <c r="C604" s="34">
        <f>IF(1=1,IFERROR(CORREL('03_原始数据'!$B$545:$B$604,'03_原始数据'!$C$545:$C$604),""),"")</f>
        <v/>
      </c>
      <c r="D604" s="34">
        <f>IF(1=1,IFERROR(CORREL('03_原始数据'!$B$485:$B$604,'03_原始数据'!$C$485:$C$604),""),"")</f>
        <v/>
      </c>
      <c r="E604" s="34">
        <f>IF(1=1,IFERROR(CORREL('03_原始数据'!$G$545:$G$604,'03_原始数据'!$H$545:$H$604),""),"")</f>
        <v/>
      </c>
      <c r="F604" s="55">
        <f>IF(N(B604)=0,"不足","有效")</f>
        <v/>
      </c>
    </row>
    <row r="605" ht="17" customHeight="1">
      <c r="A605" s="38">
        <f>'03_原始数据'!A605</f>
        <v/>
      </c>
      <c r="B605" s="31">
        <f>IF(1=1,IFERROR(CORREL('03_原始数据'!$B$586:$B$605,'03_原始数据'!$C$586:$C$605),""),"")</f>
        <v/>
      </c>
      <c r="C605" s="31">
        <f>IF(1=1,IFERROR(CORREL('03_原始数据'!$B$546:$B$605,'03_原始数据'!$C$546:$C$605),""),"")</f>
        <v/>
      </c>
      <c r="D605" s="31">
        <f>IF(1=1,IFERROR(CORREL('03_原始数据'!$B$486:$B$605,'03_原始数据'!$C$486:$C$605),""),"")</f>
        <v/>
      </c>
      <c r="E605" s="31">
        <f>IF(1=1,IFERROR(CORREL('03_原始数据'!$G$546:$G$605,'03_原始数据'!$H$546:$H$605),""),"")</f>
        <v/>
      </c>
      <c r="F605" s="54">
        <f>IF(N(B605)=0,"不足","有效")</f>
        <v/>
      </c>
    </row>
    <row r="606" ht="17" customHeight="1">
      <c r="A606" s="40">
        <f>'03_原始数据'!A606</f>
        <v/>
      </c>
      <c r="B606" s="34">
        <f>IF(1=1,IFERROR(CORREL('03_原始数据'!$B$587:$B$606,'03_原始数据'!$C$587:$C$606),""),"")</f>
        <v/>
      </c>
      <c r="C606" s="34">
        <f>IF(1=1,IFERROR(CORREL('03_原始数据'!$B$547:$B$606,'03_原始数据'!$C$547:$C$606),""),"")</f>
        <v/>
      </c>
      <c r="D606" s="34">
        <f>IF(1=1,IFERROR(CORREL('03_原始数据'!$B$487:$B$606,'03_原始数据'!$C$487:$C$606),""),"")</f>
        <v/>
      </c>
      <c r="E606" s="34">
        <f>IF(1=1,IFERROR(CORREL('03_原始数据'!$G$547:$G$606,'03_原始数据'!$H$547:$H$606),""),"")</f>
        <v/>
      </c>
      <c r="F606" s="55">
        <f>IF(N(B606)=0,"不足","有效")</f>
        <v/>
      </c>
    </row>
    <row r="607" ht="17" customHeight="1">
      <c r="A607" s="38">
        <f>'03_原始数据'!A607</f>
        <v/>
      </c>
      <c r="B607" s="31">
        <f>IF(1=1,IFERROR(CORREL('03_原始数据'!$B$588:$B$607,'03_原始数据'!$C$588:$C$607),""),"")</f>
        <v/>
      </c>
      <c r="C607" s="31">
        <f>IF(1=1,IFERROR(CORREL('03_原始数据'!$B$548:$B$607,'03_原始数据'!$C$548:$C$607),""),"")</f>
        <v/>
      </c>
      <c r="D607" s="31">
        <f>IF(1=1,IFERROR(CORREL('03_原始数据'!$B$488:$B$607,'03_原始数据'!$C$488:$C$607),""),"")</f>
        <v/>
      </c>
      <c r="E607" s="31">
        <f>IF(1=1,IFERROR(CORREL('03_原始数据'!$G$548:$G$607,'03_原始数据'!$H$548:$H$607),""),"")</f>
        <v/>
      </c>
      <c r="F607" s="54">
        <f>IF(N(B607)=0,"不足","有效")</f>
        <v/>
      </c>
    </row>
    <row r="608" ht="17" customHeight="1">
      <c r="A608" s="40">
        <f>'03_原始数据'!A608</f>
        <v/>
      </c>
      <c r="B608" s="34">
        <f>IF(1=1,IFERROR(CORREL('03_原始数据'!$B$589:$B$608,'03_原始数据'!$C$589:$C$608),""),"")</f>
        <v/>
      </c>
      <c r="C608" s="34">
        <f>IF(1=1,IFERROR(CORREL('03_原始数据'!$B$549:$B$608,'03_原始数据'!$C$549:$C$608),""),"")</f>
        <v/>
      </c>
      <c r="D608" s="34">
        <f>IF(1=1,IFERROR(CORREL('03_原始数据'!$B$489:$B$608,'03_原始数据'!$C$489:$C$608),""),"")</f>
        <v/>
      </c>
      <c r="E608" s="34">
        <f>IF(1=1,IFERROR(CORREL('03_原始数据'!$G$549:$G$608,'03_原始数据'!$H$549:$H$608),""),"")</f>
        <v/>
      </c>
      <c r="F608" s="55">
        <f>IF(N(B608)=0,"不足","有效")</f>
        <v/>
      </c>
    </row>
    <row r="609" ht="17" customHeight="1">
      <c r="A609" s="38">
        <f>'03_原始数据'!A609</f>
        <v/>
      </c>
      <c r="B609" s="31">
        <f>IF(1=1,IFERROR(CORREL('03_原始数据'!$B$590:$B$609,'03_原始数据'!$C$590:$C$609),""),"")</f>
        <v/>
      </c>
      <c r="C609" s="31">
        <f>IF(1=1,IFERROR(CORREL('03_原始数据'!$B$550:$B$609,'03_原始数据'!$C$550:$C$609),""),"")</f>
        <v/>
      </c>
      <c r="D609" s="31">
        <f>IF(1=1,IFERROR(CORREL('03_原始数据'!$B$490:$B$609,'03_原始数据'!$C$490:$C$609),""),"")</f>
        <v/>
      </c>
      <c r="E609" s="31">
        <f>IF(1=1,IFERROR(CORREL('03_原始数据'!$G$550:$G$609,'03_原始数据'!$H$550:$H$609),""),"")</f>
        <v/>
      </c>
      <c r="F609" s="54">
        <f>IF(N(B609)=0,"不足","有效")</f>
        <v/>
      </c>
    </row>
    <row r="610" ht="17" customHeight="1">
      <c r="A610" s="40">
        <f>'03_原始数据'!A610</f>
        <v/>
      </c>
      <c r="B610" s="34">
        <f>IF(1=1,IFERROR(CORREL('03_原始数据'!$B$591:$B$610,'03_原始数据'!$C$591:$C$610),""),"")</f>
        <v/>
      </c>
      <c r="C610" s="34">
        <f>IF(1=1,IFERROR(CORREL('03_原始数据'!$B$551:$B$610,'03_原始数据'!$C$551:$C$610),""),"")</f>
        <v/>
      </c>
      <c r="D610" s="34">
        <f>IF(1=1,IFERROR(CORREL('03_原始数据'!$B$491:$B$610,'03_原始数据'!$C$491:$C$610),""),"")</f>
        <v/>
      </c>
      <c r="E610" s="34">
        <f>IF(1=1,IFERROR(CORREL('03_原始数据'!$G$551:$G$610,'03_原始数据'!$H$551:$H$610),""),"")</f>
        <v/>
      </c>
      <c r="F610" s="55">
        <f>IF(N(B610)=0,"不足","有效")</f>
        <v/>
      </c>
    </row>
    <row r="611" ht="17" customHeight="1">
      <c r="A611" s="38">
        <f>'03_原始数据'!A611</f>
        <v/>
      </c>
      <c r="B611" s="31">
        <f>IF(1=1,IFERROR(CORREL('03_原始数据'!$B$592:$B$611,'03_原始数据'!$C$592:$C$611),""),"")</f>
        <v/>
      </c>
      <c r="C611" s="31">
        <f>IF(1=1,IFERROR(CORREL('03_原始数据'!$B$552:$B$611,'03_原始数据'!$C$552:$C$611),""),"")</f>
        <v/>
      </c>
      <c r="D611" s="31">
        <f>IF(1=1,IFERROR(CORREL('03_原始数据'!$B$492:$B$611,'03_原始数据'!$C$492:$C$611),""),"")</f>
        <v/>
      </c>
      <c r="E611" s="31">
        <f>IF(1=1,IFERROR(CORREL('03_原始数据'!$G$552:$G$611,'03_原始数据'!$H$552:$H$611),""),"")</f>
        <v/>
      </c>
      <c r="F611" s="54">
        <f>IF(N(B611)=0,"不足","有效")</f>
        <v/>
      </c>
    </row>
    <row r="612" ht="17" customHeight="1">
      <c r="A612" s="40">
        <f>'03_原始数据'!A612</f>
        <v/>
      </c>
      <c r="B612" s="34">
        <f>IF(1=1,IFERROR(CORREL('03_原始数据'!$B$593:$B$612,'03_原始数据'!$C$593:$C$612),""),"")</f>
        <v/>
      </c>
      <c r="C612" s="34">
        <f>IF(1=1,IFERROR(CORREL('03_原始数据'!$B$553:$B$612,'03_原始数据'!$C$553:$C$612),""),"")</f>
        <v/>
      </c>
      <c r="D612" s="34">
        <f>IF(1=1,IFERROR(CORREL('03_原始数据'!$B$493:$B$612,'03_原始数据'!$C$493:$C$612),""),"")</f>
        <v/>
      </c>
      <c r="E612" s="34">
        <f>IF(1=1,IFERROR(CORREL('03_原始数据'!$G$553:$G$612,'03_原始数据'!$H$553:$H$612),""),"")</f>
        <v/>
      </c>
      <c r="F612" s="55">
        <f>IF(N(B612)=0,"不足","有效")</f>
        <v/>
      </c>
    </row>
    <row r="613" ht="17" customHeight="1">
      <c r="A613" s="38">
        <f>'03_原始数据'!A613</f>
        <v/>
      </c>
      <c r="B613" s="31">
        <f>IF(1=1,IFERROR(CORREL('03_原始数据'!$B$594:$B$613,'03_原始数据'!$C$594:$C$613),""),"")</f>
        <v/>
      </c>
      <c r="C613" s="31">
        <f>IF(1=1,IFERROR(CORREL('03_原始数据'!$B$554:$B$613,'03_原始数据'!$C$554:$C$613),""),"")</f>
        <v/>
      </c>
      <c r="D613" s="31">
        <f>IF(1=1,IFERROR(CORREL('03_原始数据'!$B$494:$B$613,'03_原始数据'!$C$494:$C$613),""),"")</f>
        <v/>
      </c>
      <c r="E613" s="31">
        <f>IF(1=1,IFERROR(CORREL('03_原始数据'!$G$554:$G$613,'03_原始数据'!$H$554:$H$613),""),"")</f>
        <v/>
      </c>
      <c r="F613" s="54">
        <f>IF(N(B613)=0,"不足","有效")</f>
        <v/>
      </c>
    </row>
    <row r="614" ht="17" customHeight="1">
      <c r="A614" s="40">
        <f>'03_原始数据'!A614</f>
        <v/>
      </c>
      <c r="B614" s="34">
        <f>IF(1=1,IFERROR(CORREL('03_原始数据'!$B$595:$B$614,'03_原始数据'!$C$595:$C$614),""),"")</f>
        <v/>
      </c>
      <c r="C614" s="34">
        <f>IF(1=1,IFERROR(CORREL('03_原始数据'!$B$555:$B$614,'03_原始数据'!$C$555:$C$614),""),"")</f>
        <v/>
      </c>
      <c r="D614" s="34">
        <f>IF(1=1,IFERROR(CORREL('03_原始数据'!$B$495:$B$614,'03_原始数据'!$C$495:$C$614),""),"")</f>
        <v/>
      </c>
      <c r="E614" s="34">
        <f>IF(1=1,IFERROR(CORREL('03_原始数据'!$G$555:$G$614,'03_原始数据'!$H$555:$H$614),""),"")</f>
        <v/>
      </c>
      <c r="F614" s="55">
        <f>IF(N(B614)=0,"不足","有效")</f>
        <v/>
      </c>
    </row>
    <row r="615" ht="17" customHeight="1">
      <c r="A615" s="38">
        <f>'03_原始数据'!A615</f>
        <v/>
      </c>
      <c r="B615" s="31">
        <f>IF(1=1,IFERROR(CORREL('03_原始数据'!$B$596:$B$615,'03_原始数据'!$C$596:$C$615),""),"")</f>
        <v/>
      </c>
      <c r="C615" s="31">
        <f>IF(1=1,IFERROR(CORREL('03_原始数据'!$B$556:$B$615,'03_原始数据'!$C$556:$C$615),""),"")</f>
        <v/>
      </c>
      <c r="D615" s="31">
        <f>IF(1=1,IFERROR(CORREL('03_原始数据'!$B$496:$B$615,'03_原始数据'!$C$496:$C$615),""),"")</f>
        <v/>
      </c>
      <c r="E615" s="31">
        <f>IF(1=1,IFERROR(CORREL('03_原始数据'!$G$556:$G$615,'03_原始数据'!$H$556:$H$615),""),"")</f>
        <v/>
      </c>
      <c r="F615" s="54">
        <f>IF(N(B615)=0,"不足","有效")</f>
        <v/>
      </c>
    </row>
    <row r="616" ht="17" customHeight="1">
      <c r="A616" s="40">
        <f>'03_原始数据'!A616</f>
        <v/>
      </c>
      <c r="B616" s="34">
        <f>IF(1=1,IFERROR(CORREL('03_原始数据'!$B$597:$B$616,'03_原始数据'!$C$597:$C$616),""),"")</f>
        <v/>
      </c>
      <c r="C616" s="34">
        <f>IF(1=1,IFERROR(CORREL('03_原始数据'!$B$557:$B$616,'03_原始数据'!$C$557:$C$616),""),"")</f>
        <v/>
      </c>
      <c r="D616" s="34">
        <f>IF(1=1,IFERROR(CORREL('03_原始数据'!$B$497:$B$616,'03_原始数据'!$C$497:$C$616),""),"")</f>
        <v/>
      </c>
      <c r="E616" s="34">
        <f>IF(1=1,IFERROR(CORREL('03_原始数据'!$G$557:$G$616,'03_原始数据'!$H$557:$H$616),""),"")</f>
        <v/>
      </c>
      <c r="F616" s="55">
        <f>IF(N(B616)=0,"不足","有效")</f>
        <v/>
      </c>
    </row>
    <row r="617" ht="17" customHeight="1">
      <c r="A617" s="38">
        <f>'03_原始数据'!A617</f>
        <v/>
      </c>
      <c r="B617" s="31">
        <f>IF(1=1,IFERROR(CORREL('03_原始数据'!$B$598:$B$617,'03_原始数据'!$C$598:$C$617),""),"")</f>
        <v/>
      </c>
      <c r="C617" s="31">
        <f>IF(1=1,IFERROR(CORREL('03_原始数据'!$B$558:$B$617,'03_原始数据'!$C$558:$C$617),""),"")</f>
        <v/>
      </c>
      <c r="D617" s="31">
        <f>IF(1=1,IFERROR(CORREL('03_原始数据'!$B$498:$B$617,'03_原始数据'!$C$498:$C$617),""),"")</f>
        <v/>
      </c>
      <c r="E617" s="31">
        <f>IF(1=1,IFERROR(CORREL('03_原始数据'!$G$558:$G$617,'03_原始数据'!$H$558:$H$617),""),"")</f>
        <v/>
      </c>
      <c r="F617" s="54">
        <f>IF(N(B617)=0,"不足","有效")</f>
        <v/>
      </c>
    </row>
    <row r="618" ht="17" customHeight="1">
      <c r="A618" s="40">
        <f>'03_原始数据'!A618</f>
        <v/>
      </c>
      <c r="B618" s="34">
        <f>IF(1=1,IFERROR(CORREL('03_原始数据'!$B$599:$B$618,'03_原始数据'!$C$599:$C$618),""),"")</f>
        <v/>
      </c>
      <c r="C618" s="34">
        <f>IF(1=1,IFERROR(CORREL('03_原始数据'!$B$559:$B$618,'03_原始数据'!$C$559:$C$618),""),"")</f>
        <v/>
      </c>
      <c r="D618" s="34">
        <f>IF(1=1,IFERROR(CORREL('03_原始数据'!$B$499:$B$618,'03_原始数据'!$C$499:$C$618),""),"")</f>
        <v/>
      </c>
      <c r="E618" s="34">
        <f>IF(1=1,IFERROR(CORREL('03_原始数据'!$G$559:$G$618,'03_原始数据'!$H$559:$H$618),""),"")</f>
        <v/>
      </c>
      <c r="F618" s="55">
        <f>IF(N(B618)=0,"不足","有效")</f>
        <v/>
      </c>
    </row>
    <row r="619" ht="17" customHeight="1">
      <c r="A619" s="38">
        <f>'03_原始数据'!A619</f>
        <v/>
      </c>
      <c r="B619" s="31">
        <f>IF(1=1,IFERROR(CORREL('03_原始数据'!$B$600:$B$619,'03_原始数据'!$C$600:$C$619),""),"")</f>
        <v/>
      </c>
      <c r="C619" s="31">
        <f>IF(1=1,IFERROR(CORREL('03_原始数据'!$B$560:$B$619,'03_原始数据'!$C$560:$C$619),""),"")</f>
        <v/>
      </c>
      <c r="D619" s="31">
        <f>IF(1=1,IFERROR(CORREL('03_原始数据'!$B$500:$B$619,'03_原始数据'!$C$500:$C$619),""),"")</f>
        <v/>
      </c>
      <c r="E619" s="31">
        <f>IF(1=1,IFERROR(CORREL('03_原始数据'!$G$560:$G$619,'03_原始数据'!$H$560:$H$619),""),"")</f>
        <v/>
      </c>
      <c r="F619" s="54">
        <f>IF(N(B619)=0,"不足","有效")</f>
        <v/>
      </c>
    </row>
    <row r="620" ht="17" customHeight="1">
      <c r="A620" s="40">
        <f>'03_原始数据'!A620</f>
        <v/>
      </c>
      <c r="B620" s="34">
        <f>IF(1=1,IFERROR(CORREL('03_原始数据'!$B$601:$B$620,'03_原始数据'!$C$601:$C$620),""),"")</f>
        <v/>
      </c>
      <c r="C620" s="34">
        <f>IF(1=1,IFERROR(CORREL('03_原始数据'!$B$561:$B$620,'03_原始数据'!$C$561:$C$620),""),"")</f>
        <v/>
      </c>
      <c r="D620" s="34">
        <f>IF(1=1,IFERROR(CORREL('03_原始数据'!$B$501:$B$620,'03_原始数据'!$C$501:$C$620),""),"")</f>
        <v/>
      </c>
      <c r="E620" s="34">
        <f>IF(1=1,IFERROR(CORREL('03_原始数据'!$G$561:$G$620,'03_原始数据'!$H$561:$H$620),""),"")</f>
        <v/>
      </c>
      <c r="F620" s="55">
        <f>IF(N(B620)=0,"不足","有效")</f>
        <v/>
      </c>
    </row>
    <row r="621" ht="17" customHeight="1">
      <c r="A621" s="38">
        <f>'03_原始数据'!A621</f>
        <v/>
      </c>
      <c r="B621" s="31">
        <f>IF(1=1,IFERROR(CORREL('03_原始数据'!$B$602:$B$621,'03_原始数据'!$C$602:$C$621),""),"")</f>
        <v/>
      </c>
      <c r="C621" s="31">
        <f>IF(1=1,IFERROR(CORREL('03_原始数据'!$B$562:$B$621,'03_原始数据'!$C$562:$C$621),""),"")</f>
        <v/>
      </c>
      <c r="D621" s="31">
        <f>IF(1=1,IFERROR(CORREL('03_原始数据'!$B$502:$B$621,'03_原始数据'!$C$502:$C$621),""),"")</f>
        <v/>
      </c>
      <c r="E621" s="31">
        <f>IF(1=1,IFERROR(CORREL('03_原始数据'!$G$562:$G$621,'03_原始数据'!$H$562:$H$621),""),"")</f>
        <v/>
      </c>
      <c r="F621" s="54">
        <f>IF(N(B621)=0,"不足","有效")</f>
        <v/>
      </c>
    </row>
    <row r="622" ht="17" customHeight="1">
      <c r="A622" s="40">
        <f>'03_原始数据'!A622</f>
        <v/>
      </c>
      <c r="B622" s="34">
        <f>IF(1=1,IFERROR(CORREL('03_原始数据'!$B$603:$B$622,'03_原始数据'!$C$603:$C$622),""),"")</f>
        <v/>
      </c>
      <c r="C622" s="34">
        <f>IF(1=1,IFERROR(CORREL('03_原始数据'!$B$563:$B$622,'03_原始数据'!$C$563:$C$622),""),"")</f>
        <v/>
      </c>
      <c r="D622" s="34">
        <f>IF(1=1,IFERROR(CORREL('03_原始数据'!$B$503:$B$622,'03_原始数据'!$C$503:$C$622),""),"")</f>
        <v/>
      </c>
      <c r="E622" s="34">
        <f>IF(1=1,IFERROR(CORREL('03_原始数据'!$G$563:$G$622,'03_原始数据'!$H$563:$H$622),""),"")</f>
        <v/>
      </c>
      <c r="F622" s="55">
        <f>IF(N(B622)=0,"不足","有效")</f>
        <v/>
      </c>
    </row>
    <row r="623" ht="17" customHeight="1">
      <c r="A623" s="38">
        <f>'03_原始数据'!A623</f>
        <v/>
      </c>
      <c r="B623" s="31">
        <f>IF(1=1,IFERROR(CORREL('03_原始数据'!$B$604:$B$623,'03_原始数据'!$C$604:$C$623),""),"")</f>
        <v/>
      </c>
      <c r="C623" s="31">
        <f>IF(1=1,IFERROR(CORREL('03_原始数据'!$B$564:$B$623,'03_原始数据'!$C$564:$C$623),""),"")</f>
        <v/>
      </c>
      <c r="D623" s="31">
        <f>IF(1=1,IFERROR(CORREL('03_原始数据'!$B$504:$B$623,'03_原始数据'!$C$504:$C$623),""),"")</f>
        <v/>
      </c>
      <c r="E623" s="31">
        <f>IF(1=1,IFERROR(CORREL('03_原始数据'!$G$564:$G$623,'03_原始数据'!$H$564:$H$623),""),"")</f>
        <v/>
      </c>
      <c r="F623" s="54">
        <f>IF(N(B623)=0,"不足","有效")</f>
        <v/>
      </c>
    </row>
    <row r="624" ht="17" customHeight="1">
      <c r="A624" s="40">
        <f>'03_原始数据'!A624</f>
        <v/>
      </c>
      <c r="B624" s="34">
        <f>IF(1=1,IFERROR(CORREL('03_原始数据'!$B$605:$B$624,'03_原始数据'!$C$605:$C$624),""),"")</f>
        <v/>
      </c>
      <c r="C624" s="34">
        <f>IF(1=1,IFERROR(CORREL('03_原始数据'!$B$565:$B$624,'03_原始数据'!$C$565:$C$624),""),"")</f>
        <v/>
      </c>
      <c r="D624" s="34">
        <f>IF(1=1,IFERROR(CORREL('03_原始数据'!$B$505:$B$624,'03_原始数据'!$C$505:$C$624),""),"")</f>
        <v/>
      </c>
      <c r="E624" s="34">
        <f>IF(1=1,IFERROR(CORREL('03_原始数据'!$G$565:$G$624,'03_原始数据'!$H$565:$H$624),""),"")</f>
        <v/>
      </c>
      <c r="F624" s="55">
        <f>IF(N(B624)=0,"不足","有效")</f>
        <v/>
      </c>
    </row>
    <row r="625" ht="17" customHeight="1">
      <c r="A625" s="38">
        <f>'03_原始数据'!A625</f>
        <v/>
      </c>
      <c r="B625" s="31">
        <f>IF(1=1,IFERROR(CORREL('03_原始数据'!$B$606:$B$625,'03_原始数据'!$C$606:$C$625),""),"")</f>
        <v/>
      </c>
      <c r="C625" s="31">
        <f>IF(1=1,IFERROR(CORREL('03_原始数据'!$B$566:$B$625,'03_原始数据'!$C$566:$C$625),""),"")</f>
        <v/>
      </c>
      <c r="D625" s="31">
        <f>IF(1=1,IFERROR(CORREL('03_原始数据'!$B$506:$B$625,'03_原始数据'!$C$506:$C$625),""),"")</f>
        <v/>
      </c>
      <c r="E625" s="31">
        <f>IF(1=1,IFERROR(CORREL('03_原始数据'!$G$566:$G$625,'03_原始数据'!$H$566:$H$625),""),"")</f>
        <v/>
      </c>
      <c r="F625" s="54">
        <f>IF(N(B625)=0,"不足","有效")</f>
        <v/>
      </c>
    </row>
    <row r="626" ht="17" customHeight="1">
      <c r="A626" s="40">
        <f>'03_原始数据'!A626</f>
        <v/>
      </c>
      <c r="B626" s="34">
        <f>IF(1=1,IFERROR(CORREL('03_原始数据'!$B$607:$B$626,'03_原始数据'!$C$607:$C$626),""),"")</f>
        <v/>
      </c>
      <c r="C626" s="34">
        <f>IF(1=1,IFERROR(CORREL('03_原始数据'!$B$567:$B$626,'03_原始数据'!$C$567:$C$626),""),"")</f>
        <v/>
      </c>
      <c r="D626" s="34">
        <f>IF(1=1,IFERROR(CORREL('03_原始数据'!$B$507:$B$626,'03_原始数据'!$C$507:$C$626),""),"")</f>
        <v/>
      </c>
      <c r="E626" s="34">
        <f>IF(1=1,IFERROR(CORREL('03_原始数据'!$G$567:$G$626,'03_原始数据'!$H$567:$H$626),""),"")</f>
        <v/>
      </c>
      <c r="F626" s="55">
        <f>IF(N(B626)=0,"不足","有效")</f>
        <v/>
      </c>
    </row>
    <row r="627" ht="17" customHeight="1">
      <c r="A627" s="38">
        <f>'03_原始数据'!A627</f>
        <v/>
      </c>
      <c r="B627" s="31">
        <f>IF(1=1,IFERROR(CORREL('03_原始数据'!$B$608:$B$627,'03_原始数据'!$C$608:$C$627),""),"")</f>
        <v/>
      </c>
      <c r="C627" s="31">
        <f>IF(1=1,IFERROR(CORREL('03_原始数据'!$B$568:$B$627,'03_原始数据'!$C$568:$C$627),""),"")</f>
        <v/>
      </c>
      <c r="D627" s="31">
        <f>IF(1=1,IFERROR(CORREL('03_原始数据'!$B$508:$B$627,'03_原始数据'!$C$508:$C$627),""),"")</f>
        <v/>
      </c>
      <c r="E627" s="31">
        <f>IF(1=1,IFERROR(CORREL('03_原始数据'!$G$568:$G$627,'03_原始数据'!$H$568:$H$627),""),"")</f>
        <v/>
      </c>
      <c r="F627" s="54">
        <f>IF(N(B627)=0,"不足","有效")</f>
        <v/>
      </c>
    </row>
    <row r="628" ht="17" customHeight="1">
      <c r="A628" s="40">
        <f>'03_原始数据'!A628</f>
        <v/>
      </c>
      <c r="B628" s="34">
        <f>IF(1=1,IFERROR(CORREL('03_原始数据'!$B$609:$B$628,'03_原始数据'!$C$609:$C$628),""),"")</f>
        <v/>
      </c>
      <c r="C628" s="34">
        <f>IF(1=1,IFERROR(CORREL('03_原始数据'!$B$569:$B$628,'03_原始数据'!$C$569:$C$628),""),"")</f>
        <v/>
      </c>
      <c r="D628" s="34">
        <f>IF(1=1,IFERROR(CORREL('03_原始数据'!$B$509:$B$628,'03_原始数据'!$C$509:$C$628),""),"")</f>
        <v/>
      </c>
      <c r="E628" s="34">
        <f>IF(1=1,IFERROR(CORREL('03_原始数据'!$G$569:$G$628,'03_原始数据'!$H$569:$H$628),""),"")</f>
        <v/>
      </c>
      <c r="F628" s="55">
        <f>IF(N(B628)=0,"不足","有效")</f>
        <v/>
      </c>
    </row>
    <row r="629" ht="17" customHeight="1">
      <c r="A629" s="38">
        <f>'03_原始数据'!A629</f>
        <v/>
      </c>
      <c r="B629" s="31">
        <f>IF(1=1,IFERROR(CORREL('03_原始数据'!$B$610:$B$629,'03_原始数据'!$C$610:$C$629),""),"")</f>
        <v/>
      </c>
      <c r="C629" s="31">
        <f>IF(1=1,IFERROR(CORREL('03_原始数据'!$B$570:$B$629,'03_原始数据'!$C$570:$C$629),""),"")</f>
        <v/>
      </c>
      <c r="D629" s="31">
        <f>IF(1=1,IFERROR(CORREL('03_原始数据'!$B$510:$B$629,'03_原始数据'!$C$510:$C$629),""),"")</f>
        <v/>
      </c>
      <c r="E629" s="31">
        <f>IF(1=1,IFERROR(CORREL('03_原始数据'!$G$570:$G$629,'03_原始数据'!$H$570:$H$629),""),"")</f>
        <v/>
      </c>
      <c r="F629" s="54">
        <f>IF(N(B629)=0,"不足","有效")</f>
        <v/>
      </c>
    </row>
    <row r="630" ht="17" customHeight="1">
      <c r="A630" s="40">
        <f>'03_原始数据'!A630</f>
        <v/>
      </c>
      <c r="B630" s="34">
        <f>IF(1=1,IFERROR(CORREL('03_原始数据'!$B$611:$B$630,'03_原始数据'!$C$611:$C$630),""),"")</f>
        <v/>
      </c>
      <c r="C630" s="34">
        <f>IF(1=1,IFERROR(CORREL('03_原始数据'!$B$571:$B$630,'03_原始数据'!$C$571:$C$630),""),"")</f>
        <v/>
      </c>
      <c r="D630" s="34">
        <f>IF(1=1,IFERROR(CORREL('03_原始数据'!$B$511:$B$630,'03_原始数据'!$C$511:$C$630),""),"")</f>
        <v/>
      </c>
      <c r="E630" s="34">
        <f>IF(1=1,IFERROR(CORREL('03_原始数据'!$G$571:$G$630,'03_原始数据'!$H$571:$H$630),""),"")</f>
        <v/>
      </c>
      <c r="F630" s="55">
        <f>IF(N(B630)=0,"不足","有效")</f>
        <v/>
      </c>
    </row>
    <row r="631" ht="17" customHeight="1">
      <c r="A631" s="38">
        <f>'03_原始数据'!A631</f>
        <v/>
      </c>
      <c r="B631" s="31">
        <f>IF(1=1,IFERROR(CORREL('03_原始数据'!$B$612:$B$631,'03_原始数据'!$C$612:$C$631),""),"")</f>
        <v/>
      </c>
      <c r="C631" s="31">
        <f>IF(1=1,IFERROR(CORREL('03_原始数据'!$B$572:$B$631,'03_原始数据'!$C$572:$C$631),""),"")</f>
        <v/>
      </c>
      <c r="D631" s="31">
        <f>IF(1=1,IFERROR(CORREL('03_原始数据'!$B$512:$B$631,'03_原始数据'!$C$512:$C$631),""),"")</f>
        <v/>
      </c>
      <c r="E631" s="31">
        <f>IF(1=1,IFERROR(CORREL('03_原始数据'!$G$572:$G$631,'03_原始数据'!$H$572:$H$631),""),"")</f>
        <v/>
      </c>
      <c r="F631" s="54">
        <f>IF(N(B631)=0,"不足","有效")</f>
        <v/>
      </c>
    </row>
    <row r="632" ht="17" customHeight="1">
      <c r="A632" s="40">
        <f>'03_原始数据'!A632</f>
        <v/>
      </c>
      <c r="B632" s="34">
        <f>IF(1=1,IFERROR(CORREL('03_原始数据'!$B$613:$B$632,'03_原始数据'!$C$613:$C$632),""),"")</f>
        <v/>
      </c>
      <c r="C632" s="34">
        <f>IF(1=1,IFERROR(CORREL('03_原始数据'!$B$573:$B$632,'03_原始数据'!$C$573:$C$632),""),"")</f>
        <v/>
      </c>
      <c r="D632" s="34">
        <f>IF(1=1,IFERROR(CORREL('03_原始数据'!$B$513:$B$632,'03_原始数据'!$C$513:$C$632),""),"")</f>
        <v/>
      </c>
      <c r="E632" s="34">
        <f>IF(1=1,IFERROR(CORREL('03_原始数据'!$G$573:$G$632,'03_原始数据'!$H$573:$H$632),""),"")</f>
        <v/>
      </c>
      <c r="F632" s="55">
        <f>IF(N(B632)=0,"不足","有效")</f>
        <v/>
      </c>
    </row>
    <row r="633" ht="17" customHeight="1">
      <c r="A633" s="38">
        <f>'03_原始数据'!A633</f>
        <v/>
      </c>
      <c r="B633" s="31">
        <f>IF(1=1,IFERROR(CORREL('03_原始数据'!$B$614:$B$633,'03_原始数据'!$C$614:$C$633),""),"")</f>
        <v/>
      </c>
      <c r="C633" s="31">
        <f>IF(1=1,IFERROR(CORREL('03_原始数据'!$B$574:$B$633,'03_原始数据'!$C$574:$C$633),""),"")</f>
        <v/>
      </c>
      <c r="D633" s="31">
        <f>IF(1=1,IFERROR(CORREL('03_原始数据'!$B$514:$B$633,'03_原始数据'!$C$514:$C$633),""),"")</f>
        <v/>
      </c>
      <c r="E633" s="31">
        <f>IF(1=1,IFERROR(CORREL('03_原始数据'!$G$574:$G$633,'03_原始数据'!$H$574:$H$633),""),"")</f>
        <v/>
      </c>
      <c r="F633" s="54">
        <f>IF(N(B633)=0,"不足","有效")</f>
        <v/>
      </c>
    </row>
    <row r="634" ht="17" customHeight="1">
      <c r="A634" s="40">
        <f>'03_原始数据'!A634</f>
        <v/>
      </c>
      <c r="B634" s="34">
        <f>IF(1=1,IFERROR(CORREL('03_原始数据'!$B$615:$B$634,'03_原始数据'!$C$615:$C$634),""),"")</f>
        <v/>
      </c>
      <c r="C634" s="34">
        <f>IF(1=1,IFERROR(CORREL('03_原始数据'!$B$575:$B$634,'03_原始数据'!$C$575:$C$634),""),"")</f>
        <v/>
      </c>
      <c r="D634" s="34">
        <f>IF(1=1,IFERROR(CORREL('03_原始数据'!$B$515:$B$634,'03_原始数据'!$C$515:$C$634),""),"")</f>
        <v/>
      </c>
      <c r="E634" s="34">
        <f>IF(1=1,IFERROR(CORREL('03_原始数据'!$G$575:$G$634,'03_原始数据'!$H$575:$H$634),""),"")</f>
        <v/>
      </c>
      <c r="F634" s="55">
        <f>IF(N(B634)=0,"不足","有效")</f>
        <v/>
      </c>
    </row>
    <row r="635" ht="17" customHeight="1">
      <c r="A635" s="38">
        <f>'03_原始数据'!A635</f>
        <v/>
      </c>
      <c r="B635" s="31">
        <f>IF(1=1,IFERROR(CORREL('03_原始数据'!$B$616:$B$635,'03_原始数据'!$C$616:$C$635),""),"")</f>
        <v/>
      </c>
      <c r="C635" s="31">
        <f>IF(1=1,IFERROR(CORREL('03_原始数据'!$B$576:$B$635,'03_原始数据'!$C$576:$C$635),""),"")</f>
        <v/>
      </c>
      <c r="D635" s="31">
        <f>IF(1=1,IFERROR(CORREL('03_原始数据'!$B$516:$B$635,'03_原始数据'!$C$516:$C$635),""),"")</f>
        <v/>
      </c>
      <c r="E635" s="31">
        <f>IF(1=1,IFERROR(CORREL('03_原始数据'!$G$576:$G$635,'03_原始数据'!$H$576:$H$635),""),"")</f>
        <v/>
      </c>
      <c r="F635" s="54">
        <f>IF(N(B635)=0,"不足","有效")</f>
        <v/>
      </c>
    </row>
    <row r="636" ht="17" customHeight="1">
      <c r="A636" s="40">
        <f>'03_原始数据'!A636</f>
        <v/>
      </c>
      <c r="B636" s="34">
        <f>IF(1=1,IFERROR(CORREL('03_原始数据'!$B$617:$B$636,'03_原始数据'!$C$617:$C$636),""),"")</f>
        <v/>
      </c>
      <c r="C636" s="34">
        <f>IF(1=1,IFERROR(CORREL('03_原始数据'!$B$577:$B$636,'03_原始数据'!$C$577:$C$636),""),"")</f>
        <v/>
      </c>
      <c r="D636" s="34">
        <f>IF(1=1,IFERROR(CORREL('03_原始数据'!$B$517:$B$636,'03_原始数据'!$C$517:$C$636),""),"")</f>
        <v/>
      </c>
      <c r="E636" s="34">
        <f>IF(1=1,IFERROR(CORREL('03_原始数据'!$G$577:$G$636,'03_原始数据'!$H$577:$H$636),""),"")</f>
        <v/>
      </c>
      <c r="F636" s="55">
        <f>IF(N(B636)=0,"不足","有效")</f>
        <v/>
      </c>
    </row>
    <row r="637" ht="17" customHeight="1">
      <c r="A637" s="38">
        <f>'03_原始数据'!A637</f>
        <v/>
      </c>
      <c r="B637" s="31">
        <f>IF(1=1,IFERROR(CORREL('03_原始数据'!$B$618:$B$637,'03_原始数据'!$C$618:$C$637),""),"")</f>
        <v/>
      </c>
      <c r="C637" s="31">
        <f>IF(1=1,IFERROR(CORREL('03_原始数据'!$B$578:$B$637,'03_原始数据'!$C$578:$C$637),""),"")</f>
        <v/>
      </c>
      <c r="D637" s="31">
        <f>IF(1=1,IFERROR(CORREL('03_原始数据'!$B$518:$B$637,'03_原始数据'!$C$518:$C$637),""),"")</f>
        <v/>
      </c>
      <c r="E637" s="31">
        <f>IF(1=1,IFERROR(CORREL('03_原始数据'!$G$578:$G$637,'03_原始数据'!$H$578:$H$637),""),"")</f>
        <v/>
      </c>
      <c r="F637" s="54">
        <f>IF(N(B637)=0,"不足","有效")</f>
        <v/>
      </c>
    </row>
    <row r="638" ht="17" customHeight="1">
      <c r="A638" s="40">
        <f>'03_原始数据'!A638</f>
        <v/>
      </c>
      <c r="B638" s="34">
        <f>IF(1=1,IFERROR(CORREL('03_原始数据'!$B$619:$B$638,'03_原始数据'!$C$619:$C$638),""),"")</f>
        <v/>
      </c>
      <c r="C638" s="34">
        <f>IF(1=1,IFERROR(CORREL('03_原始数据'!$B$579:$B$638,'03_原始数据'!$C$579:$C$638),""),"")</f>
        <v/>
      </c>
      <c r="D638" s="34">
        <f>IF(1=1,IFERROR(CORREL('03_原始数据'!$B$519:$B$638,'03_原始数据'!$C$519:$C$638),""),"")</f>
        <v/>
      </c>
      <c r="E638" s="34">
        <f>IF(1=1,IFERROR(CORREL('03_原始数据'!$G$579:$G$638,'03_原始数据'!$H$579:$H$638),""),"")</f>
        <v/>
      </c>
      <c r="F638" s="55">
        <f>IF(N(B638)=0,"不足","有效")</f>
        <v/>
      </c>
    </row>
    <row r="639" ht="17" customHeight="1">
      <c r="A639" s="38">
        <f>'03_原始数据'!A639</f>
        <v/>
      </c>
      <c r="B639" s="31">
        <f>IF(1=1,IFERROR(CORREL('03_原始数据'!$B$620:$B$639,'03_原始数据'!$C$620:$C$639),""),"")</f>
        <v/>
      </c>
      <c r="C639" s="31">
        <f>IF(1=1,IFERROR(CORREL('03_原始数据'!$B$580:$B$639,'03_原始数据'!$C$580:$C$639),""),"")</f>
        <v/>
      </c>
      <c r="D639" s="31">
        <f>IF(1=1,IFERROR(CORREL('03_原始数据'!$B$520:$B$639,'03_原始数据'!$C$520:$C$639),""),"")</f>
        <v/>
      </c>
      <c r="E639" s="31">
        <f>IF(1=1,IFERROR(CORREL('03_原始数据'!$G$580:$G$639,'03_原始数据'!$H$580:$H$639),""),"")</f>
        <v/>
      </c>
      <c r="F639" s="54">
        <f>IF(N(B639)=0,"不足","有效")</f>
        <v/>
      </c>
    </row>
    <row r="640" ht="17" customHeight="1">
      <c r="A640" s="40">
        <f>'03_原始数据'!A640</f>
        <v/>
      </c>
      <c r="B640" s="34">
        <f>IF(1=1,IFERROR(CORREL('03_原始数据'!$B$621:$B$640,'03_原始数据'!$C$621:$C$640),""),"")</f>
        <v/>
      </c>
      <c r="C640" s="34">
        <f>IF(1=1,IFERROR(CORREL('03_原始数据'!$B$581:$B$640,'03_原始数据'!$C$581:$C$640),""),"")</f>
        <v/>
      </c>
      <c r="D640" s="34">
        <f>IF(1=1,IFERROR(CORREL('03_原始数据'!$B$521:$B$640,'03_原始数据'!$C$521:$C$640),""),"")</f>
        <v/>
      </c>
      <c r="E640" s="34">
        <f>IF(1=1,IFERROR(CORREL('03_原始数据'!$G$581:$G$640,'03_原始数据'!$H$581:$H$640),""),"")</f>
        <v/>
      </c>
      <c r="F640" s="55">
        <f>IF(N(B640)=0,"不足","有效")</f>
        <v/>
      </c>
    </row>
    <row r="641" ht="17" customHeight="1">
      <c r="A641" s="38">
        <f>'03_原始数据'!A641</f>
        <v/>
      </c>
      <c r="B641" s="31">
        <f>IF(1=1,IFERROR(CORREL('03_原始数据'!$B$622:$B$641,'03_原始数据'!$C$622:$C$641),""),"")</f>
        <v/>
      </c>
      <c r="C641" s="31">
        <f>IF(1=1,IFERROR(CORREL('03_原始数据'!$B$582:$B$641,'03_原始数据'!$C$582:$C$641),""),"")</f>
        <v/>
      </c>
      <c r="D641" s="31">
        <f>IF(1=1,IFERROR(CORREL('03_原始数据'!$B$522:$B$641,'03_原始数据'!$C$522:$C$641),""),"")</f>
        <v/>
      </c>
      <c r="E641" s="31">
        <f>IF(1=1,IFERROR(CORREL('03_原始数据'!$G$582:$G$641,'03_原始数据'!$H$582:$H$641),""),"")</f>
        <v/>
      </c>
      <c r="F641" s="54">
        <f>IF(N(B641)=0,"不足","有效")</f>
        <v/>
      </c>
    </row>
    <row r="642" ht="17" customHeight="1">
      <c r="A642" s="40">
        <f>'03_原始数据'!A642</f>
        <v/>
      </c>
      <c r="B642" s="34">
        <f>IF(1=1,IFERROR(CORREL('03_原始数据'!$B$623:$B$642,'03_原始数据'!$C$623:$C$642),""),"")</f>
        <v/>
      </c>
      <c r="C642" s="34">
        <f>IF(1=1,IFERROR(CORREL('03_原始数据'!$B$583:$B$642,'03_原始数据'!$C$583:$C$642),""),"")</f>
        <v/>
      </c>
      <c r="D642" s="34">
        <f>IF(1=1,IFERROR(CORREL('03_原始数据'!$B$523:$B$642,'03_原始数据'!$C$523:$C$642),""),"")</f>
        <v/>
      </c>
      <c r="E642" s="34">
        <f>IF(1=1,IFERROR(CORREL('03_原始数据'!$G$583:$G$642,'03_原始数据'!$H$583:$H$642),""),"")</f>
        <v/>
      </c>
      <c r="F642" s="55">
        <f>IF(N(B642)=0,"不足","有效")</f>
        <v/>
      </c>
    </row>
    <row r="643" ht="17" customHeight="1">
      <c r="A643" s="38">
        <f>'03_原始数据'!A643</f>
        <v/>
      </c>
      <c r="B643" s="31">
        <f>IF(1=1,IFERROR(CORREL('03_原始数据'!$B$624:$B$643,'03_原始数据'!$C$624:$C$643),""),"")</f>
        <v/>
      </c>
      <c r="C643" s="31">
        <f>IF(1=1,IFERROR(CORREL('03_原始数据'!$B$584:$B$643,'03_原始数据'!$C$584:$C$643),""),"")</f>
        <v/>
      </c>
      <c r="D643" s="31">
        <f>IF(1=1,IFERROR(CORREL('03_原始数据'!$B$524:$B$643,'03_原始数据'!$C$524:$C$643),""),"")</f>
        <v/>
      </c>
      <c r="E643" s="31">
        <f>IF(1=1,IFERROR(CORREL('03_原始数据'!$G$584:$G$643,'03_原始数据'!$H$584:$H$643),""),"")</f>
        <v/>
      </c>
      <c r="F643" s="54">
        <f>IF(N(B643)=0,"不足","有效")</f>
        <v/>
      </c>
    </row>
    <row r="644" ht="17" customHeight="1">
      <c r="A644" s="40">
        <f>'03_原始数据'!A644</f>
        <v/>
      </c>
      <c r="B644" s="34">
        <f>IF(1=1,IFERROR(CORREL('03_原始数据'!$B$625:$B$644,'03_原始数据'!$C$625:$C$644),""),"")</f>
        <v/>
      </c>
      <c r="C644" s="34">
        <f>IF(1=1,IFERROR(CORREL('03_原始数据'!$B$585:$B$644,'03_原始数据'!$C$585:$C$644),""),"")</f>
        <v/>
      </c>
      <c r="D644" s="34">
        <f>IF(1=1,IFERROR(CORREL('03_原始数据'!$B$525:$B$644,'03_原始数据'!$C$525:$C$644),""),"")</f>
        <v/>
      </c>
      <c r="E644" s="34">
        <f>IF(1=1,IFERROR(CORREL('03_原始数据'!$G$585:$G$644,'03_原始数据'!$H$585:$H$644),""),"")</f>
        <v/>
      </c>
      <c r="F644" s="55">
        <f>IF(N(B644)=0,"不足","有效")</f>
        <v/>
      </c>
    </row>
    <row r="645" ht="17" customHeight="1">
      <c r="A645" s="38">
        <f>'03_原始数据'!A645</f>
        <v/>
      </c>
      <c r="B645" s="31">
        <f>IF(1=1,IFERROR(CORREL('03_原始数据'!$B$626:$B$645,'03_原始数据'!$C$626:$C$645),""),"")</f>
        <v/>
      </c>
      <c r="C645" s="31">
        <f>IF(1=1,IFERROR(CORREL('03_原始数据'!$B$586:$B$645,'03_原始数据'!$C$586:$C$645),""),"")</f>
        <v/>
      </c>
      <c r="D645" s="31">
        <f>IF(1=1,IFERROR(CORREL('03_原始数据'!$B$526:$B$645,'03_原始数据'!$C$526:$C$645),""),"")</f>
        <v/>
      </c>
      <c r="E645" s="31">
        <f>IF(1=1,IFERROR(CORREL('03_原始数据'!$G$586:$G$645,'03_原始数据'!$H$586:$H$645),""),"")</f>
        <v/>
      </c>
      <c r="F645" s="54">
        <f>IF(N(B645)=0,"不足","有效")</f>
        <v/>
      </c>
    </row>
    <row r="646" ht="17" customHeight="1">
      <c r="A646" s="40">
        <f>'03_原始数据'!A646</f>
        <v/>
      </c>
      <c r="B646" s="34">
        <f>IF(1=1,IFERROR(CORREL('03_原始数据'!$B$627:$B$646,'03_原始数据'!$C$627:$C$646),""),"")</f>
        <v/>
      </c>
      <c r="C646" s="34">
        <f>IF(1=1,IFERROR(CORREL('03_原始数据'!$B$587:$B$646,'03_原始数据'!$C$587:$C$646),""),"")</f>
        <v/>
      </c>
      <c r="D646" s="34">
        <f>IF(1=1,IFERROR(CORREL('03_原始数据'!$B$527:$B$646,'03_原始数据'!$C$527:$C$646),""),"")</f>
        <v/>
      </c>
      <c r="E646" s="34">
        <f>IF(1=1,IFERROR(CORREL('03_原始数据'!$G$587:$G$646,'03_原始数据'!$H$587:$H$646),""),"")</f>
        <v/>
      </c>
      <c r="F646" s="55">
        <f>IF(N(B646)=0,"不足","有效")</f>
        <v/>
      </c>
    </row>
    <row r="647" ht="17" customHeight="1">
      <c r="A647" s="38">
        <f>'03_原始数据'!A647</f>
        <v/>
      </c>
      <c r="B647" s="31">
        <f>IF(1=1,IFERROR(CORREL('03_原始数据'!$B$628:$B$647,'03_原始数据'!$C$628:$C$647),""),"")</f>
        <v/>
      </c>
      <c r="C647" s="31">
        <f>IF(1=1,IFERROR(CORREL('03_原始数据'!$B$588:$B$647,'03_原始数据'!$C$588:$C$647),""),"")</f>
        <v/>
      </c>
      <c r="D647" s="31">
        <f>IF(1=1,IFERROR(CORREL('03_原始数据'!$B$528:$B$647,'03_原始数据'!$C$528:$C$647),""),"")</f>
        <v/>
      </c>
      <c r="E647" s="31">
        <f>IF(1=1,IFERROR(CORREL('03_原始数据'!$G$588:$G$647,'03_原始数据'!$H$588:$H$647),""),"")</f>
        <v/>
      </c>
      <c r="F647" s="54">
        <f>IF(N(B647)=0,"不足","有效")</f>
        <v/>
      </c>
    </row>
    <row r="648" ht="17" customHeight="1">
      <c r="A648" s="40">
        <f>'03_原始数据'!A648</f>
        <v/>
      </c>
      <c r="B648" s="34">
        <f>IF(1=1,IFERROR(CORREL('03_原始数据'!$B$629:$B$648,'03_原始数据'!$C$629:$C$648),""),"")</f>
        <v/>
      </c>
      <c r="C648" s="34">
        <f>IF(1=1,IFERROR(CORREL('03_原始数据'!$B$589:$B$648,'03_原始数据'!$C$589:$C$648),""),"")</f>
        <v/>
      </c>
      <c r="D648" s="34">
        <f>IF(1=1,IFERROR(CORREL('03_原始数据'!$B$529:$B$648,'03_原始数据'!$C$529:$C$648),""),"")</f>
        <v/>
      </c>
      <c r="E648" s="34">
        <f>IF(1=1,IFERROR(CORREL('03_原始数据'!$G$589:$G$648,'03_原始数据'!$H$589:$H$648),""),"")</f>
        <v/>
      </c>
      <c r="F648" s="55">
        <f>IF(N(B648)=0,"不足","有效")</f>
        <v/>
      </c>
    </row>
    <row r="649" ht="17" customHeight="1">
      <c r="A649" s="38">
        <f>'03_原始数据'!A649</f>
        <v/>
      </c>
      <c r="B649" s="31">
        <f>IF(1=1,IFERROR(CORREL('03_原始数据'!$B$630:$B$649,'03_原始数据'!$C$630:$C$649),""),"")</f>
        <v/>
      </c>
      <c r="C649" s="31">
        <f>IF(1=1,IFERROR(CORREL('03_原始数据'!$B$590:$B$649,'03_原始数据'!$C$590:$C$649),""),"")</f>
        <v/>
      </c>
      <c r="D649" s="31">
        <f>IF(1=1,IFERROR(CORREL('03_原始数据'!$B$530:$B$649,'03_原始数据'!$C$530:$C$649),""),"")</f>
        <v/>
      </c>
      <c r="E649" s="31">
        <f>IF(1=1,IFERROR(CORREL('03_原始数据'!$G$590:$G$649,'03_原始数据'!$H$590:$H$649),""),"")</f>
        <v/>
      </c>
      <c r="F649" s="54">
        <f>IF(N(B649)=0,"不足","有效")</f>
        <v/>
      </c>
    </row>
    <row r="650" ht="17" customHeight="1">
      <c r="A650" s="40">
        <f>'03_原始数据'!A650</f>
        <v/>
      </c>
      <c r="B650" s="34">
        <f>IF(1=1,IFERROR(CORREL('03_原始数据'!$B$631:$B$650,'03_原始数据'!$C$631:$C$650),""),"")</f>
        <v/>
      </c>
      <c r="C650" s="34">
        <f>IF(1=1,IFERROR(CORREL('03_原始数据'!$B$591:$B$650,'03_原始数据'!$C$591:$C$650),""),"")</f>
        <v/>
      </c>
      <c r="D650" s="34">
        <f>IF(1=1,IFERROR(CORREL('03_原始数据'!$B$531:$B$650,'03_原始数据'!$C$531:$C$650),""),"")</f>
        <v/>
      </c>
      <c r="E650" s="34">
        <f>IF(1=1,IFERROR(CORREL('03_原始数据'!$G$591:$G$650,'03_原始数据'!$H$591:$H$650),""),"")</f>
        <v/>
      </c>
      <c r="F650" s="55">
        <f>IF(N(B650)=0,"不足","有效")</f>
        <v/>
      </c>
    </row>
    <row r="651" ht="17" customHeight="1">
      <c r="A651" s="38">
        <f>'03_原始数据'!A651</f>
        <v/>
      </c>
      <c r="B651" s="31">
        <f>IF(1=1,IFERROR(CORREL('03_原始数据'!$B$632:$B$651,'03_原始数据'!$C$632:$C$651),""),"")</f>
        <v/>
      </c>
      <c r="C651" s="31">
        <f>IF(1=1,IFERROR(CORREL('03_原始数据'!$B$592:$B$651,'03_原始数据'!$C$592:$C$651),""),"")</f>
        <v/>
      </c>
      <c r="D651" s="31">
        <f>IF(1=1,IFERROR(CORREL('03_原始数据'!$B$532:$B$651,'03_原始数据'!$C$532:$C$651),""),"")</f>
        <v/>
      </c>
      <c r="E651" s="31">
        <f>IF(1=1,IFERROR(CORREL('03_原始数据'!$G$592:$G$651,'03_原始数据'!$H$592:$H$651),""),"")</f>
        <v/>
      </c>
      <c r="F651" s="54">
        <f>IF(N(B651)=0,"不足","有效")</f>
        <v/>
      </c>
    </row>
    <row r="652" ht="17" customHeight="1">
      <c r="A652" s="40">
        <f>'03_原始数据'!A652</f>
        <v/>
      </c>
      <c r="B652" s="34">
        <f>IF(1=1,IFERROR(CORREL('03_原始数据'!$B$633:$B$652,'03_原始数据'!$C$633:$C$652),""),"")</f>
        <v/>
      </c>
      <c r="C652" s="34">
        <f>IF(1=1,IFERROR(CORREL('03_原始数据'!$B$593:$B$652,'03_原始数据'!$C$593:$C$652),""),"")</f>
        <v/>
      </c>
      <c r="D652" s="34">
        <f>IF(1=1,IFERROR(CORREL('03_原始数据'!$B$533:$B$652,'03_原始数据'!$C$533:$C$652),""),"")</f>
        <v/>
      </c>
      <c r="E652" s="34">
        <f>IF(1=1,IFERROR(CORREL('03_原始数据'!$G$593:$G$652,'03_原始数据'!$H$593:$H$652),""),"")</f>
        <v/>
      </c>
      <c r="F652" s="55">
        <f>IF(N(B652)=0,"不足","有效")</f>
        <v/>
      </c>
    </row>
    <row r="653" ht="17" customHeight="1">
      <c r="A653" s="38">
        <f>'03_原始数据'!A653</f>
        <v/>
      </c>
      <c r="B653" s="31">
        <f>IF(1=1,IFERROR(CORREL('03_原始数据'!$B$634:$B$653,'03_原始数据'!$C$634:$C$653),""),"")</f>
        <v/>
      </c>
      <c r="C653" s="31">
        <f>IF(1=1,IFERROR(CORREL('03_原始数据'!$B$594:$B$653,'03_原始数据'!$C$594:$C$653),""),"")</f>
        <v/>
      </c>
      <c r="D653" s="31">
        <f>IF(1=1,IFERROR(CORREL('03_原始数据'!$B$534:$B$653,'03_原始数据'!$C$534:$C$653),""),"")</f>
        <v/>
      </c>
      <c r="E653" s="31">
        <f>IF(1=1,IFERROR(CORREL('03_原始数据'!$G$594:$G$653,'03_原始数据'!$H$594:$H$653),""),"")</f>
        <v/>
      </c>
      <c r="F653" s="54">
        <f>IF(N(B653)=0,"不足","有效")</f>
        <v/>
      </c>
    </row>
    <row r="654" ht="17" customHeight="1">
      <c r="A654" s="40">
        <f>'03_原始数据'!A654</f>
        <v/>
      </c>
      <c r="B654" s="34">
        <f>IF(1=1,IFERROR(CORREL('03_原始数据'!$B$635:$B$654,'03_原始数据'!$C$635:$C$654),""),"")</f>
        <v/>
      </c>
      <c r="C654" s="34">
        <f>IF(1=1,IFERROR(CORREL('03_原始数据'!$B$595:$B$654,'03_原始数据'!$C$595:$C$654),""),"")</f>
        <v/>
      </c>
      <c r="D654" s="34">
        <f>IF(1=1,IFERROR(CORREL('03_原始数据'!$B$535:$B$654,'03_原始数据'!$C$535:$C$654),""),"")</f>
        <v/>
      </c>
      <c r="E654" s="34">
        <f>IF(1=1,IFERROR(CORREL('03_原始数据'!$G$595:$G$654,'03_原始数据'!$H$595:$H$654),""),"")</f>
        <v/>
      </c>
      <c r="F654" s="55">
        <f>IF(N(B654)=0,"不足","有效")</f>
        <v/>
      </c>
    </row>
    <row r="655" ht="17" customHeight="1">
      <c r="A655" s="38">
        <f>'03_原始数据'!A655</f>
        <v/>
      </c>
      <c r="B655" s="31">
        <f>IF(1=1,IFERROR(CORREL('03_原始数据'!$B$636:$B$655,'03_原始数据'!$C$636:$C$655),""),"")</f>
        <v/>
      </c>
      <c r="C655" s="31">
        <f>IF(1=1,IFERROR(CORREL('03_原始数据'!$B$596:$B$655,'03_原始数据'!$C$596:$C$655),""),"")</f>
        <v/>
      </c>
      <c r="D655" s="31">
        <f>IF(1=1,IFERROR(CORREL('03_原始数据'!$B$536:$B$655,'03_原始数据'!$C$536:$C$655),""),"")</f>
        <v/>
      </c>
      <c r="E655" s="31">
        <f>IF(1=1,IFERROR(CORREL('03_原始数据'!$G$596:$G$655,'03_原始数据'!$H$596:$H$655),""),"")</f>
        <v/>
      </c>
      <c r="F655" s="54">
        <f>IF(N(B655)=0,"不足","有效")</f>
        <v/>
      </c>
    </row>
    <row r="656" ht="17" customHeight="1">
      <c r="A656" s="40">
        <f>'03_原始数据'!A656</f>
        <v/>
      </c>
      <c r="B656" s="34">
        <f>IF(1=1,IFERROR(CORREL('03_原始数据'!$B$637:$B$656,'03_原始数据'!$C$637:$C$656),""),"")</f>
        <v/>
      </c>
      <c r="C656" s="34">
        <f>IF(1=1,IFERROR(CORREL('03_原始数据'!$B$597:$B$656,'03_原始数据'!$C$597:$C$656),""),"")</f>
        <v/>
      </c>
      <c r="D656" s="34">
        <f>IF(1=1,IFERROR(CORREL('03_原始数据'!$B$537:$B$656,'03_原始数据'!$C$537:$C$656),""),"")</f>
        <v/>
      </c>
      <c r="E656" s="34">
        <f>IF(1=1,IFERROR(CORREL('03_原始数据'!$G$597:$G$656,'03_原始数据'!$H$597:$H$656),""),"")</f>
        <v/>
      </c>
      <c r="F656" s="55">
        <f>IF(N(B656)=0,"不足","有效")</f>
        <v/>
      </c>
    </row>
    <row r="657" ht="17" customHeight="1">
      <c r="A657" s="38">
        <f>'03_原始数据'!A657</f>
        <v/>
      </c>
      <c r="B657" s="31">
        <f>IF(1=1,IFERROR(CORREL('03_原始数据'!$B$638:$B$657,'03_原始数据'!$C$638:$C$657),""),"")</f>
        <v/>
      </c>
      <c r="C657" s="31">
        <f>IF(1=1,IFERROR(CORREL('03_原始数据'!$B$598:$B$657,'03_原始数据'!$C$598:$C$657),""),"")</f>
        <v/>
      </c>
      <c r="D657" s="31">
        <f>IF(1=1,IFERROR(CORREL('03_原始数据'!$B$538:$B$657,'03_原始数据'!$C$538:$C$657),""),"")</f>
        <v/>
      </c>
      <c r="E657" s="31">
        <f>IF(1=1,IFERROR(CORREL('03_原始数据'!$G$598:$G$657,'03_原始数据'!$H$598:$H$657),""),"")</f>
        <v/>
      </c>
      <c r="F657" s="54">
        <f>IF(N(B657)=0,"不足","有效")</f>
        <v/>
      </c>
    </row>
    <row r="658" ht="17" customHeight="1">
      <c r="A658" s="40">
        <f>'03_原始数据'!A658</f>
        <v/>
      </c>
      <c r="B658" s="34">
        <f>IF(1=1,IFERROR(CORREL('03_原始数据'!$B$639:$B$658,'03_原始数据'!$C$639:$C$658),""),"")</f>
        <v/>
      </c>
      <c r="C658" s="34">
        <f>IF(1=1,IFERROR(CORREL('03_原始数据'!$B$599:$B$658,'03_原始数据'!$C$599:$C$658),""),"")</f>
        <v/>
      </c>
      <c r="D658" s="34">
        <f>IF(1=1,IFERROR(CORREL('03_原始数据'!$B$539:$B$658,'03_原始数据'!$C$539:$C$658),""),"")</f>
        <v/>
      </c>
      <c r="E658" s="34">
        <f>IF(1=1,IFERROR(CORREL('03_原始数据'!$G$599:$G$658,'03_原始数据'!$H$599:$H$658),""),"")</f>
        <v/>
      </c>
      <c r="F658" s="55">
        <f>IF(N(B658)=0,"不足","有效")</f>
        <v/>
      </c>
    </row>
    <row r="659" ht="17" customHeight="1">
      <c r="A659" s="38">
        <f>'03_原始数据'!A659</f>
        <v/>
      </c>
      <c r="B659" s="31">
        <f>IF(1=1,IFERROR(CORREL('03_原始数据'!$B$640:$B$659,'03_原始数据'!$C$640:$C$659),""),"")</f>
        <v/>
      </c>
      <c r="C659" s="31">
        <f>IF(1=1,IFERROR(CORREL('03_原始数据'!$B$600:$B$659,'03_原始数据'!$C$600:$C$659),""),"")</f>
        <v/>
      </c>
      <c r="D659" s="31">
        <f>IF(1=1,IFERROR(CORREL('03_原始数据'!$B$540:$B$659,'03_原始数据'!$C$540:$C$659),""),"")</f>
        <v/>
      </c>
      <c r="E659" s="31">
        <f>IF(1=1,IFERROR(CORREL('03_原始数据'!$G$600:$G$659,'03_原始数据'!$H$600:$H$659),""),"")</f>
        <v/>
      </c>
      <c r="F659" s="54">
        <f>IF(N(B659)=0,"不足","有效")</f>
        <v/>
      </c>
    </row>
    <row r="660" ht="17" customHeight="1">
      <c r="A660" s="40">
        <f>'03_原始数据'!A660</f>
        <v/>
      </c>
      <c r="B660" s="34">
        <f>IF(1=1,IFERROR(CORREL('03_原始数据'!$B$641:$B$660,'03_原始数据'!$C$641:$C$660),""),"")</f>
        <v/>
      </c>
      <c r="C660" s="34">
        <f>IF(1=1,IFERROR(CORREL('03_原始数据'!$B$601:$B$660,'03_原始数据'!$C$601:$C$660),""),"")</f>
        <v/>
      </c>
      <c r="D660" s="34">
        <f>IF(1=1,IFERROR(CORREL('03_原始数据'!$B$541:$B$660,'03_原始数据'!$C$541:$C$660),""),"")</f>
        <v/>
      </c>
      <c r="E660" s="34">
        <f>IF(1=1,IFERROR(CORREL('03_原始数据'!$G$601:$G$660,'03_原始数据'!$H$601:$H$660),""),"")</f>
        <v/>
      </c>
      <c r="F660" s="55">
        <f>IF(N(B660)=0,"不足","有效")</f>
        <v/>
      </c>
    </row>
    <row r="661" ht="17" customHeight="1">
      <c r="A661" s="38">
        <f>'03_原始数据'!A661</f>
        <v/>
      </c>
      <c r="B661" s="31">
        <f>IF(1=1,IFERROR(CORREL('03_原始数据'!$B$642:$B$661,'03_原始数据'!$C$642:$C$661),""),"")</f>
        <v/>
      </c>
      <c r="C661" s="31">
        <f>IF(1=1,IFERROR(CORREL('03_原始数据'!$B$602:$B$661,'03_原始数据'!$C$602:$C$661),""),"")</f>
        <v/>
      </c>
      <c r="D661" s="31">
        <f>IF(1=1,IFERROR(CORREL('03_原始数据'!$B$542:$B$661,'03_原始数据'!$C$542:$C$661),""),"")</f>
        <v/>
      </c>
      <c r="E661" s="31">
        <f>IF(1=1,IFERROR(CORREL('03_原始数据'!$G$602:$G$661,'03_原始数据'!$H$602:$H$661),""),"")</f>
        <v/>
      </c>
      <c r="F661" s="54">
        <f>IF(N(B661)=0,"不足","有效")</f>
        <v/>
      </c>
    </row>
    <row r="662" ht="17" customHeight="1">
      <c r="A662" s="40">
        <f>'03_原始数据'!A662</f>
        <v/>
      </c>
      <c r="B662" s="34">
        <f>IF(1=1,IFERROR(CORREL('03_原始数据'!$B$643:$B$662,'03_原始数据'!$C$643:$C$662),""),"")</f>
        <v/>
      </c>
      <c r="C662" s="34">
        <f>IF(1=1,IFERROR(CORREL('03_原始数据'!$B$603:$B$662,'03_原始数据'!$C$603:$C$662),""),"")</f>
        <v/>
      </c>
      <c r="D662" s="34">
        <f>IF(1=1,IFERROR(CORREL('03_原始数据'!$B$543:$B$662,'03_原始数据'!$C$543:$C$662),""),"")</f>
        <v/>
      </c>
      <c r="E662" s="34">
        <f>IF(1=1,IFERROR(CORREL('03_原始数据'!$G$603:$G$662,'03_原始数据'!$H$603:$H$662),""),"")</f>
        <v/>
      </c>
      <c r="F662" s="55">
        <f>IF(N(B662)=0,"不足","有效")</f>
        <v/>
      </c>
    </row>
    <row r="663" ht="17" customHeight="1">
      <c r="A663" s="38">
        <f>'03_原始数据'!A663</f>
        <v/>
      </c>
      <c r="B663" s="31">
        <f>IF(1=1,IFERROR(CORREL('03_原始数据'!$B$644:$B$663,'03_原始数据'!$C$644:$C$663),""),"")</f>
        <v/>
      </c>
      <c r="C663" s="31">
        <f>IF(1=1,IFERROR(CORREL('03_原始数据'!$B$604:$B$663,'03_原始数据'!$C$604:$C$663),""),"")</f>
        <v/>
      </c>
      <c r="D663" s="31">
        <f>IF(1=1,IFERROR(CORREL('03_原始数据'!$B$544:$B$663,'03_原始数据'!$C$544:$C$663),""),"")</f>
        <v/>
      </c>
      <c r="E663" s="31">
        <f>IF(1=1,IFERROR(CORREL('03_原始数据'!$G$604:$G$663,'03_原始数据'!$H$604:$H$663),""),"")</f>
        <v/>
      </c>
      <c r="F663" s="54">
        <f>IF(N(B663)=0,"不足","有效")</f>
        <v/>
      </c>
    </row>
    <row r="664" ht="17" customHeight="1">
      <c r="A664" s="40">
        <f>'03_原始数据'!A664</f>
        <v/>
      </c>
      <c r="B664" s="34">
        <f>IF(1=1,IFERROR(CORREL('03_原始数据'!$B$645:$B$664,'03_原始数据'!$C$645:$C$664),""),"")</f>
        <v/>
      </c>
      <c r="C664" s="34">
        <f>IF(1=1,IFERROR(CORREL('03_原始数据'!$B$605:$B$664,'03_原始数据'!$C$605:$C$664),""),"")</f>
        <v/>
      </c>
      <c r="D664" s="34">
        <f>IF(1=1,IFERROR(CORREL('03_原始数据'!$B$545:$B$664,'03_原始数据'!$C$545:$C$664),""),"")</f>
        <v/>
      </c>
      <c r="E664" s="34">
        <f>IF(1=1,IFERROR(CORREL('03_原始数据'!$G$605:$G$664,'03_原始数据'!$H$605:$H$664),""),"")</f>
        <v/>
      </c>
      <c r="F664" s="55">
        <f>IF(N(B664)=0,"不足","有效")</f>
        <v/>
      </c>
    </row>
    <row r="665" ht="17" customHeight="1">
      <c r="A665" s="38">
        <f>'03_原始数据'!A665</f>
        <v/>
      </c>
      <c r="B665" s="31">
        <f>IF(1=1,IFERROR(CORREL('03_原始数据'!$B$646:$B$665,'03_原始数据'!$C$646:$C$665),""),"")</f>
        <v/>
      </c>
      <c r="C665" s="31">
        <f>IF(1=1,IFERROR(CORREL('03_原始数据'!$B$606:$B$665,'03_原始数据'!$C$606:$C$665),""),"")</f>
        <v/>
      </c>
      <c r="D665" s="31">
        <f>IF(1=1,IFERROR(CORREL('03_原始数据'!$B$546:$B$665,'03_原始数据'!$C$546:$C$665),""),"")</f>
        <v/>
      </c>
      <c r="E665" s="31">
        <f>IF(1=1,IFERROR(CORREL('03_原始数据'!$G$606:$G$665,'03_原始数据'!$H$606:$H$665),""),"")</f>
        <v/>
      </c>
      <c r="F665" s="54">
        <f>IF(N(B665)=0,"不足","有效")</f>
        <v/>
      </c>
    </row>
    <row r="666" ht="17" customHeight="1">
      <c r="A666" s="40">
        <f>'03_原始数据'!A666</f>
        <v/>
      </c>
      <c r="B666" s="34">
        <f>IF(1=1,IFERROR(CORREL('03_原始数据'!$B$647:$B$666,'03_原始数据'!$C$647:$C$666),""),"")</f>
        <v/>
      </c>
      <c r="C666" s="34">
        <f>IF(1=1,IFERROR(CORREL('03_原始数据'!$B$607:$B$666,'03_原始数据'!$C$607:$C$666),""),"")</f>
        <v/>
      </c>
      <c r="D666" s="34">
        <f>IF(1=1,IFERROR(CORREL('03_原始数据'!$B$547:$B$666,'03_原始数据'!$C$547:$C$666),""),"")</f>
        <v/>
      </c>
      <c r="E666" s="34">
        <f>IF(1=1,IFERROR(CORREL('03_原始数据'!$G$607:$G$666,'03_原始数据'!$H$607:$H$666),""),"")</f>
        <v/>
      </c>
      <c r="F666" s="55">
        <f>IF(N(B666)=0,"不足","有效")</f>
        <v/>
      </c>
    </row>
    <row r="667" ht="17" customHeight="1">
      <c r="A667" s="38">
        <f>'03_原始数据'!A667</f>
        <v/>
      </c>
      <c r="B667" s="31">
        <f>IF(1=1,IFERROR(CORREL('03_原始数据'!$B$648:$B$667,'03_原始数据'!$C$648:$C$667),""),"")</f>
        <v/>
      </c>
      <c r="C667" s="31">
        <f>IF(1=1,IFERROR(CORREL('03_原始数据'!$B$608:$B$667,'03_原始数据'!$C$608:$C$667),""),"")</f>
        <v/>
      </c>
      <c r="D667" s="31">
        <f>IF(1=1,IFERROR(CORREL('03_原始数据'!$B$548:$B$667,'03_原始数据'!$C$548:$C$667),""),"")</f>
        <v/>
      </c>
      <c r="E667" s="31">
        <f>IF(1=1,IFERROR(CORREL('03_原始数据'!$G$608:$G$667,'03_原始数据'!$H$608:$H$667),""),"")</f>
        <v/>
      </c>
      <c r="F667" s="54">
        <f>IF(N(B667)=0,"不足","有效")</f>
        <v/>
      </c>
    </row>
    <row r="668" ht="17" customHeight="1">
      <c r="A668" s="40">
        <f>'03_原始数据'!A668</f>
        <v/>
      </c>
      <c r="B668" s="34">
        <f>IF(1=1,IFERROR(CORREL('03_原始数据'!$B$649:$B$668,'03_原始数据'!$C$649:$C$668),""),"")</f>
        <v/>
      </c>
      <c r="C668" s="34">
        <f>IF(1=1,IFERROR(CORREL('03_原始数据'!$B$609:$B$668,'03_原始数据'!$C$609:$C$668),""),"")</f>
        <v/>
      </c>
      <c r="D668" s="34">
        <f>IF(1=1,IFERROR(CORREL('03_原始数据'!$B$549:$B$668,'03_原始数据'!$C$549:$C$668),""),"")</f>
        <v/>
      </c>
      <c r="E668" s="34">
        <f>IF(1=1,IFERROR(CORREL('03_原始数据'!$G$609:$G$668,'03_原始数据'!$H$609:$H$668),""),"")</f>
        <v/>
      </c>
      <c r="F668" s="55">
        <f>IF(N(B668)=0,"不足","有效")</f>
        <v/>
      </c>
    </row>
    <row r="669" ht="17" customHeight="1">
      <c r="A669" s="38">
        <f>'03_原始数据'!A669</f>
        <v/>
      </c>
      <c r="B669" s="31">
        <f>IF(1=1,IFERROR(CORREL('03_原始数据'!$B$650:$B$669,'03_原始数据'!$C$650:$C$669),""),"")</f>
        <v/>
      </c>
      <c r="C669" s="31">
        <f>IF(1=1,IFERROR(CORREL('03_原始数据'!$B$610:$B$669,'03_原始数据'!$C$610:$C$669),""),"")</f>
        <v/>
      </c>
      <c r="D669" s="31">
        <f>IF(1=1,IFERROR(CORREL('03_原始数据'!$B$550:$B$669,'03_原始数据'!$C$550:$C$669),""),"")</f>
        <v/>
      </c>
      <c r="E669" s="31">
        <f>IF(1=1,IFERROR(CORREL('03_原始数据'!$G$610:$G$669,'03_原始数据'!$H$610:$H$669),""),"")</f>
        <v/>
      </c>
      <c r="F669" s="54">
        <f>IF(N(B669)=0,"不足","有效")</f>
        <v/>
      </c>
    </row>
    <row r="670" ht="17" customHeight="1">
      <c r="A670" s="40">
        <f>'03_原始数据'!A670</f>
        <v/>
      </c>
      <c r="B670" s="34">
        <f>IF(1=1,IFERROR(CORREL('03_原始数据'!$B$651:$B$670,'03_原始数据'!$C$651:$C$670),""),"")</f>
        <v/>
      </c>
      <c r="C670" s="34">
        <f>IF(1=1,IFERROR(CORREL('03_原始数据'!$B$611:$B$670,'03_原始数据'!$C$611:$C$670),""),"")</f>
        <v/>
      </c>
      <c r="D670" s="34">
        <f>IF(1=1,IFERROR(CORREL('03_原始数据'!$B$551:$B$670,'03_原始数据'!$C$551:$C$670),""),"")</f>
        <v/>
      </c>
      <c r="E670" s="34">
        <f>IF(1=1,IFERROR(CORREL('03_原始数据'!$G$611:$G$670,'03_原始数据'!$H$611:$H$670),""),"")</f>
        <v/>
      </c>
      <c r="F670" s="55">
        <f>IF(N(B670)=0,"不足","有效")</f>
        <v/>
      </c>
    </row>
    <row r="671" ht="17" customHeight="1">
      <c r="A671" s="38">
        <f>'03_原始数据'!A671</f>
        <v/>
      </c>
      <c r="B671" s="31">
        <f>IF(1=1,IFERROR(CORREL('03_原始数据'!$B$652:$B$671,'03_原始数据'!$C$652:$C$671),""),"")</f>
        <v/>
      </c>
      <c r="C671" s="31">
        <f>IF(1=1,IFERROR(CORREL('03_原始数据'!$B$612:$B$671,'03_原始数据'!$C$612:$C$671),""),"")</f>
        <v/>
      </c>
      <c r="D671" s="31">
        <f>IF(1=1,IFERROR(CORREL('03_原始数据'!$B$552:$B$671,'03_原始数据'!$C$552:$C$671),""),"")</f>
        <v/>
      </c>
      <c r="E671" s="31">
        <f>IF(1=1,IFERROR(CORREL('03_原始数据'!$G$612:$G$671,'03_原始数据'!$H$612:$H$671),""),"")</f>
        <v/>
      </c>
      <c r="F671" s="54">
        <f>IF(N(B671)=0,"不足","有效")</f>
        <v/>
      </c>
    </row>
    <row r="672" ht="17" customHeight="1">
      <c r="A672" s="40">
        <f>'03_原始数据'!A672</f>
        <v/>
      </c>
      <c r="B672" s="34">
        <f>IF(1=1,IFERROR(CORREL('03_原始数据'!$B$653:$B$672,'03_原始数据'!$C$653:$C$672),""),"")</f>
        <v/>
      </c>
      <c r="C672" s="34">
        <f>IF(1=1,IFERROR(CORREL('03_原始数据'!$B$613:$B$672,'03_原始数据'!$C$613:$C$672),""),"")</f>
        <v/>
      </c>
      <c r="D672" s="34">
        <f>IF(1=1,IFERROR(CORREL('03_原始数据'!$B$553:$B$672,'03_原始数据'!$C$553:$C$672),""),"")</f>
        <v/>
      </c>
      <c r="E672" s="34">
        <f>IF(1=1,IFERROR(CORREL('03_原始数据'!$G$613:$G$672,'03_原始数据'!$H$613:$H$672),""),"")</f>
        <v/>
      </c>
      <c r="F672" s="55">
        <f>IF(N(B672)=0,"不足","有效")</f>
        <v/>
      </c>
    </row>
    <row r="673" ht="17" customHeight="1">
      <c r="A673" s="38">
        <f>'03_原始数据'!A673</f>
        <v/>
      </c>
      <c r="B673" s="31">
        <f>IF(1=1,IFERROR(CORREL('03_原始数据'!$B$654:$B$673,'03_原始数据'!$C$654:$C$673),""),"")</f>
        <v/>
      </c>
      <c r="C673" s="31">
        <f>IF(1=1,IFERROR(CORREL('03_原始数据'!$B$614:$B$673,'03_原始数据'!$C$614:$C$673),""),"")</f>
        <v/>
      </c>
      <c r="D673" s="31">
        <f>IF(1=1,IFERROR(CORREL('03_原始数据'!$B$554:$B$673,'03_原始数据'!$C$554:$C$673),""),"")</f>
        <v/>
      </c>
      <c r="E673" s="31">
        <f>IF(1=1,IFERROR(CORREL('03_原始数据'!$G$614:$G$673,'03_原始数据'!$H$614:$H$673),""),"")</f>
        <v/>
      </c>
      <c r="F673" s="54">
        <f>IF(N(B673)=0,"不足","有效")</f>
        <v/>
      </c>
    </row>
    <row r="674" ht="17" customHeight="1">
      <c r="A674" s="40">
        <f>'03_原始数据'!A674</f>
        <v/>
      </c>
      <c r="B674" s="34">
        <f>IF(1=1,IFERROR(CORREL('03_原始数据'!$B$655:$B$674,'03_原始数据'!$C$655:$C$674),""),"")</f>
        <v/>
      </c>
      <c r="C674" s="34">
        <f>IF(1=1,IFERROR(CORREL('03_原始数据'!$B$615:$B$674,'03_原始数据'!$C$615:$C$674),""),"")</f>
        <v/>
      </c>
      <c r="D674" s="34">
        <f>IF(1=1,IFERROR(CORREL('03_原始数据'!$B$555:$B$674,'03_原始数据'!$C$555:$C$674),""),"")</f>
        <v/>
      </c>
      <c r="E674" s="34">
        <f>IF(1=1,IFERROR(CORREL('03_原始数据'!$G$615:$G$674,'03_原始数据'!$H$615:$H$674),""),"")</f>
        <v/>
      </c>
      <c r="F674" s="55">
        <f>IF(N(B674)=0,"不足","有效")</f>
        <v/>
      </c>
    </row>
    <row r="675" ht="17" customHeight="1">
      <c r="A675" s="38">
        <f>'03_原始数据'!A675</f>
        <v/>
      </c>
      <c r="B675" s="31">
        <f>IF(1=1,IFERROR(CORREL('03_原始数据'!$B$656:$B$675,'03_原始数据'!$C$656:$C$675),""),"")</f>
        <v/>
      </c>
      <c r="C675" s="31">
        <f>IF(1=1,IFERROR(CORREL('03_原始数据'!$B$616:$B$675,'03_原始数据'!$C$616:$C$675),""),"")</f>
        <v/>
      </c>
      <c r="D675" s="31">
        <f>IF(1=1,IFERROR(CORREL('03_原始数据'!$B$556:$B$675,'03_原始数据'!$C$556:$C$675),""),"")</f>
        <v/>
      </c>
      <c r="E675" s="31">
        <f>IF(1=1,IFERROR(CORREL('03_原始数据'!$G$616:$G$675,'03_原始数据'!$H$616:$H$675),""),"")</f>
        <v/>
      </c>
      <c r="F675" s="54">
        <f>IF(N(B675)=0,"不足","有效")</f>
        <v/>
      </c>
    </row>
    <row r="676" ht="17" customHeight="1">
      <c r="A676" s="40">
        <f>'03_原始数据'!A676</f>
        <v/>
      </c>
      <c r="B676" s="34">
        <f>IF(1=1,IFERROR(CORREL('03_原始数据'!$B$657:$B$676,'03_原始数据'!$C$657:$C$676),""),"")</f>
        <v/>
      </c>
      <c r="C676" s="34">
        <f>IF(1=1,IFERROR(CORREL('03_原始数据'!$B$617:$B$676,'03_原始数据'!$C$617:$C$676),""),"")</f>
        <v/>
      </c>
      <c r="D676" s="34">
        <f>IF(1=1,IFERROR(CORREL('03_原始数据'!$B$557:$B$676,'03_原始数据'!$C$557:$C$676),""),"")</f>
        <v/>
      </c>
      <c r="E676" s="34">
        <f>IF(1=1,IFERROR(CORREL('03_原始数据'!$G$617:$G$676,'03_原始数据'!$H$617:$H$676),""),"")</f>
        <v/>
      </c>
      <c r="F676" s="55">
        <f>IF(N(B676)=0,"不足","有效")</f>
        <v/>
      </c>
    </row>
    <row r="677" ht="17" customHeight="1">
      <c r="A677" s="38">
        <f>'03_原始数据'!A677</f>
        <v/>
      </c>
      <c r="B677" s="31">
        <f>IF(1=1,IFERROR(CORREL('03_原始数据'!$B$658:$B$677,'03_原始数据'!$C$658:$C$677),""),"")</f>
        <v/>
      </c>
      <c r="C677" s="31">
        <f>IF(1=1,IFERROR(CORREL('03_原始数据'!$B$618:$B$677,'03_原始数据'!$C$618:$C$677),""),"")</f>
        <v/>
      </c>
      <c r="D677" s="31">
        <f>IF(1=1,IFERROR(CORREL('03_原始数据'!$B$558:$B$677,'03_原始数据'!$C$558:$C$677),""),"")</f>
        <v/>
      </c>
      <c r="E677" s="31">
        <f>IF(1=1,IFERROR(CORREL('03_原始数据'!$G$618:$G$677,'03_原始数据'!$H$618:$H$677),""),"")</f>
        <v/>
      </c>
      <c r="F677" s="54">
        <f>IF(N(B677)=0,"不足","有效")</f>
        <v/>
      </c>
    </row>
    <row r="678" ht="17" customHeight="1">
      <c r="A678" s="40">
        <f>'03_原始数据'!A678</f>
        <v/>
      </c>
      <c r="B678" s="34">
        <f>IF(1=1,IFERROR(CORREL('03_原始数据'!$B$659:$B$678,'03_原始数据'!$C$659:$C$678),""),"")</f>
        <v/>
      </c>
      <c r="C678" s="34">
        <f>IF(1=1,IFERROR(CORREL('03_原始数据'!$B$619:$B$678,'03_原始数据'!$C$619:$C$678),""),"")</f>
        <v/>
      </c>
      <c r="D678" s="34">
        <f>IF(1=1,IFERROR(CORREL('03_原始数据'!$B$559:$B$678,'03_原始数据'!$C$559:$C$678),""),"")</f>
        <v/>
      </c>
      <c r="E678" s="34">
        <f>IF(1=1,IFERROR(CORREL('03_原始数据'!$G$619:$G$678,'03_原始数据'!$H$619:$H$678),""),"")</f>
        <v/>
      </c>
      <c r="F678" s="55">
        <f>IF(N(B678)=0,"不足","有效")</f>
        <v/>
      </c>
    </row>
    <row r="679" ht="17" customHeight="1">
      <c r="A679" s="38">
        <f>'03_原始数据'!A679</f>
        <v/>
      </c>
      <c r="B679" s="31">
        <f>IF(1=1,IFERROR(CORREL('03_原始数据'!$B$660:$B$679,'03_原始数据'!$C$660:$C$679),""),"")</f>
        <v/>
      </c>
      <c r="C679" s="31">
        <f>IF(1=1,IFERROR(CORREL('03_原始数据'!$B$620:$B$679,'03_原始数据'!$C$620:$C$679),""),"")</f>
        <v/>
      </c>
      <c r="D679" s="31">
        <f>IF(1=1,IFERROR(CORREL('03_原始数据'!$B$560:$B$679,'03_原始数据'!$C$560:$C$679),""),"")</f>
        <v/>
      </c>
      <c r="E679" s="31">
        <f>IF(1=1,IFERROR(CORREL('03_原始数据'!$G$620:$G$679,'03_原始数据'!$H$620:$H$679),""),"")</f>
        <v/>
      </c>
      <c r="F679" s="54">
        <f>IF(N(B679)=0,"不足","有效")</f>
        <v/>
      </c>
    </row>
    <row r="680" ht="17" customHeight="1">
      <c r="A680" s="40">
        <f>'03_原始数据'!A680</f>
        <v/>
      </c>
      <c r="B680" s="34">
        <f>IF(1=1,IFERROR(CORREL('03_原始数据'!$B$661:$B$680,'03_原始数据'!$C$661:$C$680),""),"")</f>
        <v/>
      </c>
      <c r="C680" s="34">
        <f>IF(1=1,IFERROR(CORREL('03_原始数据'!$B$621:$B$680,'03_原始数据'!$C$621:$C$680),""),"")</f>
        <v/>
      </c>
      <c r="D680" s="34">
        <f>IF(1=1,IFERROR(CORREL('03_原始数据'!$B$561:$B$680,'03_原始数据'!$C$561:$C$680),""),"")</f>
        <v/>
      </c>
      <c r="E680" s="34">
        <f>IF(1=1,IFERROR(CORREL('03_原始数据'!$G$621:$G$680,'03_原始数据'!$H$621:$H$680),""),"")</f>
        <v/>
      </c>
      <c r="F680" s="55">
        <f>IF(N(B680)=0,"不足","有效")</f>
        <v/>
      </c>
    </row>
    <row r="681" ht="17" customHeight="1">
      <c r="A681" s="38">
        <f>'03_原始数据'!A681</f>
        <v/>
      </c>
      <c r="B681" s="31">
        <f>IF(1=1,IFERROR(CORREL('03_原始数据'!$B$662:$B$681,'03_原始数据'!$C$662:$C$681),""),"")</f>
        <v/>
      </c>
      <c r="C681" s="31">
        <f>IF(1=1,IFERROR(CORREL('03_原始数据'!$B$622:$B$681,'03_原始数据'!$C$622:$C$681),""),"")</f>
        <v/>
      </c>
      <c r="D681" s="31">
        <f>IF(1=1,IFERROR(CORREL('03_原始数据'!$B$562:$B$681,'03_原始数据'!$C$562:$C$681),""),"")</f>
        <v/>
      </c>
      <c r="E681" s="31">
        <f>IF(1=1,IFERROR(CORREL('03_原始数据'!$G$622:$G$681,'03_原始数据'!$H$622:$H$681),""),"")</f>
        <v/>
      </c>
      <c r="F681" s="54">
        <f>IF(N(B681)=0,"不足","有效")</f>
        <v/>
      </c>
    </row>
    <row r="682" ht="17" customHeight="1">
      <c r="A682" s="40">
        <f>'03_原始数据'!A682</f>
        <v/>
      </c>
      <c r="B682" s="34">
        <f>IF(1=1,IFERROR(CORREL('03_原始数据'!$B$663:$B$682,'03_原始数据'!$C$663:$C$682),""),"")</f>
        <v/>
      </c>
      <c r="C682" s="34">
        <f>IF(1=1,IFERROR(CORREL('03_原始数据'!$B$623:$B$682,'03_原始数据'!$C$623:$C$682),""),"")</f>
        <v/>
      </c>
      <c r="D682" s="34">
        <f>IF(1=1,IFERROR(CORREL('03_原始数据'!$B$563:$B$682,'03_原始数据'!$C$563:$C$682),""),"")</f>
        <v/>
      </c>
      <c r="E682" s="34">
        <f>IF(1=1,IFERROR(CORREL('03_原始数据'!$G$623:$G$682,'03_原始数据'!$H$623:$H$682),""),"")</f>
        <v/>
      </c>
      <c r="F682" s="55">
        <f>IF(N(B682)=0,"不足","有效")</f>
        <v/>
      </c>
    </row>
    <row r="683" ht="17" customHeight="1">
      <c r="A683" s="38">
        <f>'03_原始数据'!A683</f>
        <v/>
      </c>
      <c r="B683" s="31">
        <f>IF(1=1,IFERROR(CORREL('03_原始数据'!$B$664:$B$683,'03_原始数据'!$C$664:$C$683),""),"")</f>
        <v/>
      </c>
      <c r="C683" s="31">
        <f>IF(1=1,IFERROR(CORREL('03_原始数据'!$B$624:$B$683,'03_原始数据'!$C$624:$C$683),""),"")</f>
        <v/>
      </c>
      <c r="D683" s="31">
        <f>IF(1=1,IFERROR(CORREL('03_原始数据'!$B$564:$B$683,'03_原始数据'!$C$564:$C$683),""),"")</f>
        <v/>
      </c>
      <c r="E683" s="31">
        <f>IF(1=1,IFERROR(CORREL('03_原始数据'!$G$624:$G$683,'03_原始数据'!$H$624:$H$683),""),"")</f>
        <v/>
      </c>
      <c r="F683" s="54">
        <f>IF(N(B683)=0,"不足","有效")</f>
        <v/>
      </c>
    </row>
    <row r="684" ht="17" customHeight="1">
      <c r="A684" s="40">
        <f>'03_原始数据'!A684</f>
        <v/>
      </c>
      <c r="B684" s="34">
        <f>IF(1=1,IFERROR(CORREL('03_原始数据'!$B$665:$B$684,'03_原始数据'!$C$665:$C$684),""),"")</f>
        <v/>
      </c>
      <c r="C684" s="34">
        <f>IF(1=1,IFERROR(CORREL('03_原始数据'!$B$625:$B$684,'03_原始数据'!$C$625:$C$684),""),"")</f>
        <v/>
      </c>
      <c r="D684" s="34">
        <f>IF(1=1,IFERROR(CORREL('03_原始数据'!$B$565:$B$684,'03_原始数据'!$C$565:$C$684),""),"")</f>
        <v/>
      </c>
      <c r="E684" s="34">
        <f>IF(1=1,IFERROR(CORREL('03_原始数据'!$G$625:$G$684,'03_原始数据'!$H$625:$H$684),""),"")</f>
        <v/>
      </c>
      <c r="F684" s="55">
        <f>IF(N(B684)=0,"不足","有效")</f>
        <v/>
      </c>
    </row>
    <row r="685" ht="17" customHeight="1">
      <c r="A685" s="38">
        <f>'03_原始数据'!A685</f>
        <v/>
      </c>
      <c r="B685" s="31">
        <f>IF(1=1,IFERROR(CORREL('03_原始数据'!$B$666:$B$685,'03_原始数据'!$C$666:$C$685),""),"")</f>
        <v/>
      </c>
      <c r="C685" s="31">
        <f>IF(1=1,IFERROR(CORREL('03_原始数据'!$B$626:$B$685,'03_原始数据'!$C$626:$C$685),""),"")</f>
        <v/>
      </c>
      <c r="D685" s="31">
        <f>IF(1=1,IFERROR(CORREL('03_原始数据'!$B$566:$B$685,'03_原始数据'!$C$566:$C$685),""),"")</f>
        <v/>
      </c>
      <c r="E685" s="31">
        <f>IF(1=1,IFERROR(CORREL('03_原始数据'!$G$626:$G$685,'03_原始数据'!$H$626:$H$685),""),"")</f>
        <v/>
      </c>
      <c r="F685" s="54">
        <f>IF(N(B685)=0,"不足","有效")</f>
        <v/>
      </c>
    </row>
    <row r="686" ht="17" customHeight="1">
      <c r="A686" s="40">
        <f>'03_原始数据'!A686</f>
        <v/>
      </c>
      <c r="B686" s="34">
        <f>IF(1=1,IFERROR(CORREL('03_原始数据'!$B$667:$B$686,'03_原始数据'!$C$667:$C$686),""),"")</f>
        <v/>
      </c>
      <c r="C686" s="34">
        <f>IF(1=1,IFERROR(CORREL('03_原始数据'!$B$627:$B$686,'03_原始数据'!$C$627:$C$686),""),"")</f>
        <v/>
      </c>
      <c r="D686" s="34">
        <f>IF(1=1,IFERROR(CORREL('03_原始数据'!$B$567:$B$686,'03_原始数据'!$C$567:$C$686),""),"")</f>
        <v/>
      </c>
      <c r="E686" s="34">
        <f>IF(1=1,IFERROR(CORREL('03_原始数据'!$G$627:$G$686,'03_原始数据'!$H$627:$H$686),""),"")</f>
        <v/>
      </c>
      <c r="F686" s="55">
        <f>IF(N(B686)=0,"不足","有效")</f>
        <v/>
      </c>
    </row>
    <row r="687" ht="17" customHeight="1">
      <c r="A687" s="38">
        <f>'03_原始数据'!A687</f>
        <v/>
      </c>
      <c r="B687" s="31">
        <f>IF(1=1,IFERROR(CORREL('03_原始数据'!$B$668:$B$687,'03_原始数据'!$C$668:$C$687),""),"")</f>
        <v/>
      </c>
      <c r="C687" s="31">
        <f>IF(1=1,IFERROR(CORREL('03_原始数据'!$B$628:$B$687,'03_原始数据'!$C$628:$C$687),""),"")</f>
        <v/>
      </c>
      <c r="D687" s="31">
        <f>IF(1=1,IFERROR(CORREL('03_原始数据'!$B$568:$B$687,'03_原始数据'!$C$568:$C$687),""),"")</f>
        <v/>
      </c>
      <c r="E687" s="31">
        <f>IF(1=1,IFERROR(CORREL('03_原始数据'!$G$628:$G$687,'03_原始数据'!$H$628:$H$687),""),"")</f>
        <v/>
      </c>
      <c r="F687" s="54">
        <f>IF(N(B687)=0,"不足","有效")</f>
        <v/>
      </c>
    </row>
    <row r="688" ht="17" customHeight="1">
      <c r="A688" s="40">
        <f>'03_原始数据'!A688</f>
        <v/>
      </c>
      <c r="B688" s="34">
        <f>IF(1=1,IFERROR(CORREL('03_原始数据'!$B$669:$B$688,'03_原始数据'!$C$669:$C$688),""),"")</f>
        <v/>
      </c>
      <c r="C688" s="34">
        <f>IF(1=1,IFERROR(CORREL('03_原始数据'!$B$629:$B$688,'03_原始数据'!$C$629:$C$688),""),"")</f>
        <v/>
      </c>
      <c r="D688" s="34">
        <f>IF(1=1,IFERROR(CORREL('03_原始数据'!$B$569:$B$688,'03_原始数据'!$C$569:$C$688),""),"")</f>
        <v/>
      </c>
      <c r="E688" s="34">
        <f>IF(1=1,IFERROR(CORREL('03_原始数据'!$G$629:$G$688,'03_原始数据'!$H$629:$H$688),""),"")</f>
        <v/>
      </c>
      <c r="F688" s="55">
        <f>IF(N(B688)=0,"不足","有效")</f>
        <v/>
      </c>
    </row>
    <row r="689" ht="17" customHeight="1">
      <c r="A689" s="38">
        <f>'03_原始数据'!A689</f>
        <v/>
      </c>
      <c r="B689" s="31">
        <f>IF(1=1,IFERROR(CORREL('03_原始数据'!$B$670:$B$689,'03_原始数据'!$C$670:$C$689),""),"")</f>
        <v/>
      </c>
      <c r="C689" s="31">
        <f>IF(1=1,IFERROR(CORREL('03_原始数据'!$B$630:$B$689,'03_原始数据'!$C$630:$C$689),""),"")</f>
        <v/>
      </c>
      <c r="D689" s="31">
        <f>IF(1=1,IFERROR(CORREL('03_原始数据'!$B$570:$B$689,'03_原始数据'!$C$570:$C$689),""),"")</f>
        <v/>
      </c>
      <c r="E689" s="31">
        <f>IF(1=1,IFERROR(CORREL('03_原始数据'!$G$630:$G$689,'03_原始数据'!$H$630:$H$689),""),"")</f>
        <v/>
      </c>
      <c r="F689" s="54">
        <f>IF(N(B689)=0,"不足","有效")</f>
        <v/>
      </c>
    </row>
    <row r="690" ht="17" customHeight="1">
      <c r="A690" s="40">
        <f>'03_原始数据'!A690</f>
        <v/>
      </c>
      <c r="B690" s="34">
        <f>IF(1=1,IFERROR(CORREL('03_原始数据'!$B$671:$B$690,'03_原始数据'!$C$671:$C$690),""),"")</f>
        <v/>
      </c>
      <c r="C690" s="34">
        <f>IF(1=1,IFERROR(CORREL('03_原始数据'!$B$631:$B$690,'03_原始数据'!$C$631:$C$690),""),"")</f>
        <v/>
      </c>
      <c r="D690" s="34">
        <f>IF(1=1,IFERROR(CORREL('03_原始数据'!$B$571:$B$690,'03_原始数据'!$C$571:$C$690),""),"")</f>
        <v/>
      </c>
      <c r="E690" s="34">
        <f>IF(1=1,IFERROR(CORREL('03_原始数据'!$G$631:$G$690,'03_原始数据'!$H$631:$H$690),""),"")</f>
        <v/>
      </c>
      <c r="F690" s="55">
        <f>IF(N(B690)=0,"不足","有效")</f>
        <v/>
      </c>
    </row>
    <row r="691" ht="17" customHeight="1">
      <c r="A691" s="38">
        <f>'03_原始数据'!A691</f>
        <v/>
      </c>
      <c r="B691" s="31">
        <f>IF(1=1,IFERROR(CORREL('03_原始数据'!$B$672:$B$691,'03_原始数据'!$C$672:$C$691),""),"")</f>
        <v/>
      </c>
      <c r="C691" s="31">
        <f>IF(1=1,IFERROR(CORREL('03_原始数据'!$B$632:$B$691,'03_原始数据'!$C$632:$C$691),""),"")</f>
        <v/>
      </c>
      <c r="D691" s="31">
        <f>IF(1=1,IFERROR(CORREL('03_原始数据'!$B$572:$B$691,'03_原始数据'!$C$572:$C$691),""),"")</f>
        <v/>
      </c>
      <c r="E691" s="31">
        <f>IF(1=1,IFERROR(CORREL('03_原始数据'!$G$632:$G$691,'03_原始数据'!$H$632:$H$691),""),"")</f>
        <v/>
      </c>
      <c r="F691" s="54">
        <f>IF(N(B691)=0,"不足","有效")</f>
        <v/>
      </c>
    </row>
    <row r="692" ht="17" customHeight="1">
      <c r="A692" s="40">
        <f>'03_原始数据'!A692</f>
        <v/>
      </c>
      <c r="B692" s="34">
        <f>IF(1=1,IFERROR(CORREL('03_原始数据'!$B$673:$B$692,'03_原始数据'!$C$673:$C$692),""),"")</f>
        <v/>
      </c>
      <c r="C692" s="34">
        <f>IF(1=1,IFERROR(CORREL('03_原始数据'!$B$633:$B$692,'03_原始数据'!$C$633:$C$692),""),"")</f>
        <v/>
      </c>
      <c r="D692" s="34">
        <f>IF(1=1,IFERROR(CORREL('03_原始数据'!$B$573:$B$692,'03_原始数据'!$C$573:$C$692),""),"")</f>
        <v/>
      </c>
      <c r="E692" s="34">
        <f>IF(1=1,IFERROR(CORREL('03_原始数据'!$G$633:$G$692,'03_原始数据'!$H$633:$H$692),""),"")</f>
        <v/>
      </c>
      <c r="F692" s="55">
        <f>IF(N(B692)=0,"不足","有效")</f>
        <v/>
      </c>
    </row>
    <row r="693" ht="17" customHeight="1">
      <c r="A693" s="38">
        <f>'03_原始数据'!A693</f>
        <v/>
      </c>
      <c r="B693" s="31">
        <f>IF(1=1,IFERROR(CORREL('03_原始数据'!$B$674:$B$693,'03_原始数据'!$C$674:$C$693),""),"")</f>
        <v/>
      </c>
      <c r="C693" s="31">
        <f>IF(1=1,IFERROR(CORREL('03_原始数据'!$B$634:$B$693,'03_原始数据'!$C$634:$C$693),""),"")</f>
        <v/>
      </c>
      <c r="D693" s="31">
        <f>IF(1=1,IFERROR(CORREL('03_原始数据'!$B$574:$B$693,'03_原始数据'!$C$574:$C$693),""),"")</f>
        <v/>
      </c>
      <c r="E693" s="31">
        <f>IF(1=1,IFERROR(CORREL('03_原始数据'!$G$634:$G$693,'03_原始数据'!$H$634:$H$693),""),"")</f>
        <v/>
      </c>
      <c r="F693" s="54">
        <f>IF(N(B693)=0,"不足","有效")</f>
        <v/>
      </c>
    </row>
    <row r="694" ht="17" customHeight="1">
      <c r="A694" s="40">
        <f>'03_原始数据'!A694</f>
        <v/>
      </c>
      <c r="B694" s="34">
        <f>IF(1=1,IFERROR(CORREL('03_原始数据'!$B$675:$B$694,'03_原始数据'!$C$675:$C$694),""),"")</f>
        <v/>
      </c>
      <c r="C694" s="34">
        <f>IF(1=1,IFERROR(CORREL('03_原始数据'!$B$635:$B$694,'03_原始数据'!$C$635:$C$694),""),"")</f>
        <v/>
      </c>
      <c r="D694" s="34">
        <f>IF(1=1,IFERROR(CORREL('03_原始数据'!$B$575:$B$694,'03_原始数据'!$C$575:$C$694),""),"")</f>
        <v/>
      </c>
      <c r="E694" s="34">
        <f>IF(1=1,IFERROR(CORREL('03_原始数据'!$G$635:$G$694,'03_原始数据'!$H$635:$H$694),""),"")</f>
        <v/>
      </c>
      <c r="F694" s="55">
        <f>IF(N(B694)=0,"不足","有效")</f>
        <v/>
      </c>
    </row>
    <row r="695" ht="17" customHeight="1">
      <c r="A695" s="38">
        <f>'03_原始数据'!A695</f>
        <v/>
      </c>
      <c r="B695" s="31">
        <f>IF(1=1,IFERROR(CORREL('03_原始数据'!$B$676:$B$695,'03_原始数据'!$C$676:$C$695),""),"")</f>
        <v/>
      </c>
      <c r="C695" s="31">
        <f>IF(1=1,IFERROR(CORREL('03_原始数据'!$B$636:$B$695,'03_原始数据'!$C$636:$C$695),""),"")</f>
        <v/>
      </c>
      <c r="D695" s="31">
        <f>IF(1=1,IFERROR(CORREL('03_原始数据'!$B$576:$B$695,'03_原始数据'!$C$576:$C$695),""),"")</f>
        <v/>
      </c>
      <c r="E695" s="31">
        <f>IF(1=1,IFERROR(CORREL('03_原始数据'!$G$636:$G$695,'03_原始数据'!$H$636:$H$695),""),"")</f>
        <v/>
      </c>
      <c r="F695" s="54">
        <f>IF(N(B695)=0,"不足","有效")</f>
        <v/>
      </c>
    </row>
    <row r="696" ht="17" customHeight="1">
      <c r="A696" s="40">
        <f>'03_原始数据'!A696</f>
        <v/>
      </c>
      <c r="B696" s="34">
        <f>IF(1=1,IFERROR(CORREL('03_原始数据'!$B$677:$B$696,'03_原始数据'!$C$677:$C$696),""),"")</f>
        <v/>
      </c>
      <c r="C696" s="34">
        <f>IF(1=1,IFERROR(CORREL('03_原始数据'!$B$637:$B$696,'03_原始数据'!$C$637:$C$696),""),"")</f>
        <v/>
      </c>
      <c r="D696" s="34">
        <f>IF(1=1,IFERROR(CORREL('03_原始数据'!$B$577:$B$696,'03_原始数据'!$C$577:$C$696),""),"")</f>
        <v/>
      </c>
      <c r="E696" s="34">
        <f>IF(1=1,IFERROR(CORREL('03_原始数据'!$G$637:$G$696,'03_原始数据'!$H$637:$H$696),""),"")</f>
        <v/>
      </c>
      <c r="F696" s="55">
        <f>IF(N(B696)=0,"不足","有效")</f>
        <v/>
      </c>
    </row>
    <row r="697" ht="17" customHeight="1">
      <c r="A697" s="38">
        <f>'03_原始数据'!A697</f>
        <v/>
      </c>
      <c r="B697" s="31">
        <f>IF(1=1,IFERROR(CORREL('03_原始数据'!$B$678:$B$697,'03_原始数据'!$C$678:$C$697),""),"")</f>
        <v/>
      </c>
      <c r="C697" s="31">
        <f>IF(1=1,IFERROR(CORREL('03_原始数据'!$B$638:$B$697,'03_原始数据'!$C$638:$C$697),""),"")</f>
        <v/>
      </c>
      <c r="D697" s="31">
        <f>IF(1=1,IFERROR(CORREL('03_原始数据'!$B$578:$B$697,'03_原始数据'!$C$578:$C$697),""),"")</f>
        <v/>
      </c>
      <c r="E697" s="31">
        <f>IF(1=1,IFERROR(CORREL('03_原始数据'!$G$638:$G$697,'03_原始数据'!$H$638:$H$697),""),"")</f>
        <v/>
      </c>
      <c r="F697" s="54">
        <f>IF(N(B697)=0,"不足","有效")</f>
        <v/>
      </c>
    </row>
    <row r="698" ht="17" customHeight="1">
      <c r="A698" s="40">
        <f>'03_原始数据'!A698</f>
        <v/>
      </c>
      <c r="B698" s="34">
        <f>IF(1=1,IFERROR(CORREL('03_原始数据'!$B$679:$B$698,'03_原始数据'!$C$679:$C$698),""),"")</f>
        <v/>
      </c>
      <c r="C698" s="34">
        <f>IF(1=1,IFERROR(CORREL('03_原始数据'!$B$639:$B$698,'03_原始数据'!$C$639:$C$698),""),"")</f>
        <v/>
      </c>
      <c r="D698" s="34">
        <f>IF(1=1,IFERROR(CORREL('03_原始数据'!$B$579:$B$698,'03_原始数据'!$C$579:$C$698),""),"")</f>
        <v/>
      </c>
      <c r="E698" s="34">
        <f>IF(1=1,IFERROR(CORREL('03_原始数据'!$G$639:$G$698,'03_原始数据'!$H$639:$H$698),""),"")</f>
        <v/>
      </c>
      <c r="F698" s="55">
        <f>IF(N(B698)=0,"不足","有效")</f>
        <v/>
      </c>
    </row>
    <row r="699" ht="17" customHeight="1">
      <c r="A699" s="38">
        <f>'03_原始数据'!A699</f>
        <v/>
      </c>
      <c r="B699" s="31">
        <f>IF(1=1,IFERROR(CORREL('03_原始数据'!$B$680:$B$699,'03_原始数据'!$C$680:$C$699),""),"")</f>
        <v/>
      </c>
      <c r="C699" s="31">
        <f>IF(1=1,IFERROR(CORREL('03_原始数据'!$B$640:$B$699,'03_原始数据'!$C$640:$C$699),""),"")</f>
        <v/>
      </c>
      <c r="D699" s="31">
        <f>IF(1=1,IFERROR(CORREL('03_原始数据'!$B$580:$B$699,'03_原始数据'!$C$580:$C$699),""),"")</f>
        <v/>
      </c>
      <c r="E699" s="31">
        <f>IF(1=1,IFERROR(CORREL('03_原始数据'!$G$640:$G$699,'03_原始数据'!$H$640:$H$699),""),"")</f>
        <v/>
      </c>
      <c r="F699" s="54">
        <f>IF(N(B699)=0,"不足","有效")</f>
        <v/>
      </c>
    </row>
    <row r="700" ht="17" customHeight="1">
      <c r="A700" s="40">
        <f>'03_原始数据'!A700</f>
        <v/>
      </c>
      <c r="B700" s="34">
        <f>IF(1=1,IFERROR(CORREL('03_原始数据'!$B$681:$B$700,'03_原始数据'!$C$681:$C$700),""),"")</f>
        <v/>
      </c>
      <c r="C700" s="34">
        <f>IF(1=1,IFERROR(CORREL('03_原始数据'!$B$641:$B$700,'03_原始数据'!$C$641:$C$700),""),"")</f>
        <v/>
      </c>
      <c r="D700" s="34">
        <f>IF(1=1,IFERROR(CORREL('03_原始数据'!$B$581:$B$700,'03_原始数据'!$C$581:$C$700),""),"")</f>
        <v/>
      </c>
      <c r="E700" s="34">
        <f>IF(1=1,IFERROR(CORREL('03_原始数据'!$G$641:$G$700,'03_原始数据'!$H$641:$H$700),""),"")</f>
        <v/>
      </c>
      <c r="F700" s="55">
        <f>IF(N(B700)=0,"不足","有效")</f>
        <v/>
      </c>
    </row>
    <row r="701" ht="17" customHeight="1">
      <c r="A701" s="38">
        <f>'03_原始数据'!A701</f>
        <v/>
      </c>
      <c r="B701" s="31">
        <f>IF(1=1,IFERROR(CORREL('03_原始数据'!$B$682:$B$701,'03_原始数据'!$C$682:$C$701),""),"")</f>
        <v/>
      </c>
      <c r="C701" s="31">
        <f>IF(1=1,IFERROR(CORREL('03_原始数据'!$B$642:$B$701,'03_原始数据'!$C$642:$C$701),""),"")</f>
        <v/>
      </c>
      <c r="D701" s="31">
        <f>IF(1=1,IFERROR(CORREL('03_原始数据'!$B$582:$B$701,'03_原始数据'!$C$582:$C$701),""),"")</f>
        <v/>
      </c>
      <c r="E701" s="31">
        <f>IF(1=1,IFERROR(CORREL('03_原始数据'!$G$642:$G$701,'03_原始数据'!$H$642:$H$701),""),"")</f>
        <v/>
      </c>
      <c r="F701" s="54">
        <f>IF(N(B701)=0,"不足","有效")</f>
        <v/>
      </c>
    </row>
    <row r="702" ht="17" customHeight="1">
      <c r="A702" s="40">
        <f>'03_原始数据'!A702</f>
        <v/>
      </c>
      <c r="B702" s="34">
        <f>IF(1=1,IFERROR(CORREL('03_原始数据'!$B$683:$B$702,'03_原始数据'!$C$683:$C$702),""),"")</f>
        <v/>
      </c>
      <c r="C702" s="34">
        <f>IF(1=1,IFERROR(CORREL('03_原始数据'!$B$643:$B$702,'03_原始数据'!$C$643:$C$702),""),"")</f>
        <v/>
      </c>
      <c r="D702" s="34">
        <f>IF(1=1,IFERROR(CORREL('03_原始数据'!$B$583:$B$702,'03_原始数据'!$C$583:$C$702),""),"")</f>
        <v/>
      </c>
      <c r="E702" s="34">
        <f>IF(1=1,IFERROR(CORREL('03_原始数据'!$G$643:$G$702,'03_原始数据'!$H$643:$H$702),""),"")</f>
        <v/>
      </c>
      <c r="F702" s="55">
        <f>IF(N(B702)=0,"不足","有效")</f>
        <v/>
      </c>
    </row>
    <row r="703" ht="17" customHeight="1">
      <c r="A703" s="38">
        <f>'03_原始数据'!A703</f>
        <v/>
      </c>
      <c r="B703" s="31">
        <f>IF(1=1,IFERROR(CORREL('03_原始数据'!$B$684:$B$703,'03_原始数据'!$C$684:$C$703),""),"")</f>
        <v/>
      </c>
      <c r="C703" s="31">
        <f>IF(1=1,IFERROR(CORREL('03_原始数据'!$B$644:$B$703,'03_原始数据'!$C$644:$C$703),""),"")</f>
        <v/>
      </c>
      <c r="D703" s="31">
        <f>IF(1=1,IFERROR(CORREL('03_原始数据'!$B$584:$B$703,'03_原始数据'!$C$584:$C$703),""),"")</f>
        <v/>
      </c>
      <c r="E703" s="31">
        <f>IF(1=1,IFERROR(CORREL('03_原始数据'!$G$644:$G$703,'03_原始数据'!$H$644:$H$703),""),"")</f>
        <v/>
      </c>
      <c r="F703" s="54">
        <f>IF(N(B703)=0,"不足","有效")</f>
        <v/>
      </c>
    </row>
    <row r="704" ht="17" customHeight="1">
      <c r="A704" s="40">
        <f>'03_原始数据'!A704</f>
        <v/>
      </c>
      <c r="B704" s="34">
        <f>IF(1=1,IFERROR(CORREL('03_原始数据'!$B$685:$B$704,'03_原始数据'!$C$685:$C$704),""),"")</f>
        <v/>
      </c>
      <c r="C704" s="34">
        <f>IF(1=1,IFERROR(CORREL('03_原始数据'!$B$645:$B$704,'03_原始数据'!$C$645:$C$704),""),"")</f>
        <v/>
      </c>
      <c r="D704" s="34">
        <f>IF(1=1,IFERROR(CORREL('03_原始数据'!$B$585:$B$704,'03_原始数据'!$C$585:$C$704),""),"")</f>
        <v/>
      </c>
      <c r="E704" s="34">
        <f>IF(1=1,IFERROR(CORREL('03_原始数据'!$G$645:$G$704,'03_原始数据'!$H$645:$H$704),""),"")</f>
        <v/>
      </c>
      <c r="F704" s="55">
        <f>IF(N(B704)=0,"不足","有效")</f>
        <v/>
      </c>
    </row>
    <row r="705" ht="17" customHeight="1">
      <c r="A705" s="38">
        <f>'03_原始数据'!A705</f>
        <v/>
      </c>
      <c r="B705" s="31">
        <f>IF(1=1,IFERROR(CORREL('03_原始数据'!$B$686:$B$705,'03_原始数据'!$C$686:$C$705),""),"")</f>
        <v/>
      </c>
      <c r="C705" s="31">
        <f>IF(1=1,IFERROR(CORREL('03_原始数据'!$B$646:$B$705,'03_原始数据'!$C$646:$C$705),""),"")</f>
        <v/>
      </c>
      <c r="D705" s="31">
        <f>IF(1=1,IFERROR(CORREL('03_原始数据'!$B$586:$B$705,'03_原始数据'!$C$586:$C$705),""),"")</f>
        <v/>
      </c>
      <c r="E705" s="31">
        <f>IF(1=1,IFERROR(CORREL('03_原始数据'!$G$646:$G$705,'03_原始数据'!$H$646:$H$705),""),"")</f>
        <v/>
      </c>
      <c r="F705" s="54">
        <f>IF(N(B705)=0,"不足","有效")</f>
        <v/>
      </c>
    </row>
    <row r="706" ht="17" customHeight="1">
      <c r="A706" s="40">
        <f>'03_原始数据'!A706</f>
        <v/>
      </c>
      <c r="B706" s="34">
        <f>IF(1=1,IFERROR(CORREL('03_原始数据'!$B$687:$B$706,'03_原始数据'!$C$687:$C$706),""),"")</f>
        <v/>
      </c>
      <c r="C706" s="34">
        <f>IF(1=1,IFERROR(CORREL('03_原始数据'!$B$647:$B$706,'03_原始数据'!$C$647:$C$706),""),"")</f>
        <v/>
      </c>
      <c r="D706" s="34">
        <f>IF(1=1,IFERROR(CORREL('03_原始数据'!$B$587:$B$706,'03_原始数据'!$C$587:$C$706),""),"")</f>
        <v/>
      </c>
      <c r="E706" s="34">
        <f>IF(1=1,IFERROR(CORREL('03_原始数据'!$G$647:$G$706,'03_原始数据'!$H$647:$H$706),""),"")</f>
        <v/>
      </c>
      <c r="F706" s="55">
        <f>IF(N(B706)=0,"不足","有效")</f>
        <v/>
      </c>
    </row>
    <row r="707" ht="17" customHeight="1">
      <c r="A707" s="38">
        <f>'03_原始数据'!A707</f>
        <v/>
      </c>
      <c r="B707" s="31">
        <f>IF(1=1,IFERROR(CORREL('03_原始数据'!$B$688:$B$707,'03_原始数据'!$C$688:$C$707),""),"")</f>
        <v/>
      </c>
      <c r="C707" s="31">
        <f>IF(1=1,IFERROR(CORREL('03_原始数据'!$B$648:$B$707,'03_原始数据'!$C$648:$C$707),""),"")</f>
        <v/>
      </c>
      <c r="D707" s="31">
        <f>IF(1=1,IFERROR(CORREL('03_原始数据'!$B$588:$B$707,'03_原始数据'!$C$588:$C$707),""),"")</f>
        <v/>
      </c>
      <c r="E707" s="31">
        <f>IF(1=1,IFERROR(CORREL('03_原始数据'!$G$648:$G$707,'03_原始数据'!$H$648:$H$707),""),"")</f>
        <v/>
      </c>
      <c r="F707" s="54">
        <f>IF(N(B707)=0,"不足","有效")</f>
        <v/>
      </c>
    </row>
    <row r="708" ht="17" customHeight="1">
      <c r="A708" s="40">
        <f>'03_原始数据'!A708</f>
        <v/>
      </c>
      <c r="B708" s="34">
        <f>IF(1=1,IFERROR(CORREL('03_原始数据'!$B$689:$B$708,'03_原始数据'!$C$689:$C$708),""),"")</f>
        <v/>
      </c>
      <c r="C708" s="34">
        <f>IF(1=1,IFERROR(CORREL('03_原始数据'!$B$649:$B$708,'03_原始数据'!$C$649:$C$708),""),"")</f>
        <v/>
      </c>
      <c r="D708" s="34">
        <f>IF(1=1,IFERROR(CORREL('03_原始数据'!$B$589:$B$708,'03_原始数据'!$C$589:$C$708),""),"")</f>
        <v/>
      </c>
      <c r="E708" s="34">
        <f>IF(1=1,IFERROR(CORREL('03_原始数据'!$G$649:$G$708,'03_原始数据'!$H$649:$H$708),""),"")</f>
        <v/>
      </c>
      <c r="F708" s="55">
        <f>IF(N(B708)=0,"不足","有效")</f>
        <v/>
      </c>
    </row>
    <row r="709" ht="17" customHeight="1">
      <c r="A709" s="38">
        <f>'03_原始数据'!A709</f>
        <v/>
      </c>
      <c r="B709" s="31">
        <f>IF(1=1,IFERROR(CORREL('03_原始数据'!$B$690:$B$709,'03_原始数据'!$C$690:$C$709),""),"")</f>
        <v/>
      </c>
      <c r="C709" s="31">
        <f>IF(1=1,IFERROR(CORREL('03_原始数据'!$B$650:$B$709,'03_原始数据'!$C$650:$C$709),""),"")</f>
        <v/>
      </c>
      <c r="D709" s="31">
        <f>IF(1=1,IFERROR(CORREL('03_原始数据'!$B$590:$B$709,'03_原始数据'!$C$590:$C$709),""),"")</f>
        <v/>
      </c>
      <c r="E709" s="31">
        <f>IF(1=1,IFERROR(CORREL('03_原始数据'!$G$650:$G$709,'03_原始数据'!$H$650:$H$709),""),"")</f>
        <v/>
      </c>
      <c r="F709" s="54">
        <f>IF(N(B709)=0,"不足","有效")</f>
        <v/>
      </c>
    </row>
    <row r="710" ht="17" customHeight="1">
      <c r="A710" s="40">
        <f>'03_原始数据'!A710</f>
        <v/>
      </c>
      <c r="B710" s="34">
        <f>IF(1=1,IFERROR(CORREL('03_原始数据'!$B$691:$B$710,'03_原始数据'!$C$691:$C$710),""),"")</f>
        <v/>
      </c>
      <c r="C710" s="34">
        <f>IF(1=1,IFERROR(CORREL('03_原始数据'!$B$651:$B$710,'03_原始数据'!$C$651:$C$710),""),"")</f>
        <v/>
      </c>
      <c r="D710" s="34">
        <f>IF(1=1,IFERROR(CORREL('03_原始数据'!$B$591:$B$710,'03_原始数据'!$C$591:$C$710),""),"")</f>
        <v/>
      </c>
      <c r="E710" s="34">
        <f>IF(1=1,IFERROR(CORREL('03_原始数据'!$G$651:$G$710,'03_原始数据'!$H$651:$H$710),""),"")</f>
        <v/>
      </c>
      <c r="F710" s="55">
        <f>IF(N(B710)=0,"不足","有效")</f>
        <v/>
      </c>
    </row>
    <row r="711" ht="17" customHeight="1">
      <c r="A711" s="38">
        <f>'03_原始数据'!A711</f>
        <v/>
      </c>
      <c r="B711" s="31">
        <f>IF(1=1,IFERROR(CORREL('03_原始数据'!$B$692:$B$711,'03_原始数据'!$C$692:$C$711),""),"")</f>
        <v/>
      </c>
      <c r="C711" s="31">
        <f>IF(1=1,IFERROR(CORREL('03_原始数据'!$B$652:$B$711,'03_原始数据'!$C$652:$C$711),""),"")</f>
        <v/>
      </c>
      <c r="D711" s="31">
        <f>IF(1=1,IFERROR(CORREL('03_原始数据'!$B$592:$B$711,'03_原始数据'!$C$592:$C$711),""),"")</f>
        <v/>
      </c>
      <c r="E711" s="31">
        <f>IF(1=1,IFERROR(CORREL('03_原始数据'!$G$652:$G$711,'03_原始数据'!$H$652:$H$711),""),"")</f>
        <v/>
      </c>
      <c r="F711" s="54">
        <f>IF(N(B711)=0,"不足","有效")</f>
        <v/>
      </c>
    </row>
    <row r="712" ht="17" customHeight="1">
      <c r="A712" s="40">
        <f>'03_原始数据'!A712</f>
        <v/>
      </c>
      <c r="B712" s="34">
        <f>IF(1=1,IFERROR(CORREL('03_原始数据'!$B$693:$B$712,'03_原始数据'!$C$693:$C$712),""),"")</f>
        <v/>
      </c>
      <c r="C712" s="34">
        <f>IF(1=1,IFERROR(CORREL('03_原始数据'!$B$653:$B$712,'03_原始数据'!$C$653:$C$712),""),"")</f>
        <v/>
      </c>
      <c r="D712" s="34">
        <f>IF(1=1,IFERROR(CORREL('03_原始数据'!$B$593:$B$712,'03_原始数据'!$C$593:$C$712),""),"")</f>
        <v/>
      </c>
      <c r="E712" s="34">
        <f>IF(1=1,IFERROR(CORREL('03_原始数据'!$G$653:$G$712,'03_原始数据'!$H$653:$H$712),""),"")</f>
        <v/>
      </c>
      <c r="F712" s="55">
        <f>IF(N(B712)=0,"不足","有效")</f>
        <v/>
      </c>
    </row>
    <row r="713" ht="17" customHeight="1">
      <c r="A713" s="38">
        <f>'03_原始数据'!A713</f>
        <v/>
      </c>
      <c r="B713" s="31">
        <f>IF(1=1,IFERROR(CORREL('03_原始数据'!$B$694:$B$713,'03_原始数据'!$C$694:$C$713),""),"")</f>
        <v/>
      </c>
      <c r="C713" s="31">
        <f>IF(1=1,IFERROR(CORREL('03_原始数据'!$B$654:$B$713,'03_原始数据'!$C$654:$C$713),""),"")</f>
        <v/>
      </c>
      <c r="D713" s="31">
        <f>IF(1=1,IFERROR(CORREL('03_原始数据'!$B$594:$B$713,'03_原始数据'!$C$594:$C$713),""),"")</f>
        <v/>
      </c>
      <c r="E713" s="31">
        <f>IF(1=1,IFERROR(CORREL('03_原始数据'!$G$654:$G$713,'03_原始数据'!$H$654:$H$713),""),"")</f>
        <v/>
      </c>
      <c r="F713" s="54">
        <f>IF(N(B713)=0,"不足","有效")</f>
        <v/>
      </c>
    </row>
    <row r="714" ht="17" customHeight="1">
      <c r="A714" s="40">
        <f>'03_原始数据'!A714</f>
        <v/>
      </c>
      <c r="B714" s="34">
        <f>IF(1=1,IFERROR(CORREL('03_原始数据'!$B$695:$B$714,'03_原始数据'!$C$695:$C$714),""),"")</f>
        <v/>
      </c>
      <c r="C714" s="34">
        <f>IF(1=1,IFERROR(CORREL('03_原始数据'!$B$655:$B$714,'03_原始数据'!$C$655:$C$714),""),"")</f>
        <v/>
      </c>
      <c r="D714" s="34">
        <f>IF(1=1,IFERROR(CORREL('03_原始数据'!$B$595:$B$714,'03_原始数据'!$C$595:$C$714),""),"")</f>
        <v/>
      </c>
      <c r="E714" s="34">
        <f>IF(1=1,IFERROR(CORREL('03_原始数据'!$G$655:$G$714,'03_原始数据'!$H$655:$H$714),""),"")</f>
        <v/>
      </c>
      <c r="F714" s="55">
        <f>IF(N(B714)=0,"不足","有效")</f>
        <v/>
      </c>
    </row>
    <row r="715" ht="17" customHeight="1">
      <c r="A715" s="38">
        <f>'03_原始数据'!A715</f>
        <v/>
      </c>
      <c r="B715" s="31">
        <f>IF(1=1,IFERROR(CORREL('03_原始数据'!$B$696:$B$715,'03_原始数据'!$C$696:$C$715),""),"")</f>
        <v/>
      </c>
      <c r="C715" s="31">
        <f>IF(1=1,IFERROR(CORREL('03_原始数据'!$B$656:$B$715,'03_原始数据'!$C$656:$C$715),""),"")</f>
        <v/>
      </c>
      <c r="D715" s="31">
        <f>IF(1=1,IFERROR(CORREL('03_原始数据'!$B$596:$B$715,'03_原始数据'!$C$596:$C$715),""),"")</f>
        <v/>
      </c>
      <c r="E715" s="31">
        <f>IF(1=1,IFERROR(CORREL('03_原始数据'!$G$656:$G$715,'03_原始数据'!$H$656:$H$715),""),"")</f>
        <v/>
      </c>
      <c r="F715" s="54">
        <f>IF(N(B715)=0,"不足","有效")</f>
        <v/>
      </c>
    </row>
    <row r="716" ht="17" customHeight="1">
      <c r="A716" s="40">
        <f>'03_原始数据'!A716</f>
        <v/>
      </c>
      <c r="B716" s="34">
        <f>IF(1=1,IFERROR(CORREL('03_原始数据'!$B$697:$B$716,'03_原始数据'!$C$697:$C$716),""),"")</f>
        <v/>
      </c>
      <c r="C716" s="34">
        <f>IF(1=1,IFERROR(CORREL('03_原始数据'!$B$657:$B$716,'03_原始数据'!$C$657:$C$716),""),"")</f>
        <v/>
      </c>
      <c r="D716" s="34">
        <f>IF(1=1,IFERROR(CORREL('03_原始数据'!$B$597:$B$716,'03_原始数据'!$C$597:$C$716),""),"")</f>
        <v/>
      </c>
      <c r="E716" s="34">
        <f>IF(1=1,IFERROR(CORREL('03_原始数据'!$G$657:$G$716,'03_原始数据'!$H$657:$H$716),""),"")</f>
        <v/>
      </c>
      <c r="F716" s="55">
        <f>IF(N(B716)=0,"不足","有效")</f>
        <v/>
      </c>
    </row>
    <row r="717" ht="17" customHeight="1">
      <c r="A717" s="38">
        <f>'03_原始数据'!A717</f>
        <v/>
      </c>
      <c r="B717" s="31">
        <f>IF(1=1,IFERROR(CORREL('03_原始数据'!$B$698:$B$717,'03_原始数据'!$C$698:$C$717),""),"")</f>
        <v/>
      </c>
      <c r="C717" s="31">
        <f>IF(1=1,IFERROR(CORREL('03_原始数据'!$B$658:$B$717,'03_原始数据'!$C$658:$C$717),""),"")</f>
        <v/>
      </c>
      <c r="D717" s="31">
        <f>IF(1=1,IFERROR(CORREL('03_原始数据'!$B$598:$B$717,'03_原始数据'!$C$598:$C$717),""),"")</f>
        <v/>
      </c>
      <c r="E717" s="31">
        <f>IF(1=1,IFERROR(CORREL('03_原始数据'!$G$658:$G$717,'03_原始数据'!$H$658:$H$717),""),"")</f>
        <v/>
      </c>
      <c r="F717" s="54">
        <f>IF(N(B717)=0,"不足","有效")</f>
        <v/>
      </c>
    </row>
    <row r="718" ht="17" customHeight="1">
      <c r="A718" s="40">
        <f>'03_原始数据'!A718</f>
        <v/>
      </c>
      <c r="B718" s="34">
        <f>IF(1=1,IFERROR(CORREL('03_原始数据'!$B$699:$B$718,'03_原始数据'!$C$699:$C$718),""),"")</f>
        <v/>
      </c>
      <c r="C718" s="34">
        <f>IF(1=1,IFERROR(CORREL('03_原始数据'!$B$659:$B$718,'03_原始数据'!$C$659:$C$718),""),"")</f>
        <v/>
      </c>
      <c r="D718" s="34">
        <f>IF(1=1,IFERROR(CORREL('03_原始数据'!$B$599:$B$718,'03_原始数据'!$C$599:$C$718),""),"")</f>
        <v/>
      </c>
      <c r="E718" s="34">
        <f>IF(1=1,IFERROR(CORREL('03_原始数据'!$G$659:$G$718,'03_原始数据'!$H$659:$H$718),""),"")</f>
        <v/>
      </c>
      <c r="F718" s="55">
        <f>IF(N(B718)=0,"不足","有效")</f>
        <v/>
      </c>
    </row>
    <row r="719" ht="17" customHeight="1">
      <c r="A719" s="38">
        <f>'03_原始数据'!A719</f>
        <v/>
      </c>
      <c r="B719" s="31">
        <f>IF(1=1,IFERROR(CORREL('03_原始数据'!$B$700:$B$719,'03_原始数据'!$C$700:$C$719),""),"")</f>
        <v/>
      </c>
      <c r="C719" s="31">
        <f>IF(1=1,IFERROR(CORREL('03_原始数据'!$B$660:$B$719,'03_原始数据'!$C$660:$C$719),""),"")</f>
        <v/>
      </c>
      <c r="D719" s="31">
        <f>IF(1=1,IFERROR(CORREL('03_原始数据'!$B$600:$B$719,'03_原始数据'!$C$600:$C$719),""),"")</f>
        <v/>
      </c>
      <c r="E719" s="31">
        <f>IF(1=1,IFERROR(CORREL('03_原始数据'!$G$660:$G$719,'03_原始数据'!$H$660:$H$719),""),"")</f>
        <v/>
      </c>
      <c r="F719" s="54">
        <f>IF(N(B719)=0,"不足","有效")</f>
        <v/>
      </c>
    </row>
    <row r="720" ht="17" customHeight="1">
      <c r="A720" s="40">
        <f>'03_原始数据'!A720</f>
        <v/>
      </c>
      <c r="B720" s="34">
        <f>IF(1=1,IFERROR(CORREL('03_原始数据'!$B$701:$B$720,'03_原始数据'!$C$701:$C$720),""),"")</f>
        <v/>
      </c>
      <c r="C720" s="34">
        <f>IF(1=1,IFERROR(CORREL('03_原始数据'!$B$661:$B$720,'03_原始数据'!$C$661:$C$720),""),"")</f>
        <v/>
      </c>
      <c r="D720" s="34">
        <f>IF(1=1,IFERROR(CORREL('03_原始数据'!$B$601:$B$720,'03_原始数据'!$C$601:$C$720),""),"")</f>
        <v/>
      </c>
      <c r="E720" s="34">
        <f>IF(1=1,IFERROR(CORREL('03_原始数据'!$G$661:$G$720,'03_原始数据'!$H$661:$H$720),""),"")</f>
        <v/>
      </c>
      <c r="F720" s="55">
        <f>IF(N(B720)=0,"不足","有效")</f>
        <v/>
      </c>
    </row>
    <row r="721" ht="17" customHeight="1">
      <c r="A721" s="38">
        <f>'03_原始数据'!A721</f>
        <v/>
      </c>
      <c r="B721" s="31">
        <f>IF(1=1,IFERROR(CORREL('03_原始数据'!$B$702:$B$721,'03_原始数据'!$C$702:$C$721),""),"")</f>
        <v/>
      </c>
      <c r="C721" s="31">
        <f>IF(1=1,IFERROR(CORREL('03_原始数据'!$B$662:$B$721,'03_原始数据'!$C$662:$C$721),""),"")</f>
        <v/>
      </c>
      <c r="D721" s="31">
        <f>IF(1=1,IFERROR(CORREL('03_原始数据'!$B$602:$B$721,'03_原始数据'!$C$602:$C$721),""),"")</f>
        <v/>
      </c>
      <c r="E721" s="31">
        <f>IF(1=1,IFERROR(CORREL('03_原始数据'!$G$662:$G$721,'03_原始数据'!$H$662:$H$721),""),"")</f>
        <v/>
      </c>
      <c r="F721" s="54">
        <f>IF(N(B721)=0,"不足","有效")</f>
        <v/>
      </c>
    </row>
    <row r="722" ht="17" customHeight="1">
      <c r="A722" s="40">
        <f>'03_原始数据'!A722</f>
        <v/>
      </c>
      <c r="B722" s="34">
        <f>IF(1=1,IFERROR(CORREL('03_原始数据'!$B$703:$B$722,'03_原始数据'!$C$703:$C$722),""),"")</f>
        <v/>
      </c>
      <c r="C722" s="34">
        <f>IF(1=1,IFERROR(CORREL('03_原始数据'!$B$663:$B$722,'03_原始数据'!$C$663:$C$722),""),"")</f>
        <v/>
      </c>
      <c r="D722" s="34">
        <f>IF(1=1,IFERROR(CORREL('03_原始数据'!$B$603:$B$722,'03_原始数据'!$C$603:$C$722),""),"")</f>
        <v/>
      </c>
      <c r="E722" s="34">
        <f>IF(1=1,IFERROR(CORREL('03_原始数据'!$G$663:$G$722,'03_原始数据'!$H$663:$H$722),""),"")</f>
        <v/>
      </c>
      <c r="F722" s="55">
        <f>IF(N(B722)=0,"不足","有效")</f>
        <v/>
      </c>
    </row>
    <row r="723" ht="17" customHeight="1">
      <c r="A723" s="38">
        <f>'03_原始数据'!A723</f>
        <v/>
      </c>
      <c r="B723" s="31">
        <f>IF(1=1,IFERROR(CORREL('03_原始数据'!$B$704:$B$723,'03_原始数据'!$C$704:$C$723),""),"")</f>
        <v/>
      </c>
      <c r="C723" s="31">
        <f>IF(1=1,IFERROR(CORREL('03_原始数据'!$B$664:$B$723,'03_原始数据'!$C$664:$C$723),""),"")</f>
        <v/>
      </c>
      <c r="D723" s="31">
        <f>IF(1=1,IFERROR(CORREL('03_原始数据'!$B$604:$B$723,'03_原始数据'!$C$604:$C$723),""),"")</f>
        <v/>
      </c>
      <c r="E723" s="31">
        <f>IF(1=1,IFERROR(CORREL('03_原始数据'!$G$664:$G$723,'03_原始数据'!$H$664:$H$723),""),"")</f>
        <v/>
      </c>
      <c r="F723" s="54">
        <f>IF(N(B723)=0,"不足","有效")</f>
        <v/>
      </c>
    </row>
    <row r="724" ht="17" customHeight="1">
      <c r="A724" s="40">
        <f>'03_原始数据'!A724</f>
        <v/>
      </c>
      <c r="B724" s="34">
        <f>IF(1=1,IFERROR(CORREL('03_原始数据'!$B$705:$B$724,'03_原始数据'!$C$705:$C$724),""),"")</f>
        <v/>
      </c>
      <c r="C724" s="34">
        <f>IF(1=1,IFERROR(CORREL('03_原始数据'!$B$665:$B$724,'03_原始数据'!$C$665:$C$724),""),"")</f>
        <v/>
      </c>
      <c r="D724" s="34">
        <f>IF(1=1,IFERROR(CORREL('03_原始数据'!$B$605:$B$724,'03_原始数据'!$C$605:$C$724),""),"")</f>
        <v/>
      </c>
      <c r="E724" s="34">
        <f>IF(1=1,IFERROR(CORREL('03_原始数据'!$G$665:$G$724,'03_原始数据'!$H$665:$H$724),""),"")</f>
        <v/>
      </c>
      <c r="F724" s="55">
        <f>IF(N(B724)=0,"不足","有效")</f>
        <v/>
      </c>
    </row>
    <row r="725" ht="17" customHeight="1">
      <c r="A725" s="38">
        <f>'03_原始数据'!A725</f>
        <v/>
      </c>
      <c r="B725" s="31">
        <f>IF(1=1,IFERROR(CORREL('03_原始数据'!$B$706:$B$725,'03_原始数据'!$C$706:$C$725),""),"")</f>
        <v/>
      </c>
      <c r="C725" s="31">
        <f>IF(1=1,IFERROR(CORREL('03_原始数据'!$B$666:$B$725,'03_原始数据'!$C$666:$C$725),""),"")</f>
        <v/>
      </c>
      <c r="D725" s="31">
        <f>IF(1=1,IFERROR(CORREL('03_原始数据'!$B$606:$B$725,'03_原始数据'!$C$606:$C$725),""),"")</f>
        <v/>
      </c>
      <c r="E725" s="31">
        <f>IF(1=1,IFERROR(CORREL('03_原始数据'!$G$666:$G$725,'03_原始数据'!$H$666:$H$725),""),"")</f>
        <v/>
      </c>
      <c r="F725" s="54">
        <f>IF(N(B725)=0,"不足","有效")</f>
        <v/>
      </c>
    </row>
    <row r="726" ht="17" customHeight="1">
      <c r="A726" s="40">
        <f>'03_原始数据'!A726</f>
        <v/>
      </c>
      <c r="B726" s="34">
        <f>IF(1=1,IFERROR(CORREL('03_原始数据'!$B$707:$B$726,'03_原始数据'!$C$707:$C$726),""),"")</f>
        <v/>
      </c>
      <c r="C726" s="34">
        <f>IF(1=1,IFERROR(CORREL('03_原始数据'!$B$667:$B$726,'03_原始数据'!$C$667:$C$726),""),"")</f>
        <v/>
      </c>
      <c r="D726" s="34">
        <f>IF(1=1,IFERROR(CORREL('03_原始数据'!$B$607:$B$726,'03_原始数据'!$C$607:$C$726),""),"")</f>
        <v/>
      </c>
      <c r="E726" s="34">
        <f>IF(1=1,IFERROR(CORREL('03_原始数据'!$G$667:$G$726,'03_原始数据'!$H$667:$H$726),""),"")</f>
        <v/>
      </c>
      <c r="F726" s="55">
        <f>IF(N(B726)=0,"不足","有效")</f>
        <v/>
      </c>
    </row>
    <row r="727" ht="17" customHeight="1">
      <c r="A727" s="38">
        <f>'03_原始数据'!A727</f>
        <v/>
      </c>
      <c r="B727" s="31">
        <f>IF(1=1,IFERROR(CORREL('03_原始数据'!$B$708:$B$727,'03_原始数据'!$C$708:$C$727),""),"")</f>
        <v/>
      </c>
      <c r="C727" s="31">
        <f>IF(1=1,IFERROR(CORREL('03_原始数据'!$B$668:$B$727,'03_原始数据'!$C$668:$C$727),""),"")</f>
        <v/>
      </c>
      <c r="D727" s="31">
        <f>IF(1=1,IFERROR(CORREL('03_原始数据'!$B$608:$B$727,'03_原始数据'!$C$608:$C$727),""),"")</f>
        <v/>
      </c>
      <c r="E727" s="31">
        <f>IF(1=1,IFERROR(CORREL('03_原始数据'!$G$668:$G$727,'03_原始数据'!$H$668:$H$727),""),"")</f>
        <v/>
      </c>
      <c r="F727" s="54">
        <f>IF(N(B727)=0,"不足","有效")</f>
        <v/>
      </c>
    </row>
    <row r="728" ht="17" customHeight="1">
      <c r="A728" s="40">
        <f>'03_原始数据'!A728</f>
        <v/>
      </c>
      <c r="B728" s="34">
        <f>IF(1=1,IFERROR(CORREL('03_原始数据'!$B$709:$B$728,'03_原始数据'!$C$709:$C$728),""),"")</f>
        <v/>
      </c>
      <c r="C728" s="34">
        <f>IF(1=1,IFERROR(CORREL('03_原始数据'!$B$669:$B$728,'03_原始数据'!$C$669:$C$728),""),"")</f>
        <v/>
      </c>
      <c r="D728" s="34">
        <f>IF(1=1,IFERROR(CORREL('03_原始数据'!$B$609:$B$728,'03_原始数据'!$C$609:$C$728),""),"")</f>
        <v/>
      </c>
      <c r="E728" s="34">
        <f>IF(1=1,IFERROR(CORREL('03_原始数据'!$G$669:$G$728,'03_原始数据'!$H$669:$H$728),""),"")</f>
        <v/>
      </c>
      <c r="F728" s="55">
        <f>IF(N(B728)=0,"不足","有效")</f>
        <v/>
      </c>
    </row>
    <row r="729" ht="17" customHeight="1">
      <c r="A729" s="38">
        <f>'03_原始数据'!A729</f>
        <v/>
      </c>
      <c r="B729" s="31">
        <f>IF(1=1,IFERROR(CORREL('03_原始数据'!$B$710:$B$729,'03_原始数据'!$C$710:$C$729),""),"")</f>
        <v/>
      </c>
      <c r="C729" s="31">
        <f>IF(1=1,IFERROR(CORREL('03_原始数据'!$B$670:$B$729,'03_原始数据'!$C$670:$C$729),""),"")</f>
        <v/>
      </c>
      <c r="D729" s="31">
        <f>IF(1=1,IFERROR(CORREL('03_原始数据'!$B$610:$B$729,'03_原始数据'!$C$610:$C$729),""),"")</f>
        <v/>
      </c>
      <c r="E729" s="31">
        <f>IF(1=1,IFERROR(CORREL('03_原始数据'!$G$670:$G$729,'03_原始数据'!$H$670:$H$729),""),"")</f>
        <v/>
      </c>
      <c r="F729" s="54">
        <f>IF(N(B729)=0,"不足","有效")</f>
        <v/>
      </c>
    </row>
    <row r="730" ht="17" customHeight="1">
      <c r="A730" s="40">
        <f>'03_原始数据'!A730</f>
        <v/>
      </c>
      <c r="B730" s="34">
        <f>IF(1=1,IFERROR(CORREL('03_原始数据'!$B$711:$B$730,'03_原始数据'!$C$711:$C$730),""),"")</f>
        <v/>
      </c>
      <c r="C730" s="34">
        <f>IF(1=1,IFERROR(CORREL('03_原始数据'!$B$671:$B$730,'03_原始数据'!$C$671:$C$730),""),"")</f>
        <v/>
      </c>
      <c r="D730" s="34">
        <f>IF(1=1,IFERROR(CORREL('03_原始数据'!$B$611:$B$730,'03_原始数据'!$C$611:$C$730),""),"")</f>
        <v/>
      </c>
      <c r="E730" s="34">
        <f>IF(1=1,IFERROR(CORREL('03_原始数据'!$G$671:$G$730,'03_原始数据'!$H$671:$H$730),""),"")</f>
        <v/>
      </c>
      <c r="F730" s="55">
        <f>IF(N(B730)=0,"不足","有效")</f>
        <v/>
      </c>
    </row>
    <row r="731" ht="17" customHeight="1">
      <c r="A731" s="38">
        <f>'03_原始数据'!A731</f>
        <v/>
      </c>
      <c r="B731" s="31">
        <f>IF(1=1,IFERROR(CORREL('03_原始数据'!$B$712:$B$731,'03_原始数据'!$C$712:$C$731),""),"")</f>
        <v/>
      </c>
      <c r="C731" s="31">
        <f>IF(1=1,IFERROR(CORREL('03_原始数据'!$B$672:$B$731,'03_原始数据'!$C$672:$C$731),""),"")</f>
        <v/>
      </c>
      <c r="D731" s="31">
        <f>IF(1=1,IFERROR(CORREL('03_原始数据'!$B$612:$B$731,'03_原始数据'!$C$612:$C$731),""),"")</f>
        <v/>
      </c>
      <c r="E731" s="31">
        <f>IF(1=1,IFERROR(CORREL('03_原始数据'!$G$672:$G$731,'03_原始数据'!$H$672:$H$731),""),"")</f>
        <v/>
      </c>
      <c r="F731" s="54">
        <f>IF(N(B731)=0,"不足","有效")</f>
        <v/>
      </c>
    </row>
    <row r="732" ht="17" customHeight="1">
      <c r="A732" s="40">
        <f>'03_原始数据'!A732</f>
        <v/>
      </c>
      <c r="B732" s="34">
        <f>IF(1=1,IFERROR(CORREL('03_原始数据'!$B$713:$B$732,'03_原始数据'!$C$713:$C$732),""),"")</f>
        <v/>
      </c>
      <c r="C732" s="34">
        <f>IF(1=1,IFERROR(CORREL('03_原始数据'!$B$673:$B$732,'03_原始数据'!$C$673:$C$732),""),"")</f>
        <v/>
      </c>
      <c r="D732" s="34">
        <f>IF(1=1,IFERROR(CORREL('03_原始数据'!$B$613:$B$732,'03_原始数据'!$C$613:$C$732),""),"")</f>
        <v/>
      </c>
      <c r="E732" s="34">
        <f>IF(1=1,IFERROR(CORREL('03_原始数据'!$G$673:$G$732,'03_原始数据'!$H$673:$H$732),""),"")</f>
        <v/>
      </c>
      <c r="F732" s="55">
        <f>IF(N(B732)=0,"不足","有效")</f>
        <v/>
      </c>
    </row>
    <row r="733" ht="17" customHeight="1">
      <c r="A733" s="38">
        <f>'03_原始数据'!A733</f>
        <v/>
      </c>
      <c r="B733" s="31">
        <f>IF(1=1,IFERROR(CORREL('03_原始数据'!$B$714:$B$733,'03_原始数据'!$C$714:$C$733),""),"")</f>
        <v/>
      </c>
      <c r="C733" s="31">
        <f>IF(1=1,IFERROR(CORREL('03_原始数据'!$B$674:$B$733,'03_原始数据'!$C$674:$C$733),""),"")</f>
        <v/>
      </c>
      <c r="D733" s="31">
        <f>IF(1=1,IFERROR(CORREL('03_原始数据'!$B$614:$B$733,'03_原始数据'!$C$614:$C$733),""),"")</f>
        <v/>
      </c>
      <c r="E733" s="31">
        <f>IF(1=1,IFERROR(CORREL('03_原始数据'!$G$674:$G$733,'03_原始数据'!$H$674:$H$733),""),"")</f>
        <v/>
      </c>
      <c r="F733" s="54">
        <f>IF(N(B733)=0,"不足","有效")</f>
        <v/>
      </c>
    </row>
    <row r="734" ht="17" customHeight="1">
      <c r="A734" s="40">
        <f>'03_原始数据'!A734</f>
        <v/>
      </c>
      <c r="B734" s="34">
        <f>IF(1=1,IFERROR(CORREL('03_原始数据'!$B$715:$B$734,'03_原始数据'!$C$715:$C$734),""),"")</f>
        <v/>
      </c>
      <c r="C734" s="34">
        <f>IF(1=1,IFERROR(CORREL('03_原始数据'!$B$675:$B$734,'03_原始数据'!$C$675:$C$734),""),"")</f>
        <v/>
      </c>
      <c r="D734" s="34">
        <f>IF(1=1,IFERROR(CORREL('03_原始数据'!$B$615:$B$734,'03_原始数据'!$C$615:$C$734),""),"")</f>
        <v/>
      </c>
      <c r="E734" s="34">
        <f>IF(1=1,IFERROR(CORREL('03_原始数据'!$G$675:$G$734,'03_原始数据'!$H$675:$H$734),""),"")</f>
        <v/>
      </c>
      <c r="F734" s="55">
        <f>IF(N(B734)=0,"不足","有效")</f>
        <v/>
      </c>
    </row>
    <row r="735" ht="17" customHeight="1">
      <c r="A735" s="38">
        <f>'03_原始数据'!A735</f>
        <v/>
      </c>
      <c r="B735" s="31">
        <f>IF(1=1,IFERROR(CORREL('03_原始数据'!$B$716:$B$735,'03_原始数据'!$C$716:$C$735),""),"")</f>
        <v/>
      </c>
      <c r="C735" s="31">
        <f>IF(1=1,IFERROR(CORREL('03_原始数据'!$B$676:$B$735,'03_原始数据'!$C$676:$C$735),""),"")</f>
        <v/>
      </c>
      <c r="D735" s="31">
        <f>IF(1=1,IFERROR(CORREL('03_原始数据'!$B$616:$B$735,'03_原始数据'!$C$616:$C$735),""),"")</f>
        <v/>
      </c>
      <c r="E735" s="31">
        <f>IF(1=1,IFERROR(CORREL('03_原始数据'!$G$676:$G$735,'03_原始数据'!$H$676:$H$735),""),"")</f>
        <v/>
      </c>
      <c r="F735" s="54">
        <f>IF(N(B735)=0,"不足","有效")</f>
        <v/>
      </c>
    </row>
    <row r="736" ht="17" customHeight="1">
      <c r="A736" s="40">
        <f>'03_原始数据'!A736</f>
        <v/>
      </c>
      <c r="B736" s="34">
        <f>IF(1=1,IFERROR(CORREL('03_原始数据'!$B$717:$B$736,'03_原始数据'!$C$717:$C$736),""),"")</f>
        <v/>
      </c>
      <c r="C736" s="34">
        <f>IF(1=1,IFERROR(CORREL('03_原始数据'!$B$677:$B$736,'03_原始数据'!$C$677:$C$736),""),"")</f>
        <v/>
      </c>
      <c r="D736" s="34">
        <f>IF(1=1,IFERROR(CORREL('03_原始数据'!$B$617:$B$736,'03_原始数据'!$C$617:$C$736),""),"")</f>
        <v/>
      </c>
      <c r="E736" s="34">
        <f>IF(1=1,IFERROR(CORREL('03_原始数据'!$G$677:$G$736,'03_原始数据'!$H$677:$H$736),""),"")</f>
        <v/>
      </c>
      <c r="F736" s="55">
        <f>IF(N(B736)=0,"不足","有效")</f>
        <v/>
      </c>
    </row>
    <row r="737" ht="17" customHeight="1">
      <c r="A737" s="38">
        <f>'03_原始数据'!A737</f>
        <v/>
      </c>
      <c r="B737" s="31">
        <f>IF(1=1,IFERROR(CORREL('03_原始数据'!$B$718:$B$737,'03_原始数据'!$C$718:$C$737),""),"")</f>
        <v/>
      </c>
      <c r="C737" s="31">
        <f>IF(1=1,IFERROR(CORREL('03_原始数据'!$B$678:$B$737,'03_原始数据'!$C$678:$C$737),""),"")</f>
        <v/>
      </c>
      <c r="D737" s="31">
        <f>IF(1=1,IFERROR(CORREL('03_原始数据'!$B$618:$B$737,'03_原始数据'!$C$618:$C$737),""),"")</f>
        <v/>
      </c>
      <c r="E737" s="31">
        <f>IF(1=1,IFERROR(CORREL('03_原始数据'!$G$678:$G$737,'03_原始数据'!$H$678:$H$737),""),"")</f>
        <v/>
      </c>
      <c r="F737" s="54">
        <f>IF(N(B737)=0,"不足","有效")</f>
        <v/>
      </c>
    </row>
    <row r="738" ht="17" customHeight="1">
      <c r="A738" s="40">
        <f>'03_原始数据'!A738</f>
        <v/>
      </c>
      <c r="B738" s="34">
        <f>IF(1=1,IFERROR(CORREL('03_原始数据'!$B$719:$B$738,'03_原始数据'!$C$719:$C$738),""),"")</f>
        <v/>
      </c>
      <c r="C738" s="34">
        <f>IF(1=1,IFERROR(CORREL('03_原始数据'!$B$679:$B$738,'03_原始数据'!$C$679:$C$738),""),"")</f>
        <v/>
      </c>
      <c r="D738" s="34">
        <f>IF(1=1,IFERROR(CORREL('03_原始数据'!$B$619:$B$738,'03_原始数据'!$C$619:$C$738),""),"")</f>
        <v/>
      </c>
      <c r="E738" s="34">
        <f>IF(1=1,IFERROR(CORREL('03_原始数据'!$G$679:$G$738,'03_原始数据'!$H$679:$H$738),""),"")</f>
        <v/>
      </c>
      <c r="F738" s="55">
        <f>IF(N(B738)=0,"不足","有效")</f>
        <v/>
      </c>
    </row>
    <row r="739" ht="17" customHeight="1">
      <c r="A739" s="38">
        <f>'03_原始数据'!A739</f>
        <v/>
      </c>
      <c r="B739" s="31">
        <f>IF(1=1,IFERROR(CORREL('03_原始数据'!$B$720:$B$739,'03_原始数据'!$C$720:$C$739),""),"")</f>
        <v/>
      </c>
      <c r="C739" s="31">
        <f>IF(1=1,IFERROR(CORREL('03_原始数据'!$B$680:$B$739,'03_原始数据'!$C$680:$C$739),""),"")</f>
        <v/>
      </c>
      <c r="D739" s="31">
        <f>IF(1=1,IFERROR(CORREL('03_原始数据'!$B$620:$B$739,'03_原始数据'!$C$620:$C$739),""),"")</f>
        <v/>
      </c>
      <c r="E739" s="31">
        <f>IF(1=1,IFERROR(CORREL('03_原始数据'!$G$680:$G$739,'03_原始数据'!$H$680:$H$739),""),"")</f>
        <v/>
      </c>
      <c r="F739" s="54">
        <f>IF(N(B739)=0,"不足","有效")</f>
        <v/>
      </c>
    </row>
    <row r="740" ht="17" customHeight="1">
      <c r="A740" s="40">
        <f>'03_原始数据'!A740</f>
        <v/>
      </c>
      <c r="B740" s="34">
        <f>IF(1=1,IFERROR(CORREL('03_原始数据'!$B$721:$B$740,'03_原始数据'!$C$721:$C$740),""),"")</f>
        <v/>
      </c>
      <c r="C740" s="34">
        <f>IF(1=1,IFERROR(CORREL('03_原始数据'!$B$681:$B$740,'03_原始数据'!$C$681:$C$740),""),"")</f>
        <v/>
      </c>
      <c r="D740" s="34">
        <f>IF(1=1,IFERROR(CORREL('03_原始数据'!$B$621:$B$740,'03_原始数据'!$C$621:$C$740),""),"")</f>
        <v/>
      </c>
      <c r="E740" s="34">
        <f>IF(1=1,IFERROR(CORREL('03_原始数据'!$G$681:$G$740,'03_原始数据'!$H$681:$H$740),""),"")</f>
        <v/>
      </c>
      <c r="F740" s="55">
        <f>IF(N(B740)=0,"不足","有效")</f>
        <v/>
      </c>
    </row>
    <row r="741" ht="17" customHeight="1">
      <c r="A741" s="38">
        <f>'03_原始数据'!A741</f>
        <v/>
      </c>
      <c r="B741" s="31">
        <f>IF(1=1,IFERROR(CORREL('03_原始数据'!$B$722:$B$741,'03_原始数据'!$C$722:$C$741),""),"")</f>
        <v/>
      </c>
      <c r="C741" s="31">
        <f>IF(1=1,IFERROR(CORREL('03_原始数据'!$B$682:$B$741,'03_原始数据'!$C$682:$C$741),""),"")</f>
        <v/>
      </c>
      <c r="D741" s="31">
        <f>IF(1=1,IFERROR(CORREL('03_原始数据'!$B$622:$B$741,'03_原始数据'!$C$622:$C$741),""),"")</f>
        <v/>
      </c>
      <c r="E741" s="31">
        <f>IF(1=1,IFERROR(CORREL('03_原始数据'!$G$682:$G$741,'03_原始数据'!$H$682:$H$741),""),"")</f>
        <v/>
      </c>
      <c r="F741" s="54">
        <f>IF(N(B741)=0,"不足","有效")</f>
        <v/>
      </c>
    </row>
    <row r="742" ht="17" customHeight="1">
      <c r="A742" s="40">
        <f>'03_原始数据'!A742</f>
        <v/>
      </c>
      <c r="B742" s="34">
        <f>IF(1=1,IFERROR(CORREL('03_原始数据'!$B$723:$B$742,'03_原始数据'!$C$723:$C$742),""),"")</f>
        <v/>
      </c>
      <c r="C742" s="34">
        <f>IF(1=1,IFERROR(CORREL('03_原始数据'!$B$683:$B$742,'03_原始数据'!$C$683:$C$742),""),"")</f>
        <v/>
      </c>
      <c r="D742" s="34">
        <f>IF(1=1,IFERROR(CORREL('03_原始数据'!$B$623:$B$742,'03_原始数据'!$C$623:$C$742),""),"")</f>
        <v/>
      </c>
      <c r="E742" s="34">
        <f>IF(1=1,IFERROR(CORREL('03_原始数据'!$G$683:$G$742,'03_原始数据'!$H$683:$H$742),""),"")</f>
        <v/>
      </c>
      <c r="F742" s="55">
        <f>IF(N(B742)=0,"不足","有效")</f>
        <v/>
      </c>
    </row>
    <row r="743" ht="17" customHeight="1">
      <c r="A743" s="38">
        <f>'03_原始数据'!A743</f>
        <v/>
      </c>
      <c r="B743" s="31">
        <f>IF(1=1,IFERROR(CORREL('03_原始数据'!$B$724:$B$743,'03_原始数据'!$C$724:$C$743),""),"")</f>
        <v/>
      </c>
      <c r="C743" s="31">
        <f>IF(1=1,IFERROR(CORREL('03_原始数据'!$B$684:$B$743,'03_原始数据'!$C$684:$C$743),""),"")</f>
        <v/>
      </c>
      <c r="D743" s="31">
        <f>IF(1=1,IFERROR(CORREL('03_原始数据'!$B$624:$B$743,'03_原始数据'!$C$624:$C$743),""),"")</f>
        <v/>
      </c>
      <c r="E743" s="31">
        <f>IF(1=1,IFERROR(CORREL('03_原始数据'!$G$684:$G$743,'03_原始数据'!$H$684:$H$743),""),"")</f>
        <v/>
      </c>
      <c r="F743" s="54">
        <f>IF(N(B743)=0,"不足","有效")</f>
        <v/>
      </c>
    </row>
    <row r="744" ht="17" customHeight="1">
      <c r="A744" s="40">
        <f>'03_原始数据'!A744</f>
        <v/>
      </c>
      <c r="B744" s="34">
        <f>IF(1=1,IFERROR(CORREL('03_原始数据'!$B$725:$B$744,'03_原始数据'!$C$725:$C$744),""),"")</f>
        <v/>
      </c>
      <c r="C744" s="34">
        <f>IF(1=1,IFERROR(CORREL('03_原始数据'!$B$685:$B$744,'03_原始数据'!$C$685:$C$744),""),"")</f>
        <v/>
      </c>
      <c r="D744" s="34">
        <f>IF(1=1,IFERROR(CORREL('03_原始数据'!$B$625:$B$744,'03_原始数据'!$C$625:$C$744),""),"")</f>
        <v/>
      </c>
      <c r="E744" s="34">
        <f>IF(1=1,IFERROR(CORREL('03_原始数据'!$G$685:$G$744,'03_原始数据'!$H$685:$H$744),""),"")</f>
        <v/>
      </c>
      <c r="F744" s="55">
        <f>IF(N(B744)=0,"不足","有效")</f>
        <v/>
      </c>
    </row>
    <row r="745" ht="17" customHeight="1">
      <c r="A745" s="38">
        <f>'03_原始数据'!A745</f>
        <v/>
      </c>
      <c r="B745" s="31">
        <f>IF(1=1,IFERROR(CORREL('03_原始数据'!$B$726:$B$745,'03_原始数据'!$C$726:$C$745),""),"")</f>
        <v/>
      </c>
      <c r="C745" s="31">
        <f>IF(1=1,IFERROR(CORREL('03_原始数据'!$B$686:$B$745,'03_原始数据'!$C$686:$C$745),""),"")</f>
        <v/>
      </c>
      <c r="D745" s="31">
        <f>IF(1=1,IFERROR(CORREL('03_原始数据'!$B$626:$B$745,'03_原始数据'!$C$626:$C$745),""),"")</f>
        <v/>
      </c>
      <c r="E745" s="31">
        <f>IF(1=1,IFERROR(CORREL('03_原始数据'!$G$686:$G$745,'03_原始数据'!$H$686:$H$745),""),"")</f>
        <v/>
      </c>
      <c r="F745" s="54">
        <f>IF(N(B745)=0,"不足","有效")</f>
        <v/>
      </c>
    </row>
    <row r="746" ht="17" customHeight="1">
      <c r="A746" s="40">
        <f>'03_原始数据'!A746</f>
        <v/>
      </c>
      <c r="B746" s="34">
        <f>IF(1=1,IFERROR(CORREL('03_原始数据'!$B$727:$B$746,'03_原始数据'!$C$727:$C$746),""),"")</f>
        <v/>
      </c>
      <c r="C746" s="34">
        <f>IF(1=1,IFERROR(CORREL('03_原始数据'!$B$687:$B$746,'03_原始数据'!$C$687:$C$746),""),"")</f>
        <v/>
      </c>
      <c r="D746" s="34">
        <f>IF(1=1,IFERROR(CORREL('03_原始数据'!$B$627:$B$746,'03_原始数据'!$C$627:$C$746),""),"")</f>
        <v/>
      </c>
      <c r="E746" s="34">
        <f>IF(1=1,IFERROR(CORREL('03_原始数据'!$G$687:$G$746,'03_原始数据'!$H$687:$H$746),""),"")</f>
        <v/>
      </c>
      <c r="F746" s="55">
        <f>IF(N(B746)=0,"不足","有效")</f>
        <v/>
      </c>
    </row>
    <row r="747" ht="17" customHeight="1">
      <c r="A747" s="38">
        <f>'03_原始数据'!A747</f>
        <v/>
      </c>
      <c r="B747" s="31">
        <f>IF(1=1,IFERROR(CORREL('03_原始数据'!$B$728:$B$747,'03_原始数据'!$C$728:$C$747),""),"")</f>
        <v/>
      </c>
      <c r="C747" s="31">
        <f>IF(1=1,IFERROR(CORREL('03_原始数据'!$B$688:$B$747,'03_原始数据'!$C$688:$C$747),""),"")</f>
        <v/>
      </c>
      <c r="D747" s="31">
        <f>IF(1=1,IFERROR(CORREL('03_原始数据'!$B$628:$B$747,'03_原始数据'!$C$628:$C$747),""),"")</f>
        <v/>
      </c>
      <c r="E747" s="31">
        <f>IF(1=1,IFERROR(CORREL('03_原始数据'!$G$688:$G$747,'03_原始数据'!$H$688:$H$747),""),"")</f>
        <v/>
      </c>
      <c r="F747" s="54">
        <f>IF(N(B747)=0,"不足","有效")</f>
        <v/>
      </c>
    </row>
    <row r="748" ht="17" customHeight="1">
      <c r="A748" s="40">
        <f>'03_原始数据'!A748</f>
        <v/>
      </c>
      <c r="B748" s="34">
        <f>IF(1=1,IFERROR(CORREL('03_原始数据'!$B$729:$B$748,'03_原始数据'!$C$729:$C$748),""),"")</f>
        <v/>
      </c>
      <c r="C748" s="34">
        <f>IF(1=1,IFERROR(CORREL('03_原始数据'!$B$689:$B$748,'03_原始数据'!$C$689:$C$748),""),"")</f>
        <v/>
      </c>
      <c r="D748" s="34">
        <f>IF(1=1,IFERROR(CORREL('03_原始数据'!$B$629:$B$748,'03_原始数据'!$C$629:$C$748),""),"")</f>
        <v/>
      </c>
      <c r="E748" s="34">
        <f>IF(1=1,IFERROR(CORREL('03_原始数据'!$G$689:$G$748,'03_原始数据'!$H$689:$H$748),""),"")</f>
        <v/>
      </c>
      <c r="F748" s="55">
        <f>IF(N(B748)=0,"不足","有效")</f>
        <v/>
      </c>
    </row>
    <row r="749" ht="17" customHeight="1">
      <c r="A749" s="38">
        <f>'03_原始数据'!A749</f>
        <v/>
      </c>
      <c r="B749" s="31">
        <f>IF(1=1,IFERROR(CORREL('03_原始数据'!$B$730:$B$749,'03_原始数据'!$C$730:$C$749),""),"")</f>
        <v/>
      </c>
      <c r="C749" s="31">
        <f>IF(1=1,IFERROR(CORREL('03_原始数据'!$B$690:$B$749,'03_原始数据'!$C$690:$C$749),""),"")</f>
        <v/>
      </c>
      <c r="D749" s="31">
        <f>IF(1=1,IFERROR(CORREL('03_原始数据'!$B$630:$B$749,'03_原始数据'!$C$630:$C$749),""),"")</f>
        <v/>
      </c>
      <c r="E749" s="31">
        <f>IF(1=1,IFERROR(CORREL('03_原始数据'!$G$690:$G$749,'03_原始数据'!$H$690:$H$749),""),"")</f>
        <v/>
      </c>
      <c r="F749" s="54">
        <f>IF(N(B749)=0,"不足","有效")</f>
        <v/>
      </c>
    </row>
    <row r="750" ht="17" customHeight="1">
      <c r="A750" s="40">
        <f>'03_原始数据'!A750</f>
        <v/>
      </c>
      <c r="B750" s="34">
        <f>IF(1=1,IFERROR(CORREL('03_原始数据'!$B$731:$B$750,'03_原始数据'!$C$731:$C$750),""),"")</f>
        <v/>
      </c>
      <c r="C750" s="34">
        <f>IF(1=1,IFERROR(CORREL('03_原始数据'!$B$691:$B$750,'03_原始数据'!$C$691:$C$750),""),"")</f>
        <v/>
      </c>
      <c r="D750" s="34">
        <f>IF(1=1,IFERROR(CORREL('03_原始数据'!$B$631:$B$750,'03_原始数据'!$C$631:$C$750),""),"")</f>
        <v/>
      </c>
      <c r="E750" s="34">
        <f>IF(1=1,IFERROR(CORREL('03_原始数据'!$G$691:$G$750,'03_原始数据'!$H$691:$H$750),""),"")</f>
        <v/>
      </c>
      <c r="F750" s="55">
        <f>IF(N(B750)=0,"不足","有效")</f>
        <v/>
      </c>
    </row>
    <row r="751" ht="17" customHeight="1">
      <c r="A751" s="38">
        <f>'03_原始数据'!A751</f>
        <v/>
      </c>
      <c r="B751" s="31">
        <f>IF(1=1,IFERROR(CORREL('03_原始数据'!$B$732:$B$751,'03_原始数据'!$C$732:$C$751),""),"")</f>
        <v/>
      </c>
      <c r="C751" s="31">
        <f>IF(1=1,IFERROR(CORREL('03_原始数据'!$B$692:$B$751,'03_原始数据'!$C$692:$C$751),""),"")</f>
        <v/>
      </c>
      <c r="D751" s="31">
        <f>IF(1=1,IFERROR(CORREL('03_原始数据'!$B$632:$B$751,'03_原始数据'!$C$632:$C$751),""),"")</f>
        <v/>
      </c>
      <c r="E751" s="31">
        <f>IF(1=1,IFERROR(CORREL('03_原始数据'!$G$692:$G$751,'03_原始数据'!$H$692:$H$751),""),"")</f>
        <v/>
      </c>
      <c r="F751" s="54">
        <f>IF(N(B751)=0,"不足","有效")</f>
        <v/>
      </c>
    </row>
    <row r="752" ht="17" customHeight="1">
      <c r="A752" s="40">
        <f>'03_原始数据'!A752</f>
        <v/>
      </c>
      <c r="B752" s="34">
        <f>IF(1=1,IFERROR(CORREL('03_原始数据'!$B$733:$B$752,'03_原始数据'!$C$733:$C$752),""),"")</f>
        <v/>
      </c>
      <c r="C752" s="34">
        <f>IF(1=1,IFERROR(CORREL('03_原始数据'!$B$693:$B$752,'03_原始数据'!$C$693:$C$752),""),"")</f>
        <v/>
      </c>
      <c r="D752" s="34">
        <f>IF(1=1,IFERROR(CORREL('03_原始数据'!$B$633:$B$752,'03_原始数据'!$C$633:$C$752),""),"")</f>
        <v/>
      </c>
      <c r="E752" s="34">
        <f>IF(1=1,IFERROR(CORREL('03_原始数据'!$G$693:$G$752,'03_原始数据'!$H$693:$H$752),""),"")</f>
        <v/>
      </c>
      <c r="F752" s="55">
        <f>IF(N(B752)=0,"不足","有效")</f>
        <v/>
      </c>
    </row>
    <row r="753" ht="17" customHeight="1">
      <c r="A753" s="38">
        <f>'03_原始数据'!A753</f>
        <v/>
      </c>
      <c r="B753" s="31">
        <f>IF(1=1,IFERROR(CORREL('03_原始数据'!$B$734:$B$753,'03_原始数据'!$C$734:$C$753),""),"")</f>
        <v/>
      </c>
      <c r="C753" s="31">
        <f>IF(1=1,IFERROR(CORREL('03_原始数据'!$B$694:$B$753,'03_原始数据'!$C$694:$C$753),""),"")</f>
        <v/>
      </c>
      <c r="D753" s="31">
        <f>IF(1=1,IFERROR(CORREL('03_原始数据'!$B$634:$B$753,'03_原始数据'!$C$634:$C$753),""),"")</f>
        <v/>
      </c>
      <c r="E753" s="31">
        <f>IF(1=1,IFERROR(CORREL('03_原始数据'!$G$694:$G$753,'03_原始数据'!$H$694:$H$753),""),"")</f>
        <v/>
      </c>
      <c r="F753" s="54">
        <f>IF(N(B753)=0,"不足","有效")</f>
        <v/>
      </c>
    </row>
    <row r="754" ht="17" customHeight="1">
      <c r="A754" s="40">
        <f>'03_原始数据'!A754</f>
        <v/>
      </c>
      <c r="B754" s="34">
        <f>IF(1=1,IFERROR(CORREL('03_原始数据'!$B$735:$B$754,'03_原始数据'!$C$735:$C$754),""),"")</f>
        <v/>
      </c>
      <c r="C754" s="34">
        <f>IF(1=1,IFERROR(CORREL('03_原始数据'!$B$695:$B$754,'03_原始数据'!$C$695:$C$754),""),"")</f>
        <v/>
      </c>
      <c r="D754" s="34">
        <f>IF(1=1,IFERROR(CORREL('03_原始数据'!$B$635:$B$754,'03_原始数据'!$C$635:$C$754),""),"")</f>
        <v/>
      </c>
      <c r="E754" s="34">
        <f>IF(1=1,IFERROR(CORREL('03_原始数据'!$G$695:$G$754,'03_原始数据'!$H$695:$H$754),""),"")</f>
        <v/>
      </c>
      <c r="F754" s="55">
        <f>IF(N(B754)=0,"不足","有效")</f>
        <v/>
      </c>
    </row>
    <row r="755" ht="17" customHeight="1">
      <c r="A755" s="38">
        <f>'03_原始数据'!A755</f>
        <v/>
      </c>
      <c r="B755" s="31">
        <f>IF(1=1,IFERROR(CORREL('03_原始数据'!$B$736:$B$755,'03_原始数据'!$C$736:$C$755),""),"")</f>
        <v/>
      </c>
      <c r="C755" s="31">
        <f>IF(1=1,IFERROR(CORREL('03_原始数据'!$B$696:$B$755,'03_原始数据'!$C$696:$C$755),""),"")</f>
        <v/>
      </c>
      <c r="D755" s="31">
        <f>IF(1=1,IFERROR(CORREL('03_原始数据'!$B$636:$B$755,'03_原始数据'!$C$636:$C$755),""),"")</f>
        <v/>
      </c>
      <c r="E755" s="31">
        <f>IF(1=1,IFERROR(CORREL('03_原始数据'!$G$696:$G$755,'03_原始数据'!$H$696:$H$755),""),"")</f>
        <v/>
      </c>
      <c r="F755" s="54">
        <f>IF(N(B755)=0,"不足","有效")</f>
        <v/>
      </c>
    </row>
    <row r="756" ht="17" customHeight="1">
      <c r="A756" s="40">
        <f>'03_原始数据'!A756</f>
        <v/>
      </c>
      <c r="B756" s="34">
        <f>IF(1=1,IFERROR(CORREL('03_原始数据'!$B$737:$B$756,'03_原始数据'!$C$737:$C$756),""),"")</f>
        <v/>
      </c>
      <c r="C756" s="34">
        <f>IF(1=1,IFERROR(CORREL('03_原始数据'!$B$697:$B$756,'03_原始数据'!$C$697:$C$756),""),"")</f>
        <v/>
      </c>
      <c r="D756" s="34">
        <f>IF(1=1,IFERROR(CORREL('03_原始数据'!$B$637:$B$756,'03_原始数据'!$C$637:$C$756),""),"")</f>
        <v/>
      </c>
      <c r="E756" s="34">
        <f>IF(1=1,IFERROR(CORREL('03_原始数据'!$G$697:$G$756,'03_原始数据'!$H$697:$H$756),""),"")</f>
        <v/>
      </c>
      <c r="F756" s="55">
        <f>IF(N(B756)=0,"不足","有效")</f>
        <v/>
      </c>
    </row>
    <row r="757" ht="17" customHeight="1">
      <c r="A757" s="38">
        <f>'03_原始数据'!A757</f>
        <v/>
      </c>
      <c r="B757" s="31">
        <f>IF(1=1,IFERROR(CORREL('03_原始数据'!$B$738:$B$757,'03_原始数据'!$C$738:$C$757),""),"")</f>
        <v/>
      </c>
      <c r="C757" s="31">
        <f>IF(1=1,IFERROR(CORREL('03_原始数据'!$B$698:$B$757,'03_原始数据'!$C$698:$C$757),""),"")</f>
        <v/>
      </c>
      <c r="D757" s="31">
        <f>IF(1=1,IFERROR(CORREL('03_原始数据'!$B$638:$B$757,'03_原始数据'!$C$638:$C$757),""),"")</f>
        <v/>
      </c>
      <c r="E757" s="31">
        <f>IF(1=1,IFERROR(CORREL('03_原始数据'!$G$698:$G$757,'03_原始数据'!$H$698:$H$757),""),"")</f>
        <v/>
      </c>
      <c r="F757" s="54">
        <f>IF(N(B757)=0,"不足","有效")</f>
        <v/>
      </c>
    </row>
    <row r="758" ht="17" customHeight="1">
      <c r="A758" s="40">
        <f>'03_原始数据'!A758</f>
        <v/>
      </c>
      <c r="B758" s="34">
        <f>IF(1=1,IFERROR(CORREL('03_原始数据'!$B$739:$B$758,'03_原始数据'!$C$739:$C$758),""),"")</f>
        <v/>
      </c>
      <c r="C758" s="34">
        <f>IF(1=1,IFERROR(CORREL('03_原始数据'!$B$699:$B$758,'03_原始数据'!$C$699:$C$758),""),"")</f>
        <v/>
      </c>
      <c r="D758" s="34">
        <f>IF(1=1,IFERROR(CORREL('03_原始数据'!$B$639:$B$758,'03_原始数据'!$C$639:$C$758),""),"")</f>
        <v/>
      </c>
      <c r="E758" s="34">
        <f>IF(1=1,IFERROR(CORREL('03_原始数据'!$G$699:$G$758,'03_原始数据'!$H$699:$H$758),""),"")</f>
        <v/>
      </c>
      <c r="F758" s="55">
        <f>IF(N(B758)=0,"不足","有效")</f>
        <v/>
      </c>
    </row>
    <row r="759" ht="17" customHeight="1">
      <c r="A759" s="38">
        <f>'03_原始数据'!A759</f>
        <v/>
      </c>
      <c r="B759" s="31">
        <f>IF(1=1,IFERROR(CORREL('03_原始数据'!$B$740:$B$759,'03_原始数据'!$C$740:$C$759),""),"")</f>
        <v/>
      </c>
      <c r="C759" s="31">
        <f>IF(1=1,IFERROR(CORREL('03_原始数据'!$B$700:$B$759,'03_原始数据'!$C$700:$C$759),""),"")</f>
        <v/>
      </c>
      <c r="D759" s="31">
        <f>IF(1=1,IFERROR(CORREL('03_原始数据'!$B$640:$B$759,'03_原始数据'!$C$640:$C$759),""),"")</f>
        <v/>
      </c>
      <c r="E759" s="31">
        <f>IF(1=1,IFERROR(CORREL('03_原始数据'!$G$700:$G$759,'03_原始数据'!$H$700:$H$759),""),"")</f>
        <v/>
      </c>
      <c r="F759" s="54">
        <f>IF(N(B759)=0,"不足","有效")</f>
        <v/>
      </c>
    </row>
    <row r="760" ht="17" customHeight="1">
      <c r="A760" s="40">
        <f>'03_原始数据'!A760</f>
        <v/>
      </c>
      <c r="B760" s="34">
        <f>IF(1=1,IFERROR(CORREL('03_原始数据'!$B$741:$B$760,'03_原始数据'!$C$741:$C$760),""),"")</f>
        <v/>
      </c>
      <c r="C760" s="34">
        <f>IF(1=1,IFERROR(CORREL('03_原始数据'!$B$701:$B$760,'03_原始数据'!$C$701:$C$760),""),"")</f>
        <v/>
      </c>
      <c r="D760" s="34">
        <f>IF(1=1,IFERROR(CORREL('03_原始数据'!$B$641:$B$760,'03_原始数据'!$C$641:$C$760),""),"")</f>
        <v/>
      </c>
      <c r="E760" s="34">
        <f>IF(1=1,IFERROR(CORREL('03_原始数据'!$G$701:$G$760,'03_原始数据'!$H$701:$H$760),""),"")</f>
        <v/>
      </c>
      <c r="F760" s="55">
        <f>IF(N(B760)=0,"不足","有效")</f>
        <v/>
      </c>
    </row>
    <row r="761" ht="17" customHeight="1">
      <c r="A761" s="38">
        <f>'03_原始数据'!A761</f>
        <v/>
      </c>
      <c r="B761" s="31">
        <f>IF(1=1,IFERROR(CORREL('03_原始数据'!$B$742:$B$761,'03_原始数据'!$C$742:$C$761),""),"")</f>
        <v/>
      </c>
      <c r="C761" s="31">
        <f>IF(1=1,IFERROR(CORREL('03_原始数据'!$B$702:$B$761,'03_原始数据'!$C$702:$C$761),""),"")</f>
        <v/>
      </c>
      <c r="D761" s="31">
        <f>IF(1=1,IFERROR(CORREL('03_原始数据'!$B$642:$B$761,'03_原始数据'!$C$642:$C$761),""),"")</f>
        <v/>
      </c>
      <c r="E761" s="31">
        <f>IF(1=1,IFERROR(CORREL('03_原始数据'!$G$702:$G$761,'03_原始数据'!$H$702:$H$761),""),"")</f>
        <v/>
      </c>
      <c r="F761" s="54">
        <f>IF(N(B761)=0,"不足","有效")</f>
        <v/>
      </c>
    </row>
    <row r="762" ht="17" customHeight="1">
      <c r="A762" s="40">
        <f>'03_原始数据'!A762</f>
        <v/>
      </c>
      <c r="B762" s="34">
        <f>IF(1=1,IFERROR(CORREL('03_原始数据'!$B$743:$B$762,'03_原始数据'!$C$743:$C$762),""),"")</f>
        <v/>
      </c>
      <c r="C762" s="34">
        <f>IF(1=1,IFERROR(CORREL('03_原始数据'!$B$703:$B$762,'03_原始数据'!$C$703:$C$762),""),"")</f>
        <v/>
      </c>
      <c r="D762" s="34">
        <f>IF(1=1,IFERROR(CORREL('03_原始数据'!$B$643:$B$762,'03_原始数据'!$C$643:$C$762),""),"")</f>
        <v/>
      </c>
      <c r="E762" s="34">
        <f>IF(1=1,IFERROR(CORREL('03_原始数据'!$G$703:$G$762,'03_原始数据'!$H$703:$H$762),""),"")</f>
        <v/>
      </c>
      <c r="F762" s="55">
        <f>IF(N(B762)=0,"不足","有效")</f>
        <v/>
      </c>
    </row>
    <row r="763" ht="17" customHeight="1">
      <c r="A763" s="38">
        <f>'03_原始数据'!A763</f>
        <v/>
      </c>
      <c r="B763" s="31">
        <f>IF(1=1,IFERROR(CORREL('03_原始数据'!$B$744:$B$763,'03_原始数据'!$C$744:$C$763),""),"")</f>
        <v/>
      </c>
      <c r="C763" s="31">
        <f>IF(1=1,IFERROR(CORREL('03_原始数据'!$B$704:$B$763,'03_原始数据'!$C$704:$C$763),""),"")</f>
        <v/>
      </c>
      <c r="D763" s="31">
        <f>IF(1=1,IFERROR(CORREL('03_原始数据'!$B$644:$B$763,'03_原始数据'!$C$644:$C$763),""),"")</f>
        <v/>
      </c>
      <c r="E763" s="31">
        <f>IF(1=1,IFERROR(CORREL('03_原始数据'!$G$704:$G$763,'03_原始数据'!$H$704:$H$763),""),"")</f>
        <v/>
      </c>
      <c r="F763" s="54">
        <f>IF(N(B763)=0,"不足","有效")</f>
        <v/>
      </c>
    </row>
    <row r="764" ht="17" customHeight="1">
      <c r="A764" s="40">
        <f>'03_原始数据'!A764</f>
        <v/>
      </c>
      <c r="B764" s="34">
        <f>IF(1=1,IFERROR(CORREL('03_原始数据'!$B$745:$B$764,'03_原始数据'!$C$745:$C$764),""),"")</f>
        <v/>
      </c>
      <c r="C764" s="34">
        <f>IF(1=1,IFERROR(CORREL('03_原始数据'!$B$705:$B$764,'03_原始数据'!$C$705:$C$764),""),"")</f>
        <v/>
      </c>
      <c r="D764" s="34">
        <f>IF(1=1,IFERROR(CORREL('03_原始数据'!$B$645:$B$764,'03_原始数据'!$C$645:$C$764),""),"")</f>
        <v/>
      </c>
      <c r="E764" s="34">
        <f>IF(1=1,IFERROR(CORREL('03_原始数据'!$G$705:$G$764,'03_原始数据'!$H$705:$H$764),""),"")</f>
        <v/>
      </c>
      <c r="F764" s="55">
        <f>IF(N(B764)=0,"不足","有效")</f>
        <v/>
      </c>
    </row>
    <row r="765" ht="17" customHeight="1">
      <c r="A765" s="38">
        <f>'03_原始数据'!A765</f>
        <v/>
      </c>
      <c r="B765" s="31">
        <f>IF(1=1,IFERROR(CORREL('03_原始数据'!$B$746:$B$765,'03_原始数据'!$C$746:$C$765),""),"")</f>
        <v/>
      </c>
      <c r="C765" s="31">
        <f>IF(1=1,IFERROR(CORREL('03_原始数据'!$B$706:$B$765,'03_原始数据'!$C$706:$C$765),""),"")</f>
        <v/>
      </c>
      <c r="D765" s="31">
        <f>IF(1=1,IFERROR(CORREL('03_原始数据'!$B$646:$B$765,'03_原始数据'!$C$646:$C$765),""),"")</f>
        <v/>
      </c>
      <c r="E765" s="31">
        <f>IF(1=1,IFERROR(CORREL('03_原始数据'!$G$706:$G$765,'03_原始数据'!$H$706:$H$765),""),"")</f>
        <v/>
      </c>
      <c r="F765" s="54">
        <f>IF(N(B765)=0,"不足","有效")</f>
        <v/>
      </c>
    </row>
    <row r="766" ht="17" customHeight="1">
      <c r="A766" s="40">
        <f>'03_原始数据'!A766</f>
        <v/>
      </c>
      <c r="B766" s="34">
        <f>IF(1=1,IFERROR(CORREL('03_原始数据'!$B$747:$B$766,'03_原始数据'!$C$747:$C$766),""),"")</f>
        <v/>
      </c>
      <c r="C766" s="34">
        <f>IF(1=1,IFERROR(CORREL('03_原始数据'!$B$707:$B$766,'03_原始数据'!$C$707:$C$766),""),"")</f>
        <v/>
      </c>
      <c r="D766" s="34">
        <f>IF(1=1,IFERROR(CORREL('03_原始数据'!$B$647:$B$766,'03_原始数据'!$C$647:$C$766),""),"")</f>
        <v/>
      </c>
      <c r="E766" s="34">
        <f>IF(1=1,IFERROR(CORREL('03_原始数据'!$G$707:$G$766,'03_原始数据'!$H$707:$H$766),""),"")</f>
        <v/>
      </c>
      <c r="F766" s="55">
        <f>IF(N(B766)=0,"不足","有效")</f>
        <v/>
      </c>
    </row>
    <row r="767" ht="17" customHeight="1">
      <c r="A767" s="38">
        <f>'03_原始数据'!A767</f>
        <v/>
      </c>
      <c r="B767" s="31">
        <f>IF(1=1,IFERROR(CORREL('03_原始数据'!$B$748:$B$767,'03_原始数据'!$C$748:$C$767),""),"")</f>
        <v/>
      </c>
      <c r="C767" s="31">
        <f>IF(1=1,IFERROR(CORREL('03_原始数据'!$B$708:$B$767,'03_原始数据'!$C$708:$C$767),""),"")</f>
        <v/>
      </c>
      <c r="D767" s="31">
        <f>IF(1=1,IFERROR(CORREL('03_原始数据'!$B$648:$B$767,'03_原始数据'!$C$648:$C$767),""),"")</f>
        <v/>
      </c>
      <c r="E767" s="31">
        <f>IF(1=1,IFERROR(CORREL('03_原始数据'!$G$708:$G$767,'03_原始数据'!$H$708:$H$767),""),"")</f>
        <v/>
      </c>
      <c r="F767" s="54">
        <f>IF(N(B767)=0,"不足","有效")</f>
        <v/>
      </c>
    </row>
    <row r="768" ht="17" customHeight="1">
      <c r="A768" s="40">
        <f>'03_原始数据'!A768</f>
        <v/>
      </c>
      <c r="B768" s="34">
        <f>IF(1=1,IFERROR(CORREL('03_原始数据'!$B$749:$B$768,'03_原始数据'!$C$749:$C$768),""),"")</f>
        <v/>
      </c>
      <c r="C768" s="34">
        <f>IF(1=1,IFERROR(CORREL('03_原始数据'!$B$709:$B$768,'03_原始数据'!$C$709:$C$768),""),"")</f>
        <v/>
      </c>
      <c r="D768" s="34">
        <f>IF(1=1,IFERROR(CORREL('03_原始数据'!$B$649:$B$768,'03_原始数据'!$C$649:$C$768),""),"")</f>
        <v/>
      </c>
      <c r="E768" s="34">
        <f>IF(1=1,IFERROR(CORREL('03_原始数据'!$G$709:$G$768,'03_原始数据'!$H$709:$H$768),""),"")</f>
        <v/>
      </c>
      <c r="F768" s="55">
        <f>IF(N(B768)=0,"不足","有效")</f>
        <v/>
      </c>
    </row>
    <row r="769" ht="17" customHeight="1">
      <c r="A769" s="38">
        <f>'03_原始数据'!A769</f>
        <v/>
      </c>
      <c r="B769" s="31">
        <f>IF(1=1,IFERROR(CORREL('03_原始数据'!$B$750:$B$769,'03_原始数据'!$C$750:$C$769),""),"")</f>
        <v/>
      </c>
      <c r="C769" s="31">
        <f>IF(1=1,IFERROR(CORREL('03_原始数据'!$B$710:$B$769,'03_原始数据'!$C$710:$C$769),""),"")</f>
        <v/>
      </c>
      <c r="D769" s="31">
        <f>IF(1=1,IFERROR(CORREL('03_原始数据'!$B$650:$B$769,'03_原始数据'!$C$650:$C$769),""),"")</f>
        <v/>
      </c>
      <c r="E769" s="31">
        <f>IF(1=1,IFERROR(CORREL('03_原始数据'!$G$710:$G$769,'03_原始数据'!$H$710:$H$769),""),"")</f>
        <v/>
      </c>
      <c r="F769" s="54">
        <f>IF(N(B769)=0,"不足","有效")</f>
        <v/>
      </c>
    </row>
    <row r="770" ht="17" customHeight="1">
      <c r="A770" s="40">
        <f>'03_原始数据'!A770</f>
        <v/>
      </c>
      <c r="B770" s="34">
        <f>IF(1=1,IFERROR(CORREL('03_原始数据'!$B$751:$B$770,'03_原始数据'!$C$751:$C$770),""),"")</f>
        <v/>
      </c>
      <c r="C770" s="34">
        <f>IF(1=1,IFERROR(CORREL('03_原始数据'!$B$711:$B$770,'03_原始数据'!$C$711:$C$770),""),"")</f>
        <v/>
      </c>
      <c r="D770" s="34">
        <f>IF(1=1,IFERROR(CORREL('03_原始数据'!$B$651:$B$770,'03_原始数据'!$C$651:$C$770),""),"")</f>
        <v/>
      </c>
      <c r="E770" s="34">
        <f>IF(1=1,IFERROR(CORREL('03_原始数据'!$G$711:$G$770,'03_原始数据'!$H$711:$H$770),""),"")</f>
        <v/>
      </c>
      <c r="F770" s="55">
        <f>IF(N(B770)=0,"不足","有效")</f>
        <v/>
      </c>
    </row>
    <row r="771" ht="17" customHeight="1">
      <c r="A771" s="38">
        <f>'03_原始数据'!A771</f>
        <v/>
      </c>
      <c r="B771" s="31">
        <f>IF(1=1,IFERROR(CORREL('03_原始数据'!$B$752:$B$771,'03_原始数据'!$C$752:$C$771),""),"")</f>
        <v/>
      </c>
      <c r="C771" s="31">
        <f>IF(1=1,IFERROR(CORREL('03_原始数据'!$B$712:$B$771,'03_原始数据'!$C$712:$C$771),""),"")</f>
        <v/>
      </c>
      <c r="D771" s="31">
        <f>IF(1=1,IFERROR(CORREL('03_原始数据'!$B$652:$B$771,'03_原始数据'!$C$652:$C$771),""),"")</f>
        <v/>
      </c>
      <c r="E771" s="31">
        <f>IF(1=1,IFERROR(CORREL('03_原始数据'!$G$712:$G$771,'03_原始数据'!$H$712:$H$771),""),"")</f>
        <v/>
      </c>
      <c r="F771" s="54">
        <f>IF(N(B771)=0,"不足","有效")</f>
        <v/>
      </c>
    </row>
    <row r="772" ht="17" customHeight="1">
      <c r="A772" s="40">
        <f>'03_原始数据'!A772</f>
        <v/>
      </c>
      <c r="B772" s="34">
        <f>IF(1=1,IFERROR(CORREL('03_原始数据'!$B$753:$B$772,'03_原始数据'!$C$753:$C$772),""),"")</f>
        <v/>
      </c>
      <c r="C772" s="34">
        <f>IF(1=1,IFERROR(CORREL('03_原始数据'!$B$713:$B$772,'03_原始数据'!$C$713:$C$772),""),"")</f>
        <v/>
      </c>
      <c r="D772" s="34">
        <f>IF(1=1,IFERROR(CORREL('03_原始数据'!$B$653:$B$772,'03_原始数据'!$C$653:$C$772),""),"")</f>
        <v/>
      </c>
      <c r="E772" s="34">
        <f>IF(1=1,IFERROR(CORREL('03_原始数据'!$G$713:$G$772,'03_原始数据'!$H$713:$H$772),""),"")</f>
        <v/>
      </c>
      <c r="F772" s="55">
        <f>IF(N(B772)=0,"不足","有效")</f>
        <v/>
      </c>
    </row>
    <row r="773" ht="17" customHeight="1">
      <c r="A773" s="38">
        <f>'03_原始数据'!A773</f>
        <v/>
      </c>
      <c r="B773" s="31">
        <f>IF(1=1,IFERROR(CORREL('03_原始数据'!$B$754:$B$773,'03_原始数据'!$C$754:$C$773),""),"")</f>
        <v/>
      </c>
      <c r="C773" s="31">
        <f>IF(1=1,IFERROR(CORREL('03_原始数据'!$B$714:$B$773,'03_原始数据'!$C$714:$C$773),""),"")</f>
        <v/>
      </c>
      <c r="D773" s="31">
        <f>IF(1=1,IFERROR(CORREL('03_原始数据'!$B$654:$B$773,'03_原始数据'!$C$654:$C$773),""),"")</f>
        <v/>
      </c>
      <c r="E773" s="31">
        <f>IF(1=1,IFERROR(CORREL('03_原始数据'!$G$714:$G$773,'03_原始数据'!$H$714:$H$773),""),"")</f>
        <v/>
      </c>
      <c r="F773" s="54">
        <f>IF(N(B773)=0,"不足","有效")</f>
        <v/>
      </c>
    </row>
    <row r="774" ht="17" customHeight="1">
      <c r="A774" s="40">
        <f>'03_原始数据'!A774</f>
        <v/>
      </c>
      <c r="B774" s="34">
        <f>IF(1=1,IFERROR(CORREL('03_原始数据'!$B$755:$B$774,'03_原始数据'!$C$755:$C$774),""),"")</f>
        <v/>
      </c>
      <c r="C774" s="34">
        <f>IF(1=1,IFERROR(CORREL('03_原始数据'!$B$715:$B$774,'03_原始数据'!$C$715:$C$774),""),"")</f>
        <v/>
      </c>
      <c r="D774" s="34">
        <f>IF(1=1,IFERROR(CORREL('03_原始数据'!$B$655:$B$774,'03_原始数据'!$C$655:$C$774),""),"")</f>
        <v/>
      </c>
      <c r="E774" s="34">
        <f>IF(1=1,IFERROR(CORREL('03_原始数据'!$G$715:$G$774,'03_原始数据'!$H$715:$H$774),""),"")</f>
        <v/>
      </c>
      <c r="F774" s="55">
        <f>IF(N(B774)=0,"不足","有效")</f>
        <v/>
      </c>
    </row>
    <row r="775" ht="17" customHeight="1">
      <c r="A775" s="38">
        <f>'03_原始数据'!A775</f>
        <v/>
      </c>
      <c r="B775" s="31">
        <f>IF(1=1,IFERROR(CORREL('03_原始数据'!$B$756:$B$775,'03_原始数据'!$C$756:$C$775),""),"")</f>
        <v/>
      </c>
      <c r="C775" s="31">
        <f>IF(1=1,IFERROR(CORREL('03_原始数据'!$B$716:$B$775,'03_原始数据'!$C$716:$C$775),""),"")</f>
        <v/>
      </c>
      <c r="D775" s="31">
        <f>IF(1=1,IFERROR(CORREL('03_原始数据'!$B$656:$B$775,'03_原始数据'!$C$656:$C$775),""),"")</f>
        <v/>
      </c>
      <c r="E775" s="31">
        <f>IF(1=1,IFERROR(CORREL('03_原始数据'!$G$716:$G$775,'03_原始数据'!$H$716:$H$775),""),"")</f>
        <v/>
      </c>
      <c r="F775" s="54">
        <f>IF(N(B775)=0,"不足","有效")</f>
        <v/>
      </c>
    </row>
    <row r="776" ht="17" customHeight="1">
      <c r="A776" s="40">
        <f>'03_原始数据'!A776</f>
        <v/>
      </c>
      <c r="B776" s="34">
        <f>IF(1=1,IFERROR(CORREL('03_原始数据'!$B$757:$B$776,'03_原始数据'!$C$757:$C$776),""),"")</f>
        <v/>
      </c>
      <c r="C776" s="34">
        <f>IF(1=1,IFERROR(CORREL('03_原始数据'!$B$717:$B$776,'03_原始数据'!$C$717:$C$776),""),"")</f>
        <v/>
      </c>
      <c r="D776" s="34">
        <f>IF(1=1,IFERROR(CORREL('03_原始数据'!$B$657:$B$776,'03_原始数据'!$C$657:$C$776),""),"")</f>
        <v/>
      </c>
      <c r="E776" s="34">
        <f>IF(1=1,IFERROR(CORREL('03_原始数据'!$G$717:$G$776,'03_原始数据'!$H$717:$H$776),""),"")</f>
        <v/>
      </c>
      <c r="F776" s="55">
        <f>IF(N(B776)=0,"不足","有效")</f>
        <v/>
      </c>
    </row>
    <row r="777" ht="17" customHeight="1">
      <c r="A777" s="38">
        <f>'03_原始数据'!A777</f>
        <v/>
      </c>
      <c r="B777" s="31">
        <f>IF(1=1,IFERROR(CORREL('03_原始数据'!$B$758:$B$777,'03_原始数据'!$C$758:$C$777),""),"")</f>
        <v/>
      </c>
      <c r="C777" s="31">
        <f>IF(1=1,IFERROR(CORREL('03_原始数据'!$B$718:$B$777,'03_原始数据'!$C$718:$C$777),""),"")</f>
        <v/>
      </c>
      <c r="D777" s="31">
        <f>IF(1=1,IFERROR(CORREL('03_原始数据'!$B$658:$B$777,'03_原始数据'!$C$658:$C$777),""),"")</f>
        <v/>
      </c>
      <c r="E777" s="31">
        <f>IF(1=1,IFERROR(CORREL('03_原始数据'!$G$718:$G$777,'03_原始数据'!$H$718:$H$777),""),"")</f>
        <v/>
      </c>
      <c r="F777" s="54">
        <f>IF(N(B777)=0,"不足","有效")</f>
        <v/>
      </c>
    </row>
    <row r="778" ht="17" customHeight="1">
      <c r="A778" s="40">
        <f>'03_原始数据'!A778</f>
        <v/>
      </c>
      <c r="B778" s="34">
        <f>IF(1=1,IFERROR(CORREL('03_原始数据'!$B$759:$B$778,'03_原始数据'!$C$759:$C$778),""),"")</f>
        <v/>
      </c>
      <c r="C778" s="34">
        <f>IF(1=1,IFERROR(CORREL('03_原始数据'!$B$719:$B$778,'03_原始数据'!$C$719:$C$778),""),"")</f>
        <v/>
      </c>
      <c r="D778" s="34">
        <f>IF(1=1,IFERROR(CORREL('03_原始数据'!$B$659:$B$778,'03_原始数据'!$C$659:$C$778),""),"")</f>
        <v/>
      </c>
      <c r="E778" s="34">
        <f>IF(1=1,IFERROR(CORREL('03_原始数据'!$G$719:$G$778,'03_原始数据'!$H$719:$H$778),""),"")</f>
        <v/>
      </c>
      <c r="F778" s="55">
        <f>IF(N(B778)=0,"不足","有效")</f>
        <v/>
      </c>
    </row>
    <row r="779" ht="17" customHeight="1">
      <c r="A779" s="38">
        <f>'03_原始数据'!A779</f>
        <v/>
      </c>
      <c r="B779" s="31">
        <f>IF(1=1,IFERROR(CORREL('03_原始数据'!$B$760:$B$779,'03_原始数据'!$C$760:$C$779),""),"")</f>
        <v/>
      </c>
      <c r="C779" s="31">
        <f>IF(1=1,IFERROR(CORREL('03_原始数据'!$B$720:$B$779,'03_原始数据'!$C$720:$C$779),""),"")</f>
        <v/>
      </c>
      <c r="D779" s="31">
        <f>IF(1=1,IFERROR(CORREL('03_原始数据'!$B$660:$B$779,'03_原始数据'!$C$660:$C$779),""),"")</f>
        <v/>
      </c>
      <c r="E779" s="31">
        <f>IF(1=1,IFERROR(CORREL('03_原始数据'!$G$720:$G$779,'03_原始数据'!$H$720:$H$779),""),"")</f>
        <v/>
      </c>
      <c r="F779" s="54">
        <f>IF(N(B779)=0,"不足","有效")</f>
        <v/>
      </c>
    </row>
    <row r="780" ht="17" customHeight="1">
      <c r="A780" s="40">
        <f>'03_原始数据'!A780</f>
        <v/>
      </c>
      <c r="B780" s="34">
        <f>IF(1=1,IFERROR(CORREL('03_原始数据'!$B$761:$B$780,'03_原始数据'!$C$761:$C$780),""),"")</f>
        <v/>
      </c>
      <c r="C780" s="34">
        <f>IF(1=1,IFERROR(CORREL('03_原始数据'!$B$721:$B$780,'03_原始数据'!$C$721:$C$780),""),"")</f>
        <v/>
      </c>
      <c r="D780" s="34">
        <f>IF(1=1,IFERROR(CORREL('03_原始数据'!$B$661:$B$780,'03_原始数据'!$C$661:$C$780),""),"")</f>
        <v/>
      </c>
      <c r="E780" s="34">
        <f>IF(1=1,IFERROR(CORREL('03_原始数据'!$G$721:$G$780,'03_原始数据'!$H$721:$H$780),""),"")</f>
        <v/>
      </c>
      <c r="F780" s="55">
        <f>IF(N(B780)=0,"不足","有效")</f>
        <v/>
      </c>
    </row>
    <row r="781" ht="17" customHeight="1">
      <c r="A781" s="38">
        <f>'03_原始数据'!A781</f>
        <v/>
      </c>
      <c r="B781" s="31">
        <f>IF(1=1,IFERROR(CORREL('03_原始数据'!$B$762:$B$781,'03_原始数据'!$C$762:$C$781),""),"")</f>
        <v/>
      </c>
      <c r="C781" s="31">
        <f>IF(1=1,IFERROR(CORREL('03_原始数据'!$B$722:$B$781,'03_原始数据'!$C$722:$C$781),""),"")</f>
        <v/>
      </c>
      <c r="D781" s="31">
        <f>IF(1=1,IFERROR(CORREL('03_原始数据'!$B$662:$B$781,'03_原始数据'!$C$662:$C$781),""),"")</f>
        <v/>
      </c>
      <c r="E781" s="31">
        <f>IF(1=1,IFERROR(CORREL('03_原始数据'!$G$722:$G$781,'03_原始数据'!$H$722:$H$781),""),"")</f>
        <v/>
      </c>
      <c r="F781" s="54">
        <f>IF(N(B781)=0,"不足","有效")</f>
        <v/>
      </c>
    </row>
    <row r="782" ht="17" customHeight="1">
      <c r="A782" s="40">
        <f>'03_原始数据'!A782</f>
        <v/>
      </c>
      <c r="B782" s="34">
        <f>IF(1=1,IFERROR(CORREL('03_原始数据'!$B$763:$B$782,'03_原始数据'!$C$763:$C$782),""),"")</f>
        <v/>
      </c>
      <c r="C782" s="34">
        <f>IF(1=1,IFERROR(CORREL('03_原始数据'!$B$723:$B$782,'03_原始数据'!$C$723:$C$782),""),"")</f>
        <v/>
      </c>
      <c r="D782" s="34">
        <f>IF(1=1,IFERROR(CORREL('03_原始数据'!$B$663:$B$782,'03_原始数据'!$C$663:$C$782),""),"")</f>
        <v/>
      </c>
      <c r="E782" s="34">
        <f>IF(1=1,IFERROR(CORREL('03_原始数据'!$G$723:$G$782,'03_原始数据'!$H$723:$H$782),""),"")</f>
        <v/>
      </c>
      <c r="F782" s="55">
        <f>IF(N(B782)=0,"不足","有效")</f>
        <v/>
      </c>
    </row>
    <row r="783" ht="17" customHeight="1">
      <c r="A783" s="38">
        <f>'03_原始数据'!A783</f>
        <v/>
      </c>
      <c r="B783" s="31">
        <f>IF(1=1,IFERROR(CORREL('03_原始数据'!$B$764:$B$783,'03_原始数据'!$C$764:$C$783),""),"")</f>
        <v/>
      </c>
      <c r="C783" s="31">
        <f>IF(1=1,IFERROR(CORREL('03_原始数据'!$B$724:$B$783,'03_原始数据'!$C$724:$C$783),""),"")</f>
        <v/>
      </c>
      <c r="D783" s="31">
        <f>IF(1=1,IFERROR(CORREL('03_原始数据'!$B$664:$B$783,'03_原始数据'!$C$664:$C$783),""),"")</f>
        <v/>
      </c>
      <c r="E783" s="31">
        <f>IF(1=1,IFERROR(CORREL('03_原始数据'!$G$724:$G$783,'03_原始数据'!$H$724:$H$783),""),"")</f>
        <v/>
      </c>
      <c r="F783" s="54">
        <f>IF(N(B783)=0,"不足","有效")</f>
        <v/>
      </c>
    </row>
    <row r="784" ht="17" customHeight="1">
      <c r="A784" s="40">
        <f>'03_原始数据'!A784</f>
        <v/>
      </c>
      <c r="B784" s="34">
        <f>IF(1=1,IFERROR(CORREL('03_原始数据'!$B$765:$B$784,'03_原始数据'!$C$765:$C$784),""),"")</f>
        <v/>
      </c>
      <c r="C784" s="34">
        <f>IF(1=1,IFERROR(CORREL('03_原始数据'!$B$725:$B$784,'03_原始数据'!$C$725:$C$784),""),"")</f>
        <v/>
      </c>
      <c r="D784" s="34">
        <f>IF(1=1,IFERROR(CORREL('03_原始数据'!$B$665:$B$784,'03_原始数据'!$C$665:$C$784),""),"")</f>
        <v/>
      </c>
      <c r="E784" s="34">
        <f>IF(1=1,IFERROR(CORREL('03_原始数据'!$G$725:$G$784,'03_原始数据'!$H$725:$H$784),""),"")</f>
        <v/>
      </c>
      <c r="F784" s="55">
        <f>IF(N(B784)=0,"不足","有效")</f>
        <v/>
      </c>
    </row>
    <row r="785" ht="17" customHeight="1">
      <c r="A785" s="38">
        <f>'03_原始数据'!A785</f>
        <v/>
      </c>
      <c r="B785" s="31">
        <f>IF(1=1,IFERROR(CORREL('03_原始数据'!$B$766:$B$785,'03_原始数据'!$C$766:$C$785),""),"")</f>
        <v/>
      </c>
      <c r="C785" s="31">
        <f>IF(1=1,IFERROR(CORREL('03_原始数据'!$B$726:$B$785,'03_原始数据'!$C$726:$C$785),""),"")</f>
        <v/>
      </c>
      <c r="D785" s="31">
        <f>IF(1=1,IFERROR(CORREL('03_原始数据'!$B$666:$B$785,'03_原始数据'!$C$666:$C$785),""),"")</f>
        <v/>
      </c>
      <c r="E785" s="31">
        <f>IF(1=1,IFERROR(CORREL('03_原始数据'!$G$726:$G$785,'03_原始数据'!$H$726:$H$785),""),"")</f>
        <v/>
      </c>
      <c r="F785" s="54">
        <f>IF(N(B785)=0,"不足","有效")</f>
        <v/>
      </c>
    </row>
    <row r="786" ht="17" customHeight="1">
      <c r="A786" s="40">
        <f>'03_原始数据'!A786</f>
        <v/>
      </c>
      <c r="B786" s="34">
        <f>IF(1=1,IFERROR(CORREL('03_原始数据'!$B$767:$B$786,'03_原始数据'!$C$767:$C$786),""),"")</f>
        <v/>
      </c>
      <c r="C786" s="34">
        <f>IF(1=1,IFERROR(CORREL('03_原始数据'!$B$727:$B$786,'03_原始数据'!$C$727:$C$786),""),"")</f>
        <v/>
      </c>
      <c r="D786" s="34">
        <f>IF(1=1,IFERROR(CORREL('03_原始数据'!$B$667:$B$786,'03_原始数据'!$C$667:$C$786),""),"")</f>
        <v/>
      </c>
      <c r="E786" s="34">
        <f>IF(1=1,IFERROR(CORREL('03_原始数据'!$G$727:$G$786,'03_原始数据'!$H$727:$H$786),""),"")</f>
        <v/>
      </c>
      <c r="F786" s="55">
        <f>IF(N(B786)=0,"不足","有效")</f>
        <v/>
      </c>
    </row>
    <row r="787" ht="17" customHeight="1">
      <c r="A787" s="38">
        <f>'03_原始数据'!A787</f>
        <v/>
      </c>
      <c r="B787" s="31">
        <f>IF(1=1,IFERROR(CORREL('03_原始数据'!$B$768:$B$787,'03_原始数据'!$C$768:$C$787),""),"")</f>
        <v/>
      </c>
      <c r="C787" s="31">
        <f>IF(1=1,IFERROR(CORREL('03_原始数据'!$B$728:$B$787,'03_原始数据'!$C$728:$C$787),""),"")</f>
        <v/>
      </c>
      <c r="D787" s="31">
        <f>IF(1=1,IFERROR(CORREL('03_原始数据'!$B$668:$B$787,'03_原始数据'!$C$668:$C$787),""),"")</f>
        <v/>
      </c>
      <c r="E787" s="31">
        <f>IF(1=1,IFERROR(CORREL('03_原始数据'!$G$728:$G$787,'03_原始数据'!$H$728:$H$787),""),"")</f>
        <v/>
      </c>
      <c r="F787" s="54">
        <f>IF(N(B787)=0,"不足","有效")</f>
        <v/>
      </c>
    </row>
    <row r="788" ht="17" customHeight="1">
      <c r="A788" s="40">
        <f>'03_原始数据'!A788</f>
        <v/>
      </c>
      <c r="B788" s="34">
        <f>IF(1=1,IFERROR(CORREL('03_原始数据'!$B$769:$B$788,'03_原始数据'!$C$769:$C$788),""),"")</f>
        <v/>
      </c>
      <c r="C788" s="34">
        <f>IF(1=1,IFERROR(CORREL('03_原始数据'!$B$729:$B$788,'03_原始数据'!$C$729:$C$788),""),"")</f>
        <v/>
      </c>
      <c r="D788" s="34">
        <f>IF(1=1,IFERROR(CORREL('03_原始数据'!$B$669:$B$788,'03_原始数据'!$C$669:$C$788),""),"")</f>
        <v/>
      </c>
      <c r="E788" s="34">
        <f>IF(1=1,IFERROR(CORREL('03_原始数据'!$G$729:$G$788,'03_原始数据'!$H$729:$H$788),""),"")</f>
        <v/>
      </c>
      <c r="F788" s="55">
        <f>IF(N(B788)=0,"不足","有效")</f>
        <v/>
      </c>
    </row>
    <row r="789" ht="17" customHeight="1">
      <c r="A789" s="38">
        <f>'03_原始数据'!A789</f>
        <v/>
      </c>
      <c r="B789" s="31">
        <f>IF(1=1,IFERROR(CORREL('03_原始数据'!$B$770:$B$789,'03_原始数据'!$C$770:$C$789),""),"")</f>
        <v/>
      </c>
      <c r="C789" s="31">
        <f>IF(1=1,IFERROR(CORREL('03_原始数据'!$B$730:$B$789,'03_原始数据'!$C$730:$C$789),""),"")</f>
        <v/>
      </c>
      <c r="D789" s="31">
        <f>IF(1=1,IFERROR(CORREL('03_原始数据'!$B$670:$B$789,'03_原始数据'!$C$670:$C$789),""),"")</f>
        <v/>
      </c>
      <c r="E789" s="31">
        <f>IF(1=1,IFERROR(CORREL('03_原始数据'!$G$730:$G$789,'03_原始数据'!$H$730:$H$789),""),"")</f>
        <v/>
      </c>
      <c r="F789" s="54">
        <f>IF(N(B789)=0,"不足","有效")</f>
        <v/>
      </c>
    </row>
    <row r="790" ht="17" customHeight="1">
      <c r="A790" s="40">
        <f>'03_原始数据'!A790</f>
        <v/>
      </c>
      <c r="B790" s="34">
        <f>IF(1=1,IFERROR(CORREL('03_原始数据'!$B$771:$B$790,'03_原始数据'!$C$771:$C$790),""),"")</f>
        <v/>
      </c>
      <c r="C790" s="34">
        <f>IF(1=1,IFERROR(CORREL('03_原始数据'!$B$731:$B$790,'03_原始数据'!$C$731:$C$790),""),"")</f>
        <v/>
      </c>
      <c r="D790" s="34">
        <f>IF(1=1,IFERROR(CORREL('03_原始数据'!$B$671:$B$790,'03_原始数据'!$C$671:$C$790),""),"")</f>
        <v/>
      </c>
      <c r="E790" s="34">
        <f>IF(1=1,IFERROR(CORREL('03_原始数据'!$G$731:$G$790,'03_原始数据'!$H$731:$H$790),""),"")</f>
        <v/>
      </c>
      <c r="F790" s="55">
        <f>IF(N(B790)=0,"不足","有效")</f>
        <v/>
      </c>
    </row>
    <row r="791" ht="17" customHeight="1">
      <c r="A791" s="38">
        <f>'03_原始数据'!A791</f>
        <v/>
      </c>
      <c r="B791" s="31">
        <f>IF(1=1,IFERROR(CORREL('03_原始数据'!$B$772:$B$791,'03_原始数据'!$C$772:$C$791),""),"")</f>
        <v/>
      </c>
      <c r="C791" s="31">
        <f>IF(1=1,IFERROR(CORREL('03_原始数据'!$B$732:$B$791,'03_原始数据'!$C$732:$C$791),""),"")</f>
        <v/>
      </c>
      <c r="D791" s="31">
        <f>IF(1=1,IFERROR(CORREL('03_原始数据'!$B$672:$B$791,'03_原始数据'!$C$672:$C$791),""),"")</f>
        <v/>
      </c>
      <c r="E791" s="31">
        <f>IF(1=1,IFERROR(CORREL('03_原始数据'!$G$732:$G$791,'03_原始数据'!$H$732:$H$791),""),"")</f>
        <v/>
      </c>
      <c r="F791" s="54">
        <f>IF(N(B791)=0,"不足","有效")</f>
        <v/>
      </c>
    </row>
    <row r="792" ht="17" customHeight="1">
      <c r="A792" s="40">
        <f>'03_原始数据'!A792</f>
        <v/>
      </c>
      <c r="B792" s="34">
        <f>IF(1=1,IFERROR(CORREL('03_原始数据'!$B$773:$B$792,'03_原始数据'!$C$773:$C$792),""),"")</f>
        <v/>
      </c>
      <c r="C792" s="34">
        <f>IF(1=1,IFERROR(CORREL('03_原始数据'!$B$733:$B$792,'03_原始数据'!$C$733:$C$792),""),"")</f>
        <v/>
      </c>
      <c r="D792" s="34">
        <f>IF(1=1,IFERROR(CORREL('03_原始数据'!$B$673:$B$792,'03_原始数据'!$C$673:$C$792),""),"")</f>
        <v/>
      </c>
      <c r="E792" s="34">
        <f>IF(1=1,IFERROR(CORREL('03_原始数据'!$G$733:$G$792,'03_原始数据'!$H$733:$H$792),""),"")</f>
        <v/>
      </c>
      <c r="F792" s="55">
        <f>IF(N(B792)=0,"不足","有效")</f>
        <v/>
      </c>
    </row>
    <row r="793" ht="17" customHeight="1">
      <c r="A793" s="38">
        <f>'03_原始数据'!A793</f>
        <v/>
      </c>
      <c r="B793" s="31">
        <f>IF(1=1,IFERROR(CORREL('03_原始数据'!$B$774:$B$793,'03_原始数据'!$C$774:$C$793),""),"")</f>
        <v/>
      </c>
      <c r="C793" s="31">
        <f>IF(1=1,IFERROR(CORREL('03_原始数据'!$B$734:$B$793,'03_原始数据'!$C$734:$C$793),""),"")</f>
        <v/>
      </c>
      <c r="D793" s="31">
        <f>IF(1=1,IFERROR(CORREL('03_原始数据'!$B$674:$B$793,'03_原始数据'!$C$674:$C$793),""),"")</f>
        <v/>
      </c>
      <c r="E793" s="31">
        <f>IF(1=1,IFERROR(CORREL('03_原始数据'!$G$734:$G$793,'03_原始数据'!$H$734:$H$793),""),"")</f>
        <v/>
      </c>
      <c r="F793" s="54">
        <f>IF(N(B793)=0,"不足","有效")</f>
        <v/>
      </c>
    </row>
    <row r="794" ht="17" customHeight="1">
      <c r="A794" s="40">
        <f>'03_原始数据'!A794</f>
        <v/>
      </c>
      <c r="B794" s="34">
        <f>IF(1=1,IFERROR(CORREL('03_原始数据'!$B$775:$B$794,'03_原始数据'!$C$775:$C$794),""),"")</f>
        <v/>
      </c>
      <c r="C794" s="34">
        <f>IF(1=1,IFERROR(CORREL('03_原始数据'!$B$735:$B$794,'03_原始数据'!$C$735:$C$794),""),"")</f>
        <v/>
      </c>
      <c r="D794" s="34">
        <f>IF(1=1,IFERROR(CORREL('03_原始数据'!$B$675:$B$794,'03_原始数据'!$C$675:$C$794),""),"")</f>
        <v/>
      </c>
      <c r="E794" s="34">
        <f>IF(1=1,IFERROR(CORREL('03_原始数据'!$G$735:$G$794,'03_原始数据'!$H$735:$H$794),""),"")</f>
        <v/>
      </c>
      <c r="F794" s="55">
        <f>IF(N(B794)=0,"不足","有效")</f>
        <v/>
      </c>
    </row>
    <row r="795" ht="17" customHeight="1">
      <c r="A795" s="38">
        <f>'03_原始数据'!A795</f>
        <v/>
      </c>
      <c r="B795" s="31">
        <f>IF(1=1,IFERROR(CORREL('03_原始数据'!$B$776:$B$795,'03_原始数据'!$C$776:$C$795),""),"")</f>
        <v/>
      </c>
      <c r="C795" s="31">
        <f>IF(1=1,IFERROR(CORREL('03_原始数据'!$B$736:$B$795,'03_原始数据'!$C$736:$C$795),""),"")</f>
        <v/>
      </c>
      <c r="D795" s="31">
        <f>IF(1=1,IFERROR(CORREL('03_原始数据'!$B$676:$B$795,'03_原始数据'!$C$676:$C$795),""),"")</f>
        <v/>
      </c>
      <c r="E795" s="31">
        <f>IF(1=1,IFERROR(CORREL('03_原始数据'!$G$736:$G$795,'03_原始数据'!$H$736:$H$795),""),"")</f>
        <v/>
      </c>
      <c r="F795" s="54">
        <f>IF(N(B795)=0,"不足","有效")</f>
        <v/>
      </c>
    </row>
    <row r="796" ht="17" customHeight="1">
      <c r="A796" s="40">
        <f>'03_原始数据'!A796</f>
        <v/>
      </c>
      <c r="B796" s="34">
        <f>IF(1=1,IFERROR(CORREL('03_原始数据'!$B$777:$B$796,'03_原始数据'!$C$777:$C$796),""),"")</f>
        <v/>
      </c>
      <c r="C796" s="34">
        <f>IF(1=1,IFERROR(CORREL('03_原始数据'!$B$737:$B$796,'03_原始数据'!$C$737:$C$796),""),"")</f>
        <v/>
      </c>
      <c r="D796" s="34">
        <f>IF(1=1,IFERROR(CORREL('03_原始数据'!$B$677:$B$796,'03_原始数据'!$C$677:$C$796),""),"")</f>
        <v/>
      </c>
      <c r="E796" s="34">
        <f>IF(1=1,IFERROR(CORREL('03_原始数据'!$G$737:$G$796,'03_原始数据'!$H$737:$H$796),""),"")</f>
        <v/>
      </c>
      <c r="F796" s="55">
        <f>IF(N(B796)=0,"不足","有效")</f>
        <v/>
      </c>
    </row>
    <row r="797" ht="17" customHeight="1">
      <c r="A797" s="38">
        <f>'03_原始数据'!A797</f>
        <v/>
      </c>
      <c r="B797" s="31">
        <f>IF(1=1,IFERROR(CORREL('03_原始数据'!$B$778:$B$797,'03_原始数据'!$C$778:$C$797),""),"")</f>
        <v/>
      </c>
      <c r="C797" s="31">
        <f>IF(1=1,IFERROR(CORREL('03_原始数据'!$B$738:$B$797,'03_原始数据'!$C$738:$C$797),""),"")</f>
        <v/>
      </c>
      <c r="D797" s="31">
        <f>IF(1=1,IFERROR(CORREL('03_原始数据'!$B$678:$B$797,'03_原始数据'!$C$678:$C$797),""),"")</f>
        <v/>
      </c>
      <c r="E797" s="31">
        <f>IF(1=1,IFERROR(CORREL('03_原始数据'!$G$738:$G$797,'03_原始数据'!$H$738:$H$797),""),"")</f>
        <v/>
      </c>
      <c r="F797" s="54">
        <f>IF(N(B797)=0,"不足","有效")</f>
        <v/>
      </c>
    </row>
    <row r="798" ht="17" customHeight="1">
      <c r="A798" s="40">
        <f>'03_原始数据'!A798</f>
        <v/>
      </c>
      <c r="B798" s="34">
        <f>IF(1=1,IFERROR(CORREL('03_原始数据'!$B$779:$B$798,'03_原始数据'!$C$779:$C$798),""),"")</f>
        <v/>
      </c>
      <c r="C798" s="34">
        <f>IF(1=1,IFERROR(CORREL('03_原始数据'!$B$739:$B$798,'03_原始数据'!$C$739:$C$798),""),"")</f>
        <v/>
      </c>
      <c r="D798" s="34">
        <f>IF(1=1,IFERROR(CORREL('03_原始数据'!$B$679:$B$798,'03_原始数据'!$C$679:$C$798),""),"")</f>
        <v/>
      </c>
      <c r="E798" s="34">
        <f>IF(1=1,IFERROR(CORREL('03_原始数据'!$G$739:$G$798,'03_原始数据'!$H$739:$H$798),""),"")</f>
        <v/>
      </c>
      <c r="F798" s="55">
        <f>IF(N(B798)=0,"不足","有效")</f>
        <v/>
      </c>
    </row>
    <row r="799" ht="17" customHeight="1">
      <c r="A799" s="38">
        <f>'03_原始数据'!A799</f>
        <v/>
      </c>
      <c r="B799" s="31">
        <f>IF(1=1,IFERROR(CORREL('03_原始数据'!$B$780:$B$799,'03_原始数据'!$C$780:$C$799),""),"")</f>
        <v/>
      </c>
      <c r="C799" s="31">
        <f>IF(1=1,IFERROR(CORREL('03_原始数据'!$B$740:$B$799,'03_原始数据'!$C$740:$C$799),""),"")</f>
        <v/>
      </c>
      <c r="D799" s="31">
        <f>IF(1=1,IFERROR(CORREL('03_原始数据'!$B$680:$B$799,'03_原始数据'!$C$680:$C$799),""),"")</f>
        <v/>
      </c>
      <c r="E799" s="31">
        <f>IF(1=1,IFERROR(CORREL('03_原始数据'!$G$740:$G$799,'03_原始数据'!$H$740:$H$799),""),"")</f>
        <v/>
      </c>
      <c r="F799" s="54">
        <f>IF(N(B799)=0,"不足","有效")</f>
        <v/>
      </c>
    </row>
    <row r="800" ht="17" customHeight="1">
      <c r="A800" s="40">
        <f>'03_原始数据'!A800</f>
        <v/>
      </c>
      <c r="B800" s="34">
        <f>IF(1=1,IFERROR(CORREL('03_原始数据'!$B$781:$B$800,'03_原始数据'!$C$781:$C$800),""),"")</f>
        <v/>
      </c>
      <c r="C800" s="34">
        <f>IF(1=1,IFERROR(CORREL('03_原始数据'!$B$741:$B$800,'03_原始数据'!$C$741:$C$800),""),"")</f>
        <v/>
      </c>
      <c r="D800" s="34">
        <f>IF(1=1,IFERROR(CORREL('03_原始数据'!$B$681:$B$800,'03_原始数据'!$C$681:$C$800),""),"")</f>
        <v/>
      </c>
      <c r="E800" s="34">
        <f>IF(1=1,IFERROR(CORREL('03_原始数据'!$G$741:$G$800,'03_原始数据'!$H$741:$H$800),""),"")</f>
        <v/>
      </c>
      <c r="F800" s="55">
        <f>IF(N(B800)=0,"不足","有效")</f>
        <v/>
      </c>
    </row>
    <row r="801" ht="17" customHeight="1">
      <c r="A801" s="38">
        <f>'03_原始数据'!A801</f>
        <v/>
      </c>
      <c r="B801" s="31">
        <f>IF(1=1,IFERROR(CORREL('03_原始数据'!$B$782:$B$801,'03_原始数据'!$C$782:$C$801),""),"")</f>
        <v/>
      </c>
      <c r="C801" s="31">
        <f>IF(1=1,IFERROR(CORREL('03_原始数据'!$B$742:$B$801,'03_原始数据'!$C$742:$C$801),""),"")</f>
        <v/>
      </c>
      <c r="D801" s="31">
        <f>IF(1=1,IFERROR(CORREL('03_原始数据'!$B$682:$B$801,'03_原始数据'!$C$682:$C$801),""),"")</f>
        <v/>
      </c>
      <c r="E801" s="31">
        <f>IF(1=1,IFERROR(CORREL('03_原始数据'!$G$742:$G$801,'03_原始数据'!$H$742:$H$801),""),"")</f>
        <v/>
      </c>
      <c r="F801" s="54">
        <f>IF(N(B801)=0,"不足","有效")</f>
        <v/>
      </c>
    </row>
    <row r="802" ht="17" customHeight="1">
      <c r="A802" s="40">
        <f>'03_原始数据'!A802</f>
        <v/>
      </c>
      <c r="B802" s="34">
        <f>IF(1=1,IFERROR(CORREL('03_原始数据'!$B$783:$B$802,'03_原始数据'!$C$783:$C$802),""),"")</f>
        <v/>
      </c>
      <c r="C802" s="34">
        <f>IF(1=1,IFERROR(CORREL('03_原始数据'!$B$743:$B$802,'03_原始数据'!$C$743:$C$802),""),"")</f>
        <v/>
      </c>
      <c r="D802" s="34">
        <f>IF(1=1,IFERROR(CORREL('03_原始数据'!$B$683:$B$802,'03_原始数据'!$C$683:$C$802),""),"")</f>
        <v/>
      </c>
      <c r="E802" s="34">
        <f>IF(1=1,IFERROR(CORREL('03_原始数据'!$G$743:$G$802,'03_原始数据'!$H$743:$H$802),""),"")</f>
        <v/>
      </c>
      <c r="F802" s="55">
        <f>IF(N(B802)=0,"不足","有效")</f>
        <v/>
      </c>
    </row>
    <row r="803" ht="17" customHeight="1">
      <c r="A803" s="38">
        <f>'03_原始数据'!A803</f>
        <v/>
      </c>
      <c r="B803" s="31">
        <f>IF(1=1,IFERROR(CORREL('03_原始数据'!$B$784:$B$803,'03_原始数据'!$C$784:$C$803),""),"")</f>
        <v/>
      </c>
      <c r="C803" s="31">
        <f>IF(1=1,IFERROR(CORREL('03_原始数据'!$B$744:$B$803,'03_原始数据'!$C$744:$C$803),""),"")</f>
        <v/>
      </c>
      <c r="D803" s="31">
        <f>IF(1=1,IFERROR(CORREL('03_原始数据'!$B$684:$B$803,'03_原始数据'!$C$684:$C$803),""),"")</f>
        <v/>
      </c>
      <c r="E803" s="31">
        <f>IF(1=1,IFERROR(CORREL('03_原始数据'!$G$744:$G$803,'03_原始数据'!$H$744:$H$803),""),"")</f>
        <v/>
      </c>
      <c r="F803" s="54">
        <f>IF(N(B803)=0,"不足","有效")</f>
        <v/>
      </c>
    </row>
    <row r="804" ht="17" customHeight="1">
      <c r="A804" s="40">
        <f>'03_原始数据'!A804</f>
        <v/>
      </c>
      <c r="B804" s="34">
        <f>IF(1=1,IFERROR(CORREL('03_原始数据'!$B$785:$B$804,'03_原始数据'!$C$785:$C$804),""),"")</f>
        <v/>
      </c>
      <c r="C804" s="34">
        <f>IF(1=1,IFERROR(CORREL('03_原始数据'!$B$745:$B$804,'03_原始数据'!$C$745:$C$804),""),"")</f>
        <v/>
      </c>
      <c r="D804" s="34">
        <f>IF(1=1,IFERROR(CORREL('03_原始数据'!$B$685:$B$804,'03_原始数据'!$C$685:$C$804),""),"")</f>
        <v/>
      </c>
      <c r="E804" s="34">
        <f>IF(1=1,IFERROR(CORREL('03_原始数据'!$G$745:$G$804,'03_原始数据'!$H$745:$H$804),""),"")</f>
        <v/>
      </c>
      <c r="F804" s="55">
        <f>IF(N(B804)=0,"不足","有效")</f>
        <v/>
      </c>
    </row>
    <row r="805" ht="17" customHeight="1">
      <c r="A805" s="38">
        <f>'03_原始数据'!A805</f>
        <v/>
      </c>
      <c r="B805" s="31">
        <f>IF(1=1,IFERROR(CORREL('03_原始数据'!$B$786:$B$805,'03_原始数据'!$C$786:$C$805),""),"")</f>
        <v/>
      </c>
      <c r="C805" s="31">
        <f>IF(1=1,IFERROR(CORREL('03_原始数据'!$B$746:$B$805,'03_原始数据'!$C$746:$C$805),""),"")</f>
        <v/>
      </c>
      <c r="D805" s="31">
        <f>IF(1=1,IFERROR(CORREL('03_原始数据'!$B$686:$B$805,'03_原始数据'!$C$686:$C$805),""),"")</f>
        <v/>
      </c>
      <c r="E805" s="31">
        <f>IF(1=1,IFERROR(CORREL('03_原始数据'!$G$746:$G$805,'03_原始数据'!$H$746:$H$805),""),"")</f>
        <v/>
      </c>
      <c r="F805" s="54">
        <f>IF(N(B805)=0,"不足","有效")</f>
        <v/>
      </c>
    </row>
    <row r="806" ht="17" customHeight="1">
      <c r="A806" s="40">
        <f>'03_原始数据'!A806</f>
        <v/>
      </c>
      <c r="B806" s="34">
        <f>IF(1=1,IFERROR(CORREL('03_原始数据'!$B$787:$B$806,'03_原始数据'!$C$787:$C$806),""),"")</f>
        <v/>
      </c>
      <c r="C806" s="34">
        <f>IF(1=1,IFERROR(CORREL('03_原始数据'!$B$747:$B$806,'03_原始数据'!$C$747:$C$806),""),"")</f>
        <v/>
      </c>
      <c r="D806" s="34">
        <f>IF(1=1,IFERROR(CORREL('03_原始数据'!$B$687:$B$806,'03_原始数据'!$C$687:$C$806),""),"")</f>
        <v/>
      </c>
      <c r="E806" s="34">
        <f>IF(1=1,IFERROR(CORREL('03_原始数据'!$G$747:$G$806,'03_原始数据'!$H$747:$H$806),""),"")</f>
        <v/>
      </c>
      <c r="F806" s="55">
        <f>IF(N(B806)=0,"不足","有效")</f>
        <v/>
      </c>
    </row>
    <row r="807" ht="17" customHeight="1">
      <c r="A807" s="38">
        <f>'03_原始数据'!A807</f>
        <v/>
      </c>
      <c r="B807" s="31">
        <f>IF(1=1,IFERROR(CORREL('03_原始数据'!$B$788:$B$807,'03_原始数据'!$C$788:$C$807),""),"")</f>
        <v/>
      </c>
      <c r="C807" s="31">
        <f>IF(1=1,IFERROR(CORREL('03_原始数据'!$B$748:$B$807,'03_原始数据'!$C$748:$C$807),""),"")</f>
        <v/>
      </c>
      <c r="D807" s="31">
        <f>IF(1=1,IFERROR(CORREL('03_原始数据'!$B$688:$B$807,'03_原始数据'!$C$688:$C$807),""),"")</f>
        <v/>
      </c>
      <c r="E807" s="31">
        <f>IF(1=1,IFERROR(CORREL('03_原始数据'!$G$748:$G$807,'03_原始数据'!$H$748:$H$807),""),"")</f>
        <v/>
      </c>
      <c r="F807" s="54">
        <f>IF(N(B807)=0,"不足","有效")</f>
        <v/>
      </c>
    </row>
    <row r="808" ht="17" customHeight="1">
      <c r="A808" s="40">
        <f>'03_原始数据'!A808</f>
        <v/>
      </c>
      <c r="B808" s="34">
        <f>IF(1=1,IFERROR(CORREL('03_原始数据'!$B$789:$B$808,'03_原始数据'!$C$789:$C$808),""),"")</f>
        <v/>
      </c>
      <c r="C808" s="34">
        <f>IF(1=1,IFERROR(CORREL('03_原始数据'!$B$749:$B$808,'03_原始数据'!$C$749:$C$808),""),"")</f>
        <v/>
      </c>
      <c r="D808" s="34">
        <f>IF(1=1,IFERROR(CORREL('03_原始数据'!$B$689:$B$808,'03_原始数据'!$C$689:$C$808),""),"")</f>
        <v/>
      </c>
      <c r="E808" s="34">
        <f>IF(1=1,IFERROR(CORREL('03_原始数据'!$G$749:$G$808,'03_原始数据'!$H$749:$H$808),""),"")</f>
        <v/>
      </c>
      <c r="F808" s="55">
        <f>IF(N(B808)=0,"不足","有效")</f>
        <v/>
      </c>
    </row>
    <row r="809" ht="17" customHeight="1">
      <c r="A809" s="38">
        <f>'03_原始数据'!A809</f>
        <v/>
      </c>
      <c r="B809" s="31">
        <f>IF(1=1,IFERROR(CORREL('03_原始数据'!$B$790:$B$809,'03_原始数据'!$C$790:$C$809),""),"")</f>
        <v/>
      </c>
      <c r="C809" s="31">
        <f>IF(1=1,IFERROR(CORREL('03_原始数据'!$B$750:$B$809,'03_原始数据'!$C$750:$C$809),""),"")</f>
        <v/>
      </c>
      <c r="D809" s="31">
        <f>IF(1=1,IFERROR(CORREL('03_原始数据'!$B$690:$B$809,'03_原始数据'!$C$690:$C$809),""),"")</f>
        <v/>
      </c>
      <c r="E809" s="31">
        <f>IF(1=1,IFERROR(CORREL('03_原始数据'!$G$750:$G$809,'03_原始数据'!$H$750:$H$809),""),"")</f>
        <v/>
      </c>
      <c r="F809" s="54">
        <f>IF(N(B809)=0,"不足","有效")</f>
        <v/>
      </c>
    </row>
    <row r="810" ht="17" customHeight="1">
      <c r="A810" s="40">
        <f>'03_原始数据'!A810</f>
        <v/>
      </c>
      <c r="B810" s="34">
        <f>IF(1=1,IFERROR(CORREL('03_原始数据'!$B$791:$B$810,'03_原始数据'!$C$791:$C$810),""),"")</f>
        <v/>
      </c>
      <c r="C810" s="34">
        <f>IF(1=1,IFERROR(CORREL('03_原始数据'!$B$751:$B$810,'03_原始数据'!$C$751:$C$810),""),"")</f>
        <v/>
      </c>
      <c r="D810" s="34">
        <f>IF(1=1,IFERROR(CORREL('03_原始数据'!$B$691:$B$810,'03_原始数据'!$C$691:$C$810),""),"")</f>
        <v/>
      </c>
      <c r="E810" s="34">
        <f>IF(1=1,IFERROR(CORREL('03_原始数据'!$G$751:$G$810,'03_原始数据'!$H$751:$H$810),""),"")</f>
        <v/>
      </c>
      <c r="F810" s="55">
        <f>IF(N(B810)=0,"不足","有效")</f>
        <v/>
      </c>
    </row>
    <row r="811" ht="17" customHeight="1">
      <c r="A811" s="38">
        <f>'03_原始数据'!A811</f>
        <v/>
      </c>
      <c r="B811" s="31">
        <f>IF(1=1,IFERROR(CORREL('03_原始数据'!$B$792:$B$811,'03_原始数据'!$C$792:$C$811),""),"")</f>
        <v/>
      </c>
      <c r="C811" s="31">
        <f>IF(1=1,IFERROR(CORREL('03_原始数据'!$B$752:$B$811,'03_原始数据'!$C$752:$C$811),""),"")</f>
        <v/>
      </c>
      <c r="D811" s="31">
        <f>IF(1=1,IFERROR(CORREL('03_原始数据'!$B$692:$B$811,'03_原始数据'!$C$692:$C$811),""),"")</f>
        <v/>
      </c>
      <c r="E811" s="31">
        <f>IF(1=1,IFERROR(CORREL('03_原始数据'!$G$752:$G$811,'03_原始数据'!$H$752:$H$811),""),"")</f>
        <v/>
      </c>
      <c r="F811" s="54">
        <f>IF(N(B811)=0,"不足","有效")</f>
        <v/>
      </c>
    </row>
    <row r="812" ht="17" customHeight="1">
      <c r="A812" s="40">
        <f>'03_原始数据'!A812</f>
        <v/>
      </c>
      <c r="B812" s="34">
        <f>IF(1=1,IFERROR(CORREL('03_原始数据'!$B$793:$B$812,'03_原始数据'!$C$793:$C$812),""),"")</f>
        <v/>
      </c>
      <c r="C812" s="34">
        <f>IF(1=1,IFERROR(CORREL('03_原始数据'!$B$753:$B$812,'03_原始数据'!$C$753:$C$812),""),"")</f>
        <v/>
      </c>
      <c r="D812" s="34">
        <f>IF(1=1,IFERROR(CORREL('03_原始数据'!$B$693:$B$812,'03_原始数据'!$C$693:$C$812),""),"")</f>
        <v/>
      </c>
      <c r="E812" s="34">
        <f>IF(1=1,IFERROR(CORREL('03_原始数据'!$G$753:$G$812,'03_原始数据'!$H$753:$H$812),""),"")</f>
        <v/>
      </c>
      <c r="F812" s="55">
        <f>IF(N(B812)=0,"不足","有效")</f>
        <v/>
      </c>
    </row>
    <row r="813" ht="17" customHeight="1">
      <c r="A813" s="38">
        <f>'03_原始数据'!A813</f>
        <v/>
      </c>
      <c r="B813" s="31">
        <f>IF(1=1,IFERROR(CORREL('03_原始数据'!$B$794:$B$813,'03_原始数据'!$C$794:$C$813),""),"")</f>
        <v/>
      </c>
      <c r="C813" s="31">
        <f>IF(1=1,IFERROR(CORREL('03_原始数据'!$B$754:$B$813,'03_原始数据'!$C$754:$C$813),""),"")</f>
        <v/>
      </c>
      <c r="D813" s="31">
        <f>IF(1=1,IFERROR(CORREL('03_原始数据'!$B$694:$B$813,'03_原始数据'!$C$694:$C$813),""),"")</f>
        <v/>
      </c>
      <c r="E813" s="31">
        <f>IF(1=1,IFERROR(CORREL('03_原始数据'!$G$754:$G$813,'03_原始数据'!$H$754:$H$813),""),"")</f>
        <v/>
      </c>
      <c r="F813" s="54">
        <f>IF(N(B813)=0,"不足","有效")</f>
        <v/>
      </c>
    </row>
    <row r="814" ht="17" customHeight="1">
      <c r="A814" s="40">
        <f>'03_原始数据'!A814</f>
        <v/>
      </c>
      <c r="B814" s="34">
        <f>IF(1=1,IFERROR(CORREL('03_原始数据'!$B$795:$B$814,'03_原始数据'!$C$795:$C$814),""),"")</f>
        <v/>
      </c>
      <c r="C814" s="34">
        <f>IF(1=1,IFERROR(CORREL('03_原始数据'!$B$755:$B$814,'03_原始数据'!$C$755:$C$814),""),"")</f>
        <v/>
      </c>
      <c r="D814" s="34">
        <f>IF(1=1,IFERROR(CORREL('03_原始数据'!$B$695:$B$814,'03_原始数据'!$C$695:$C$814),""),"")</f>
        <v/>
      </c>
      <c r="E814" s="34">
        <f>IF(1=1,IFERROR(CORREL('03_原始数据'!$G$755:$G$814,'03_原始数据'!$H$755:$H$814),""),"")</f>
        <v/>
      </c>
      <c r="F814" s="55">
        <f>IF(N(B814)=0,"不足","有效")</f>
        <v/>
      </c>
    </row>
    <row r="815" ht="17" customHeight="1">
      <c r="A815" s="38">
        <f>'03_原始数据'!A815</f>
        <v/>
      </c>
      <c r="B815" s="31">
        <f>IF(1=1,IFERROR(CORREL('03_原始数据'!$B$796:$B$815,'03_原始数据'!$C$796:$C$815),""),"")</f>
        <v/>
      </c>
      <c r="C815" s="31">
        <f>IF(1=1,IFERROR(CORREL('03_原始数据'!$B$756:$B$815,'03_原始数据'!$C$756:$C$815),""),"")</f>
        <v/>
      </c>
      <c r="D815" s="31">
        <f>IF(1=1,IFERROR(CORREL('03_原始数据'!$B$696:$B$815,'03_原始数据'!$C$696:$C$815),""),"")</f>
        <v/>
      </c>
      <c r="E815" s="31">
        <f>IF(1=1,IFERROR(CORREL('03_原始数据'!$G$756:$G$815,'03_原始数据'!$H$756:$H$815),""),"")</f>
        <v/>
      </c>
      <c r="F815" s="54">
        <f>IF(N(B815)=0,"不足","有效")</f>
        <v/>
      </c>
    </row>
    <row r="816" ht="17" customHeight="1">
      <c r="A816" s="40">
        <f>'03_原始数据'!A816</f>
        <v/>
      </c>
      <c r="B816" s="34">
        <f>IF(1=1,IFERROR(CORREL('03_原始数据'!$B$797:$B$816,'03_原始数据'!$C$797:$C$816),""),"")</f>
        <v/>
      </c>
      <c r="C816" s="34">
        <f>IF(1=1,IFERROR(CORREL('03_原始数据'!$B$757:$B$816,'03_原始数据'!$C$757:$C$816),""),"")</f>
        <v/>
      </c>
      <c r="D816" s="34">
        <f>IF(1=1,IFERROR(CORREL('03_原始数据'!$B$697:$B$816,'03_原始数据'!$C$697:$C$816),""),"")</f>
        <v/>
      </c>
      <c r="E816" s="34">
        <f>IF(1=1,IFERROR(CORREL('03_原始数据'!$G$757:$G$816,'03_原始数据'!$H$757:$H$816),""),"")</f>
        <v/>
      </c>
      <c r="F816" s="55">
        <f>IF(N(B816)=0,"不足","有效")</f>
        <v/>
      </c>
    </row>
    <row r="817" ht="17" customHeight="1">
      <c r="A817" s="38">
        <f>'03_原始数据'!A817</f>
        <v/>
      </c>
      <c r="B817" s="31">
        <f>IF(1=1,IFERROR(CORREL('03_原始数据'!$B$798:$B$817,'03_原始数据'!$C$798:$C$817),""),"")</f>
        <v/>
      </c>
      <c r="C817" s="31">
        <f>IF(1=1,IFERROR(CORREL('03_原始数据'!$B$758:$B$817,'03_原始数据'!$C$758:$C$817),""),"")</f>
        <v/>
      </c>
      <c r="D817" s="31">
        <f>IF(1=1,IFERROR(CORREL('03_原始数据'!$B$698:$B$817,'03_原始数据'!$C$698:$C$817),""),"")</f>
        <v/>
      </c>
      <c r="E817" s="31">
        <f>IF(1=1,IFERROR(CORREL('03_原始数据'!$G$758:$G$817,'03_原始数据'!$H$758:$H$817),""),"")</f>
        <v/>
      </c>
      <c r="F817" s="54">
        <f>IF(N(B817)=0,"不足","有效")</f>
        <v/>
      </c>
    </row>
    <row r="818" ht="17" customHeight="1">
      <c r="A818" s="40">
        <f>'03_原始数据'!A818</f>
        <v/>
      </c>
      <c r="B818" s="34">
        <f>IF(1=1,IFERROR(CORREL('03_原始数据'!$B$799:$B$818,'03_原始数据'!$C$799:$C$818),""),"")</f>
        <v/>
      </c>
      <c r="C818" s="34">
        <f>IF(1=1,IFERROR(CORREL('03_原始数据'!$B$759:$B$818,'03_原始数据'!$C$759:$C$818),""),"")</f>
        <v/>
      </c>
      <c r="D818" s="34">
        <f>IF(1=1,IFERROR(CORREL('03_原始数据'!$B$699:$B$818,'03_原始数据'!$C$699:$C$818),""),"")</f>
        <v/>
      </c>
      <c r="E818" s="34">
        <f>IF(1=1,IFERROR(CORREL('03_原始数据'!$G$759:$G$818,'03_原始数据'!$H$759:$H$818),""),"")</f>
        <v/>
      </c>
      <c r="F818" s="55">
        <f>IF(N(B818)=0,"不足","有效")</f>
        <v/>
      </c>
    </row>
    <row r="819" ht="17" customHeight="1">
      <c r="A819" s="38">
        <f>'03_原始数据'!A819</f>
        <v/>
      </c>
      <c r="B819" s="31">
        <f>IF(1=1,IFERROR(CORREL('03_原始数据'!$B$800:$B$819,'03_原始数据'!$C$800:$C$819),""),"")</f>
        <v/>
      </c>
      <c r="C819" s="31">
        <f>IF(1=1,IFERROR(CORREL('03_原始数据'!$B$760:$B$819,'03_原始数据'!$C$760:$C$819),""),"")</f>
        <v/>
      </c>
      <c r="D819" s="31">
        <f>IF(1=1,IFERROR(CORREL('03_原始数据'!$B$700:$B$819,'03_原始数据'!$C$700:$C$819),""),"")</f>
        <v/>
      </c>
      <c r="E819" s="31">
        <f>IF(1=1,IFERROR(CORREL('03_原始数据'!$G$760:$G$819,'03_原始数据'!$H$760:$H$819),""),"")</f>
        <v/>
      </c>
      <c r="F819" s="54">
        <f>IF(N(B819)=0,"不足","有效")</f>
        <v/>
      </c>
    </row>
    <row r="820" ht="17" customHeight="1">
      <c r="A820" s="40">
        <f>'03_原始数据'!A820</f>
        <v/>
      </c>
      <c r="B820" s="34">
        <f>IF(1=1,IFERROR(CORREL('03_原始数据'!$B$801:$B$820,'03_原始数据'!$C$801:$C$820),""),"")</f>
        <v/>
      </c>
      <c r="C820" s="34">
        <f>IF(1=1,IFERROR(CORREL('03_原始数据'!$B$761:$B$820,'03_原始数据'!$C$761:$C$820),""),"")</f>
        <v/>
      </c>
      <c r="D820" s="34">
        <f>IF(1=1,IFERROR(CORREL('03_原始数据'!$B$701:$B$820,'03_原始数据'!$C$701:$C$820),""),"")</f>
        <v/>
      </c>
      <c r="E820" s="34">
        <f>IF(1=1,IFERROR(CORREL('03_原始数据'!$G$761:$G$820,'03_原始数据'!$H$761:$H$820),""),"")</f>
        <v/>
      </c>
      <c r="F820" s="55">
        <f>IF(N(B820)=0,"不足","有效")</f>
        <v/>
      </c>
    </row>
    <row r="821" ht="17" customHeight="1">
      <c r="A821" s="38">
        <f>'03_原始数据'!A821</f>
        <v/>
      </c>
      <c r="B821" s="31">
        <f>IF(1=1,IFERROR(CORREL('03_原始数据'!$B$802:$B$821,'03_原始数据'!$C$802:$C$821),""),"")</f>
        <v/>
      </c>
      <c r="C821" s="31">
        <f>IF(1=1,IFERROR(CORREL('03_原始数据'!$B$762:$B$821,'03_原始数据'!$C$762:$C$821),""),"")</f>
        <v/>
      </c>
      <c r="D821" s="31">
        <f>IF(1=1,IFERROR(CORREL('03_原始数据'!$B$702:$B$821,'03_原始数据'!$C$702:$C$821),""),"")</f>
        <v/>
      </c>
      <c r="E821" s="31">
        <f>IF(1=1,IFERROR(CORREL('03_原始数据'!$G$762:$G$821,'03_原始数据'!$H$762:$H$821),""),"")</f>
        <v/>
      </c>
      <c r="F821" s="54">
        <f>IF(N(B821)=0,"不足","有效")</f>
        <v/>
      </c>
    </row>
    <row r="822" ht="17" customHeight="1">
      <c r="A822" s="40">
        <f>'03_原始数据'!A822</f>
        <v/>
      </c>
      <c r="B822" s="34">
        <f>IF(1=1,IFERROR(CORREL('03_原始数据'!$B$803:$B$822,'03_原始数据'!$C$803:$C$822),""),"")</f>
        <v/>
      </c>
      <c r="C822" s="34">
        <f>IF(1=1,IFERROR(CORREL('03_原始数据'!$B$763:$B$822,'03_原始数据'!$C$763:$C$822),""),"")</f>
        <v/>
      </c>
      <c r="D822" s="34">
        <f>IF(1=1,IFERROR(CORREL('03_原始数据'!$B$703:$B$822,'03_原始数据'!$C$703:$C$822),""),"")</f>
        <v/>
      </c>
      <c r="E822" s="34">
        <f>IF(1=1,IFERROR(CORREL('03_原始数据'!$G$763:$G$822,'03_原始数据'!$H$763:$H$822),""),"")</f>
        <v/>
      </c>
      <c r="F822" s="55">
        <f>IF(N(B822)=0,"不足","有效")</f>
        <v/>
      </c>
    </row>
    <row r="823" ht="17" customHeight="1">
      <c r="A823" s="38">
        <f>'03_原始数据'!A823</f>
        <v/>
      </c>
      <c r="B823" s="31">
        <f>IF(1=1,IFERROR(CORREL('03_原始数据'!$B$804:$B$823,'03_原始数据'!$C$804:$C$823),""),"")</f>
        <v/>
      </c>
      <c r="C823" s="31">
        <f>IF(1=1,IFERROR(CORREL('03_原始数据'!$B$764:$B$823,'03_原始数据'!$C$764:$C$823),""),"")</f>
        <v/>
      </c>
      <c r="D823" s="31">
        <f>IF(1=1,IFERROR(CORREL('03_原始数据'!$B$704:$B$823,'03_原始数据'!$C$704:$C$823),""),"")</f>
        <v/>
      </c>
      <c r="E823" s="31">
        <f>IF(1=1,IFERROR(CORREL('03_原始数据'!$G$764:$G$823,'03_原始数据'!$H$764:$H$823),""),"")</f>
        <v/>
      </c>
      <c r="F823" s="54">
        <f>IF(N(B823)=0,"不足","有效")</f>
        <v/>
      </c>
    </row>
    <row r="824" ht="17" customHeight="1">
      <c r="A824" s="40">
        <f>'03_原始数据'!A824</f>
        <v/>
      </c>
      <c r="B824" s="34">
        <f>IF(1=1,IFERROR(CORREL('03_原始数据'!$B$805:$B$824,'03_原始数据'!$C$805:$C$824),""),"")</f>
        <v/>
      </c>
      <c r="C824" s="34">
        <f>IF(1=1,IFERROR(CORREL('03_原始数据'!$B$765:$B$824,'03_原始数据'!$C$765:$C$824),""),"")</f>
        <v/>
      </c>
      <c r="D824" s="34">
        <f>IF(1=1,IFERROR(CORREL('03_原始数据'!$B$705:$B$824,'03_原始数据'!$C$705:$C$824),""),"")</f>
        <v/>
      </c>
      <c r="E824" s="34">
        <f>IF(1=1,IFERROR(CORREL('03_原始数据'!$G$765:$G$824,'03_原始数据'!$H$765:$H$824),""),"")</f>
        <v/>
      </c>
      <c r="F824" s="55">
        <f>IF(N(B824)=0,"不足","有效")</f>
        <v/>
      </c>
    </row>
    <row r="825" ht="17" customHeight="1">
      <c r="A825" s="38">
        <f>'03_原始数据'!A825</f>
        <v/>
      </c>
      <c r="B825" s="31">
        <f>IF(1=1,IFERROR(CORREL('03_原始数据'!$B$806:$B$825,'03_原始数据'!$C$806:$C$825),""),"")</f>
        <v/>
      </c>
      <c r="C825" s="31">
        <f>IF(1=1,IFERROR(CORREL('03_原始数据'!$B$766:$B$825,'03_原始数据'!$C$766:$C$825),""),"")</f>
        <v/>
      </c>
      <c r="D825" s="31">
        <f>IF(1=1,IFERROR(CORREL('03_原始数据'!$B$706:$B$825,'03_原始数据'!$C$706:$C$825),""),"")</f>
        <v/>
      </c>
      <c r="E825" s="31">
        <f>IF(1=1,IFERROR(CORREL('03_原始数据'!$G$766:$G$825,'03_原始数据'!$H$766:$H$825),""),"")</f>
        <v/>
      </c>
      <c r="F825" s="54">
        <f>IF(N(B825)=0,"不足","有效")</f>
        <v/>
      </c>
    </row>
    <row r="826" ht="17" customHeight="1">
      <c r="A826" s="40">
        <f>'03_原始数据'!A826</f>
        <v/>
      </c>
      <c r="B826" s="34">
        <f>IF(1=1,IFERROR(CORREL('03_原始数据'!$B$807:$B$826,'03_原始数据'!$C$807:$C$826),""),"")</f>
        <v/>
      </c>
      <c r="C826" s="34">
        <f>IF(1=1,IFERROR(CORREL('03_原始数据'!$B$767:$B$826,'03_原始数据'!$C$767:$C$826),""),"")</f>
        <v/>
      </c>
      <c r="D826" s="34">
        <f>IF(1=1,IFERROR(CORREL('03_原始数据'!$B$707:$B$826,'03_原始数据'!$C$707:$C$826),""),"")</f>
        <v/>
      </c>
      <c r="E826" s="34">
        <f>IF(1=1,IFERROR(CORREL('03_原始数据'!$G$767:$G$826,'03_原始数据'!$H$767:$H$826),""),"")</f>
        <v/>
      </c>
      <c r="F826" s="55">
        <f>IF(N(B826)=0,"不足","有效")</f>
        <v/>
      </c>
    </row>
    <row r="827" ht="17" customHeight="1">
      <c r="A827" s="38">
        <f>'03_原始数据'!A827</f>
        <v/>
      </c>
      <c r="B827" s="31">
        <f>IF(1=1,IFERROR(CORREL('03_原始数据'!$B$808:$B$827,'03_原始数据'!$C$808:$C$827),""),"")</f>
        <v/>
      </c>
      <c r="C827" s="31">
        <f>IF(1=1,IFERROR(CORREL('03_原始数据'!$B$768:$B$827,'03_原始数据'!$C$768:$C$827),""),"")</f>
        <v/>
      </c>
      <c r="D827" s="31">
        <f>IF(1=1,IFERROR(CORREL('03_原始数据'!$B$708:$B$827,'03_原始数据'!$C$708:$C$827),""),"")</f>
        <v/>
      </c>
      <c r="E827" s="31">
        <f>IF(1=1,IFERROR(CORREL('03_原始数据'!$G$768:$G$827,'03_原始数据'!$H$768:$H$827),""),"")</f>
        <v/>
      </c>
      <c r="F827" s="54">
        <f>IF(N(B827)=0,"不足","有效")</f>
        <v/>
      </c>
    </row>
    <row r="828" ht="17" customHeight="1">
      <c r="A828" s="40">
        <f>'03_原始数据'!A828</f>
        <v/>
      </c>
      <c r="B828" s="34">
        <f>IF(1=1,IFERROR(CORREL('03_原始数据'!$B$809:$B$828,'03_原始数据'!$C$809:$C$828),""),"")</f>
        <v/>
      </c>
      <c r="C828" s="34">
        <f>IF(1=1,IFERROR(CORREL('03_原始数据'!$B$769:$B$828,'03_原始数据'!$C$769:$C$828),""),"")</f>
        <v/>
      </c>
      <c r="D828" s="34">
        <f>IF(1=1,IFERROR(CORREL('03_原始数据'!$B$709:$B$828,'03_原始数据'!$C$709:$C$828),""),"")</f>
        <v/>
      </c>
      <c r="E828" s="34">
        <f>IF(1=1,IFERROR(CORREL('03_原始数据'!$G$769:$G$828,'03_原始数据'!$H$769:$H$828),""),"")</f>
        <v/>
      </c>
      <c r="F828" s="55">
        <f>IF(N(B828)=0,"不足","有效")</f>
        <v/>
      </c>
    </row>
    <row r="829" ht="17" customHeight="1">
      <c r="A829" s="38">
        <f>'03_原始数据'!A829</f>
        <v/>
      </c>
      <c r="B829" s="31">
        <f>IF(1=1,IFERROR(CORREL('03_原始数据'!$B$810:$B$829,'03_原始数据'!$C$810:$C$829),""),"")</f>
        <v/>
      </c>
      <c r="C829" s="31">
        <f>IF(1=1,IFERROR(CORREL('03_原始数据'!$B$770:$B$829,'03_原始数据'!$C$770:$C$829),""),"")</f>
        <v/>
      </c>
      <c r="D829" s="31">
        <f>IF(1=1,IFERROR(CORREL('03_原始数据'!$B$710:$B$829,'03_原始数据'!$C$710:$C$829),""),"")</f>
        <v/>
      </c>
      <c r="E829" s="31">
        <f>IF(1=1,IFERROR(CORREL('03_原始数据'!$G$770:$G$829,'03_原始数据'!$H$770:$H$829),""),"")</f>
        <v/>
      </c>
      <c r="F829" s="54">
        <f>IF(N(B829)=0,"不足","有效")</f>
        <v/>
      </c>
    </row>
    <row r="830" ht="17" customHeight="1">
      <c r="A830" s="40">
        <f>'03_原始数据'!A830</f>
        <v/>
      </c>
      <c r="B830" s="34">
        <f>IF(1=1,IFERROR(CORREL('03_原始数据'!$B$811:$B$830,'03_原始数据'!$C$811:$C$830),""),"")</f>
        <v/>
      </c>
      <c r="C830" s="34">
        <f>IF(1=1,IFERROR(CORREL('03_原始数据'!$B$771:$B$830,'03_原始数据'!$C$771:$C$830),""),"")</f>
        <v/>
      </c>
      <c r="D830" s="34">
        <f>IF(1=1,IFERROR(CORREL('03_原始数据'!$B$711:$B$830,'03_原始数据'!$C$711:$C$830),""),"")</f>
        <v/>
      </c>
      <c r="E830" s="34">
        <f>IF(1=1,IFERROR(CORREL('03_原始数据'!$G$771:$G$830,'03_原始数据'!$H$771:$H$830),""),"")</f>
        <v/>
      </c>
      <c r="F830" s="55">
        <f>IF(N(B830)=0,"不足","有效")</f>
        <v/>
      </c>
    </row>
    <row r="831" ht="17" customHeight="1">
      <c r="A831" s="38">
        <f>'03_原始数据'!A831</f>
        <v/>
      </c>
      <c r="B831" s="31">
        <f>IF(1=1,IFERROR(CORREL('03_原始数据'!$B$812:$B$831,'03_原始数据'!$C$812:$C$831),""),"")</f>
        <v/>
      </c>
      <c r="C831" s="31">
        <f>IF(1=1,IFERROR(CORREL('03_原始数据'!$B$772:$B$831,'03_原始数据'!$C$772:$C$831),""),"")</f>
        <v/>
      </c>
      <c r="D831" s="31">
        <f>IF(1=1,IFERROR(CORREL('03_原始数据'!$B$712:$B$831,'03_原始数据'!$C$712:$C$831),""),"")</f>
        <v/>
      </c>
      <c r="E831" s="31">
        <f>IF(1=1,IFERROR(CORREL('03_原始数据'!$G$772:$G$831,'03_原始数据'!$H$772:$H$831),""),"")</f>
        <v/>
      </c>
      <c r="F831" s="54">
        <f>IF(N(B831)=0,"不足","有效")</f>
        <v/>
      </c>
    </row>
    <row r="832" ht="17" customHeight="1">
      <c r="A832" s="40">
        <f>'03_原始数据'!A832</f>
        <v/>
      </c>
      <c r="B832" s="34">
        <f>IF(1=1,IFERROR(CORREL('03_原始数据'!$B$813:$B$832,'03_原始数据'!$C$813:$C$832),""),"")</f>
        <v/>
      </c>
      <c r="C832" s="34">
        <f>IF(1=1,IFERROR(CORREL('03_原始数据'!$B$773:$B$832,'03_原始数据'!$C$773:$C$832),""),"")</f>
        <v/>
      </c>
      <c r="D832" s="34">
        <f>IF(1=1,IFERROR(CORREL('03_原始数据'!$B$713:$B$832,'03_原始数据'!$C$713:$C$832),""),"")</f>
        <v/>
      </c>
      <c r="E832" s="34">
        <f>IF(1=1,IFERROR(CORREL('03_原始数据'!$G$773:$G$832,'03_原始数据'!$H$773:$H$832),""),"")</f>
        <v/>
      </c>
      <c r="F832" s="55">
        <f>IF(N(B832)=0,"不足","有效")</f>
        <v/>
      </c>
    </row>
    <row r="833" ht="17" customHeight="1">
      <c r="A833" s="38">
        <f>'03_原始数据'!A833</f>
        <v/>
      </c>
      <c r="B833" s="31">
        <f>IF(1=1,IFERROR(CORREL('03_原始数据'!$B$814:$B$833,'03_原始数据'!$C$814:$C$833),""),"")</f>
        <v/>
      </c>
      <c r="C833" s="31">
        <f>IF(1=1,IFERROR(CORREL('03_原始数据'!$B$774:$B$833,'03_原始数据'!$C$774:$C$833),""),"")</f>
        <v/>
      </c>
      <c r="D833" s="31">
        <f>IF(1=1,IFERROR(CORREL('03_原始数据'!$B$714:$B$833,'03_原始数据'!$C$714:$C$833),""),"")</f>
        <v/>
      </c>
      <c r="E833" s="31">
        <f>IF(1=1,IFERROR(CORREL('03_原始数据'!$G$774:$G$833,'03_原始数据'!$H$774:$H$833),""),"")</f>
        <v/>
      </c>
      <c r="F833" s="54">
        <f>IF(N(B833)=0,"不足","有效")</f>
        <v/>
      </c>
    </row>
    <row r="834" ht="17" customHeight="1">
      <c r="A834" s="40">
        <f>'03_原始数据'!A834</f>
        <v/>
      </c>
      <c r="B834" s="34">
        <f>IF(1=1,IFERROR(CORREL('03_原始数据'!$B$815:$B$834,'03_原始数据'!$C$815:$C$834),""),"")</f>
        <v/>
      </c>
      <c r="C834" s="34">
        <f>IF(1=1,IFERROR(CORREL('03_原始数据'!$B$775:$B$834,'03_原始数据'!$C$775:$C$834),""),"")</f>
        <v/>
      </c>
      <c r="D834" s="34">
        <f>IF(1=1,IFERROR(CORREL('03_原始数据'!$B$715:$B$834,'03_原始数据'!$C$715:$C$834),""),"")</f>
        <v/>
      </c>
      <c r="E834" s="34">
        <f>IF(1=1,IFERROR(CORREL('03_原始数据'!$G$775:$G$834,'03_原始数据'!$H$775:$H$834),""),"")</f>
        <v/>
      </c>
      <c r="F834" s="55">
        <f>IF(N(B834)=0,"不足","有效")</f>
        <v/>
      </c>
    </row>
    <row r="835" ht="17" customHeight="1">
      <c r="A835" s="38">
        <f>'03_原始数据'!A835</f>
        <v/>
      </c>
      <c r="B835" s="31">
        <f>IF(1=1,IFERROR(CORREL('03_原始数据'!$B$816:$B$835,'03_原始数据'!$C$816:$C$835),""),"")</f>
        <v/>
      </c>
      <c r="C835" s="31">
        <f>IF(1=1,IFERROR(CORREL('03_原始数据'!$B$776:$B$835,'03_原始数据'!$C$776:$C$835),""),"")</f>
        <v/>
      </c>
      <c r="D835" s="31">
        <f>IF(1=1,IFERROR(CORREL('03_原始数据'!$B$716:$B$835,'03_原始数据'!$C$716:$C$835),""),"")</f>
        <v/>
      </c>
      <c r="E835" s="31">
        <f>IF(1=1,IFERROR(CORREL('03_原始数据'!$G$776:$G$835,'03_原始数据'!$H$776:$H$835),""),"")</f>
        <v/>
      </c>
      <c r="F835" s="54">
        <f>IF(N(B835)=0,"不足","有效")</f>
        <v/>
      </c>
    </row>
    <row r="836" ht="17" customHeight="1">
      <c r="A836" s="40">
        <f>'03_原始数据'!A836</f>
        <v/>
      </c>
      <c r="B836" s="34">
        <f>IF(1=1,IFERROR(CORREL('03_原始数据'!$B$817:$B$836,'03_原始数据'!$C$817:$C$836),""),"")</f>
        <v/>
      </c>
      <c r="C836" s="34">
        <f>IF(1=1,IFERROR(CORREL('03_原始数据'!$B$777:$B$836,'03_原始数据'!$C$777:$C$836),""),"")</f>
        <v/>
      </c>
      <c r="D836" s="34">
        <f>IF(1=1,IFERROR(CORREL('03_原始数据'!$B$717:$B$836,'03_原始数据'!$C$717:$C$836),""),"")</f>
        <v/>
      </c>
      <c r="E836" s="34">
        <f>IF(1=1,IFERROR(CORREL('03_原始数据'!$G$777:$G$836,'03_原始数据'!$H$777:$H$836),""),"")</f>
        <v/>
      </c>
      <c r="F836" s="55">
        <f>IF(N(B836)=0,"不足","有效")</f>
        <v/>
      </c>
    </row>
    <row r="837" ht="17" customHeight="1">
      <c r="A837" s="38">
        <f>'03_原始数据'!A837</f>
        <v/>
      </c>
      <c r="B837" s="31">
        <f>IF(1=1,IFERROR(CORREL('03_原始数据'!$B$818:$B$837,'03_原始数据'!$C$818:$C$837),""),"")</f>
        <v/>
      </c>
      <c r="C837" s="31">
        <f>IF(1=1,IFERROR(CORREL('03_原始数据'!$B$778:$B$837,'03_原始数据'!$C$778:$C$837),""),"")</f>
        <v/>
      </c>
      <c r="D837" s="31">
        <f>IF(1=1,IFERROR(CORREL('03_原始数据'!$B$718:$B$837,'03_原始数据'!$C$718:$C$837),""),"")</f>
        <v/>
      </c>
      <c r="E837" s="31">
        <f>IF(1=1,IFERROR(CORREL('03_原始数据'!$G$778:$G$837,'03_原始数据'!$H$778:$H$837),""),"")</f>
        <v/>
      </c>
      <c r="F837" s="54">
        <f>IF(N(B837)=0,"不足","有效")</f>
        <v/>
      </c>
    </row>
    <row r="838" ht="17" customHeight="1">
      <c r="A838" s="40">
        <f>'03_原始数据'!A838</f>
        <v/>
      </c>
      <c r="B838" s="34">
        <f>IF(1=1,IFERROR(CORREL('03_原始数据'!$B$819:$B$838,'03_原始数据'!$C$819:$C$838),""),"")</f>
        <v/>
      </c>
      <c r="C838" s="34">
        <f>IF(1=1,IFERROR(CORREL('03_原始数据'!$B$779:$B$838,'03_原始数据'!$C$779:$C$838),""),"")</f>
        <v/>
      </c>
      <c r="D838" s="34">
        <f>IF(1=1,IFERROR(CORREL('03_原始数据'!$B$719:$B$838,'03_原始数据'!$C$719:$C$838),""),"")</f>
        <v/>
      </c>
      <c r="E838" s="34">
        <f>IF(1=1,IFERROR(CORREL('03_原始数据'!$G$779:$G$838,'03_原始数据'!$H$779:$H$838),""),"")</f>
        <v/>
      </c>
      <c r="F838" s="55">
        <f>IF(N(B838)=0,"不足","有效")</f>
        <v/>
      </c>
    </row>
    <row r="839" ht="17" customHeight="1">
      <c r="A839" s="38">
        <f>'03_原始数据'!A839</f>
        <v/>
      </c>
      <c r="B839" s="31">
        <f>IF(1=1,IFERROR(CORREL('03_原始数据'!$B$820:$B$839,'03_原始数据'!$C$820:$C$839),""),"")</f>
        <v/>
      </c>
      <c r="C839" s="31">
        <f>IF(1=1,IFERROR(CORREL('03_原始数据'!$B$780:$B$839,'03_原始数据'!$C$780:$C$839),""),"")</f>
        <v/>
      </c>
      <c r="D839" s="31">
        <f>IF(1=1,IFERROR(CORREL('03_原始数据'!$B$720:$B$839,'03_原始数据'!$C$720:$C$839),""),"")</f>
        <v/>
      </c>
      <c r="E839" s="31">
        <f>IF(1=1,IFERROR(CORREL('03_原始数据'!$G$780:$G$839,'03_原始数据'!$H$780:$H$839),""),"")</f>
        <v/>
      </c>
      <c r="F839" s="54">
        <f>IF(N(B839)=0,"不足","有效")</f>
        <v/>
      </c>
    </row>
    <row r="840" ht="17" customHeight="1">
      <c r="A840" s="40">
        <f>'03_原始数据'!A840</f>
        <v/>
      </c>
      <c r="B840" s="34">
        <f>IF(1=1,IFERROR(CORREL('03_原始数据'!$B$821:$B$840,'03_原始数据'!$C$821:$C$840),""),"")</f>
        <v/>
      </c>
      <c r="C840" s="34">
        <f>IF(1=1,IFERROR(CORREL('03_原始数据'!$B$781:$B$840,'03_原始数据'!$C$781:$C$840),""),"")</f>
        <v/>
      </c>
      <c r="D840" s="34">
        <f>IF(1=1,IFERROR(CORREL('03_原始数据'!$B$721:$B$840,'03_原始数据'!$C$721:$C$840),""),"")</f>
        <v/>
      </c>
      <c r="E840" s="34">
        <f>IF(1=1,IFERROR(CORREL('03_原始数据'!$G$781:$G$840,'03_原始数据'!$H$781:$H$840),""),"")</f>
        <v/>
      </c>
      <c r="F840" s="55">
        <f>IF(N(B840)=0,"不足","有效")</f>
        <v/>
      </c>
    </row>
    <row r="841" ht="17" customHeight="1">
      <c r="A841" s="38">
        <f>'03_原始数据'!A841</f>
        <v/>
      </c>
      <c r="B841" s="31">
        <f>IF(1=1,IFERROR(CORREL('03_原始数据'!$B$822:$B$841,'03_原始数据'!$C$822:$C$841),""),"")</f>
        <v/>
      </c>
      <c r="C841" s="31">
        <f>IF(1=1,IFERROR(CORREL('03_原始数据'!$B$782:$B$841,'03_原始数据'!$C$782:$C$841),""),"")</f>
        <v/>
      </c>
      <c r="D841" s="31">
        <f>IF(1=1,IFERROR(CORREL('03_原始数据'!$B$722:$B$841,'03_原始数据'!$C$722:$C$841),""),"")</f>
        <v/>
      </c>
      <c r="E841" s="31">
        <f>IF(1=1,IFERROR(CORREL('03_原始数据'!$G$782:$G$841,'03_原始数据'!$H$782:$H$841),""),"")</f>
        <v/>
      </c>
      <c r="F841" s="54">
        <f>IF(N(B841)=0,"不足","有效")</f>
        <v/>
      </c>
    </row>
    <row r="842" ht="17" customHeight="1">
      <c r="A842" s="40">
        <f>'03_原始数据'!A842</f>
        <v/>
      </c>
      <c r="B842" s="34">
        <f>IF(1=1,IFERROR(CORREL('03_原始数据'!$B$823:$B$842,'03_原始数据'!$C$823:$C$842),""),"")</f>
        <v/>
      </c>
      <c r="C842" s="34">
        <f>IF(1=1,IFERROR(CORREL('03_原始数据'!$B$783:$B$842,'03_原始数据'!$C$783:$C$842),""),"")</f>
        <v/>
      </c>
      <c r="D842" s="34">
        <f>IF(1=1,IFERROR(CORREL('03_原始数据'!$B$723:$B$842,'03_原始数据'!$C$723:$C$842),""),"")</f>
        <v/>
      </c>
      <c r="E842" s="34">
        <f>IF(1=1,IFERROR(CORREL('03_原始数据'!$G$783:$G$842,'03_原始数据'!$H$783:$H$842),""),"")</f>
        <v/>
      </c>
      <c r="F842" s="55">
        <f>IF(N(B842)=0,"不足","有效")</f>
        <v/>
      </c>
    </row>
    <row r="843" ht="17" customHeight="1">
      <c r="A843" s="38">
        <f>'03_原始数据'!A843</f>
        <v/>
      </c>
      <c r="B843" s="31">
        <f>IF(1=1,IFERROR(CORREL('03_原始数据'!$B$824:$B$843,'03_原始数据'!$C$824:$C$843),""),"")</f>
        <v/>
      </c>
      <c r="C843" s="31">
        <f>IF(1=1,IFERROR(CORREL('03_原始数据'!$B$784:$B$843,'03_原始数据'!$C$784:$C$843),""),"")</f>
        <v/>
      </c>
      <c r="D843" s="31">
        <f>IF(1=1,IFERROR(CORREL('03_原始数据'!$B$724:$B$843,'03_原始数据'!$C$724:$C$843),""),"")</f>
        <v/>
      </c>
      <c r="E843" s="31">
        <f>IF(1=1,IFERROR(CORREL('03_原始数据'!$G$784:$G$843,'03_原始数据'!$H$784:$H$843),""),"")</f>
        <v/>
      </c>
      <c r="F843" s="54">
        <f>IF(N(B843)=0,"不足","有效")</f>
        <v/>
      </c>
    </row>
    <row r="844" ht="17" customHeight="1">
      <c r="A844" s="40">
        <f>'03_原始数据'!A844</f>
        <v/>
      </c>
      <c r="B844" s="34">
        <f>IF(1=1,IFERROR(CORREL('03_原始数据'!$B$825:$B$844,'03_原始数据'!$C$825:$C$844),""),"")</f>
        <v/>
      </c>
      <c r="C844" s="34">
        <f>IF(1=1,IFERROR(CORREL('03_原始数据'!$B$785:$B$844,'03_原始数据'!$C$785:$C$844),""),"")</f>
        <v/>
      </c>
      <c r="D844" s="34">
        <f>IF(1=1,IFERROR(CORREL('03_原始数据'!$B$725:$B$844,'03_原始数据'!$C$725:$C$844),""),"")</f>
        <v/>
      </c>
      <c r="E844" s="34">
        <f>IF(1=1,IFERROR(CORREL('03_原始数据'!$G$785:$G$844,'03_原始数据'!$H$785:$H$844),""),"")</f>
        <v/>
      </c>
      <c r="F844" s="55">
        <f>IF(N(B844)=0,"不足","有效")</f>
        <v/>
      </c>
    </row>
    <row r="845" ht="17" customHeight="1">
      <c r="A845" s="38">
        <f>'03_原始数据'!A845</f>
        <v/>
      </c>
      <c r="B845" s="31">
        <f>IF(1=1,IFERROR(CORREL('03_原始数据'!$B$826:$B$845,'03_原始数据'!$C$826:$C$845),""),"")</f>
        <v/>
      </c>
      <c r="C845" s="31">
        <f>IF(1=1,IFERROR(CORREL('03_原始数据'!$B$786:$B$845,'03_原始数据'!$C$786:$C$845),""),"")</f>
        <v/>
      </c>
      <c r="D845" s="31">
        <f>IF(1=1,IFERROR(CORREL('03_原始数据'!$B$726:$B$845,'03_原始数据'!$C$726:$C$845),""),"")</f>
        <v/>
      </c>
      <c r="E845" s="31">
        <f>IF(1=1,IFERROR(CORREL('03_原始数据'!$G$786:$G$845,'03_原始数据'!$H$786:$H$845),""),"")</f>
        <v/>
      </c>
      <c r="F845" s="54">
        <f>IF(N(B845)=0,"不足","有效")</f>
        <v/>
      </c>
    </row>
    <row r="846" ht="17" customHeight="1">
      <c r="A846" s="40">
        <f>'03_原始数据'!A846</f>
        <v/>
      </c>
      <c r="B846" s="34">
        <f>IF(1=1,IFERROR(CORREL('03_原始数据'!$B$827:$B$846,'03_原始数据'!$C$827:$C$846),""),"")</f>
        <v/>
      </c>
      <c r="C846" s="34">
        <f>IF(1=1,IFERROR(CORREL('03_原始数据'!$B$787:$B$846,'03_原始数据'!$C$787:$C$846),""),"")</f>
        <v/>
      </c>
      <c r="D846" s="34">
        <f>IF(1=1,IFERROR(CORREL('03_原始数据'!$B$727:$B$846,'03_原始数据'!$C$727:$C$846),""),"")</f>
        <v/>
      </c>
      <c r="E846" s="34">
        <f>IF(1=1,IFERROR(CORREL('03_原始数据'!$G$787:$G$846,'03_原始数据'!$H$787:$H$846),""),"")</f>
        <v/>
      </c>
      <c r="F846" s="55">
        <f>IF(N(B846)=0,"不足","有效")</f>
        <v/>
      </c>
    </row>
    <row r="847" ht="17" customHeight="1">
      <c r="A847" s="38">
        <f>'03_原始数据'!A847</f>
        <v/>
      </c>
      <c r="B847" s="31">
        <f>IF(1=1,IFERROR(CORREL('03_原始数据'!$B$828:$B$847,'03_原始数据'!$C$828:$C$847),""),"")</f>
        <v/>
      </c>
      <c r="C847" s="31">
        <f>IF(1=1,IFERROR(CORREL('03_原始数据'!$B$788:$B$847,'03_原始数据'!$C$788:$C$847),""),"")</f>
        <v/>
      </c>
      <c r="D847" s="31">
        <f>IF(1=1,IFERROR(CORREL('03_原始数据'!$B$728:$B$847,'03_原始数据'!$C$728:$C$847),""),"")</f>
        <v/>
      </c>
      <c r="E847" s="31">
        <f>IF(1=1,IFERROR(CORREL('03_原始数据'!$G$788:$G$847,'03_原始数据'!$H$788:$H$847),""),"")</f>
        <v/>
      </c>
      <c r="F847" s="54">
        <f>IF(N(B847)=0,"不足","有效")</f>
        <v/>
      </c>
    </row>
    <row r="848" ht="17" customHeight="1">
      <c r="A848" s="40">
        <f>'03_原始数据'!A848</f>
        <v/>
      </c>
      <c r="B848" s="34">
        <f>IF(1=1,IFERROR(CORREL('03_原始数据'!$B$829:$B$848,'03_原始数据'!$C$829:$C$848),""),"")</f>
        <v/>
      </c>
      <c r="C848" s="34">
        <f>IF(1=1,IFERROR(CORREL('03_原始数据'!$B$789:$B$848,'03_原始数据'!$C$789:$C$848),""),"")</f>
        <v/>
      </c>
      <c r="D848" s="34">
        <f>IF(1=1,IFERROR(CORREL('03_原始数据'!$B$729:$B$848,'03_原始数据'!$C$729:$C$848),""),"")</f>
        <v/>
      </c>
      <c r="E848" s="34">
        <f>IF(1=1,IFERROR(CORREL('03_原始数据'!$G$789:$G$848,'03_原始数据'!$H$789:$H$848),""),"")</f>
        <v/>
      </c>
      <c r="F848" s="55">
        <f>IF(N(B848)=0,"不足","有效")</f>
        <v/>
      </c>
    </row>
    <row r="849" ht="17" customHeight="1">
      <c r="A849" s="38">
        <f>'03_原始数据'!A849</f>
        <v/>
      </c>
      <c r="B849" s="31">
        <f>IF(1=1,IFERROR(CORREL('03_原始数据'!$B$830:$B$849,'03_原始数据'!$C$830:$C$849),""),"")</f>
        <v/>
      </c>
      <c r="C849" s="31">
        <f>IF(1=1,IFERROR(CORREL('03_原始数据'!$B$790:$B$849,'03_原始数据'!$C$790:$C$849),""),"")</f>
        <v/>
      </c>
      <c r="D849" s="31">
        <f>IF(1=1,IFERROR(CORREL('03_原始数据'!$B$730:$B$849,'03_原始数据'!$C$730:$C$849),""),"")</f>
        <v/>
      </c>
      <c r="E849" s="31">
        <f>IF(1=1,IFERROR(CORREL('03_原始数据'!$G$790:$G$849,'03_原始数据'!$H$790:$H$849),""),"")</f>
        <v/>
      </c>
      <c r="F849" s="54">
        <f>IF(N(B849)=0,"不足","有效")</f>
        <v/>
      </c>
    </row>
    <row r="850" ht="17" customHeight="1">
      <c r="A850" s="40">
        <f>'03_原始数据'!A850</f>
        <v/>
      </c>
      <c r="B850" s="34">
        <f>IF(1=1,IFERROR(CORREL('03_原始数据'!$B$831:$B$850,'03_原始数据'!$C$831:$C$850),""),"")</f>
        <v/>
      </c>
      <c r="C850" s="34">
        <f>IF(1=1,IFERROR(CORREL('03_原始数据'!$B$791:$B$850,'03_原始数据'!$C$791:$C$850),""),"")</f>
        <v/>
      </c>
      <c r="D850" s="34">
        <f>IF(1=1,IFERROR(CORREL('03_原始数据'!$B$731:$B$850,'03_原始数据'!$C$731:$C$850),""),"")</f>
        <v/>
      </c>
      <c r="E850" s="34">
        <f>IF(1=1,IFERROR(CORREL('03_原始数据'!$G$791:$G$850,'03_原始数据'!$H$791:$H$850),""),"")</f>
        <v/>
      </c>
      <c r="F850" s="55">
        <f>IF(N(B850)=0,"不足","有效")</f>
        <v/>
      </c>
    </row>
    <row r="851" ht="17" customHeight="1">
      <c r="A851" s="38">
        <f>'03_原始数据'!A851</f>
        <v/>
      </c>
      <c r="B851" s="31">
        <f>IF(1=1,IFERROR(CORREL('03_原始数据'!$B$832:$B$851,'03_原始数据'!$C$832:$C$851),""),"")</f>
        <v/>
      </c>
      <c r="C851" s="31">
        <f>IF(1=1,IFERROR(CORREL('03_原始数据'!$B$792:$B$851,'03_原始数据'!$C$792:$C$851),""),"")</f>
        <v/>
      </c>
      <c r="D851" s="31">
        <f>IF(1=1,IFERROR(CORREL('03_原始数据'!$B$732:$B$851,'03_原始数据'!$C$732:$C$851),""),"")</f>
        <v/>
      </c>
      <c r="E851" s="31">
        <f>IF(1=1,IFERROR(CORREL('03_原始数据'!$G$792:$G$851,'03_原始数据'!$H$792:$H$851),""),"")</f>
        <v/>
      </c>
      <c r="F851" s="54">
        <f>IF(N(B851)=0,"不足","有效")</f>
        <v/>
      </c>
    </row>
    <row r="852" ht="17" customHeight="1">
      <c r="A852" s="40">
        <f>'03_原始数据'!A852</f>
        <v/>
      </c>
      <c r="B852" s="34">
        <f>IF(1=1,IFERROR(CORREL('03_原始数据'!$B$833:$B$852,'03_原始数据'!$C$833:$C$852),""),"")</f>
        <v/>
      </c>
      <c r="C852" s="34">
        <f>IF(1=1,IFERROR(CORREL('03_原始数据'!$B$793:$B$852,'03_原始数据'!$C$793:$C$852),""),"")</f>
        <v/>
      </c>
      <c r="D852" s="34">
        <f>IF(1=1,IFERROR(CORREL('03_原始数据'!$B$733:$B$852,'03_原始数据'!$C$733:$C$852),""),"")</f>
        <v/>
      </c>
      <c r="E852" s="34">
        <f>IF(1=1,IFERROR(CORREL('03_原始数据'!$G$793:$G$852,'03_原始数据'!$H$793:$H$852),""),"")</f>
        <v/>
      </c>
      <c r="F852" s="55">
        <f>IF(N(B852)=0,"不足","有效")</f>
        <v/>
      </c>
    </row>
    <row r="853" ht="17" customHeight="1">
      <c r="A853" s="38">
        <f>'03_原始数据'!A853</f>
        <v/>
      </c>
      <c r="B853" s="31">
        <f>IF(1=1,IFERROR(CORREL('03_原始数据'!$B$834:$B$853,'03_原始数据'!$C$834:$C$853),""),"")</f>
        <v/>
      </c>
      <c r="C853" s="31">
        <f>IF(1=1,IFERROR(CORREL('03_原始数据'!$B$794:$B$853,'03_原始数据'!$C$794:$C$853),""),"")</f>
        <v/>
      </c>
      <c r="D853" s="31">
        <f>IF(1=1,IFERROR(CORREL('03_原始数据'!$B$734:$B$853,'03_原始数据'!$C$734:$C$853),""),"")</f>
        <v/>
      </c>
      <c r="E853" s="31">
        <f>IF(1=1,IFERROR(CORREL('03_原始数据'!$G$794:$G$853,'03_原始数据'!$H$794:$H$853),""),"")</f>
        <v/>
      </c>
      <c r="F853" s="54">
        <f>IF(N(B853)=0,"不足","有效")</f>
        <v/>
      </c>
    </row>
    <row r="854" ht="17" customHeight="1">
      <c r="A854" s="40">
        <f>'03_原始数据'!A854</f>
        <v/>
      </c>
      <c r="B854" s="34">
        <f>IF(1=1,IFERROR(CORREL('03_原始数据'!$B$835:$B$854,'03_原始数据'!$C$835:$C$854),""),"")</f>
        <v/>
      </c>
      <c r="C854" s="34">
        <f>IF(1=1,IFERROR(CORREL('03_原始数据'!$B$795:$B$854,'03_原始数据'!$C$795:$C$854),""),"")</f>
        <v/>
      </c>
      <c r="D854" s="34">
        <f>IF(1=1,IFERROR(CORREL('03_原始数据'!$B$735:$B$854,'03_原始数据'!$C$735:$C$854),""),"")</f>
        <v/>
      </c>
      <c r="E854" s="34">
        <f>IF(1=1,IFERROR(CORREL('03_原始数据'!$G$795:$G$854,'03_原始数据'!$H$795:$H$854),""),"")</f>
        <v/>
      </c>
      <c r="F854" s="55">
        <f>IF(N(B854)=0,"不足","有效")</f>
        <v/>
      </c>
    </row>
    <row r="855" ht="17" customHeight="1">
      <c r="A855" s="38">
        <f>'03_原始数据'!A855</f>
        <v/>
      </c>
      <c r="B855" s="31">
        <f>IF(1=1,IFERROR(CORREL('03_原始数据'!$B$836:$B$855,'03_原始数据'!$C$836:$C$855),""),"")</f>
        <v/>
      </c>
      <c r="C855" s="31">
        <f>IF(1=1,IFERROR(CORREL('03_原始数据'!$B$796:$B$855,'03_原始数据'!$C$796:$C$855),""),"")</f>
        <v/>
      </c>
      <c r="D855" s="31">
        <f>IF(1=1,IFERROR(CORREL('03_原始数据'!$B$736:$B$855,'03_原始数据'!$C$736:$C$855),""),"")</f>
        <v/>
      </c>
      <c r="E855" s="31">
        <f>IF(1=1,IFERROR(CORREL('03_原始数据'!$G$796:$G$855,'03_原始数据'!$H$796:$H$855),""),"")</f>
        <v/>
      </c>
      <c r="F855" s="54">
        <f>IF(N(B855)=0,"不足","有效")</f>
        <v/>
      </c>
    </row>
    <row r="856" ht="17" customHeight="1">
      <c r="A856" s="40">
        <f>'03_原始数据'!A856</f>
        <v/>
      </c>
      <c r="B856" s="34">
        <f>IF(1=1,IFERROR(CORREL('03_原始数据'!$B$837:$B$856,'03_原始数据'!$C$837:$C$856),""),"")</f>
        <v/>
      </c>
      <c r="C856" s="34">
        <f>IF(1=1,IFERROR(CORREL('03_原始数据'!$B$797:$B$856,'03_原始数据'!$C$797:$C$856),""),"")</f>
        <v/>
      </c>
      <c r="D856" s="34">
        <f>IF(1=1,IFERROR(CORREL('03_原始数据'!$B$737:$B$856,'03_原始数据'!$C$737:$C$856),""),"")</f>
        <v/>
      </c>
      <c r="E856" s="34">
        <f>IF(1=1,IFERROR(CORREL('03_原始数据'!$G$797:$G$856,'03_原始数据'!$H$797:$H$856),""),"")</f>
        <v/>
      </c>
      <c r="F856" s="55">
        <f>IF(N(B856)=0,"不足","有效")</f>
        <v/>
      </c>
    </row>
    <row r="857" ht="17" customHeight="1">
      <c r="A857" s="38">
        <f>'03_原始数据'!A857</f>
        <v/>
      </c>
      <c r="B857" s="31">
        <f>IF(1=1,IFERROR(CORREL('03_原始数据'!$B$838:$B$857,'03_原始数据'!$C$838:$C$857),""),"")</f>
        <v/>
      </c>
      <c r="C857" s="31">
        <f>IF(1=1,IFERROR(CORREL('03_原始数据'!$B$798:$B$857,'03_原始数据'!$C$798:$C$857),""),"")</f>
        <v/>
      </c>
      <c r="D857" s="31">
        <f>IF(1=1,IFERROR(CORREL('03_原始数据'!$B$738:$B$857,'03_原始数据'!$C$738:$C$857),""),"")</f>
        <v/>
      </c>
      <c r="E857" s="31">
        <f>IF(1=1,IFERROR(CORREL('03_原始数据'!$G$798:$G$857,'03_原始数据'!$H$798:$H$857),""),"")</f>
        <v/>
      </c>
      <c r="F857" s="54">
        <f>IF(N(B857)=0,"不足","有效")</f>
        <v/>
      </c>
    </row>
    <row r="858" ht="17" customHeight="1">
      <c r="A858" s="40">
        <f>'03_原始数据'!A858</f>
        <v/>
      </c>
      <c r="B858" s="34">
        <f>IF(1=1,IFERROR(CORREL('03_原始数据'!$B$839:$B$858,'03_原始数据'!$C$839:$C$858),""),"")</f>
        <v/>
      </c>
      <c r="C858" s="34">
        <f>IF(1=1,IFERROR(CORREL('03_原始数据'!$B$799:$B$858,'03_原始数据'!$C$799:$C$858),""),"")</f>
        <v/>
      </c>
      <c r="D858" s="34">
        <f>IF(1=1,IFERROR(CORREL('03_原始数据'!$B$739:$B$858,'03_原始数据'!$C$739:$C$858),""),"")</f>
        <v/>
      </c>
      <c r="E858" s="34">
        <f>IF(1=1,IFERROR(CORREL('03_原始数据'!$G$799:$G$858,'03_原始数据'!$H$799:$H$858),""),"")</f>
        <v/>
      </c>
      <c r="F858" s="55">
        <f>IF(N(B858)=0,"不足","有效")</f>
        <v/>
      </c>
    </row>
    <row r="859" ht="17" customHeight="1">
      <c r="A859" s="38">
        <f>'03_原始数据'!A859</f>
        <v/>
      </c>
      <c r="B859" s="31">
        <f>IF(1=1,IFERROR(CORREL('03_原始数据'!$B$840:$B$859,'03_原始数据'!$C$840:$C$859),""),"")</f>
        <v/>
      </c>
      <c r="C859" s="31">
        <f>IF(1=1,IFERROR(CORREL('03_原始数据'!$B$800:$B$859,'03_原始数据'!$C$800:$C$859),""),"")</f>
        <v/>
      </c>
      <c r="D859" s="31">
        <f>IF(1=1,IFERROR(CORREL('03_原始数据'!$B$740:$B$859,'03_原始数据'!$C$740:$C$859),""),"")</f>
        <v/>
      </c>
      <c r="E859" s="31">
        <f>IF(1=1,IFERROR(CORREL('03_原始数据'!$G$800:$G$859,'03_原始数据'!$H$800:$H$859),""),"")</f>
        <v/>
      </c>
      <c r="F859" s="54">
        <f>IF(N(B859)=0,"不足","有效")</f>
        <v/>
      </c>
    </row>
    <row r="860" ht="17" customHeight="1">
      <c r="A860" s="40">
        <f>'03_原始数据'!A860</f>
        <v/>
      </c>
      <c r="B860" s="34">
        <f>IF(1=1,IFERROR(CORREL('03_原始数据'!$B$841:$B$860,'03_原始数据'!$C$841:$C$860),""),"")</f>
        <v/>
      </c>
      <c r="C860" s="34">
        <f>IF(1=1,IFERROR(CORREL('03_原始数据'!$B$801:$B$860,'03_原始数据'!$C$801:$C$860),""),"")</f>
        <v/>
      </c>
      <c r="D860" s="34">
        <f>IF(1=1,IFERROR(CORREL('03_原始数据'!$B$741:$B$860,'03_原始数据'!$C$741:$C$860),""),"")</f>
        <v/>
      </c>
      <c r="E860" s="34">
        <f>IF(1=1,IFERROR(CORREL('03_原始数据'!$G$801:$G$860,'03_原始数据'!$H$801:$H$860),""),"")</f>
        <v/>
      </c>
      <c r="F860" s="55">
        <f>IF(N(B860)=0,"不足","有效")</f>
        <v/>
      </c>
    </row>
    <row r="861" ht="17" customHeight="1">
      <c r="A861" s="38">
        <f>'03_原始数据'!A861</f>
        <v/>
      </c>
      <c r="B861" s="31">
        <f>IF(1=1,IFERROR(CORREL('03_原始数据'!$B$842:$B$861,'03_原始数据'!$C$842:$C$861),""),"")</f>
        <v/>
      </c>
      <c r="C861" s="31">
        <f>IF(1=1,IFERROR(CORREL('03_原始数据'!$B$802:$B$861,'03_原始数据'!$C$802:$C$861),""),"")</f>
        <v/>
      </c>
      <c r="D861" s="31">
        <f>IF(1=1,IFERROR(CORREL('03_原始数据'!$B$742:$B$861,'03_原始数据'!$C$742:$C$861),""),"")</f>
        <v/>
      </c>
      <c r="E861" s="31">
        <f>IF(1=1,IFERROR(CORREL('03_原始数据'!$G$802:$G$861,'03_原始数据'!$H$802:$H$861),""),"")</f>
        <v/>
      </c>
      <c r="F861" s="54">
        <f>IF(N(B861)=0,"不足","有效")</f>
        <v/>
      </c>
    </row>
    <row r="862" ht="17" customHeight="1">
      <c r="A862" s="40">
        <f>'03_原始数据'!A862</f>
        <v/>
      </c>
      <c r="B862" s="34">
        <f>IF(1=1,IFERROR(CORREL('03_原始数据'!$B$843:$B$862,'03_原始数据'!$C$843:$C$862),""),"")</f>
        <v/>
      </c>
      <c r="C862" s="34">
        <f>IF(1=1,IFERROR(CORREL('03_原始数据'!$B$803:$B$862,'03_原始数据'!$C$803:$C$862),""),"")</f>
        <v/>
      </c>
      <c r="D862" s="34">
        <f>IF(1=1,IFERROR(CORREL('03_原始数据'!$B$743:$B$862,'03_原始数据'!$C$743:$C$862),""),"")</f>
        <v/>
      </c>
      <c r="E862" s="34">
        <f>IF(1=1,IFERROR(CORREL('03_原始数据'!$G$803:$G$862,'03_原始数据'!$H$803:$H$862),""),"")</f>
        <v/>
      </c>
      <c r="F862" s="55">
        <f>IF(N(B862)=0,"不足","有效")</f>
        <v/>
      </c>
    </row>
    <row r="863" ht="17" customHeight="1">
      <c r="A863" s="38">
        <f>'03_原始数据'!A863</f>
        <v/>
      </c>
      <c r="B863" s="31">
        <f>IF(1=1,IFERROR(CORREL('03_原始数据'!$B$844:$B$863,'03_原始数据'!$C$844:$C$863),""),"")</f>
        <v/>
      </c>
      <c r="C863" s="31">
        <f>IF(1=1,IFERROR(CORREL('03_原始数据'!$B$804:$B$863,'03_原始数据'!$C$804:$C$863),""),"")</f>
        <v/>
      </c>
      <c r="D863" s="31">
        <f>IF(1=1,IFERROR(CORREL('03_原始数据'!$B$744:$B$863,'03_原始数据'!$C$744:$C$863),""),"")</f>
        <v/>
      </c>
      <c r="E863" s="31">
        <f>IF(1=1,IFERROR(CORREL('03_原始数据'!$G$804:$G$863,'03_原始数据'!$H$804:$H$863),""),"")</f>
        <v/>
      </c>
      <c r="F863" s="54">
        <f>IF(N(B863)=0,"不足","有效")</f>
        <v/>
      </c>
    </row>
    <row r="864" ht="17" customHeight="1">
      <c r="A864" s="40">
        <f>'03_原始数据'!A864</f>
        <v/>
      </c>
      <c r="B864" s="34">
        <f>IF(1=1,IFERROR(CORREL('03_原始数据'!$B$845:$B$864,'03_原始数据'!$C$845:$C$864),""),"")</f>
        <v/>
      </c>
      <c r="C864" s="34">
        <f>IF(1=1,IFERROR(CORREL('03_原始数据'!$B$805:$B$864,'03_原始数据'!$C$805:$C$864),""),"")</f>
        <v/>
      </c>
      <c r="D864" s="34">
        <f>IF(1=1,IFERROR(CORREL('03_原始数据'!$B$745:$B$864,'03_原始数据'!$C$745:$C$864),""),"")</f>
        <v/>
      </c>
      <c r="E864" s="34">
        <f>IF(1=1,IFERROR(CORREL('03_原始数据'!$G$805:$G$864,'03_原始数据'!$H$805:$H$864),""),"")</f>
        <v/>
      </c>
      <c r="F864" s="55">
        <f>IF(N(B864)=0,"不足","有效")</f>
        <v/>
      </c>
    </row>
    <row r="865" ht="17" customHeight="1">
      <c r="A865" s="38">
        <f>'03_原始数据'!A865</f>
        <v/>
      </c>
      <c r="B865" s="31">
        <f>IF(1=1,IFERROR(CORREL('03_原始数据'!$B$846:$B$865,'03_原始数据'!$C$846:$C$865),""),"")</f>
        <v/>
      </c>
      <c r="C865" s="31">
        <f>IF(1=1,IFERROR(CORREL('03_原始数据'!$B$806:$B$865,'03_原始数据'!$C$806:$C$865),""),"")</f>
        <v/>
      </c>
      <c r="D865" s="31">
        <f>IF(1=1,IFERROR(CORREL('03_原始数据'!$B$746:$B$865,'03_原始数据'!$C$746:$C$865),""),"")</f>
        <v/>
      </c>
      <c r="E865" s="31">
        <f>IF(1=1,IFERROR(CORREL('03_原始数据'!$G$806:$G$865,'03_原始数据'!$H$806:$H$865),""),"")</f>
        <v/>
      </c>
      <c r="F865" s="54">
        <f>IF(N(B865)=0,"不足","有效")</f>
        <v/>
      </c>
    </row>
    <row r="866" ht="17" customHeight="1">
      <c r="A866" s="40">
        <f>'03_原始数据'!A866</f>
        <v/>
      </c>
      <c r="B866" s="34">
        <f>IF(1=1,IFERROR(CORREL('03_原始数据'!$B$847:$B$866,'03_原始数据'!$C$847:$C$866),""),"")</f>
        <v/>
      </c>
      <c r="C866" s="34">
        <f>IF(1=1,IFERROR(CORREL('03_原始数据'!$B$807:$B$866,'03_原始数据'!$C$807:$C$866),""),"")</f>
        <v/>
      </c>
      <c r="D866" s="34">
        <f>IF(1=1,IFERROR(CORREL('03_原始数据'!$B$747:$B$866,'03_原始数据'!$C$747:$C$866),""),"")</f>
        <v/>
      </c>
      <c r="E866" s="34">
        <f>IF(1=1,IFERROR(CORREL('03_原始数据'!$G$807:$G$866,'03_原始数据'!$H$807:$H$866),""),"")</f>
        <v/>
      </c>
      <c r="F866" s="55">
        <f>IF(N(B866)=0,"不足","有效")</f>
        <v/>
      </c>
    </row>
    <row r="867" ht="17" customHeight="1">
      <c r="A867" s="38">
        <f>'03_原始数据'!A867</f>
        <v/>
      </c>
      <c r="B867" s="31">
        <f>IF(1=1,IFERROR(CORREL('03_原始数据'!$B$848:$B$867,'03_原始数据'!$C$848:$C$867),""),"")</f>
        <v/>
      </c>
      <c r="C867" s="31">
        <f>IF(1=1,IFERROR(CORREL('03_原始数据'!$B$808:$B$867,'03_原始数据'!$C$808:$C$867),""),"")</f>
        <v/>
      </c>
      <c r="D867" s="31">
        <f>IF(1=1,IFERROR(CORREL('03_原始数据'!$B$748:$B$867,'03_原始数据'!$C$748:$C$867),""),"")</f>
        <v/>
      </c>
      <c r="E867" s="31">
        <f>IF(1=1,IFERROR(CORREL('03_原始数据'!$G$808:$G$867,'03_原始数据'!$H$808:$H$867),""),"")</f>
        <v/>
      </c>
      <c r="F867" s="54">
        <f>IF(N(B867)=0,"不足","有效")</f>
        <v/>
      </c>
    </row>
    <row r="868" ht="17" customHeight="1">
      <c r="A868" s="40">
        <f>'03_原始数据'!A868</f>
        <v/>
      </c>
      <c r="B868" s="34">
        <f>IF(1=1,IFERROR(CORREL('03_原始数据'!$B$849:$B$868,'03_原始数据'!$C$849:$C$868),""),"")</f>
        <v/>
      </c>
      <c r="C868" s="34">
        <f>IF(1=1,IFERROR(CORREL('03_原始数据'!$B$809:$B$868,'03_原始数据'!$C$809:$C$868),""),"")</f>
        <v/>
      </c>
      <c r="D868" s="34">
        <f>IF(1=1,IFERROR(CORREL('03_原始数据'!$B$749:$B$868,'03_原始数据'!$C$749:$C$868),""),"")</f>
        <v/>
      </c>
      <c r="E868" s="34">
        <f>IF(1=1,IFERROR(CORREL('03_原始数据'!$G$809:$G$868,'03_原始数据'!$H$809:$H$868),""),"")</f>
        <v/>
      </c>
      <c r="F868" s="55">
        <f>IF(N(B868)=0,"不足","有效")</f>
        <v/>
      </c>
    </row>
    <row r="869" ht="17" customHeight="1">
      <c r="A869" s="38">
        <f>'03_原始数据'!A869</f>
        <v/>
      </c>
      <c r="B869" s="31">
        <f>IF(1=1,IFERROR(CORREL('03_原始数据'!$B$850:$B$869,'03_原始数据'!$C$850:$C$869),""),"")</f>
        <v/>
      </c>
      <c r="C869" s="31">
        <f>IF(1=1,IFERROR(CORREL('03_原始数据'!$B$810:$B$869,'03_原始数据'!$C$810:$C$869),""),"")</f>
        <v/>
      </c>
      <c r="D869" s="31">
        <f>IF(1=1,IFERROR(CORREL('03_原始数据'!$B$750:$B$869,'03_原始数据'!$C$750:$C$869),""),"")</f>
        <v/>
      </c>
      <c r="E869" s="31">
        <f>IF(1=1,IFERROR(CORREL('03_原始数据'!$G$810:$G$869,'03_原始数据'!$H$810:$H$869),""),"")</f>
        <v/>
      </c>
      <c r="F869" s="54">
        <f>IF(N(B869)=0,"不足","有效")</f>
        <v/>
      </c>
    </row>
    <row r="870" ht="17" customHeight="1">
      <c r="A870" s="40">
        <f>'03_原始数据'!A870</f>
        <v/>
      </c>
      <c r="B870" s="34">
        <f>IF(1=1,IFERROR(CORREL('03_原始数据'!$B$851:$B$870,'03_原始数据'!$C$851:$C$870),""),"")</f>
        <v/>
      </c>
      <c r="C870" s="34">
        <f>IF(1=1,IFERROR(CORREL('03_原始数据'!$B$811:$B$870,'03_原始数据'!$C$811:$C$870),""),"")</f>
        <v/>
      </c>
      <c r="D870" s="34">
        <f>IF(1=1,IFERROR(CORREL('03_原始数据'!$B$751:$B$870,'03_原始数据'!$C$751:$C$870),""),"")</f>
        <v/>
      </c>
      <c r="E870" s="34">
        <f>IF(1=1,IFERROR(CORREL('03_原始数据'!$G$811:$G$870,'03_原始数据'!$H$811:$H$870),""),"")</f>
        <v/>
      </c>
      <c r="F870" s="55">
        <f>IF(N(B870)=0,"不足","有效")</f>
        <v/>
      </c>
    </row>
    <row r="871" ht="17" customHeight="1">
      <c r="A871" s="38">
        <f>'03_原始数据'!A871</f>
        <v/>
      </c>
      <c r="B871" s="31">
        <f>IF(1=1,IFERROR(CORREL('03_原始数据'!$B$852:$B$871,'03_原始数据'!$C$852:$C$871),""),"")</f>
        <v/>
      </c>
      <c r="C871" s="31">
        <f>IF(1=1,IFERROR(CORREL('03_原始数据'!$B$812:$B$871,'03_原始数据'!$C$812:$C$871),""),"")</f>
        <v/>
      </c>
      <c r="D871" s="31">
        <f>IF(1=1,IFERROR(CORREL('03_原始数据'!$B$752:$B$871,'03_原始数据'!$C$752:$C$871),""),"")</f>
        <v/>
      </c>
      <c r="E871" s="31">
        <f>IF(1=1,IFERROR(CORREL('03_原始数据'!$G$812:$G$871,'03_原始数据'!$H$812:$H$871),""),"")</f>
        <v/>
      </c>
      <c r="F871" s="54">
        <f>IF(N(B871)=0,"不足","有效")</f>
        <v/>
      </c>
    </row>
    <row r="872" ht="17" customHeight="1">
      <c r="A872" s="40">
        <f>'03_原始数据'!A872</f>
        <v/>
      </c>
      <c r="B872" s="34">
        <f>IF(1=1,IFERROR(CORREL('03_原始数据'!$B$853:$B$872,'03_原始数据'!$C$853:$C$872),""),"")</f>
        <v/>
      </c>
      <c r="C872" s="34">
        <f>IF(1=1,IFERROR(CORREL('03_原始数据'!$B$813:$B$872,'03_原始数据'!$C$813:$C$872),""),"")</f>
        <v/>
      </c>
      <c r="D872" s="34">
        <f>IF(1=1,IFERROR(CORREL('03_原始数据'!$B$753:$B$872,'03_原始数据'!$C$753:$C$872),""),"")</f>
        <v/>
      </c>
      <c r="E872" s="34">
        <f>IF(1=1,IFERROR(CORREL('03_原始数据'!$G$813:$G$872,'03_原始数据'!$H$813:$H$872),""),"")</f>
        <v/>
      </c>
      <c r="F872" s="55">
        <f>IF(N(B872)=0,"不足","有效")</f>
        <v/>
      </c>
    </row>
    <row r="873" ht="17" customHeight="1">
      <c r="A873" s="38">
        <f>'03_原始数据'!A873</f>
        <v/>
      </c>
      <c r="B873" s="31">
        <f>IF(1=1,IFERROR(CORREL('03_原始数据'!$B$854:$B$873,'03_原始数据'!$C$854:$C$873),""),"")</f>
        <v/>
      </c>
      <c r="C873" s="31">
        <f>IF(1=1,IFERROR(CORREL('03_原始数据'!$B$814:$B$873,'03_原始数据'!$C$814:$C$873),""),"")</f>
        <v/>
      </c>
      <c r="D873" s="31">
        <f>IF(1=1,IFERROR(CORREL('03_原始数据'!$B$754:$B$873,'03_原始数据'!$C$754:$C$873),""),"")</f>
        <v/>
      </c>
      <c r="E873" s="31">
        <f>IF(1=1,IFERROR(CORREL('03_原始数据'!$G$814:$G$873,'03_原始数据'!$H$814:$H$873),""),"")</f>
        <v/>
      </c>
      <c r="F873" s="54">
        <f>IF(N(B873)=0,"不足","有效")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563EB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60" customWidth="1" min="4" max="4"/>
    <col width="10" customWidth="1" min="5" max="5"/>
    <col width="26" customWidth="1" min="6" max="6"/>
  </cols>
  <sheetData>
    <row r="1" ht="30" customHeight="1">
      <c r="A1" s="1" t="inlineStr">
        <is>
          <t>交叉相关（领先/滞后）</t>
        </is>
      </c>
    </row>
    <row r="2" ht="20" customHeight="1">
      <c r="A2" s="2" t="inlineStr">
        <is>
          <t>正 lag = PX 领先 PTA；水平与收益率两套口径分别看，结论以后者为准。</t>
        </is>
      </c>
    </row>
    <row r="4" ht="26" customHeight="1">
      <c r="A4" s="5" t="inlineStr">
        <is>
          <t>lag</t>
        </is>
      </c>
      <c r="B4" s="5" t="inlineStr">
        <is>
          <t>水平 r</t>
        </is>
      </c>
      <c r="C4" s="5" t="inlineStr">
        <is>
          <t>水平 N</t>
        </is>
      </c>
      <c r="D4" s="5" t="inlineStr">
        <is>
          <t>收益率 r</t>
        </is>
      </c>
      <c r="E4" s="5" t="inlineStr">
        <is>
          <t>收益率 N</t>
        </is>
      </c>
      <c r="F4" s="5" t="inlineStr">
        <is>
          <t>方向</t>
        </is>
      </c>
    </row>
    <row r="5" ht="17" customHeight="1">
      <c r="A5" s="56" t="n">
        <v>-10</v>
      </c>
      <c r="B5" s="17">
        <f>CORREL('03_原始数据'!$B$15:$B$873,'03_原始数据'!$C$5:$C$863)</f>
        <v/>
      </c>
      <c r="C5" s="47">
        <f>COUNT('03_原始数据'!$B$15:$B$873)</f>
        <v/>
      </c>
      <c r="D5" s="17">
        <f>CORREL('03_原始数据'!$G$16:$G$873,'03_原始数据'!$H$6:$H$863)</f>
        <v/>
      </c>
      <c r="E5" s="47">
        <f>COUNT('03_原始数据'!$G$16:$G$873)</f>
        <v/>
      </c>
      <c r="F5" s="7" t="inlineStr">
        <is>
          <t>PTA 领先</t>
        </is>
      </c>
    </row>
    <row r="6" ht="17" customHeight="1">
      <c r="A6" s="57" t="n">
        <v>-9</v>
      </c>
      <c r="B6" s="22">
        <f>CORREL('03_原始数据'!$B$14:$B$873,'03_原始数据'!$C$5:$C$864)</f>
        <v/>
      </c>
      <c r="C6" s="50">
        <f>COUNT('03_原始数据'!$B$14:$B$873)</f>
        <v/>
      </c>
      <c r="D6" s="22">
        <f>CORREL('03_原始数据'!$G$15:$G$873,'03_原始数据'!$H$6:$H$864)</f>
        <v/>
      </c>
      <c r="E6" s="50">
        <f>COUNT('03_原始数据'!$G$15:$G$873)</f>
        <v/>
      </c>
      <c r="F6" s="9" t="inlineStr">
        <is>
          <t>PTA 领先</t>
        </is>
      </c>
    </row>
    <row r="7" ht="17" customHeight="1">
      <c r="A7" s="56" t="n">
        <v>-8</v>
      </c>
      <c r="B7" s="17">
        <f>CORREL('03_原始数据'!$B$13:$B$873,'03_原始数据'!$C$5:$C$865)</f>
        <v/>
      </c>
      <c r="C7" s="47">
        <f>COUNT('03_原始数据'!$B$13:$B$873)</f>
        <v/>
      </c>
      <c r="D7" s="17">
        <f>CORREL('03_原始数据'!$G$14:$G$873,'03_原始数据'!$H$6:$H$865)</f>
        <v/>
      </c>
      <c r="E7" s="47">
        <f>COUNT('03_原始数据'!$G$14:$G$873)</f>
        <v/>
      </c>
      <c r="F7" s="7" t="inlineStr">
        <is>
          <t>PTA 领先</t>
        </is>
      </c>
    </row>
    <row r="8" ht="17" customHeight="1">
      <c r="A8" s="57" t="n">
        <v>-7</v>
      </c>
      <c r="B8" s="22">
        <f>CORREL('03_原始数据'!$B$12:$B$873,'03_原始数据'!$C$5:$C$866)</f>
        <v/>
      </c>
      <c r="C8" s="50">
        <f>COUNT('03_原始数据'!$B$12:$B$873)</f>
        <v/>
      </c>
      <c r="D8" s="22">
        <f>CORREL('03_原始数据'!$G$13:$G$873,'03_原始数据'!$H$6:$H$866)</f>
        <v/>
      </c>
      <c r="E8" s="50">
        <f>COUNT('03_原始数据'!$G$13:$G$873)</f>
        <v/>
      </c>
      <c r="F8" s="9" t="inlineStr">
        <is>
          <t>PTA 领先</t>
        </is>
      </c>
    </row>
    <row r="9" ht="17" customHeight="1">
      <c r="A9" s="56" t="n">
        <v>-6</v>
      </c>
      <c r="B9" s="17">
        <f>CORREL('03_原始数据'!$B$11:$B$873,'03_原始数据'!$C$5:$C$867)</f>
        <v/>
      </c>
      <c r="C9" s="47">
        <f>COUNT('03_原始数据'!$B$11:$B$873)</f>
        <v/>
      </c>
      <c r="D9" s="17">
        <f>CORREL('03_原始数据'!$G$12:$G$873,'03_原始数据'!$H$6:$H$867)</f>
        <v/>
      </c>
      <c r="E9" s="47">
        <f>COUNT('03_原始数据'!$G$12:$G$873)</f>
        <v/>
      </c>
      <c r="F9" s="7" t="inlineStr">
        <is>
          <t>PTA 领先</t>
        </is>
      </c>
    </row>
    <row r="10" ht="17" customHeight="1">
      <c r="A10" s="57" t="n">
        <v>-5</v>
      </c>
      <c r="B10" s="22">
        <f>CORREL('03_原始数据'!$B$10:$B$873,'03_原始数据'!$C$5:$C$868)</f>
        <v/>
      </c>
      <c r="C10" s="50">
        <f>COUNT('03_原始数据'!$B$10:$B$873)</f>
        <v/>
      </c>
      <c r="D10" s="22">
        <f>CORREL('03_原始数据'!$G$11:$G$873,'03_原始数据'!$H$6:$H$868)</f>
        <v/>
      </c>
      <c r="E10" s="50">
        <f>COUNT('03_原始数据'!$G$11:$G$873)</f>
        <v/>
      </c>
      <c r="F10" s="9" t="inlineStr">
        <is>
          <t>PTA 领先</t>
        </is>
      </c>
    </row>
    <row r="11" ht="17" customHeight="1">
      <c r="A11" s="56" t="n">
        <v>-4</v>
      </c>
      <c r="B11" s="17">
        <f>CORREL('03_原始数据'!$B$9:$B$873,'03_原始数据'!$C$5:$C$869)</f>
        <v/>
      </c>
      <c r="C11" s="47">
        <f>COUNT('03_原始数据'!$B$9:$B$873)</f>
        <v/>
      </c>
      <c r="D11" s="17">
        <f>CORREL('03_原始数据'!$G$10:$G$873,'03_原始数据'!$H$6:$H$869)</f>
        <v/>
      </c>
      <c r="E11" s="47">
        <f>COUNT('03_原始数据'!$G$10:$G$873)</f>
        <v/>
      </c>
      <c r="F11" s="7" t="inlineStr">
        <is>
          <t>PTA 领先</t>
        </is>
      </c>
    </row>
    <row r="12" ht="17" customHeight="1">
      <c r="A12" s="57" t="n">
        <v>-3</v>
      </c>
      <c r="B12" s="22">
        <f>CORREL('03_原始数据'!$B$8:$B$873,'03_原始数据'!$C$5:$C$870)</f>
        <v/>
      </c>
      <c r="C12" s="50">
        <f>COUNT('03_原始数据'!$B$8:$B$873)</f>
        <v/>
      </c>
      <c r="D12" s="22">
        <f>CORREL('03_原始数据'!$G$9:$G$873,'03_原始数据'!$H$6:$H$870)</f>
        <v/>
      </c>
      <c r="E12" s="50">
        <f>COUNT('03_原始数据'!$G$9:$G$873)</f>
        <v/>
      </c>
      <c r="F12" s="9" t="inlineStr">
        <is>
          <t>PTA 领先</t>
        </is>
      </c>
    </row>
    <row r="13" ht="17" customHeight="1">
      <c r="A13" s="56" t="n">
        <v>-2</v>
      </c>
      <c r="B13" s="17">
        <f>CORREL('03_原始数据'!$B$7:$B$873,'03_原始数据'!$C$5:$C$871)</f>
        <v/>
      </c>
      <c r="C13" s="47">
        <f>COUNT('03_原始数据'!$B$7:$B$873)</f>
        <v/>
      </c>
      <c r="D13" s="17">
        <f>CORREL('03_原始数据'!$G$8:$G$873,'03_原始数据'!$H$6:$H$871)</f>
        <v/>
      </c>
      <c r="E13" s="47">
        <f>COUNT('03_原始数据'!$G$8:$G$873)</f>
        <v/>
      </c>
      <c r="F13" s="7" t="inlineStr">
        <is>
          <t>PTA 领先</t>
        </is>
      </c>
    </row>
    <row r="14" ht="17" customHeight="1">
      <c r="A14" s="57" t="n">
        <v>-1</v>
      </c>
      <c r="B14" s="22">
        <f>CORREL('03_原始数据'!$B$6:$B$873,'03_原始数据'!$C$5:$C$872)</f>
        <v/>
      </c>
      <c r="C14" s="50">
        <f>COUNT('03_原始数据'!$B$6:$B$873)</f>
        <v/>
      </c>
      <c r="D14" s="22">
        <f>CORREL('03_原始数据'!$G$7:$G$873,'03_原始数据'!$H$6:$H$872)</f>
        <v/>
      </c>
      <c r="E14" s="50">
        <f>COUNT('03_原始数据'!$G$7:$G$873)</f>
        <v/>
      </c>
      <c r="F14" s="9" t="inlineStr">
        <is>
          <t>PTA 领先</t>
        </is>
      </c>
    </row>
    <row r="15" ht="17" customHeight="1">
      <c r="A15" s="56" t="n">
        <v>0</v>
      </c>
      <c r="B15" s="17">
        <f>CORREL('03_原始数据'!$B$5:$B$873,'03_原始数据'!$C$5:$C$873)</f>
        <v/>
      </c>
      <c r="C15" s="47">
        <f>COUNT('03_原始数据'!$B$5:$B$873)</f>
        <v/>
      </c>
      <c r="D15" s="17">
        <f>CORREL('03_原始数据'!$G$6:$G$873,'03_原始数据'!$H$6:$H$873)</f>
        <v/>
      </c>
      <c r="E15" s="47">
        <f>COUNT('03_原始数据'!$G$6:$G$873)</f>
        <v/>
      </c>
      <c r="F15" s="7" t="inlineStr">
        <is>
          <t>同步</t>
        </is>
      </c>
    </row>
    <row r="16" ht="17" customHeight="1">
      <c r="A16" s="57" t="n">
        <v>1</v>
      </c>
      <c r="B16" s="22">
        <f>CORREL('03_原始数据'!$B$5:$B$872,'03_原始数据'!$C$6:$C$873)</f>
        <v/>
      </c>
      <c r="C16" s="50">
        <f>COUNT('03_原始数据'!$B$5:$B$872)</f>
        <v/>
      </c>
      <c r="D16" s="22">
        <f>CORREL('03_原始数据'!$G$6:$G$872,'03_原始数据'!$H$7:$H$873)</f>
        <v/>
      </c>
      <c r="E16" s="50">
        <f>COUNT('03_原始数据'!$G$6:$G$872)</f>
        <v/>
      </c>
      <c r="F16" s="9" t="inlineStr">
        <is>
          <t>PX 领先</t>
        </is>
      </c>
    </row>
    <row r="17" ht="17" customHeight="1">
      <c r="A17" s="56" t="n">
        <v>2</v>
      </c>
      <c r="B17" s="17">
        <f>CORREL('03_原始数据'!$B$5:$B$871,'03_原始数据'!$C$7:$C$873)</f>
        <v/>
      </c>
      <c r="C17" s="47">
        <f>COUNT('03_原始数据'!$B$5:$B$871)</f>
        <v/>
      </c>
      <c r="D17" s="17">
        <f>CORREL('03_原始数据'!$G$6:$G$871,'03_原始数据'!$H$8:$H$873)</f>
        <v/>
      </c>
      <c r="E17" s="47">
        <f>COUNT('03_原始数据'!$G$6:$G$871)</f>
        <v/>
      </c>
      <c r="F17" s="7" t="inlineStr">
        <is>
          <t>PX 领先</t>
        </is>
      </c>
    </row>
    <row r="18" ht="17" customHeight="1">
      <c r="A18" s="57" t="n">
        <v>3</v>
      </c>
      <c r="B18" s="22">
        <f>CORREL('03_原始数据'!$B$5:$B$870,'03_原始数据'!$C$8:$C$873)</f>
        <v/>
      </c>
      <c r="C18" s="50">
        <f>COUNT('03_原始数据'!$B$5:$B$870)</f>
        <v/>
      </c>
      <c r="D18" s="22">
        <f>CORREL('03_原始数据'!$G$6:$G$870,'03_原始数据'!$H$9:$H$873)</f>
        <v/>
      </c>
      <c r="E18" s="50">
        <f>COUNT('03_原始数据'!$G$6:$G$870)</f>
        <v/>
      </c>
      <c r="F18" s="9" t="inlineStr">
        <is>
          <t>PX 领先</t>
        </is>
      </c>
    </row>
    <row r="19" ht="17" customHeight="1">
      <c r="A19" s="56" t="n">
        <v>4</v>
      </c>
      <c r="B19" s="17">
        <f>CORREL('03_原始数据'!$B$5:$B$869,'03_原始数据'!$C$9:$C$873)</f>
        <v/>
      </c>
      <c r="C19" s="47">
        <f>COUNT('03_原始数据'!$B$5:$B$869)</f>
        <v/>
      </c>
      <c r="D19" s="17">
        <f>CORREL('03_原始数据'!$G$6:$G$869,'03_原始数据'!$H$10:$H$873)</f>
        <v/>
      </c>
      <c r="E19" s="47">
        <f>COUNT('03_原始数据'!$G$6:$G$869)</f>
        <v/>
      </c>
      <c r="F19" s="7" t="inlineStr">
        <is>
          <t>PX 领先</t>
        </is>
      </c>
    </row>
    <row r="20" ht="17" customHeight="1">
      <c r="A20" s="57" t="n">
        <v>5</v>
      </c>
      <c r="B20" s="22">
        <f>CORREL('03_原始数据'!$B$5:$B$868,'03_原始数据'!$C$10:$C$873)</f>
        <v/>
      </c>
      <c r="C20" s="50">
        <f>COUNT('03_原始数据'!$B$5:$B$868)</f>
        <v/>
      </c>
      <c r="D20" s="22">
        <f>CORREL('03_原始数据'!$G$6:$G$868,'03_原始数据'!$H$11:$H$873)</f>
        <v/>
      </c>
      <c r="E20" s="50">
        <f>COUNT('03_原始数据'!$G$6:$G$868)</f>
        <v/>
      </c>
      <c r="F20" s="9" t="inlineStr">
        <is>
          <t>PX 领先</t>
        </is>
      </c>
    </row>
    <row r="21" ht="17" customHeight="1">
      <c r="A21" s="56" t="n">
        <v>6</v>
      </c>
      <c r="B21" s="17">
        <f>CORREL('03_原始数据'!$B$5:$B$867,'03_原始数据'!$C$11:$C$873)</f>
        <v/>
      </c>
      <c r="C21" s="47">
        <f>COUNT('03_原始数据'!$B$5:$B$867)</f>
        <v/>
      </c>
      <c r="D21" s="17">
        <f>CORREL('03_原始数据'!$G$6:$G$867,'03_原始数据'!$H$12:$H$873)</f>
        <v/>
      </c>
      <c r="E21" s="47">
        <f>COUNT('03_原始数据'!$G$6:$G$867)</f>
        <v/>
      </c>
      <c r="F21" s="7" t="inlineStr">
        <is>
          <t>PX 领先</t>
        </is>
      </c>
    </row>
    <row r="22" ht="17" customHeight="1">
      <c r="A22" s="57" t="n">
        <v>7</v>
      </c>
      <c r="B22" s="22">
        <f>CORREL('03_原始数据'!$B$5:$B$866,'03_原始数据'!$C$12:$C$873)</f>
        <v/>
      </c>
      <c r="C22" s="50">
        <f>COUNT('03_原始数据'!$B$5:$B$866)</f>
        <v/>
      </c>
      <c r="D22" s="22">
        <f>CORREL('03_原始数据'!$G$6:$G$866,'03_原始数据'!$H$13:$H$873)</f>
        <v/>
      </c>
      <c r="E22" s="50">
        <f>COUNT('03_原始数据'!$G$6:$G$866)</f>
        <v/>
      </c>
      <c r="F22" s="9" t="inlineStr">
        <is>
          <t>PX 领先</t>
        </is>
      </c>
    </row>
    <row r="23" ht="17" customHeight="1">
      <c r="A23" s="56" t="n">
        <v>8</v>
      </c>
      <c r="B23" s="17">
        <f>CORREL('03_原始数据'!$B$5:$B$865,'03_原始数据'!$C$13:$C$873)</f>
        <v/>
      </c>
      <c r="C23" s="47">
        <f>COUNT('03_原始数据'!$B$5:$B$865)</f>
        <v/>
      </c>
      <c r="D23" s="17">
        <f>CORREL('03_原始数据'!$G$6:$G$865,'03_原始数据'!$H$14:$H$873)</f>
        <v/>
      </c>
      <c r="E23" s="47">
        <f>COUNT('03_原始数据'!$G$6:$G$865)</f>
        <v/>
      </c>
      <c r="F23" s="7" t="inlineStr">
        <is>
          <t>PX 领先</t>
        </is>
      </c>
    </row>
    <row r="24" ht="17" customHeight="1">
      <c r="A24" s="57" t="n">
        <v>9</v>
      </c>
      <c r="B24" s="22">
        <f>CORREL('03_原始数据'!$B$5:$B$864,'03_原始数据'!$C$14:$C$873)</f>
        <v/>
      </c>
      <c r="C24" s="50">
        <f>COUNT('03_原始数据'!$B$5:$B$864)</f>
        <v/>
      </c>
      <c r="D24" s="22">
        <f>CORREL('03_原始数据'!$G$6:$G$864,'03_原始数据'!$H$15:$H$873)</f>
        <v/>
      </c>
      <c r="E24" s="50">
        <f>COUNT('03_原始数据'!$G$6:$G$864)</f>
        <v/>
      </c>
      <c r="F24" s="9" t="inlineStr">
        <is>
          <t>PX 领先</t>
        </is>
      </c>
    </row>
    <row r="25" ht="17" customHeight="1">
      <c r="A25" s="56" t="n">
        <v>10</v>
      </c>
      <c r="B25" s="17">
        <f>CORREL('03_原始数据'!$B$5:$B$863,'03_原始数据'!$C$15:$C$873)</f>
        <v/>
      </c>
      <c r="C25" s="47">
        <f>COUNT('03_原始数据'!$B$5:$B$863)</f>
        <v/>
      </c>
      <c r="D25" s="17">
        <f>CORREL('03_原始数据'!$G$6:$G$863,'03_原始数据'!$H$16:$H$873)</f>
        <v/>
      </c>
      <c r="E25" s="47">
        <f>COUNT('03_原始数据'!$G$6:$G$863)</f>
        <v/>
      </c>
      <c r="F25" s="7" t="inlineStr">
        <is>
          <t>PX 领先</t>
        </is>
      </c>
    </row>
    <row r="27">
      <c r="A27" s="52" t="inlineStr">
        <is>
          <t>峰值（最大正相关所在 lag）</t>
        </is>
      </c>
    </row>
    <row r="28" ht="26" customHeight="1">
      <c r="A28" s="5" t="inlineStr">
        <is>
          <t>口径</t>
        </is>
      </c>
      <c r="B28" s="5" t="inlineStr">
        <is>
          <t>峰值 lag</t>
        </is>
      </c>
      <c r="C28" s="5" t="inlineStr">
        <is>
          <t>峰值 r</t>
        </is>
      </c>
      <c r="D28" s="5" t="inlineStr">
        <is>
          <t>说明</t>
        </is>
      </c>
    </row>
    <row r="29" ht="17" customHeight="1">
      <c r="A29" s="7" t="inlineStr">
        <is>
          <t>价格水平</t>
        </is>
      </c>
      <c r="B29" s="58">
        <f>INDEX($A$5:$A$25,MATCH(MAX($B$5:$B$25),$B$5:$B$25,0))</f>
        <v/>
      </c>
      <c r="C29" s="17">
        <f>MAX($B$5:$B$25)</f>
        <v/>
      </c>
      <c r="D29" s="7" t="inlineStr">
        <is>
          <t>MAX 找最大正相关所在 lag；若要看反向领先需另看 MIN</t>
        </is>
      </c>
    </row>
    <row r="30" ht="17" customHeight="1">
      <c r="A30" s="9" t="inlineStr">
        <is>
          <t>日收益率</t>
        </is>
      </c>
      <c r="B30" s="59">
        <f>INDEX($A$5:$A$25,MATCH(MAX($D$5:$D$25),$D$5:$D$25,0))</f>
        <v/>
      </c>
      <c r="C30" s="22">
        <f>MAX($D$5:$D$25)</f>
        <v/>
      </c>
      <c r="D30" s="9" t="inlineStr">
        <is>
          <t>收益率口径噪声更大，峰值也更不稳定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563EB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30" customHeight="1">
      <c r="A1" s="1" t="inlineStr">
        <is>
          <t>分阶段统计与背离区间</t>
        </is>
      </c>
    </row>
    <row r="2" ht="20" customHeight="1">
      <c r="A2" s="2" t="inlineStr">
        <is>
          <t>阶段按产业逻辑预定义（不按结果反复切）；背离区间由方向冲突规则识别。</t>
        </is>
      </c>
    </row>
    <row r="4" ht="26" customHeight="1">
      <c r="A4" s="5" t="inlineStr">
        <is>
          <t>阶段</t>
        </is>
      </c>
      <c r="B4" s="5" t="inlineStr">
        <is>
          <t>名称</t>
        </is>
      </c>
      <c r="C4" s="5" t="inlineStr">
        <is>
          <t>起</t>
        </is>
      </c>
      <c r="D4" s="5" t="inlineStr">
        <is>
          <t>止</t>
        </is>
      </c>
      <c r="E4" s="5" t="inlineStr">
        <is>
          <t>N</t>
        </is>
      </c>
      <c r="F4" s="5" t="inlineStr">
        <is>
          <t>PX 涨跌</t>
        </is>
      </c>
      <c r="G4" s="5" t="inlineStr">
        <is>
          <t>PTA 涨跌</t>
        </is>
      </c>
      <c r="H4" s="5" t="inlineStr">
        <is>
          <t>价差均值</t>
        </is>
      </c>
      <c r="I4" s="5" t="inlineStr">
        <is>
          <t>区段水平相关 r</t>
        </is>
      </c>
    </row>
    <row r="5" ht="17" customHeight="1">
      <c r="A5" s="7" t="inlineStr">
        <is>
          <t>S1</t>
        </is>
      </c>
      <c r="B5" s="7" t="inlineStr">
        <is>
          <t>PX扩能兑现+PTA过剩，加工费中枢下移</t>
        </is>
      </c>
      <c r="C5" s="7" t="inlineStr">
        <is>
          <t>2023-10-07</t>
        </is>
      </c>
      <c r="D5" s="7" t="inlineStr">
        <is>
          <t>2024-12-31</t>
        </is>
      </c>
      <c r="E5" s="47">
        <f>'03_原始数据'!$O$5-'03_原始数据'!$N$5+1</f>
        <v/>
      </c>
      <c r="F5" s="24">
        <f>INDEX('03_原始数据'!$B$5:$B$873,324)/INDEX('03_原始数据'!$B$5:$B$873,1)-1</f>
        <v/>
      </c>
      <c r="G5" s="24">
        <f>INDEX('03_原始数据'!$C$5:$C$873,324)/INDEX('03_原始数据'!$C$5:$C$873,1)-1</f>
        <v/>
      </c>
      <c r="H5" s="16">
        <f>AVERAGE(OFFSET('03_原始数据'!$E$5,'03_原始数据'!$N$5-5,0,'03_原始数据'!$O$5-'03_原始数据'!$N$5+1,1))</f>
        <v/>
      </c>
      <c r="I5" s="31">
        <f>CORREL(OFFSET('03_原始数据'!$B$5,'03_原始数据'!$N$5-5,0,'03_原始数据'!$O$5-'03_原始数据'!$N$5+1,1),OFFSET('03_原始数据'!$C$5,'03_原始数据'!$N$5-5,0,'03_原始数据'!$O$5-'03_原始数据'!$N$5+1,1))</f>
        <v/>
      </c>
    </row>
    <row r="6" ht="17" customHeight="1">
      <c r="A6" s="9" t="inlineStr">
        <is>
          <t>S2</t>
        </is>
      </c>
      <c r="B6" s="9" t="inlineStr">
        <is>
          <t>PX供给趋紧、PTA加工费走阔</t>
        </is>
      </c>
      <c r="C6" s="9" t="inlineStr">
        <is>
          <t>2025-01-01</t>
        </is>
      </c>
      <c r="D6" s="9" t="inlineStr">
        <is>
          <t>2025-12-31</t>
        </is>
      </c>
      <c r="E6" s="50">
        <f>'03_原始数据'!$O$6-'03_原始数据'!$N$6+1</f>
        <v/>
      </c>
      <c r="F6" s="23">
        <f>INDEX('03_原始数据'!$B$5:$B$873,618)/INDEX('03_原始数据'!$B$5:$B$873,325)-1</f>
        <v/>
      </c>
      <c r="G6" s="23">
        <f>INDEX('03_原始数据'!$C$5:$C$873,618)/INDEX('03_原始数据'!$C$5:$C$873,325)-1</f>
        <v/>
      </c>
      <c r="H6" s="21">
        <f>AVERAGE(OFFSET('03_原始数据'!$E$5,'03_原始数据'!$N$6-5,0,'03_原始数据'!$O$6-'03_原始数据'!$N$6+1,1))</f>
        <v/>
      </c>
      <c r="I6" s="34">
        <f>CORREL(OFFSET('03_原始数据'!$B$5,'03_原始数据'!$N$6-5,0,'03_原始数据'!$O$6-'03_原始数据'!$N$6+1,1),OFFSET('03_原始数据'!$C$5,'03_原始数据'!$N$6-5,0,'03_原始数据'!$O$6-'03_原始数据'!$N$6+1,1))</f>
        <v/>
      </c>
    </row>
    <row r="7" ht="17" customHeight="1">
      <c r="A7" s="7" t="inlineStr">
        <is>
          <t>S3</t>
        </is>
      </c>
      <c r="B7" s="7" t="inlineStr">
        <is>
          <t>PTA集中检修+地缘油价扰动</t>
        </is>
      </c>
      <c r="C7" s="7" t="inlineStr">
        <is>
          <t>2026-01-01</t>
        </is>
      </c>
      <c r="D7" s="7" t="inlineStr">
        <is>
          <t>2026-10-20</t>
        </is>
      </c>
      <c r="E7" s="47">
        <f>'03_原始数据'!$O$7-'03_原始数据'!$N$7+1</f>
        <v/>
      </c>
      <c r="F7" s="24">
        <f>INDEX('03_原始数据'!$B$5:$B$873,869)/INDEX('03_原始数据'!$B$5:$B$873,619)-1</f>
        <v/>
      </c>
      <c r="G7" s="24">
        <f>INDEX('03_原始数据'!$C$5:$C$873,869)/INDEX('03_原始数据'!$C$5:$C$873,619)-1</f>
        <v/>
      </c>
      <c r="H7" s="16">
        <f>AVERAGE(OFFSET('03_原始数据'!$E$5,'03_原始数据'!$N$7-5,0,'03_原始数据'!$O$7-'03_原始数据'!$N$7+1,1))</f>
        <v/>
      </c>
      <c r="I7" s="31">
        <f>CORREL(OFFSET('03_原始数据'!$B$5,'03_原始数据'!$N$7-5,0,'03_原始数据'!$O$7-'03_原始数据'!$N$7+1,1),OFFSET('03_原始数据'!$C$5,'03_原始数据'!$N$7-5,0,'03_原始数据'!$O$7-'03_原始数据'!$N$7+1,1))</f>
        <v/>
      </c>
    </row>
    <row r="10">
      <c r="A10" s="44" t="inlineStr">
        <is>
          <t>背离区间（|20 观测 ΔPX| ≥ 3% 且 PTA 方向相反）</t>
        </is>
      </c>
    </row>
    <row r="11" ht="26" customHeight="1">
      <c r="A11" s="5" t="inlineStr">
        <is>
          <t>起点</t>
        </is>
      </c>
      <c r="B11" s="5" t="inlineStr">
        <is>
          <t>终点</t>
        </is>
      </c>
      <c r="C11" s="5" t="inlineStr">
        <is>
          <t>天数</t>
        </is>
      </c>
      <c r="D11" s="5" t="inlineStr">
        <is>
          <t>PX 涨跌</t>
        </is>
      </c>
      <c r="E11" s="5" t="inlineStr">
        <is>
          <t>PTA 涨跌</t>
        </is>
      </c>
      <c r="F11" s="5" t="inlineStr">
        <is>
          <t>价差变化</t>
        </is>
      </c>
    </row>
    <row r="12" ht="17" customHeight="1">
      <c r="A12" s="7" t="inlineStr">
        <is>
          <t>2023-11-09</t>
        </is>
      </c>
      <c r="B12" s="7" t="inlineStr">
        <is>
          <t>2023-11-21</t>
        </is>
      </c>
      <c r="C12" s="7" t="n">
        <v>9</v>
      </c>
      <c r="D12" s="15" t="n">
        <v>0</v>
      </c>
      <c r="E12" s="15" t="n">
        <v>-0.0023</v>
      </c>
      <c r="F12" s="14" t="n">
        <v>-13.8</v>
      </c>
    </row>
    <row r="13" ht="17" customHeight="1">
      <c r="A13" s="9" t="inlineStr">
        <is>
          <t>2024-10-06</t>
        </is>
      </c>
      <c r="B13" s="9" t="inlineStr">
        <is>
          <t>2024-10-16</t>
        </is>
      </c>
      <c r="C13" s="9" t="n">
        <v>9</v>
      </c>
      <c r="D13" s="20" t="n">
        <v>-0.0204</v>
      </c>
      <c r="E13" s="20" t="n">
        <v>-0.0083</v>
      </c>
      <c r="F13" s="19" t="n">
        <v>57.2</v>
      </c>
    </row>
    <row r="14" ht="17" customHeight="1">
      <c r="A14" s="60" t="inlineStr">
        <is>
          <t>注：区段相关用 INDEX 取区间（而非 AVERAGEIFS 比较日期文本），起止日期改到区间外时会自动跟随；若某阶段边界在数据中不存在，该行会被跳过。</t>
        </is>
      </c>
      <c r="B14" s="61" t="n"/>
      <c r="C14" s="61" t="n"/>
      <c r="D14" s="61" t="n"/>
      <c r="E14" s="61" t="n"/>
      <c r="F14" s="61" t="n"/>
      <c r="G14" s="61" t="n"/>
      <c r="H14" s="61" t="n"/>
      <c r="I14" s="62" t="n"/>
    </row>
    <row r="15" ht="17" customHeight="1">
      <c r="A15" s="9" t="inlineStr">
        <is>
          <t>2026-02-17</t>
        </is>
      </c>
      <c r="B15" s="9" t="inlineStr">
        <is>
          <t>2026-02-22</t>
        </is>
      </c>
      <c r="C15" s="9" t="n">
        <v>5</v>
      </c>
      <c r="D15" s="20" t="n">
        <v>0</v>
      </c>
      <c r="E15" s="20" t="n">
        <v>0.0025</v>
      </c>
      <c r="F15" s="19" t="n">
        <v>13</v>
      </c>
    </row>
    <row r="16" ht="17" customHeight="1">
      <c r="A16" s="7" t="inlineStr">
        <is>
          <t>2026-05-15</t>
        </is>
      </c>
      <c r="B16" s="7" t="inlineStr">
        <is>
          <t>2026-05-20</t>
        </is>
      </c>
      <c r="C16" s="7" t="n">
        <v>5</v>
      </c>
      <c r="D16" s="15" t="n">
        <v>0</v>
      </c>
      <c r="E16" s="15" t="n">
        <v>0.0106</v>
      </c>
      <c r="F16" s="14" t="n">
        <v>69</v>
      </c>
    </row>
    <row r="17" ht="17" customHeight="1">
      <c r="A17" s="9" t="inlineStr">
        <is>
          <t>2026-06-07</t>
        </is>
      </c>
      <c r="B17" s="9" t="inlineStr">
        <is>
          <t>2026-06-14</t>
        </is>
      </c>
      <c r="C17" s="9" t="n">
        <v>7</v>
      </c>
      <c r="D17" s="20" t="n">
        <v>0</v>
      </c>
      <c r="E17" s="20" t="n">
        <v>-0.0193</v>
      </c>
      <c r="F17" s="19" t="n">
        <v>-127.7</v>
      </c>
    </row>
    <row r="18" ht="17" customHeight="1">
      <c r="A18" s="7" t="inlineStr">
        <is>
          <t>2026-07-14</t>
        </is>
      </c>
      <c r="B18" s="7" t="inlineStr">
        <is>
          <t>2026-07-20</t>
        </is>
      </c>
      <c r="C18" s="7" t="n">
        <v>6</v>
      </c>
      <c r="D18" s="15" t="n">
        <v>0.0633</v>
      </c>
      <c r="E18" s="15" t="n">
        <v>-0.001</v>
      </c>
      <c r="F18" s="14" t="n">
        <v>-333.7</v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563EB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52" customWidth="1" min="4" max="4"/>
  </cols>
  <sheetData>
    <row r="1" ht="30" customHeight="1">
      <c r="A1" s="1" t="inlineStr">
        <is>
          <t>公式说明与使用陷阱</t>
        </is>
      </c>
    </row>
    <row r="2" ht="20" customHeight="1">
      <c r="A2" s="2" t="inlineStr">
        <is>
          <t>照抄公式前先看这一页：每个函数的口径差异都会改变结论。</t>
        </is>
      </c>
    </row>
    <row r="4" ht="26" customHeight="1">
      <c r="A4" s="5" t="inlineStr">
        <is>
          <t>用途</t>
        </is>
      </c>
      <c r="B4" s="5" t="inlineStr">
        <is>
          <t>公式</t>
        </is>
      </c>
      <c r="C4" s="5" t="inlineStr">
        <is>
          <t>口径说明</t>
        </is>
      </c>
      <c r="D4" s="5" t="inlineStr">
        <is>
          <t>陷阱</t>
        </is>
      </c>
    </row>
    <row r="5" ht="17" customHeight="1">
      <c r="A5" s="7" t="inlineStr">
        <is>
          <t>加工价差</t>
        </is>
      </c>
      <c r="B5" s="54">
        <f>PTA − Lambda*PX − OtherCost</f>
        <v/>
      </c>
      <c r="C5" s="7" t="inlineStr">
        <is>
          <t>收入型加工费，不含折旧、能源、物流</t>
        </is>
      </c>
      <c r="D5" s="7" t="inlineStr">
        <is>
          <t>λ 必须来自台账；不同代际 0.647~0.657，差 0.008 ≈ 价差平移 60~80 元/吨</t>
        </is>
      </c>
    </row>
    <row r="6" ht="17" customHeight="1">
      <c r="A6" s="9" t="inlineStr">
        <is>
          <t>Pearson r</t>
        </is>
      </c>
      <c r="B6" s="55">
        <f>CORREL(x,y)</f>
        <v/>
      </c>
      <c r="C6" s="9" t="inlineStr">
        <is>
          <t>线性相关，对异常值敏感</t>
        </is>
      </c>
      <c r="D6" s="9" t="inlineStr">
        <is>
          <t>水平序列都有趋势 → r 虚高；必须同时报收益率口径</t>
        </is>
      </c>
    </row>
    <row r="7" ht="17" customHeight="1">
      <c r="A7" s="7" t="inlineStr">
        <is>
          <t>决定系数</t>
        </is>
      </c>
      <c r="B7" s="54">
        <f>RSQ(y,x)</f>
        <v/>
      </c>
      <c r="C7" s="7" t="inlineStr">
        <is>
          <t>r 的平方，解释方差比例</t>
        </is>
      </c>
      <c r="D7" s="7" t="inlineStr">
        <is>
          <t>不能解释为「因果解释力」</t>
        </is>
      </c>
    </row>
    <row r="8" ht="17" customHeight="1">
      <c r="A8" s="9" t="inlineStr">
        <is>
          <t>t 统计量</t>
        </is>
      </c>
      <c r="B8" s="55">
        <f>r*SQRT((n-2)/(1-r^2))</f>
        <v/>
      </c>
      <c r="C8" s="9" t="inlineStr">
        <is>
          <t>H0: ρ=0</t>
        </is>
      </c>
      <c r="D8" s="9" t="inlineStr">
        <is>
          <t>n 是有效样本，不是自然日数</t>
        </is>
      </c>
    </row>
    <row r="9" ht="17" customHeight="1">
      <c r="A9" s="7" t="inlineStr">
        <is>
          <t>p 值</t>
        </is>
      </c>
      <c r="B9" s="54">
        <f>_xlfn.T.DIST.2T(ABS(t),df)</f>
        <v/>
      </c>
      <c r="C9" s="7" t="inlineStr">
        <is>
          <t>双尾</t>
        </is>
      </c>
      <c r="D9" s="7" t="inlineStr">
        <is>
          <t>自相关序列需用 Newey-West 或有效样本量校正</t>
        </is>
      </c>
    </row>
    <row r="10" ht="17" customHeight="1">
      <c r="A10" s="9" t="inlineStr">
        <is>
          <t>Fisher 置信区间</t>
        </is>
      </c>
      <c r="B10" s="55">
        <f>TANH(ATANH(r)±NORMSINV(1-α/2)/SQRT(n-3))</f>
        <v/>
      </c>
      <c r="C10" s="9" t="inlineStr">
        <is>
          <t>Fisher z 变换</t>
        </is>
      </c>
      <c r="D10" s="9" t="inlineStr">
        <is>
          <t>n&lt;10 时不可靠</t>
        </is>
      </c>
    </row>
    <row r="11" ht="17" customHeight="1">
      <c r="A11" s="7" t="inlineStr">
        <is>
          <t>有效样本量</t>
        </is>
      </c>
      <c r="B11" s="54">
        <f>n(1-ρxρy)/(1+ρxρy)</f>
        <v/>
      </c>
      <c r="C11" s="7" t="inlineStr">
        <is>
          <t>Pyper &amp; Peterman 校正</t>
        </is>
      </c>
      <c r="D11" s="7" t="inlineStr">
        <is>
          <t>水平序列有效 N 常只有原始 N 的 10~30%</t>
        </is>
      </c>
    </row>
    <row r="12" ht="17" customHeight="1">
      <c r="A12" s="9" t="inlineStr">
        <is>
          <t>分位</t>
        </is>
      </c>
      <c r="B12" s="55">
        <f>_xlfn.PERCENTILE.INC(range,p)</f>
        <v/>
      </c>
      <c r="C12" s="9" t="inlineStr">
        <is>
          <t>线性插值（含端点）</t>
        </is>
      </c>
      <c r="D12" s="9" t="inlineStr">
        <is>
          <t>PERCENTILE.EXC 差距可达数十元/吨，两者不可混用；报告统一用 INC</t>
        </is>
      </c>
    </row>
    <row r="13" ht="17" customHeight="1">
      <c r="A13" s="7" t="inlineStr">
        <is>
          <t>分位rank</t>
        </is>
      </c>
      <c r="B13" s="54">
        <f>_xlfn.PERCENTRANK.INC(range,x)</f>
        <v/>
      </c>
      <c r="C13" s="7" t="inlineStr">
        <is>
          <t>当前值在历史中的位置</t>
        </is>
      </c>
      <c r="D13" s="7" t="inlineStr">
        <is>
          <t>与 PERCENTILE.INC 配对；结并列时取平均位置</t>
        </is>
      </c>
    </row>
    <row r="14" ht="17" customHeight="1">
      <c r="A14" s="9" t="inlineStr">
        <is>
          <t>滚动相关</t>
        </is>
      </c>
      <c r="B14" s="55">
        <f>CORREL(offset range)</f>
        <v/>
      </c>
      <c r="C14" s="9" t="inlineStr">
        <is>
          <t>窗口不足 80% 不出数</t>
        </is>
      </c>
      <c r="D14" s="9" t="inlineStr">
        <is>
          <t>窗口越长越平滑，会掩盖拐点</t>
        </is>
      </c>
    </row>
    <row r="15" ht="17" customHeight="1">
      <c r="A15" s="7" t="inlineStr">
        <is>
          <t>交叉相关</t>
        </is>
      </c>
      <c r="B15" s="54">
        <f>CORREL(x[0:n-lag], y[lag:n])</f>
        <v/>
      </c>
      <c r="C15" s="7" t="inlineStr">
        <is>
          <t>正 lag = x 领先 y</t>
        </is>
      </c>
      <c r="D15" s="7" t="inlineStr">
        <is>
          <t>只看 Pearson，无法排除共同趋势</t>
        </is>
      </c>
    </row>
    <row r="16" ht="17" customHeight="1">
      <c r="A16" s="9" t="inlineStr">
        <is>
          <t>Granger F</t>
        </is>
      </c>
      <c r="B16" s="9" t="inlineStr">
        <is>
          <t>受限/非受限 RSS 比较</t>
        </is>
      </c>
      <c r="C16" s="9" t="inlineStr">
        <is>
          <t>检验是否含增量预测信息</t>
        </is>
      </c>
      <c r="D16" s="9" t="inlineStr">
        <is>
          <t>Granger 不是因果，只说明时序上「先动」有价值</t>
        </is>
      </c>
    </row>
    <row r="17" ht="17" customHeight="1">
      <c r="A17" s="7" t="inlineStr">
        <is>
          <t>中位数</t>
        </is>
      </c>
      <c r="B17" s="54">
        <f>MEDIAN(range)</f>
        <v/>
      </c>
      <c r="C17" s="7" t="inlineStr">
        <is>
          <t>抗异常值</t>
        </is>
      </c>
      <c r="D17" s="7" t="inlineStr">
        <is>
          <t>与均值差距大说明分布偏斜，报告须同时给</t>
        </is>
      </c>
    </row>
    <row r="18" ht="17" customHeight="1">
      <c r="A18" s="9" t="inlineStr">
        <is>
          <t>条件均值</t>
        </is>
      </c>
      <c r="B18" s="55">
        <f>AVERAGEIFS(val,date,"&gt;="&amp;a,date,"&lt;="&amp;b)</f>
        <v/>
      </c>
      <c r="C18" s="9" t="inlineStr">
        <is>
          <t>分阶段统计</t>
        </is>
      </c>
      <c r="D18" s="9" t="inlineStr">
        <is>
          <t>日期必须是文本可比格式或真日期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2026-10-20T11:53:41Z</dcterms:created>
  <dcterms:modified xmlns:dcterms="http://purl.org/dc/terms/" xmlns:xsi="http://www.w3.org/2001/XMLSchema-instance" xsi:type="dcterms:W3CDTF">2026-10-20T11:53:46Z</dcterms:modified>
</cp:coreProperties>
</file>
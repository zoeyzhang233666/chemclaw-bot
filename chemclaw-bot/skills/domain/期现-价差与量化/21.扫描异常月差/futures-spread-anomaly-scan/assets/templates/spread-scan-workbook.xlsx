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说明与红线" sheetId="1" r:id="rId1"/>
    <sheet name="01 合约规则" sheetId="2" r:id="rId2"/>
    <sheet name="02 挂牌合约行情" sheetId="3" r:id="rId3"/>
    <sheet name="03 期限结构" sheetId="4" r:id="rId4"/>
    <sheet name="04 月差计算" sheetId="5" r:id="rId5"/>
    <sheet name="05 历史可比样本" sheetId="6" r:id="rId6"/>
    <sheet name="06 分位统计" sheetId="7" r:id="rId7"/>
    <sheet name="07 产业面" sheetId="8" r:id="rId8"/>
    <sheet name="08 供需事件" sheetId="9" r:id="rId9"/>
    <sheet name="09 公式说明" sheetId="10" r:id="rId10"/>
    <sheet name="10 数据质量与限制" sheetId="11" r:id="rId11"/>
  </sheets>
  <definedNames>
    <definedName name="_xlnm._FilterDatabase" localSheetId="4" hidden="1">'04 月差计算'!$A$4:$Q$8</definedName>
    <definedName name="_xlnm._FilterDatabase" localSheetId="5" hidden="1">'05 历史可比样本'!$A$4:$K$24</definedName>
  </definedNames>
  <calcPr calcId="124519" fullCalcOnLoad="1"/>
</workbook>
</file>

<file path=xl/sharedStrings.xml><?xml version="1.0" encoding="utf-8"?>
<sst xmlns="http://schemas.openxmlformats.org/spreadsheetml/2006/main" count="959" uniqueCount="430">
  <si>
    <t>化工期货｜异常月差（近远月价差）扫描工作簿</t>
  </si>
  <si>
    <t>数据日 2026-10-20　品种池：甲醇 MA / 纯碱 SA / 聚丙烯 PP / PTA TA</t>
  </si>
  <si>
    <t>本工作簿回答的问题</t>
  </si>
  <si>
    <t>1) 各品种主要合约月份与交易所规则；2) 当日全部挂牌合约价格与期限结构；3) 按"近月减远月"口径的月差；4) 同组合同剩余期限的可比历史样本；5) 当前月差、历史分位、近1月变化与极端程度；6) 极端分位排序；7) 异常组合的库存/仓单/交割/供需事件；8) 样本不足与不可比说明。</t>
  </si>
  <si>
    <t>月差定义</t>
  </si>
  <si>
    <t>月差 = 近月结算价 − 远月结算价（元/吨）。正值＝近月升水（正向市场 contango）；负值＝近月贴水（反向市场 backwardation）。远月必须晚于近月。</t>
  </si>
  <si>
    <t>历史分位</t>
  </si>
  <si>
    <t>在"同一品种 × 同一(近月,远月)月份组合 × 同一剩余期限整周数"的历史样本中，当前月差所处的位置。分位越接近 100% 表示近月相对远月比历史更贵；越接近 0% 表示更便宜。</t>
  </si>
  <si>
    <t>可比样本</t>
  </si>
  <si>
    <t>每年取 1 个样本（2022–2026 各年度合约）。剩余期限 = 近月交割月结束日 − 观测日，取整周数 floor(days/7)。不同月份组合分别统计，绝不合并为一个分布。</t>
  </si>
  <si>
    <t>数据源</t>
  </si>
  <si>
    <t>① 郑商所每日行情 FutureDataDaily.txt（结算价，官方）；② 郑商所仓单日报 FutureDataWhsheet.txt（仓单，官方）；③ 东方财富 futsseapi list/114（大商所 PP 当日最新价，官网对脚本返回 412）；④ 新浪财经 InnerFuturesNewService.getDailyKLine（逐合约历史日线，276 个合约）。</t>
  </si>
  <si>
    <t>⚠ 价格口径差异</t>
  </si>
  <si>
    <t>MA/SA/TA 使用交易所结算价；PP 因大商所官网拦截，当日行情为最新价口径。两套口径已在"02 挂牌合约行情"的 price_basis 列分列，不混算。</t>
  </si>
  <si>
    <t>⚠ 红线</t>
  </si>
  <si>
    <t>① 不把异常月差直接当作跨期套利/交易建议；② 不合并不同月份组合的分布；③ 样本不足不给分位；④ 不插值、不向前填充、不使用主力连续合约；⑤ 未扣除仓储费、资金成本、交割成本、品级与地区升贴水。</t>
  </si>
  <si>
    <t>公式说明</t>
  </si>
  <si>
    <t>黄色底纹单元格为 Excel 原生公式，改动源数据即重算，无宏无加载项。详见「09 公式说明」。</t>
  </si>
  <si>
    <t>工作表索引</t>
  </si>
  <si>
    <t>01 合约规则 02 挂牌合约行情 03 期限结构 04 月差计算 05 历史可比样本 06 分位统计 07 产业面 08 供需事件 09 公式说明 10 数据质量与限制</t>
  </si>
  <si>
    <t>01 合约规则匹配（交易所规则 + 实测验证）</t>
  </si>
  <si>
    <t>规则来源：交易所合约全文（双源交叉）；挂牌月份经 276 个逐合约日线实测验证</t>
  </si>
  <si>
    <t>品种</t>
  </si>
  <si>
    <t>名称</t>
  </si>
  <si>
    <t>交易所</t>
  </si>
  <si>
    <t>交易所(英)</t>
  </si>
  <si>
    <t>合约月份</t>
  </si>
  <si>
    <t>交易单位
(吨/手)</t>
  </si>
  <si>
    <t>最小变动
(元/吨)</t>
  </si>
  <si>
    <t>最低保证金
(%)</t>
  </si>
  <si>
    <t>涨跌停板
(%)</t>
  </si>
  <si>
    <t>最后交易日</t>
  </si>
  <si>
    <t>最后交割日</t>
  </si>
  <si>
    <t>主力锚点</t>
  </si>
  <si>
    <t>特别说明</t>
  </si>
  <si>
    <t>MA</t>
  </si>
  <si>
    <t>甲醇</t>
  </si>
  <si>
    <t>郑州商品交易所</t>
  </si>
  <si>
    <t>CZCE</t>
  </si>
  <si>
    <t>1–12 月（全年）</t>
  </si>
  <si>
    <t>合约交割月份的第10个交易日</t>
  </si>
  <si>
    <t>合约交割月份的第13个交易日</t>
  </si>
  <si>
    <t>1月/5月/9月</t>
  </si>
  <si>
    <t>危化品交割资质要求（生产/储存/使用/经营/运输）</t>
  </si>
  <si>
    <t>SA</t>
  </si>
  <si>
    <t>纯碱</t>
  </si>
  <si>
    <t>基准品为 GB/T 210-2022 II类优等品重质纯碱（NaCl≤0.6%），自 SA2406 起施行</t>
  </si>
  <si>
    <t>PP</t>
  </si>
  <si>
    <t>聚丙烯</t>
  </si>
  <si>
    <t>大连商品交易所</t>
  </si>
  <si>
    <t>DCE</t>
  </si>
  <si>
    <t>合约月份的第10个交易日</t>
  </si>
  <si>
    <t>最后交易日后第3个交易日</t>
  </si>
  <si>
    <t>拉丝/注塑/纤维等交割品级差异，地区升贴水；包装25±0.2kg/袋</t>
  </si>
  <si>
    <t>TA</t>
  </si>
  <si>
    <t>PTA</t>
  </si>
  <si>
    <t>仓库/厂库仓单为交割月第13个交易日；出口型车船板为交割月次月10日</t>
  </si>
  <si>
    <t>四条交割路径；品牌制免检；最小变动价位为 2 元/吨（与 MA/SA/PP 的 1 元不同）</t>
  </si>
  <si>
    <t>实测验证</t>
  </si>
  <si>
    <t>四个品种均为 1–12 月全月连续挂牌，无跳月设计。各合约上市首日距交割月恒为 12 个月（PP 为 11–12 个月，大商所挂牌略晚）。因此"主力只在 1/5/9"属过度简化：01/05/09 是生命周期锚点，但换月逐月滚动，其余月份同样有可观流动性。</t>
  </si>
  <si>
    <t>02 当日全部挂牌合约行情（含主力标记）</t>
  </si>
  <si>
    <t>数据日 2026-10-20　黄色列为公式：距交割月数 / 是否主力 / 合约市值</t>
  </si>
  <si>
    <t>合约</t>
  </si>
  <si>
    <t>交割年</t>
  </si>
  <si>
    <t>交割月</t>
  </si>
  <si>
    <t>结算价</t>
  </si>
  <si>
    <t>收盘价</t>
  </si>
  <si>
    <t>昨结算</t>
  </si>
  <si>
    <t>涨跌</t>
  </si>
  <si>
    <t>成交量</t>
  </si>
  <si>
    <t>持仓量</t>
  </si>
  <si>
    <t>距交割(月)</t>
  </si>
  <si>
    <t>是否主力</t>
  </si>
  <si>
    <t>价格口径</t>
  </si>
  <si>
    <t>MA2611</t>
  </si>
  <si>
    <t>settle</t>
  </si>
  <si>
    <t>MA2612</t>
  </si>
  <si>
    <t>MA2701</t>
  </si>
  <si>
    <t>YES</t>
  </si>
  <si>
    <t>MA2702</t>
  </si>
  <si>
    <t>MA2703</t>
  </si>
  <si>
    <t>MA2704</t>
  </si>
  <si>
    <t>MA2705</t>
  </si>
  <si>
    <t>MA2706</t>
  </si>
  <si>
    <t>MA2707</t>
  </si>
  <si>
    <t>MA2708</t>
  </si>
  <si>
    <t>MA2709</t>
  </si>
  <si>
    <t>PP2610</t>
  </si>
  <si>
    <t>last</t>
  </si>
  <si>
    <t>PP2611</t>
  </si>
  <si>
    <t>PP2612</t>
  </si>
  <si>
    <t>PP2701</t>
  </si>
  <si>
    <t>PP2702</t>
  </si>
  <si>
    <t>PP2703</t>
  </si>
  <si>
    <t>PP2704</t>
  </si>
  <si>
    <t>PP2705</t>
  </si>
  <si>
    <t>PP2706</t>
  </si>
  <si>
    <t>PP2707</t>
  </si>
  <si>
    <t>PP2708</t>
  </si>
  <si>
    <t>PP2709</t>
  </si>
  <si>
    <t>SA2611</t>
  </si>
  <si>
    <t>SA2612</t>
  </si>
  <si>
    <t>SA2701</t>
  </si>
  <si>
    <t>SA2702</t>
  </si>
  <si>
    <t>SA2703</t>
  </si>
  <si>
    <t>SA2704</t>
  </si>
  <si>
    <t>SA2705</t>
  </si>
  <si>
    <t>SA2706</t>
  </si>
  <si>
    <t>SA2707</t>
  </si>
  <si>
    <t>SA2708</t>
  </si>
  <si>
    <t>SA2709</t>
  </si>
  <si>
    <t>TA2610</t>
  </si>
  <si>
    <t>TA2611</t>
  </si>
  <si>
    <t>TA2612</t>
  </si>
  <si>
    <t>TA2701</t>
  </si>
  <si>
    <t>TA2702</t>
  </si>
  <si>
    <t>TA2703</t>
  </si>
  <si>
    <t>TA2704</t>
  </si>
  <si>
    <t>TA2705</t>
  </si>
  <si>
    <t>TA2706</t>
  </si>
  <si>
    <t>TA2707</t>
  </si>
  <si>
    <t>TA2708</t>
  </si>
  <si>
    <t>TA2709</t>
  </si>
  <si>
    <t>校验</t>
  </si>
  <si>
    <t>合约数</t>
  </si>
  <si>
    <t>主力合约数</t>
  </si>
  <si>
    <t>03 各品种当日期限结构（曲线形态与单步跳变）</t>
  </si>
  <si>
    <t>黄色列为公式：相邻月价差、曲线斜率(OLS)、形态判定</t>
  </si>
  <si>
    <t>MA 甲醇　形态：正向市场(contango)　斜率 -46.22 元/月　单调性 r=-0.96</t>
  </si>
  <si>
    <t>相邻价差</t>
  </si>
  <si>
    <t>环比</t>
  </si>
  <si>
    <t>累计 vs 首月</t>
  </si>
  <si>
    <t>备注</t>
  </si>
  <si>
    <t>2026-11</t>
  </si>
  <si>
    <t>2026-12</t>
  </si>
  <si>
    <t>2027-01</t>
  </si>
  <si>
    <t>主力合约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</si>
  <si>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</si>
  <si>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</si>
  <si>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</si>
  <si>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</si>
  <si>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</si>
  <si>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</si>
  <si>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</si>
  <si>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</si>
  <si>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斜率(元/月, OLS)</t>
  </si>
  <si>
    <t>形态</t>
  </si>
  <si>
    <t>正向市场(contango)</t>
  </si>
  <si>
    <t>SA 纯碱　形态：反向市场(backwardation)　斜率 14.35 元/月　单调性 r=0.984</t>
  </si>
  <si>
    <t>反向市场(backwardation)</t>
  </si>
  <si>
    <t>PP 聚丙烯　形态：正向市场(contango)　斜率 -178.61 元/月　单调性 r=-0.938</t>
  </si>
  <si>
    <t>2026-10</t>
  </si>
  <si>
    <t>TA PTA　形态：正向市场(contango)　斜率 -82.69 元/月　单调性 r=-0.966</t>
  </si>
  <si>
    <t>04 月差计算与异常排序（主表）</t>
  </si>
  <si>
    <t>月差 = 近月结算价 − 远月结算价；分位基于「05 历史可比样本」逐组合统计</t>
  </si>
  <si>
    <t>#</t>
  </si>
  <si>
    <t>近月 − 远月</t>
  </si>
  <si>
    <t>近月价</t>
  </si>
  <si>
    <t>远月价</t>
  </si>
  <si>
    <t>当前月差</t>
  </si>
  <si>
    <t>历史均值</t>
  </si>
  <si>
    <t>Z分数</t>
  </si>
  <si>
    <t>近1月前</t>
  </si>
  <si>
    <t>近1月变化</t>
  </si>
  <si>
    <t>极端度</t>
  </si>
  <si>
    <t>N(年)</t>
  </si>
  <si>
    <t>评级</t>
  </si>
  <si>
    <t>可交易性</t>
  </si>
  <si>
    <t>PP2701-PP2704</t>
  </si>
  <si>
    <t>极端(近月升水)</t>
  </si>
  <si>
    <t>可交易</t>
  </si>
  <si>
    <t>TA2701-TA2704</t>
  </si>
  <si>
    <t>受限</t>
  </si>
  <si>
    <t>流动性不足</t>
  </si>
  <si>
    <t>MA2701-MA2704</t>
  </si>
  <si>
    <t>偏高(近月升水)</t>
  </si>
  <si>
    <t>SA2701-SA2704</t>
  </si>
  <si>
    <t>正常</t>
  </si>
  <si>
    <t>口径说明</t>
  </si>
  <si>
    <t>Z 分数 = (当前月差 − 历史均值) / 历史标准差(样本)。极端度 = |分位 − 50| × 2，0＝处于历史中位，100＝处于历史极限。可交易性受限的原因码见「10 数据质量与限制」。</t>
  </si>
  <si>
    <t>05 历史可比样本明细（同品种 × 同月份组合 × 同剩余期限）</t>
  </si>
  <si>
    <t>每行 = 某一历史年度合约在"同剩余期限周数"下的月差观测值</t>
  </si>
  <si>
    <t>月份组合</t>
  </si>
  <si>
    <t>年度</t>
  </si>
  <si>
    <t>历史合约</t>
  </si>
  <si>
    <t>观测日</t>
  </si>
  <si>
    <t>月差</t>
  </si>
  <si>
    <t>剩余期限(周)</t>
  </si>
  <si>
    <t>对齐方式</t>
  </si>
  <si>
    <t>PP2201/PP2204</t>
  </si>
  <si>
    <t>整周精确</t>
  </si>
  <si>
    <t>PP2301/PP2304</t>
  </si>
  <si>
    <t>PP2401/PP2404</t>
  </si>
  <si>
    <t>PP2501/PP2504</t>
  </si>
  <si>
    <t>PP2601/PP2604</t>
  </si>
  <si>
    <t>TA2201/TA2204</t>
  </si>
  <si>
    <t>TA2301/TA2304</t>
  </si>
  <si>
    <t>TA2401/TA2404</t>
  </si>
  <si>
    <t>TA2501/TA2504</t>
  </si>
  <si>
    <t>TA2601/TA2604</t>
  </si>
  <si>
    <t>MA2201/MA2204</t>
  </si>
  <si>
    <t>MA2301/MA2304</t>
  </si>
  <si>
    <t>MA2401/MA2404</t>
  </si>
  <si>
    <t>MA2501/MA2504</t>
  </si>
  <si>
    <t>MA2601/MA2604</t>
  </si>
  <si>
    <t>SA2201/SA2204</t>
  </si>
  <si>
    <t>SA2301/SA2304</t>
  </si>
  <si>
    <t>SA2401/SA2404</t>
  </si>
  <si>
    <t>SA2501/SA2504</t>
  </si>
  <si>
    <t>SA2601/SA2604</t>
  </si>
  <si>
    <t>注意</t>
  </si>
  <si>
    <t>不同月份组合的样本分别统计，不在本表内合并。若某组合在某年度无同剩余期限的双边有效报价，该年度即为空缺，不补数。</t>
  </si>
  <si>
    <t>06 分位统计（Excel 原生公式，改「05」数据即重算）</t>
  </si>
  <si>
    <t>统计口径：AVEARGE/STDEV/MIN/MAX/PERCENTILE/COUNTIF，样本取自「05 历史可比样本」对应组合</t>
  </si>
  <si>
    <t>样本数N</t>
  </si>
  <si>
    <t>均值</t>
  </si>
  <si>
    <t>标准差</t>
  </si>
  <si>
    <t>最小值</t>
  </si>
  <si>
    <t>P05</t>
  </si>
  <si>
    <t>P25</t>
  </si>
  <si>
    <t>中位数P50</t>
  </si>
  <si>
    <t>P75</t>
  </si>
  <si>
    <t>P95</t>
  </si>
  <si>
    <t>最大值</t>
  </si>
  <si>
    <t>当前分位(%)</t>
  </si>
  <si>
    <t>评级(公式)</t>
  </si>
  <si>
    <t>07 产业面：库存 / 仓单 / 现货 / 基差</t>
  </si>
  <si>
    <t>可信度：A=抓取正文+明确日期；B=研报/媒体转述；C=口径不明；D=未获取。缺数据一律留空，不估算。</t>
  </si>
  <si>
    <t>类别</t>
  </si>
  <si>
    <t>指标</t>
  </si>
  <si>
    <t>数值</t>
  </si>
  <si>
    <t>单位</t>
  </si>
  <si>
    <t>变化</t>
  </si>
  <si>
    <t>变化%</t>
  </si>
  <si>
    <t>日期</t>
  </si>
  <si>
    <t>来源</t>
  </si>
  <si>
    <t>可信度</t>
  </si>
  <si>
    <t>仓单</t>
  </si>
  <si>
    <t>注册仓单</t>
  </si>
  <si>
    <t>张</t>
  </si>
  <si>
    <t>2026-10-20</t>
  </si>
  <si>
    <t>郑商所仓单日报 FutureDataWhsheet.txt</t>
  </si>
  <si>
    <t>A</t>
  </si>
  <si>
    <t>库存</t>
  </si>
  <si>
    <t>中国沿海港口库存(隆众口径)</t>
  </si>
  <si>
    <t>万吨</t>
  </si>
  <si>
    <t>2026-10-08</t>
  </si>
  <si>
    <t>新浪财经转隆众 https://finance.sina.com.cn/money/bond/2026-10-12/doc-iniuxrzr8524973.shtml</t>
  </si>
  <si>
    <t>B</t>
  </si>
  <si>
    <t>港口社会库存(金联创口径)</t>
  </si>
  <si>
    <t>2026-10-15</t>
  </si>
  <si>
    <t>东方财富转金联创 https://finance.eastmoney.com/a/202610193899284051.html</t>
  </si>
  <si>
    <t>现货</t>
  </si>
  <si>
    <t>太仓</t>
  </si>
  <si>
    <t>元/吨</t>
  </si>
  <si>
    <t>2026-10-19</t>
  </si>
  <si>
    <t>新浪财经期货晨报</t>
  </si>
  <si>
    <t>内蒙北线</t>
  </si>
  <si>
    <t>纯碱厂家总库存</t>
  </si>
  <si>
    <t>新浪财经转期货日报 https://finance.sina.com.cn/money/future/fmnews/2026-10-20/doc-inivvxcp7623329.shtml</t>
  </si>
  <si>
    <t>轻碱</t>
  </si>
  <si>
    <t>重碱</t>
  </si>
  <si>
    <t>上一期厂家库存</t>
  </si>
  <si>
    <t>金十数据 https://xnews.jin10.com/details/232607</t>
  </si>
  <si>
    <t>节后库存</t>
  </si>
  <si>
    <t>沙河重碱自提</t>
  </si>
  <si>
    <t>华东重碱(区间1130-1230中值)</t>
  </si>
  <si>
    <t>手</t>
  </si>
  <si>
    <t>新浪财经转DCE日度仓单（DCE官网对脚本返回412，未取得原始文件）</t>
  </si>
  <si>
    <t>PP商业库存(隆众)</t>
  </si>
  <si>
    <t>2026-10-14</t>
  </si>
  <si>
    <t>新浪财经转隆众 https://finance.sina.com.cn/money/future/roll/2026-10-17/doc-inivnvku1480435.shtml</t>
  </si>
  <si>
    <t>两油石化库存</t>
  </si>
  <si>
    <t>新浪财经 https://finance.sina.com.cn/money/future/fmnews/2026-10-15/doc-inivhiew1357592.shtml</t>
  </si>
  <si>
    <t>华东拉丝</t>
  </si>
  <si>
    <t>光大期货日报(东方财富转)</t>
  </si>
  <si>
    <t>基差</t>
  </si>
  <si>
    <t>现货10,756.67 − 期货9,320 = +1,436 (13.35%)</t>
  </si>
  <si>
    <t>金投网</t>
  </si>
  <si>
    <t>C</t>
  </si>
  <si>
    <t>张(完税)</t>
  </si>
  <si>
    <t>PTA社会库存</t>
  </si>
  <si>
    <t>2026-10中旬</t>
  </si>
  <si>
    <t>期货日报(新浪转) https://finance.sina.com.cn/money/bond/2026-10-20/doc-inivvnps0829573.shtml</t>
  </si>
  <si>
    <t>PTA社会库存(09-30)</t>
  </si>
  <si>
    <t>2026-09-30</t>
  </si>
  <si>
    <t>新浪财经 https://finance.sina.com.cn/money/bond/2026-10-09/doc-iniuquqf7191797.shtml</t>
  </si>
  <si>
    <t>华东</t>
  </si>
  <si>
    <t>升水TA01约450（另一口径），现货10,756.67口径参见PP</t>
  </si>
  <si>
    <t>08 供需事件时间线</t>
  </si>
  <si>
    <t>事件仅用于解释期限结构为什么处在当前位置，不构成方向判断或交易建议</t>
  </si>
  <si>
    <t>事件</t>
  </si>
  <si>
    <t>影响</t>
  </si>
  <si>
    <t>方向标签</t>
  </si>
  <si>
    <t>2026-06底</t>
  </si>
  <si>
    <t>伊朗封锁霍尔木兹海峡，甲醇进口通道受阻</t>
  </si>
  <si>
    <t>供应中断预期</t>
  </si>
  <si>
    <t>bullish</t>
  </si>
  <si>
    <t>2026-09-22</t>
  </si>
  <si>
    <t>多数伊朗装置重启，仅约660万吨仍停车；9月伊朗装港15.4万吨，9月进口降至约40万吨（8月约70万吨）</t>
  </si>
  <si>
    <t>进口量腰斩，沿海可流通货源紧张</t>
  </si>
  <si>
    <t>2026-10-07</t>
  </si>
  <si>
    <t>伊朗革命卫队称海峡已关闭</t>
  </si>
  <si>
    <t>10-08 MA2611 封涨停（+9.02%）</t>
  </si>
  <si>
    <t>2026-10-09</t>
  </si>
  <si>
    <t>主力盘中最高3,959；当周外采MTO利润恶化至−4,000元/吨以上，江浙外采MTO开工降至20.06%</t>
  </si>
  <si>
    <t>需求端负反馈启动</t>
  </si>
  <si>
    <t>bearish</t>
  </si>
  <si>
    <t>2026-10-10前后</t>
  </si>
  <si>
    <t>天津渤化、联泓、南京诚志、宁波富德、山东恒通MTO停车或降负；诚志二期10-18停车</t>
  </si>
  <si>
    <t>沿海MTO基本全停，甲醇需求塌陷</t>
  </si>
  <si>
    <t>bearish_near</t>
  </si>
  <si>
    <t>2026-10-10</t>
  </si>
  <si>
    <t>产区降价200元起拍仍流拍，太仓小单最低成交4,400（较前一日最高价−550）</t>
  </si>
  <si>
    <t>现货强转弱</t>
  </si>
  <si>
    <t>2026-10底(计划)</t>
  </si>
  <si>
    <t>宁夏宝丰4期280万吨甲醇投产</t>
  </si>
  <si>
    <t>国内新增产能</t>
  </si>
  <si>
    <t>2026-10下旬</t>
  </si>
  <si>
    <t>南京MTO计划停车；塞拉尼斯冰醋酸检修</t>
  </si>
  <si>
    <t>沿海需求继续走弱</t>
  </si>
  <si>
    <t>节后产量回升至约70.32万吨(+3.4)，库存177.87万吨累库</t>
  </si>
  <si>
    <t>供应压力</t>
  </si>
  <si>
    <t>2026-10-12</t>
  </si>
  <si>
    <t>秦皇岛5500大卡动力煤1,008元/吨，创近2年新高</t>
  </si>
  <si>
    <t>氨碱成本抬升，碱厂亏损加剧</t>
  </si>
  <si>
    <t>bullish_cost</t>
  </si>
  <si>
    <t>2026-10-15至19</t>
  </si>
  <si>
    <t>内蒙/河南/青海大厂集中检修，开工降至63.76%，周产60.56万吨(环比−15.17%)</t>
  </si>
  <si>
    <t>供应收缩，两周去库24万吨</t>
  </si>
  <si>
    <t>bullish_near</t>
  </si>
  <si>
    <t>氨碱/联碱毛利分别为 −177.25 / −196 元/吨</t>
  </si>
  <si>
    <t>行业深度亏损</t>
  </si>
  <si>
    <t>下游</t>
  </si>
  <si>
    <t>浮法玻璃日熔量14.13–14.32万吨/日(同比−11.8%)，光伏玻璃6.68万吨/日且存冷修计划</t>
  </si>
  <si>
    <t>重碱刚需走弱</t>
  </si>
  <si>
    <t>氯化铵连续涨价，联碱亏损有所好转</t>
  </si>
  <si>
    <t>联碱开工意愿回升</t>
  </si>
  <si>
    <t>伊朗称海峡关闭</t>
  </si>
  <si>
    <t>10-08 PP主力收9,242(+611,+7.08%)，持仓增逾6万手</t>
  </si>
  <si>
    <t>2026-10上旬</t>
  </si>
  <si>
    <t>神华榆林、浙江石化、金能化学、天津渤化新增停车，停车比例升至28%；延长中煤二线、浙石化四线、金能2PP集中停车</t>
  </si>
  <si>
    <t>供应大幅收缩</t>
  </si>
  <si>
    <t>2026-10-09至15</t>
  </si>
  <si>
    <t>周产量67.96万吨(环比−1.98%，同比−15.16%)；产能利用率64.97%(环比−1.31pct)；检修损失36.32万吨</t>
  </si>
  <si>
    <t>低供应格局延续</t>
  </si>
  <si>
    <t>节后下游开工率回升6.55pct至42.88%，双十一前置备货带动膜企、注塑复工</t>
  </si>
  <si>
    <t>近端需求边际改善</t>
  </si>
  <si>
    <t>2026-10底至11月初</t>
  </si>
  <si>
    <t>中煤榆林60万吨/年新产能投放</t>
  </si>
  <si>
    <t>远端供应增量，压制远月</t>
  </si>
  <si>
    <t>bearish_far</t>
  </si>
  <si>
    <t>广州石化2PP、独山子四线、兰州石化新线计划检修</t>
  </si>
  <si>
    <t>供应继续偏紧</t>
  </si>
  <si>
    <t>持续</t>
  </si>
  <si>
    <t>停PP卖丙烯（丙烯价格强于PP，转产分流PP供应）</t>
  </si>
  <si>
    <t>供应端持续偏紧</t>
  </si>
  <si>
    <t>海峡封锁推动成本重心上移</t>
  </si>
  <si>
    <t>PX成本抬升</t>
  </si>
  <si>
    <t>2026-10初</t>
  </si>
  <si>
    <t>TA2701 触及6,848创年内新高，华东现货最高7,660，基差走强</t>
  </si>
  <si>
    <t>价格处于年内高位</t>
  </si>
  <si>
    <t>2026-10-06</t>
  </si>
  <si>
    <t>嘉兴石化150万吨停车</t>
  </si>
  <si>
    <t>供应收缩</t>
  </si>
  <si>
    <t>华东一套300万吨PTA(占全国3.3%)停车检修，预计12天</t>
  </si>
  <si>
    <t>供应收紧</t>
  </si>
  <si>
    <t>计划检修：嘉通能源550万吨、嘉兴石化150万吨、福建百宏250万吨；10月产量预计570–590万吨</t>
  </si>
  <si>
    <t>供应端偏紧</t>
  </si>
  <si>
    <t>聚酯大面积亏损(短纤亏约800元/吨)，长丝/短纤/瓶片主动降负；聚酯负荷74.4%</t>
  </si>
  <si>
    <t>需求端负反馈</t>
  </si>
  <si>
    <t>终端旺季不旺，订单天数缩短，暖冬预期压制服装消费</t>
  </si>
  <si>
    <t>需求偏弱</t>
  </si>
  <si>
    <t>2026-09</t>
  </si>
  <si>
    <t>我国纺织品服装出口同比+21.5%（低基数+单价抬升+关税改善）</t>
  </si>
  <si>
    <t>外需阶段性支撑</t>
  </si>
  <si>
    <t>产能</t>
  </si>
  <si>
    <t>据券商研究，PTA 至2026年无新增产能投放</t>
  </si>
  <si>
    <t>供给端约束</t>
  </si>
  <si>
    <t>09 指标定义与 Excel 公式实现</t>
  </si>
  <si>
    <t>定义</t>
  </si>
  <si>
    <t>Excel 实现 / 说明</t>
  </si>
  <si>
    <t>月差 Spread</t>
  </si>
  <si>
    <t>近月结算价 − 远月结算价（元/吨）</t>
  </si>
  <si>
    <t>距交割月数</t>
  </si>
  <si>
    <t>(交割年 − 数据年) × 12 + (交割月 − 数据月)</t>
  </si>
  <si>
    <t>相邻月价差</t>
  </si>
  <si>
    <t>后一交割月结算价 − 前一交割月结算价</t>
  </si>
  <si>
    <t>曲线斜率 OLS</t>
  </si>
  <si>
    <t>价格对距交割月数的最小二乘斜率</t>
  </si>
  <si>
    <t>可比历史样本</t>
  </si>
  <si>
    <t>同品种 × 同(近月,远月)组合 × 同剩余期限整周数</t>
  </si>
  <si>
    <t>剩余期限 = floor((近月交割月结束日 − 观测日)/7天)；每年取 1 个</t>
  </si>
  <si>
    <t>当前月差在可比样本中的位置</t>
  </si>
  <si>
    <t>可比样本算术平均</t>
  </si>
  <si>
    <t>可比样本样本标准差</t>
  </si>
  <si>
    <t>Z 分数</t>
  </si>
  <si>
    <t>(当前 − 均值) / 标准差</t>
  </si>
  <si>
    <t>当前月差 − 30 个自然日前最近交易日月差</t>
  </si>
  <si>
    <t>|分位 − 50| × 2</t>
  </si>
  <si>
    <t>0＝历史中位，100＝历史极限</t>
  </si>
  <si>
    <t>评级阈值</t>
  </si>
  <si>
    <t>≥95% 或 ≤5% 为极端；≥80% 或 ≤20% 为偏高</t>
  </si>
  <si>
    <t>可改「06」表公式中的 5/95 阈值</t>
  </si>
  <si>
    <t>样本不足</t>
  </si>
  <si>
    <t>可比历史年份 &lt; 3（或 &lt; 设定阈值）</t>
  </si>
  <si>
    <t>不给分位，写"样本不足"</t>
  </si>
  <si>
    <t>10 数据质量、样本不足与不可比说明</t>
  </si>
  <si>
    <t>组合/项目</t>
  </si>
  <si>
    <t>问题</t>
  </si>
  <si>
    <t>说明与处理</t>
  </si>
  <si>
    <t>—</t>
  </si>
  <si>
    <t>交易所结算价；与其他品种口径不同，不混算</t>
  </si>
  <si>
    <t>最新价(东财)；与其他品种口径不同，不混算</t>
  </si>
  <si>
    <t>可交易性受限</t>
  </si>
  <si>
    <t>大商所仓单</t>
  </si>
  <si>
    <t>数据未取得原始文件</t>
  </si>
  <si>
    <t>DCE 官网对脚本返回 HTTP 412；PP 仓单采用媒体转述的 2026-10-19 数值（可信度 B）</t>
  </si>
  <si>
    <t>PTA 仓单跳升</t>
  </si>
  <si>
    <t>异常未解释</t>
  </si>
  <si>
    <t>10-08 约1,002张 → 10-09 约36,187张，抓取页面均未说明原因，仅记录事实，不作累库结论</t>
  </si>
  <si>
    <t>甲醇港口库存</t>
  </si>
  <si>
    <t>多口径并存</t>
  </si>
  <si>
    <t>隆众30.51(10-08) / 卓创37.41(10-08) / 金联创30.44(10-15)，不可混算环比</t>
  </si>
  <si>
    <t>历史区间</t>
  </si>
  <si>
    <t>仅覆盖 2022–2026 年度合约</t>
  </si>
  <si>
    <t>更早年度合约在新浪接口不可取；样本 N 上限为 5（含当期）</t>
  </si>
  <si>
    <t>成本项</t>
  </si>
  <si>
    <t>未扣除</t>
  </si>
  <si>
    <t>仓储费、资金成本、交割成本、品级/地区升贴水均未计入月差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</si>
</sst>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.0&quot;%&quot;"/>
    <numFmt numFmtId="167" formatCode="yyyy-mm-dd"/>
  </numFmts>
  <fonts count="9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808080"/>
      <name val="Calibri"/>
      <family val="2"/>
      <scheme val="minor"/>
    </font>
    <font>
      <sz val="10"/>
      <color rgb="FF37562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3" xfId="0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  <xf numFmtId="165" fontId="4" fillId="4" borderId="2" xfId="0" applyNumberFormat="1" applyFont="1" applyFill="1" applyBorder="1" applyAlignment="1">
      <alignment vertical="top"/>
    </xf>
    <xf numFmtId="164" fontId="4" fillId="4" borderId="2" xfId="0" applyNumberFormat="1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8" fillId="0" borderId="2" xfId="0" applyFont="1" applyBorder="1" applyAlignment="1">
      <alignment horizontal="center" vertical="top"/>
    </xf>
    <xf numFmtId="166" fontId="4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center" vertical="top"/>
    </xf>
    <xf numFmtId="167" fontId="4" fillId="0" borderId="2" xfId="0" applyNumberFormat="1" applyFont="1" applyBorder="1" applyAlignment="1">
      <alignment vertical="top"/>
    </xf>
    <xf numFmtId="166" fontId="4" fillId="4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2" width="96.7109375" customWidth="1"/>
  </cols>
  <sheetData>
    <row r="1" spans="1:2" ht="24" customHeight="1">
      <c r="A1" s="1" t="s">
        <v>0</v>
      </c>
      <c r="B1" s="1"/>
    </row>
    <row r="2" spans="1:2" ht="18" customHeight="1">
      <c r="A2" s="2" t="s">
        <v>1</v>
      </c>
      <c r="B2" s="2"/>
    </row>
    <row r="5" spans="1:2" ht="46" customHeight="1">
      <c r="A5" s="3" t="s">
        <v>2</v>
      </c>
      <c r="B5" s="4" t="s">
        <v>3</v>
      </c>
    </row>
    <row r="6" spans="1:2" ht="46" customHeight="1">
      <c r="A6" s="3" t="s">
        <v>4</v>
      </c>
      <c r="B6" s="4" t="s">
        <v>5</v>
      </c>
    </row>
    <row r="7" spans="1:2" ht="46" customHeight="1">
      <c r="A7" s="3" t="s">
        <v>6</v>
      </c>
      <c r="B7" s="4" t="s">
        <v>7</v>
      </c>
    </row>
    <row r="8" spans="1:2" ht="46" customHeight="1">
      <c r="A8" s="3" t="s">
        <v>8</v>
      </c>
      <c r="B8" s="4" t="s">
        <v>9</v>
      </c>
    </row>
    <row r="9" spans="1:2" ht="46" customHeight="1">
      <c r="A9" s="3" t="s">
        <v>10</v>
      </c>
      <c r="B9" s="4" t="s">
        <v>11</v>
      </c>
    </row>
    <row r="10" spans="1:2" ht="46" customHeight="1">
      <c r="A10" s="5" t="s">
        <v>12</v>
      </c>
      <c r="B10" s="4" t="s">
        <v>13</v>
      </c>
    </row>
    <row r="11" spans="1:2" ht="46" customHeight="1">
      <c r="A11" s="5" t="s">
        <v>14</v>
      </c>
      <c r="B11" s="4" t="s">
        <v>15</v>
      </c>
    </row>
    <row r="12" spans="1:2" ht="46" customHeight="1">
      <c r="A12" s="3" t="s">
        <v>16</v>
      </c>
      <c r="B12" s="4" t="s">
        <v>17</v>
      </c>
    </row>
    <row r="14" spans="1:2">
      <c r="A14" s="3" t="s">
        <v>18</v>
      </c>
      <c r="B14" s="4" t="s">
        <v>19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20.7109375" customWidth="1"/>
    <col min="5" max="5" width="16.7109375" customWidth="1"/>
    <col min="6" max="9" width="10.7109375" customWidth="1"/>
    <col min="10" max="11" width="22.7109375" customWidth="1"/>
    <col min="12" max="12" width="14.7109375" customWidth="1"/>
    <col min="13" max="13" width="46.7109375" customWidth="1"/>
  </cols>
  <sheetData>
    <row r="1" spans="1:13" ht="2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</row>
    <row r="5" spans="1:13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7">
        <v>10</v>
      </c>
      <c r="G5" s="7">
        <v>1</v>
      </c>
      <c r="H5" s="7">
        <v>5</v>
      </c>
      <c r="I5" s="7">
        <v>4</v>
      </c>
      <c r="J5" s="4" t="s">
        <v>40</v>
      </c>
      <c r="K5" s="4" t="s">
        <v>41</v>
      </c>
      <c r="L5" s="4" t="s">
        <v>42</v>
      </c>
      <c r="M5" s="4" t="s">
        <v>43</v>
      </c>
    </row>
    <row r="6" spans="1:13">
      <c r="A6" s="4" t="s">
        <v>44</v>
      </c>
      <c r="B6" s="4" t="s">
        <v>45</v>
      </c>
      <c r="C6" s="4" t="s">
        <v>37</v>
      </c>
      <c r="D6" s="4" t="s">
        <v>38</v>
      </c>
      <c r="E6" s="4" t="s">
        <v>39</v>
      </c>
      <c r="F6" s="7">
        <v>20</v>
      </c>
      <c r="G6" s="7">
        <v>1</v>
      </c>
      <c r="H6" s="7">
        <v>5</v>
      </c>
      <c r="I6" s="7">
        <v>4</v>
      </c>
      <c r="J6" s="4" t="s">
        <v>40</v>
      </c>
      <c r="K6" s="4" t="s">
        <v>41</v>
      </c>
      <c r="L6" s="4" t="s">
        <v>42</v>
      </c>
      <c r="M6" s="4" t="s">
        <v>46</v>
      </c>
    </row>
    <row r="7" spans="1:13">
      <c r="A7" s="4" t="s">
        <v>47</v>
      </c>
      <c r="B7" s="4" t="s">
        <v>48</v>
      </c>
      <c r="C7" s="4" t="s">
        <v>49</v>
      </c>
      <c r="D7" s="4" t="s">
        <v>50</v>
      </c>
      <c r="E7" s="4" t="s">
        <v>39</v>
      </c>
      <c r="F7" s="7">
        <v>5</v>
      </c>
      <c r="G7" s="7">
        <v>1</v>
      </c>
      <c r="H7" s="7">
        <v>5</v>
      </c>
      <c r="I7" s="7">
        <v>4</v>
      </c>
      <c r="J7" s="4" t="s">
        <v>51</v>
      </c>
      <c r="K7" s="4" t="s">
        <v>52</v>
      </c>
      <c r="L7" s="4" t="s">
        <v>42</v>
      </c>
      <c r="M7" s="4" t="s">
        <v>53</v>
      </c>
    </row>
    <row r="8" spans="1:13">
      <c r="A8" s="4" t="s">
        <v>54</v>
      </c>
      <c r="B8" s="4" t="s">
        <v>55</v>
      </c>
      <c r="C8" s="4" t="s">
        <v>37</v>
      </c>
      <c r="D8" s="4" t="s">
        <v>38</v>
      </c>
      <c r="E8" s="4" t="s">
        <v>39</v>
      </c>
      <c r="F8" s="7">
        <v>5</v>
      </c>
      <c r="G8" s="7">
        <v>2</v>
      </c>
      <c r="H8" s="7">
        <v>5</v>
      </c>
      <c r="I8" s="7">
        <v>4</v>
      </c>
      <c r="J8" s="4" t="s">
        <v>40</v>
      </c>
      <c r="K8" s="4" t="s">
        <v>56</v>
      </c>
      <c r="L8" s="4" t="s">
        <v>42</v>
      </c>
      <c r="M8" s="4" t="s">
        <v>57</v>
      </c>
    </row>
    <row r="10" spans="1:13" ht="40" customHeight="1">
      <c r="A10" s="5" t="s">
        <v>58</v>
      </c>
      <c r="B10" s="4" t="s">
        <v>59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mergeCells count="3">
    <mergeCell ref="A1:M1"/>
    <mergeCell ref="A2:M2"/>
    <mergeCell ref="B10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4" width="10.7109375" customWidth="1"/>
    <col min="5" max="10" width="12.7109375" customWidth="1"/>
    <col min="11" max="11" width="14.7109375" customWidth="1"/>
    <col min="12" max="13" width="12.7109375" customWidth="1"/>
  </cols>
  <sheetData>
    <row r="1" spans="1:13" ht="24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6" t="s">
        <v>62</v>
      </c>
      <c r="B4" s="6" t="s">
        <v>22</v>
      </c>
      <c r="C4" s="6" t="s">
        <v>63</v>
      </c>
      <c r="D4" s="6" t="s">
        <v>64</v>
      </c>
      <c r="E4" s="6" t="s">
        <v>65</v>
      </c>
      <c r="F4" s="6" t="s">
        <v>66</v>
      </c>
      <c r="G4" s="6" t="s">
        <v>67</v>
      </c>
      <c r="H4" s="6" t="s">
        <v>68</v>
      </c>
      <c r="I4" s="6" t="s">
        <v>69</v>
      </c>
      <c r="J4" s="6" t="s">
        <v>70</v>
      </c>
      <c r="K4" s="6" t="s">
        <v>71</v>
      </c>
      <c r="L4" s="6" t="s">
        <v>72</v>
      </c>
      <c r="M4" s="6" t="s">
        <v>73</v>
      </c>
    </row>
    <row r="5" spans="1:13">
      <c r="A5" s="8" t="s">
        <v>74</v>
      </c>
      <c r="B5" s="8" t="s">
        <v>35</v>
      </c>
      <c r="C5" s="7">
        <v>2026</v>
      </c>
      <c r="D5" s="7">
        <v>11</v>
      </c>
      <c r="E5" s="9">
        <v>3347</v>
      </c>
      <c r="F5" s="9">
        <v>3384</v>
      </c>
      <c r="G5" s="9">
        <v>3363</v>
      </c>
      <c r="H5" s="10">
        <f>IF(N("x")="x",E5-G5)</f>
        <v>-16.0</v>
      </c>
      <c r="I5" s="7">
        <v>382266</v>
      </c>
      <c r="J5" s="7">
        <v>155303</v>
      </c>
      <c r="K5" s="11">
        <f>(C5-YEAR(DATEVALUE("2026-10-20")))*12+(D5-MONTH(DATEVALUE("2026-10-20")))</f>
        <v>1</v>
      </c>
      <c r="L5" s="12"/>
      <c r="M5" s="8" t="s">
        <v>75</v>
      </c>
    </row>
    <row r="6" spans="1:13">
      <c r="A6" s="8" t="s">
        <v>76</v>
      </c>
      <c r="B6" s="8" t="s">
        <v>35</v>
      </c>
      <c r="C6" s="7">
        <v>2026</v>
      </c>
      <c r="D6" s="7">
        <v>12</v>
      </c>
      <c r="E6" s="9">
        <v>3204</v>
      </c>
      <c r="F6" s="9">
        <v>3231</v>
      </c>
      <c r="G6" s="9">
        <v>3248</v>
      </c>
      <c r="H6" s="10">
        <f>IF(N("x")="x",E6-G6)</f>
        <v>-44.0</v>
      </c>
      <c r="I6" s="7">
        <v>455161</v>
      </c>
      <c r="J6" s="7">
        <v>293034</v>
      </c>
      <c r="K6" s="11">
        <f>(C6-YEAR(DATEVALUE("2026-10-20")))*12+(D6-MONTH(DATEVALUE("2026-10-20")))</f>
        <v>2</v>
      </c>
      <c r="L6" s="12"/>
      <c r="M6" s="8" t="s">
        <v>75</v>
      </c>
    </row>
    <row r="7" spans="1:13">
      <c r="A7" s="8" t="s">
        <v>77</v>
      </c>
      <c r="B7" s="8" t="s">
        <v>35</v>
      </c>
      <c r="C7" s="7">
        <v>2027</v>
      </c>
      <c r="D7" s="7">
        <v>1</v>
      </c>
      <c r="E7" s="9">
        <v>3137</v>
      </c>
      <c r="F7" s="9">
        <v>3157</v>
      </c>
      <c r="G7" s="9">
        <v>3179</v>
      </c>
      <c r="H7" s="10">
        <f>IF(N("x")="x",E7-G7)</f>
        <v>-42.0</v>
      </c>
      <c r="I7" s="7">
        <v>2146072</v>
      </c>
      <c r="J7" s="7">
        <v>860774</v>
      </c>
      <c r="K7" s="11">
        <f>(C7-YEAR(DATEVALUE("2026-10-20")))*12+(D7-MONTH(DATEVALUE("2026-10-20")))</f>
        <v>3</v>
      </c>
      <c r="L7" s="13" t="s">
        <v>78</v>
      </c>
      <c r="M7" s="8" t="s">
        <v>75</v>
      </c>
    </row>
    <row r="8" spans="1:13">
      <c r="A8" s="8" t="s">
        <v>79</v>
      </c>
      <c r="B8" s="8" t="s">
        <v>35</v>
      </c>
      <c r="C8" s="7">
        <v>2027</v>
      </c>
      <c r="D8" s="7">
        <v>2</v>
      </c>
      <c r="E8" s="9">
        <v>3080</v>
      </c>
      <c r="F8" s="9">
        <v>3093</v>
      </c>
      <c r="G8" s="9">
        <v>3100</v>
      </c>
      <c r="H8" s="10">
        <f>IF(N("x")="x",E8-G8)</f>
        <v>-20.0</v>
      </c>
      <c r="I8" s="7">
        <v>224848</v>
      </c>
      <c r="J8" s="7">
        <v>134219</v>
      </c>
      <c r="K8" s="11">
        <f>(C8-YEAR(DATEVALUE("2026-10-20")))*12+(D8-MONTH(DATEVALUE("2026-10-20")))</f>
        <v>4</v>
      </c>
      <c r="L8" s="12"/>
      <c r="M8" s="8" t="s">
        <v>75</v>
      </c>
    </row>
    <row r="9" spans="1:13">
      <c r="A9" s="8" t="s">
        <v>80</v>
      </c>
      <c r="B9" s="8" t="s">
        <v>35</v>
      </c>
      <c r="C9" s="7">
        <v>2027</v>
      </c>
      <c r="D9" s="7">
        <v>3</v>
      </c>
      <c r="E9" s="9">
        <v>3028</v>
      </c>
      <c r="F9" s="9">
        <v>3040</v>
      </c>
      <c r="G9" s="9">
        <v>3050</v>
      </c>
      <c r="H9" s="10">
        <f>IF(N("x")="x",E9-G9)</f>
        <v>-22.0</v>
      </c>
      <c r="I9" s="7">
        <v>197246</v>
      </c>
      <c r="J9" s="7">
        <v>229089</v>
      </c>
      <c r="K9" s="11">
        <f>(C9-YEAR(DATEVALUE("2026-10-20")))*12+(D9-MONTH(DATEVALUE("2026-10-20")))</f>
        <v>5</v>
      </c>
      <c r="L9" s="12"/>
      <c r="M9" s="8" t="s">
        <v>75</v>
      </c>
    </row>
    <row r="10" spans="1:13">
      <c r="A10" s="8" t="s">
        <v>81</v>
      </c>
      <c r="B10" s="8" t="s">
        <v>35</v>
      </c>
      <c r="C10" s="7">
        <v>2027</v>
      </c>
      <c r="D10" s="7">
        <v>4</v>
      </c>
      <c r="E10" s="9">
        <v>2976</v>
      </c>
      <c r="F10" s="9">
        <v>2992</v>
      </c>
      <c r="G10" s="9">
        <v>3008</v>
      </c>
      <c r="H10" s="10">
        <f>IF(N("x")="x",E10-G10)</f>
        <v>-32.0</v>
      </c>
      <c r="I10" s="7">
        <v>1813</v>
      </c>
      <c r="J10" s="7">
        <v>2086</v>
      </c>
      <c r="K10" s="11">
        <f>(C10-YEAR(DATEVALUE("2026-10-20")))*12+(D10-MONTH(DATEVALUE("2026-10-20")))</f>
        <v>6</v>
      </c>
      <c r="L10" s="12"/>
      <c r="M10" s="8" t="s">
        <v>75</v>
      </c>
    </row>
    <row r="11" spans="1:13">
      <c r="A11" s="8" t="s">
        <v>82</v>
      </c>
      <c r="B11" s="8" t="s">
        <v>35</v>
      </c>
      <c r="C11" s="7">
        <v>2027</v>
      </c>
      <c r="D11" s="7">
        <v>5</v>
      </c>
      <c r="E11" s="9">
        <v>2931</v>
      </c>
      <c r="F11" s="9">
        <v>2941</v>
      </c>
      <c r="G11" s="9">
        <v>2960</v>
      </c>
      <c r="H11" s="10">
        <f>IF(N("x")="x",E11-G11)</f>
        <v>-29.0</v>
      </c>
      <c r="I11" s="7">
        <v>64668</v>
      </c>
      <c r="J11" s="7">
        <v>149821</v>
      </c>
      <c r="K11" s="11">
        <f>(C11-YEAR(DATEVALUE("2026-10-20")))*12+(D11-MONTH(DATEVALUE("2026-10-20")))</f>
        <v>7</v>
      </c>
      <c r="L11" s="12"/>
      <c r="M11" s="8" t="s">
        <v>75</v>
      </c>
    </row>
    <row r="12" spans="1:13">
      <c r="A12" s="8" t="s">
        <v>83</v>
      </c>
      <c r="B12" s="8" t="s">
        <v>35</v>
      </c>
      <c r="C12" s="7">
        <v>2027</v>
      </c>
      <c r="D12" s="7">
        <v>6</v>
      </c>
      <c r="E12" s="9">
        <v>2907</v>
      </c>
      <c r="F12" s="9">
        <v>2923</v>
      </c>
      <c r="G12" s="9">
        <v>2937</v>
      </c>
      <c r="H12" s="10">
        <f>IF(N("x")="x",E12-G12)</f>
        <v>-30.0</v>
      </c>
      <c r="I12" s="7">
        <v>394</v>
      </c>
      <c r="J12" s="7">
        <v>860</v>
      </c>
      <c r="K12" s="11">
        <f>(C12-YEAR(DATEVALUE("2026-10-20")))*12+(D12-MONTH(DATEVALUE("2026-10-20")))</f>
        <v>8</v>
      </c>
      <c r="L12" s="12"/>
      <c r="M12" s="8" t="s">
        <v>75</v>
      </c>
    </row>
    <row r="13" spans="1:13">
      <c r="A13" s="8" t="s">
        <v>84</v>
      </c>
      <c r="B13" s="8" t="s">
        <v>35</v>
      </c>
      <c r="C13" s="7">
        <v>2027</v>
      </c>
      <c r="D13" s="7">
        <v>7</v>
      </c>
      <c r="E13" s="9">
        <v>2883</v>
      </c>
      <c r="F13" s="9">
        <v>2895</v>
      </c>
      <c r="G13" s="9">
        <v>2907</v>
      </c>
      <c r="H13" s="10">
        <f>IF(N("x")="x",E13-G13)</f>
        <v>-24.0</v>
      </c>
      <c r="I13" s="7">
        <v>375</v>
      </c>
      <c r="J13" s="7">
        <v>1202</v>
      </c>
      <c r="K13" s="11">
        <f>(C13-YEAR(DATEVALUE("2026-10-20")))*12+(D13-MONTH(DATEVALUE("2026-10-20")))</f>
        <v>9</v>
      </c>
      <c r="L13" s="12"/>
      <c r="M13" s="8" t="s">
        <v>75</v>
      </c>
    </row>
    <row r="14" spans="1:13">
      <c r="A14" s="8" t="s">
        <v>85</v>
      </c>
      <c r="B14" s="8" t="s">
        <v>35</v>
      </c>
      <c r="C14" s="7">
        <v>2027</v>
      </c>
      <c r="D14" s="7">
        <v>8</v>
      </c>
      <c r="E14" s="9">
        <v>2863</v>
      </c>
      <c r="F14" s="9">
        <v>2876</v>
      </c>
      <c r="G14" s="9">
        <v>2884</v>
      </c>
      <c r="H14" s="10">
        <f>IF(N("x")="x",E14-G14)</f>
        <v>-21.0</v>
      </c>
      <c r="I14" s="7">
        <v>143</v>
      </c>
      <c r="J14" s="7">
        <v>828</v>
      </c>
      <c r="K14" s="11">
        <f>(C14-YEAR(DATEVALUE("2026-10-20")))*12+(D14-MONTH(DATEVALUE("2026-10-20")))</f>
        <v>10</v>
      </c>
      <c r="L14" s="12"/>
      <c r="M14" s="8" t="s">
        <v>75</v>
      </c>
    </row>
    <row r="15" spans="1:13">
      <c r="A15" s="8" t="s">
        <v>86</v>
      </c>
      <c r="B15" s="8" t="s">
        <v>35</v>
      </c>
      <c r="C15" s="7">
        <v>2027</v>
      </c>
      <c r="D15" s="7">
        <v>9</v>
      </c>
      <c r="E15" s="9">
        <v>2844</v>
      </c>
      <c r="F15" s="9">
        <v>2853</v>
      </c>
      <c r="G15" s="9">
        <v>2861</v>
      </c>
      <c r="H15" s="10">
        <f>IF(N("x")="x",E15-G15)</f>
        <v>-17.0</v>
      </c>
      <c r="I15" s="7">
        <v>1924</v>
      </c>
      <c r="J15" s="7">
        <v>3759</v>
      </c>
      <c r="K15" s="11">
        <f>(C15-YEAR(DATEVALUE("2026-10-20")))*12+(D15-MONTH(DATEVALUE("2026-10-20")))</f>
        <v>11</v>
      </c>
      <c r="L15" s="12"/>
      <c r="M15" s="8" t="s">
        <v>75</v>
      </c>
    </row>
    <row r="16" spans="1:13">
      <c r="A16" s="8" t="s">
        <v>87</v>
      </c>
      <c r="B16" s="8" t="s">
        <v>47</v>
      </c>
      <c r="C16" s="7">
        <v>2026</v>
      </c>
      <c r="D16" s="7">
        <v>10</v>
      </c>
      <c r="E16" s="9">
        <v>10401</v>
      </c>
      <c r="F16" s="9">
        <v>10450</v>
      </c>
      <c r="G16" s="9">
        <v>10436</v>
      </c>
      <c r="H16" s="10">
        <f>IF(N("x")="x",E16-G16)</f>
        <v>-35.0</v>
      </c>
      <c r="I16" s="7">
        <v>71</v>
      </c>
      <c r="J16" s="7">
        <v>5504</v>
      </c>
      <c r="K16" s="11">
        <f>(C16-YEAR(DATEVALUE("2026-10-20")))*12+(D16-MONTH(DATEVALUE("2026-10-20")))</f>
        <v>0</v>
      </c>
      <c r="L16" s="12"/>
      <c r="M16" s="8" t="s">
        <v>88</v>
      </c>
    </row>
    <row r="17" spans="1:13">
      <c r="A17" s="8" t="s">
        <v>89</v>
      </c>
      <c r="B17" s="8" t="s">
        <v>47</v>
      </c>
      <c r="C17" s="7">
        <v>2026</v>
      </c>
      <c r="D17" s="7">
        <v>11</v>
      </c>
      <c r="E17" s="9">
        <v>10144</v>
      </c>
      <c r="F17" s="9">
        <v>10184</v>
      </c>
      <c r="G17" s="9">
        <v>10203</v>
      </c>
      <c r="H17" s="10">
        <f>IF(N("x")="x",E17-G17)</f>
        <v>-59.0</v>
      </c>
      <c r="I17" s="7">
        <v>51316</v>
      </c>
      <c r="J17" s="7">
        <v>99417</v>
      </c>
      <c r="K17" s="11">
        <f>(C17-YEAR(DATEVALUE("2026-10-20")))*12+(D17-MONTH(DATEVALUE("2026-10-20")))</f>
        <v>1</v>
      </c>
      <c r="L17" s="12"/>
      <c r="M17" s="8" t="s">
        <v>88</v>
      </c>
    </row>
    <row r="18" spans="1:13">
      <c r="A18" s="8" t="s">
        <v>90</v>
      </c>
      <c r="B18" s="8" t="s">
        <v>47</v>
      </c>
      <c r="C18" s="7">
        <v>2026</v>
      </c>
      <c r="D18" s="7">
        <v>12</v>
      </c>
      <c r="E18" s="9">
        <v>9685</v>
      </c>
      <c r="F18" s="9">
        <v>9734</v>
      </c>
      <c r="G18" s="9">
        <v>9769</v>
      </c>
      <c r="H18" s="10">
        <f>IF(N("x")="x",E18-G18)</f>
        <v>-84.0</v>
      </c>
      <c r="I18" s="7">
        <v>61771</v>
      </c>
      <c r="J18" s="7">
        <v>133078</v>
      </c>
      <c r="K18" s="11">
        <f>(C18-YEAR(DATEVALUE("2026-10-20")))*12+(D18-MONTH(DATEVALUE("2026-10-20")))</f>
        <v>2</v>
      </c>
      <c r="L18" s="12"/>
      <c r="M18" s="8" t="s">
        <v>88</v>
      </c>
    </row>
    <row r="19" spans="1:13">
      <c r="A19" s="8" t="s">
        <v>91</v>
      </c>
      <c r="B19" s="8" t="s">
        <v>47</v>
      </c>
      <c r="C19" s="7">
        <v>2027</v>
      </c>
      <c r="D19" s="7">
        <v>1</v>
      </c>
      <c r="E19" s="9">
        <v>9331</v>
      </c>
      <c r="F19" s="9">
        <v>9376</v>
      </c>
      <c r="G19" s="9">
        <v>9405</v>
      </c>
      <c r="H19" s="10">
        <f>IF(N("x")="x",E19-G19)</f>
        <v>-74.0</v>
      </c>
      <c r="I19" s="7">
        <v>869012</v>
      </c>
      <c r="J19" s="7">
        <v>672680</v>
      </c>
      <c r="K19" s="11">
        <f>(C19-YEAR(DATEVALUE("2026-10-20")))*12+(D19-MONTH(DATEVALUE("2026-10-20")))</f>
        <v>3</v>
      </c>
      <c r="L19" s="13" t="s">
        <v>78</v>
      </c>
      <c r="M19" s="8" t="s">
        <v>88</v>
      </c>
    </row>
    <row r="20" spans="1:13">
      <c r="A20" s="8" t="s">
        <v>92</v>
      </c>
      <c r="B20" s="8" t="s">
        <v>47</v>
      </c>
      <c r="C20" s="7">
        <v>2027</v>
      </c>
      <c r="D20" s="7">
        <v>2</v>
      </c>
      <c r="E20" s="9">
        <v>9028</v>
      </c>
      <c r="F20" s="9">
        <v>9068</v>
      </c>
      <c r="G20" s="9">
        <v>9088</v>
      </c>
      <c r="H20" s="10">
        <f>IF(N("x")="x",E20-G20)</f>
        <v>-60.0</v>
      </c>
      <c r="I20" s="7">
        <v>7508</v>
      </c>
      <c r="J20" s="7">
        <v>57974</v>
      </c>
      <c r="K20" s="11">
        <f>(C20-YEAR(DATEVALUE("2026-10-20")))*12+(D20-MONTH(DATEVALUE("2026-10-20")))</f>
        <v>4</v>
      </c>
      <c r="L20" s="12"/>
      <c r="M20" s="8" t="s">
        <v>88</v>
      </c>
    </row>
    <row r="21" spans="1:13">
      <c r="A21" s="8" t="s">
        <v>93</v>
      </c>
      <c r="B21" s="8" t="s">
        <v>47</v>
      </c>
      <c r="C21" s="7">
        <v>2027</v>
      </c>
      <c r="D21" s="7">
        <v>3</v>
      </c>
      <c r="E21" s="9">
        <v>8819</v>
      </c>
      <c r="F21" s="9">
        <v>8864</v>
      </c>
      <c r="G21" s="9">
        <v>8880</v>
      </c>
      <c r="H21" s="10">
        <f>IF(N("x")="x",E21-G21)</f>
        <v>-61.0</v>
      </c>
      <c r="I21" s="7">
        <v>3986</v>
      </c>
      <c r="J21" s="7">
        <v>17823</v>
      </c>
      <c r="K21" s="11">
        <f>(C21-YEAR(DATEVALUE("2026-10-20")))*12+(D21-MONTH(DATEVALUE("2026-10-20")))</f>
        <v>5</v>
      </c>
      <c r="L21" s="12"/>
      <c r="M21" s="8" t="s">
        <v>88</v>
      </c>
    </row>
    <row r="22" spans="1:13">
      <c r="A22" s="8" t="s">
        <v>94</v>
      </c>
      <c r="B22" s="8" t="s">
        <v>47</v>
      </c>
      <c r="C22" s="7">
        <v>2027</v>
      </c>
      <c r="D22" s="7">
        <v>4</v>
      </c>
      <c r="E22" s="9">
        <v>8800</v>
      </c>
      <c r="F22" s="9">
        <v>8814</v>
      </c>
      <c r="G22" s="9">
        <v>8854</v>
      </c>
      <c r="H22" s="10">
        <f>IF(N("x")="x",E22-G22)</f>
        <v>-54.0</v>
      </c>
      <c r="I22" s="7">
        <v>297</v>
      </c>
      <c r="J22" s="7">
        <v>560</v>
      </c>
      <c r="K22" s="11">
        <f>(C22-YEAR(DATEVALUE("2026-10-20")))*12+(D22-MONTH(DATEVALUE("2026-10-20")))</f>
        <v>6</v>
      </c>
      <c r="L22" s="12"/>
      <c r="M22" s="8" t="s">
        <v>88</v>
      </c>
    </row>
    <row r="23" spans="1:13">
      <c r="A23" s="8" t="s">
        <v>95</v>
      </c>
      <c r="B23" s="8" t="s">
        <v>47</v>
      </c>
      <c r="C23" s="7">
        <v>2027</v>
      </c>
      <c r="D23" s="7">
        <v>5</v>
      </c>
      <c r="E23" s="9">
        <v>8690</v>
      </c>
      <c r="F23" s="9">
        <v>8695</v>
      </c>
      <c r="G23" s="9">
        <v>8769</v>
      </c>
      <c r="H23" s="10">
        <f>IF(N("x")="x",E23-G23)</f>
        <v>-79.0</v>
      </c>
      <c r="I23" s="7">
        <v>31910</v>
      </c>
      <c r="J23" s="7">
        <v>84791</v>
      </c>
      <c r="K23" s="11">
        <f>(C23-YEAR(DATEVALUE("2026-10-20")))*12+(D23-MONTH(DATEVALUE("2026-10-20")))</f>
        <v>7</v>
      </c>
      <c r="L23" s="12"/>
      <c r="M23" s="8" t="s">
        <v>88</v>
      </c>
    </row>
    <row r="24" spans="1:13">
      <c r="A24" s="8" t="s">
        <v>96</v>
      </c>
      <c r="B24" s="8" t="s">
        <v>47</v>
      </c>
      <c r="C24" s="7">
        <v>2027</v>
      </c>
      <c r="D24" s="7">
        <v>6</v>
      </c>
      <c r="E24" s="9">
        <v>8511</v>
      </c>
      <c r="F24" s="9">
        <v>8586</v>
      </c>
      <c r="G24" s="9">
        <v>8619</v>
      </c>
      <c r="H24" s="10">
        <f>IF(N("x")="x",E24-G24)</f>
        <v>-108.0</v>
      </c>
      <c r="I24" s="7">
        <v>14</v>
      </c>
      <c r="J24" s="7">
        <v>247</v>
      </c>
      <c r="K24" s="11">
        <f>(C24-YEAR(DATEVALUE("2026-10-20")))*12+(D24-MONTH(DATEVALUE("2026-10-20")))</f>
        <v>8</v>
      </c>
      <c r="L24" s="12"/>
      <c r="M24" s="8" t="s">
        <v>88</v>
      </c>
    </row>
    <row r="25" spans="1:13">
      <c r="A25" s="8" t="s">
        <v>97</v>
      </c>
      <c r="B25" s="8" t="s">
        <v>47</v>
      </c>
      <c r="C25" s="7">
        <v>2027</v>
      </c>
      <c r="D25" s="7">
        <v>7</v>
      </c>
      <c r="E25" s="9">
        <v>8456</v>
      </c>
      <c r="F25" s="9">
        <v>8400</v>
      </c>
      <c r="G25" s="9">
        <v>8550</v>
      </c>
      <c r="H25" s="10">
        <f>IF(N("x")="x",E25-G25)</f>
        <v>-94.0</v>
      </c>
      <c r="I25" s="7">
        <v>9</v>
      </c>
      <c r="J25" s="7">
        <v>656</v>
      </c>
      <c r="K25" s="11">
        <f>(C25-YEAR(DATEVALUE("2026-10-20")))*12+(D25-MONTH(DATEVALUE("2026-10-20")))</f>
        <v>9</v>
      </c>
      <c r="L25" s="12"/>
      <c r="M25" s="8" t="s">
        <v>88</v>
      </c>
    </row>
    <row r="26" spans="1:13">
      <c r="A26" s="8" t="s">
        <v>98</v>
      </c>
      <c r="B26" s="8" t="s">
        <v>47</v>
      </c>
      <c r="C26" s="7">
        <v>2027</v>
      </c>
      <c r="D26" s="7">
        <v>8</v>
      </c>
      <c r="E26" s="9">
        <v>8440</v>
      </c>
      <c r="F26" s="9">
        <v>8500</v>
      </c>
      <c r="G26" s="9">
        <v>8478</v>
      </c>
      <c r="H26" s="10">
        <f>IF(N("x")="x",E26-G26)</f>
        <v>-38.0</v>
      </c>
      <c r="I26" s="7">
        <v>26</v>
      </c>
      <c r="J26" s="7">
        <v>399</v>
      </c>
      <c r="K26" s="11">
        <f>(C26-YEAR(DATEVALUE("2026-10-20")))*12+(D26-MONTH(DATEVALUE("2026-10-20")))</f>
        <v>10</v>
      </c>
      <c r="L26" s="12"/>
      <c r="M26" s="8" t="s">
        <v>88</v>
      </c>
    </row>
    <row r="27" spans="1:13">
      <c r="A27" s="8" t="s">
        <v>99</v>
      </c>
      <c r="B27" s="8" t="s">
        <v>47</v>
      </c>
      <c r="C27" s="7">
        <v>2027</v>
      </c>
      <c r="D27" s="7">
        <v>9</v>
      </c>
      <c r="E27" s="9">
        <v>8400</v>
      </c>
      <c r="F27" s="9">
        <v>8384</v>
      </c>
      <c r="G27" s="9">
        <v>8421</v>
      </c>
      <c r="H27" s="10">
        <f>IF(N("x")="x",E27-G27)</f>
        <v>-21.0</v>
      </c>
      <c r="I27" s="7">
        <v>246</v>
      </c>
      <c r="J27" s="7">
        <v>904</v>
      </c>
      <c r="K27" s="11">
        <f>(C27-YEAR(DATEVALUE("2026-10-20")))*12+(D27-MONTH(DATEVALUE("2026-10-20")))</f>
        <v>11</v>
      </c>
      <c r="L27" s="12"/>
      <c r="M27" s="8" t="s">
        <v>88</v>
      </c>
    </row>
    <row r="28" spans="1:13">
      <c r="A28" s="8" t="s">
        <v>100</v>
      </c>
      <c r="B28" s="8" t="s">
        <v>44</v>
      </c>
      <c r="C28" s="7">
        <v>2026</v>
      </c>
      <c r="D28" s="7">
        <v>11</v>
      </c>
      <c r="E28" s="9">
        <v>918</v>
      </c>
      <c r="F28" s="9">
        <v>910</v>
      </c>
      <c r="G28" s="9">
        <v>924</v>
      </c>
      <c r="H28" s="10">
        <f>IF(N("x")="x",E28-G28)</f>
        <v>-6.0</v>
      </c>
      <c r="I28" s="7">
        <v>10663</v>
      </c>
      <c r="J28" s="7">
        <v>36399</v>
      </c>
      <c r="K28" s="11">
        <f>(C28-YEAR(DATEVALUE("2026-10-20")))*12+(D28-MONTH(DATEVALUE("2026-10-20")))</f>
        <v>1</v>
      </c>
      <c r="L28" s="12"/>
      <c r="M28" s="8" t="s">
        <v>75</v>
      </c>
    </row>
    <row r="29" spans="1:13">
      <c r="A29" s="8" t="s">
        <v>101</v>
      </c>
      <c r="B29" s="8" t="s">
        <v>44</v>
      </c>
      <c r="C29" s="7">
        <v>2026</v>
      </c>
      <c r="D29" s="7">
        <v>12</v>
      </c>
      <c r="E29" s="9">
        <v>941</v>
      </c>
      <c r="F29" s="9">
        <v>934</v>
      </c>
      <c r="G29" s="9">
        <v>949</v>
      </c>
      <c r="H29" s="10">
        <f>IF(N("x")="x",E29-G29)</f>
        <v>-8.0</v>
      </c>
      <c r="I29" s="7">
        <v>92520</v>
      </c>
      <c r="J29" s="7">
        <v>142710</v>
      </c>
      <c r="K29" s="11">
        <f>(C29-YEAR(DATEVALUE("2026-10-20")))*12+(D29-MONTH(DATEVALUE("2026-10-20")))</f>
        <v>2</v>
      </c>
      <c r="L29" s="12"/>
      <c r="M29" s="8" t="s">
        <v>75</v>
      </c>
    </row>
    <row r="30" spans="1:13">
      <c r="A30" s="8" t="s">
        <v>102</v>
      </c>
      <c r="B30" s="8" t="s">
        <v>44</v>
      </c>
      <c r="C30" s="7">
        <v>2027</v>
      </c>
      <c r="D30" s="7">
        <v>1</v>
      </c>
      <c r="E30" s="9">
        <v>946</v>
      </c>
      <c r="F30" s="9">
        <v>938</v>
      </c>
      <c r="G30" s="9">
        <v>953</v>
      </c>
      <c r="H30" s="10">
        <f>IF(N("x")="x",E30-G30)</f>
        <v>-7.0</v>
      </c>
      <c r="I30" s="7">
        <v>868888</v>
      </c>
      <c r="J30" s="7">
        <v>1317795</v>
      </c>
      <c r="K30" s="11">
        <f>(C30-YEAR(DATEVALUE("2026-10-20")))*12+(D30-MONTH(DATEVALUE("2026-10-20")))</f>
        <v>3</v>
      </c>
      <c r="L30" s="13" t="s">
        <v>78</v>
      </c>
      <c r="M30" s="8" t="s">
        <v>75</v>
      </c>
    </row>
    <row r="31" spans="1:13">
      <c r="A31" s="8" t="s">
        <v>103</v>
      </c>
      <c r="B31" s="8" t="s">
        <v>44</v>
      </c>
      <c r="C31" s="7">
        <v>2027</v>
      </c>
      <c r="D31" s="7">
        <v>2</v>
      </c>
      <c r="E31" s="9">
        <v>981</v>
      </c>
      <c r="F31" s="9">
        <v>974</v>
      </c>
      <c r="G31" s="9">
        <v>987</v>
      </c>
      <c r="H31" s="10">
        <f>IF(N("x")="x",E31-G31)</f>
        <v>-6.0</v>
      </c>
      <c r="I31" s="7">
        <v>42417</v>
      </c>
      <c r="J31" s="7">
        <v>136429</v>
      </c>
      <c r="K31" s="11">
        <f>(C31-YEAR(DATEVALUE("2026-10-20")))*12+(D31-MONTH(DATEVALUE("2026-10-20")))</f>
        <v>4</v>
      </c>
      <c r="L31" s="12"/>
      <c r="M31" s="8" t="s">
        <v>75</v>
      </c>
    </row>
    <row r="32" spans="1:13">
      <c r="A32" s="8" t="s">
        <v>104</v>
      </c>
      <c r="B32" s="8" t="s">
        <v>44</v>
      </c>
      <c r="C32" s="7">
        <v>2027</v>
      </c>
      <c r="D32" s="7">
        <v>3</v>
      </c>
      <c r="E32" s="9">
        <v>979</v>
      </c>
      <c r="F32" s="9">
        <v>972</v>
      </c>
      <c r="G32" s="9">
        <v>987</v>
      </c>
      <c r="H32" s="10">
        <f>IF(N("x")="x",E32-G32)</f>
        <v>-8.0</v>
      </c>
      <c r="I32" s="7">
        <v>137913</v>
      </c>
      <c r="J32" s="7">
        <v>251446</v>
      </c>
      <c r="K32" s="11">
        <f>(C32-YEAR(DATEVALUE("2026-10-20")))*12+(D32-MONTH(DATEVALUE("2026-10-20")))</f>
        <v>5</v>
      </c>
      <c r="L32" s="12"/>
      <c r="M32" s="8" t="s">
        <v>75</v>
      </c>
    </row>
    <row r="33" spans="1:13">
      <c r="A33" s="8" t="s">
        <v>105</v>
      </c>
      <c r="B33" s="8" t="s">
        <v>44</v>
      </c>
      <c r="C33" s="7">
        <v>2027</v>
      </c>
      <c r="D33" s="7">
        <v>4</v>
      </c>
      <c r="E33" s="9">
        <v>1010</v>
      </c>
      <c r="F33" s="9">
        <v>1001</v>
      </c>
      <c r="G33" s="9">
        <v>1019</v>
      </c>
      <c r="H33" s="10">
        <f>IF(N("x")="x",E33-G33)</f>
        <v>-9.0</v>
      </c>
      <c r="I33" s="7">
        <v>966</v>
      </c>
      <c r="J33" s="7">
        <v>5097</v>
      </c>
      <c r="K33" s="11">
        <f>(C33-YEAR(DATEVALUE("2026-10-20")))*12+(D33-MONTH(DATEVALUE("2026-10-20")))</f>
        <v>6</v>
      </c>
      <c r="L33" s="12"/>
      <c r="M33" s="8" t="s">
        <v>75</v>
      </c>
    </row>
    <row r="34" spans="1:13">
      <c r="A34" s="8" t="s">
        <v>106</v>
      </c>
      <c r="B34" s="8" t="s">
        <v>44</v>
      </c>
      <c r="C34" s="7">
        <v>2027</v>
      </c>
      <c r="D34" s="7">
        <v>5</v>
      </c>
      <c r="E34" s="9">
        <v>1008</v>
      </c>
      <c r="F34" s="9">
        <v>1002</v>
      </c>
      <c r="G34" s="9">
        <v>1017</v>
      </c>
      <c r="H34" s="10">
        <f>IF(N("x")="x",E34-G34)</f>
        <v>-9.0</v>
      </c>
      <c r="I34" s="7">
        <v>29659</v>
      </c>
      <c r="J34" s="7">
        <v>156478</v>
      </c>
      <c r="K34" s="11">
        <f>(C34-YEAR(DATEVALUE("2026-10-20")))*12+(D34-MONTH(DATEVALUE("2026-10-20")))</f>
        <v>7</v>
      </c>
      <c r="L34" s="12"/>
      <c r="M34" s="8" t="s">
        <v>75</v>
      </c>
    </row>
    <row r="35" spans="1:13">
      <c r="A35" s="8" t="s">
        <v>107</v>
      </c>
      <c r="B35" s="8" t="s">
        <v>44</v>
      </c>
      <c r="C35" s="7">
        <v>2027</v>
      </c>
      <c r="D35" s="7">
        <v>6</v>
      </c>
      <c r="E35" s="9">
        <v>1033</v>
      </c>
      <c r="F35" s="9">
        <v>1026</v>
      </c>
      <c r="G35" s="9">
        <v>1042</v>
      </c>
      <c r="H35" s="10">
        <f>IF(N("x")="x",E35-G35)</f>
        <v>-9.0</v>
      </c>
      <c r="I35" s="7">
        <v>294</v>
      </c>
      <c r="J35" s="7">
        <v>3769</v>
      </c>
      <c r="K35" s="11">
        <f>(C35-YEAR(DATEVALUE("2026-10-20")))*12+(D35-MONTH(DATEVALUE("2026-10-20")))</f>
        <v>8</v>
      </c>
      <c r="L35" s="12"/>
      <c r="M35" s="8" t="s">
        <v>75</v>
      </c>
    </row>
    <row r="36" spans="1:13">
      <c r="A36" s="8" t="s">
        <v>108</v>
      </c>
      <c r="B36" s="8" t="s">
        <v>44</v>
      </c>
      <c r="C36" s="7">
        <v>2027</v>
      </c>
      <c r="D36" s="7">
        <v>7</v>
      </c>
      <c r="E36" s="9">
        <v>1031</v>
      </c>
      <c r="F36" s="9">
        <v>1025</v>
      </c>
      <c r="G36" s="9">
        <v>1043</v>
      </c>
      <c r="H36" s="10">
        <f>IF(N("x")="x",E36-G36)</f>
        <v>-12.0</v>
      </c>
      <c r="I36" s="7">
        <v>627</v>
      </c>
      <c r="J36" s="7">
        <v>8887</v>
      </c>
      <c r="K36" s="11">
        <f>(C36-YEAR(DATEVALUE("2026-10-20")))*12+(D36-MONTH(DATEVALUE("2026-10-20")))</f>
        <v>9</v>
      </c>
      <c r="L36" s="12"/>
      <c r="M36" s="8" t="s">
        <v>75</v>
      </c>
    </row>
    <row r="37" spans="1:13">
      <c r="A37" s="8" t="s">
        <v>109</v>
      </c>
      <c r="B37" s="8" t="s">
        <v>44</v>
      </c>
      <c r="C37" s="7">
        <v>2027</v>
      </c>
      <c r="D37" s="7">
        <v>8</v>
      </c>
      <c r="E37" s="9">
        <v>1061</v>
      </c>
      <c r="F37" s="9">
        <v>1053</v>
      </c>
      <c r="G37" s="9">
        <v>1068</v>
      </c>
      <c r="H37" s="10">
        <f>IF(N("x")="x",E37-G37)</f>
        <v>-7.0</v>
      </c>
      <c r="I37" s="7">
        <v>282</v>
      </c>
      <c r="J37" s="7">
        <v>2201</v>
      </c>
      <c r="K37" s="11">
        <f>(C37-YEAR(DATEVALUE("2026-10-20")))*12+(D37-MONTH(DATEVALUE("2026-10-20")))</f>
        <v>10</v>
      </c>
      <c r="L37" s="12"/>
      <c r="M37" s="8" t="s">
        <v>75</v>
      </c>
    </row>
    <row r="38" spans="1:13">
      <c r="A38" s="8" t="s">
        <v>110</v>
      </c>
      <c r="B38" s="8" t="s">
        <v>44</v>
      </c>
      <c r="C38" s="7">
        <v>2027</v>
      </c>
      <c r="D38" s="7">
        <v>9</v>
      </c>
      <c r="E38" s="9">
        <v>1060</v>
      </c>
      <c r="F38" s="9">
        <v>1054</v>
      </c>
      <c r="G38" s="9">
        <v>1068</v>
      </c>
      <c r="H38" s="10">
        <f>IF(N("x")="x",E38-G38)</f>
        <v>-8.0</v>
      </c>
      <c r="I38" s="7">
        <v>1529</v>
      </c>
      <c r="J38" s="7">
        <v>5714</v>
      </c>
      <c r="K38" s="11">
        <f>(C38-YEAR(DATEVALUE("2026-10-20")))*12+(D38-MONTH(DATEVALUE("2026-10-20")))</f>
        <v>11</v>
      </c>
      <c r="L38" s="12"/>
      <c r="M38" s="8" t="s">
        <v>75</v>
      </c>
    </row>
    <row r="39" spans="1:13">
      <c r="A39" s="8" t="s">
        <v>111</v>
      </c>
      <c r="B39" s="8" t="s">
        <v>54</v>
      </c>
      <c r="C39" s="7">
        <v>2026</v>
      </c>
      <c r="D39" s="7">
        <v>10</v>
      </c>
      <c r="E39" s="9">
        <v>6928</v>
      </c>
      <c r="F39" s="9">
        <v>6994</v>
      </c>
      <c r="G39" s="9">
        <v>6820</v>
      </c>
      <c r="H39" s="10">
        <f>IF(N("x")="x",E39-G39)</f>
        <v>108.0</v>
      </c>
      <c r="I39" s="7">
        <v>869</v>
      </c>
      <c r="J39" s="7">
        <v>33756</v>
      </c>
      <c r="K39" s="11">
        <f>(C39-YEAR(DATEVALUE("2026-10-20")))*12+(D39-MONTH(DATEVALUE("2026-10-20")))</f>
        <v>0</v>
      </c>
      <c r="L39" s="12"/>
      <c r="M39" s="8" t="s">
        <v>75</v>
      </c>
    </row>
    <row r="40" spans="1:13">
      <c r="A40" s="8" t="s">
        <v>112</v>
      </c>
      <c r="B40" s="8" t="s">
        <v>54</v>
      </c>
      <c r="C40" s="7">
        <v>2026</v>
      </c>
      <c r="D40" s="7">
        <v>11</v>
      </c>
      <c r="E40" s="9">
        <v>6696</v>
      </c>
      <c r="F40" s="9">
        <v>6758</v>
      </c>
      <c r="G40" s="9">
        <v>6712</v>
      </c>
      <c r="H40" s="10">
        <f>IF(N("x")="x",E40-G40)</f>
        <v>-16.0</v>
      </c>
      <c r="I40" s="7">
        <v>81306</v>
      </c>
      <c r="J40" s="7">
        <v>147051</v>
      </c>
      <c r="K40" s="11">
        <f>(C40-YEAR(DATEVALUE("2026-10-20")))*12+(D40-MONTH(DATEVALUE("2026-10-20")))</f>
        <v>1</v>
      </c>
      <c r="L40" s="12"/>
      <c r="M40" s="8" t="s">
        <v>75</v>
      </c>
    </row>
    <row r="41" spans="1:13">
      <c r="A41" s="8" t="s">
        <v>113</v>
      </c>
      <c r="B41" s="8" t="s">
        <v>54</v>
      </c>
      <c r="C41" s="7">
        <v>2026</v>
      </c>
      <c r="D41" s="7">
        <v>12</v>
      </c>
      <c r="E41" s="9">
        <v>6604</v>
      </c>
      <c r="F41" s="9">
        <v>6644</v>
      </c>
      <c r="G41" s="9">
        <v>6614</v>
      </c>
      <c r="H41" s="10">
        <f>IF(N("x")="x",E41-G41)</f>
        <v>-10.0</v>
      </c>
      <c r="I41" s="7">
        <v>170689</v>
      </c>
      <c r="J41" s="7">
        <v>220816</v>
      </c>
      <c r="K41" s="11">
        <f>(C41-YEAR(DATEVALUE("2026-10-20")))*12+(D41-MONTH(DATEVALUE("2026-10-20")))</f>
        <v>2</v>
      </c>
      <c r="L41" s="12"/>
      <c r="M41" s="8" t="s">
        <v>75</v>
      </c>
    </row>
    <row r="42" spans="1:13">
      <c r="A42" s="8" t="s">
        <v>114</v>
      </c>
      <c r="B42" s="8" t="s">
        <v>54</v>
      </c>
      <c r="C42" s="7">
        <v>2027</v>
      </c>
      <c r="D42" s="7">
        <v>1</v>
      </c>
      <c r="E42" s="9">
        <v>6450</v>
      </c>
      <c r="F42" s="9">
        <v>6488</v>
      </c>
      <c r="G42" s="9">
        <v>6480</v>
      </c>
      <c r="H42" s="10">
        <f>IF(N("x")="x",E42-G42)</f>
        <v>-30.0</v>
      </c>
      <c r="I42" s="7">
        <v>888377</v>
      </c>
      <c r="J42" s="7">
        <v>1102618</v>
      </c>
      <c r="K42" s="11">
        <f>(C42-YEAR(DATEVALUE("2026-10-20")))*12+(D42-MONTH(DATEVALUE("2026-10-20")))</f>
        <v>3</v>
      </c>
      <c r="L42" s="13" t="s">
        <v>78</v>
      </c>
      <c r="M42" s="8" t="s">
        <v>75</v>
      </c>
    </row>
    <row r="43" spans="1:13">
      <c r="A43" s="8" t="s">
        <v>115</v>
      </c>
      <c r="B43" s="8" t="s">
        <v>54</v>
      </c>
      <c r="C43" s="7">
        <v>2027</v>
      </c>
      <c r="D43" s="7">
        <v>2</v>
      </c>
      <c r="E43" s="9">
        <v>6332</v>
      </c>
      <c r="F43" s="9">
        <v>6372</v>
      </c>
      <c r="G43" s="9">
        <v>6372</v>
      </c>
      <c r="H43" s="10">
        <f>IF(N("x")="x",E43-G43)</f>
        <v>-40.0</v>
      </c>
      <c r="I43" s="7">
        <v>82991</v>
      </c>
      <c r="J43" s="7">
        <v>115699</v>
      </c>
      <c r="K43" s="11">
        <f>(C43-YEAR(DATEVALUE("2026-10-20")))*12+(D43-MONTH(DATEVALUE("2026-10-20")))</f>
        <v>4</v>
      </c>
      <c r="L43" s="12"/>
      <c r="M43" s="8" t="s">
        <v>75</v>
      </c>
    </row>
    <row r="44" spans="1:13">
      <c r="A44" s="8" t="s">
        <v>116</v>
      </c>
      <c r="B44" s="8" t="s">
        <v>54</v>
      </c>
      <c r="C44" s="7">
        <v>2027</v>
      </c>
      <c r="D44" s="7">
        <v>3</v>
      </c>
      <c r="E44" s="9">
        <v>6248</v>
      </c>
      <c r="F44" s="9">
        <v>6290</v>
      </c>
      <c r="G44" s="9">
        <v>6308</v>
      </c>
      <c r="H44" s="10">
        <f>IF(N("x")="x",E44-G44)</f>
        <v>-60.0</v>
      </c>
      <c r="I44" s="7">
        <v>79909</v>
      </c>
      <c r="J44" s="7">
        <v>269507</v>
      </c>
      <c r="K44" s="11">
        <f>(C44-YEAR(DATEVALUE("2026-10-20")))*12+(D44-MONTH(DATEVALUE("2026-10-20")))</f>
        <v>5</v>
      </c>
      <c r="L44" s="12"/>
      <c r="M44" s="8" t="s">
        <v>75</v>
      </c>
    </row>
    <row r="45" spans="1:13">
      <c r="A45" s="8" t="s">
        <v>117</v>
      </c>
      <c r="B45" s="8" t="s">
        <v>54</v>
      </c>
      <c r="C45" s="7">
        <v>2027</v>
      </c>
      <c r="D45" s="7">
        <v>4</v>
      </c>
      <c r="E45" s="9">
        <v>6192</v>
      </c>
      <c r="F45" s="9">
        <v>6230</v>
      </c>
      <c r="G45" s="9">
        <v>6280</v>
      </c>
      <c r="H45" s="10">
        <f>IF(N("x")="x",E45-G45)</f>
        <v>-88.0</v>
      </c>
      <c r="I45" s="7">
        <v>48</v>
      </c>
      <c r="J45" s="7">
        <v>402</v>
      </c>
      <c r="K45" s="11">
        <f>(C45-YEAR(DATEVALUE("2026-10-20")))*12+(D45-MONTH(DATEVALUE("2026-10-20")))</f>
        <v>6</v>
      </c>
      <c r="L45" s="12"/>
      <c r="M45" s="8" t="s">
        <v>75</v>
      </c>
    </row>
    <row r="46" spans="1:13">
      <c r="A46" s="8" t="s">
        <v>118</v>
      </c>
      <c r="B46" s="8" t="s">
        <v>54</v>
      </c>
      <c r="C46" s="7">
        <v>2027</v>
      </c>
      <c r="D46" s="7">
        <v>5</v>
      </c>
      <c r="E46" s="9">
        <v>6146</v>
      </c>
      <c r="F46" s="9">
        <v>6170</v>
      </c>
      <c r="G46" s="9">
        <v>6196</v>
      </c>
      <c r="H46" s="10">
        <f>IF(N("x")="x",E46-G46)</f>
        <v>-50.0</v>
      </c>
      <c r="I46" s="7">
        <v>32143</v>
      </c>
      <c r="J46" s="7">
        <v>121879</v>
      </c>
      <c r="K46" s="11">
        <f>(C46-YEAR(DATEVALUE("2026-10-20")))*12+(D46-MONTH(DATEVALUE("2026-10-20")))</f>
        <v>7</v>
      </c>
      <c r="L46" s="12"/>
      <c r="M46" s="8" t="s">
        <v>75</v>
      </c>
    </row>
    <row r="47" spans="1:13">
      <c r="A47" s="8" t="s">
        <v>119</v>
      </c>
      <c r="B47" s="8" t="s">
        <v>54</v>
      </c>
      <c r="C47" s="7">
        <v>2027</v>
      </c>
      <c r="D47" s="7">
        <v>6</v>
      </c>
      <c r="E47" s="9">
        <v>6094</v>
      </c>
      <c r="F47" s="9">
        <v>6114</v>
      </c>
      <c r="G47" s="9">
        <v>6150</v>
      </c>
      <c r="H47" s="10">
        <f>IF(N("x")="x",E47-G47)</f>
        <v>-56.0</v>
      </c>
      <c r="I47" s="7">
        <v>5</v>
      </c>
      <c r="J47" s="7">
        <v>526</v>
      </c>
      <c r="K47" s="11">
        <f>(C47-YEAR(DATEVALUE("2026-10-20")))*12+(D47-MONTH(DATEVALUE("2026-10-20")))</f>
        <v>8</v>
      </c>
      <c r="L47" s="12"/>
      <c r="M47" s="8" t="s">
        <v>75</v>
      </c>
    </row>
    <row r="48" spans="1:13">
      <c r="A48" s="8" t="s">
        <v>120</v>
      </c>
      <c r="B48" s="8" t="s">
        <v>54</v>
      </c>
      <c r="C48" s="7">
        <v>2027</v>
      </c>
      <c r="D48" s="7">
        <v>7</v>
      </c>
      <c r="E48" s="9">
        <v>6040</v>
      </c>
      <c r="F48" s="9">
        <v>6092</v>
      </c>
      <c r="G48" s="9">
        <v>6080</v>
      </c>
      <c r="H48" s="10">
        <f>IF(N("x")="x",E48-G48)</f>
        <v>-40.0</v>
      </c>
      <c r="I48" s="7">
        <v>4</v>
      </c>
      <c r="J48" s="7">
        <v>60</v>
      </c>
      <c r="K48" s="11">
        <f>(C48-YEAR(DATEVALUE("2026-10-20")))*12+(D48-MONTH(DATEVALUE("2026-10-20")))</f>
        <v>9</v>
      </c>
      <c r="L48" s="12"/>
      <c r="M48" s="8" t="s">
        <v>75</v>
      </c>
    </row>
    <row r="49" spans="1:13">
      <c r="A49" s="8" t="s">
        <v>121</v>
      </c>
      <c r="B49" s="8" t="s">
        <v>54</v>
      </c>
      <c r="C49" s="7">
        <v>2027</v>
      </c>
      <c r="D49" s="7">
        <v>8</v>
      </c>
      <c r="E49" s="9">
        <v>5978</v>
      </c>
      <c r="F49" s="9">
        <v>5998</v>
      </c>
      <c r="G49" s="9">
        <v>6018</v>
      </c>
      <c r="H49" s="10">
        <f>IF(N("x")="x",E49-G49)</f>
        <v>-40.0</v>
      </c>
      <c r="I49" s="7">
        <v>17</v>
      </c>
      <c r="J49" s="7">
        <v>116</v>
      </c>
      <c r="K49" s="11">
        <f>(C49-YEAR(DATEVALUE("2026-10-20")))*12+(D49-MONTH(DATEVALUE("2026-10-20")))</f>
        <v>10</v>
      </c>
      <c r="L49" s="12"/>
      <c r="M49" s="8" t="s">
        <v>75</v>
      </c>
    </row>
    <row r="50" spans="1:13">
      <c r="A50" s="8" t="s">
        <v>122</v>
      </c>
      <c r="B50" s="8" t="s">
        <v>54</v>
      </c>
      <c r="C50" s="7">
        <v>2027</v>
      </c>
      <c r="D50" s="7">
        <v>9</v>
      </c>
      <c r="E50" s="9">
        <v>5942</v>
      </c>
      <c r="F50" s="9">
        <v>5970</v>
      </c>
      <c r="G50" s="9">
        <v>5998</v>
      </c>
      <c r="H50" s="10">
        <f>IF(N("x")="x",E50-G50)</f>
        <v>-56.0</v>
      </c>
      <c r="I50" s="7">
        <v>257</v>
      </c>
      <c r="J50" s="7">
        <v>1054</v>
      </c>
      <c r="K50" s="11">
        <f>(C50-YEAR(DATEVALUE("2026-10-20")))*12+(D50-MONTH(DATEVALUE("2026-10-20")))</f>
        <v>11</v>
      </c>
      <c r="L50" s="12"/>
      <c r="M50" s="8" t="s">
        <v>75</v>
      </c>
    </row>
    <row r="52" spans="1:13">
      <c r="A52" s="5" t="s">
        <v>123</v>
      </c>
      <c r="B52" s="8" t="s">
        <v>124</v>
      </c>
      <c r="C52" s="11">
        <f>COUNTA(A5:A50)</f>
        <v>46</v>
      </c>
      <c r="D52" s="8" t="s">
        <v>125</v>
      </c>
      <c r="E52" s="11">
        <f>COUNTIF(L5:L50,"YES")</f>
        <v>4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12.7109375" customWidth="1"/>
    <col min="5" max="7" width="14.7109375" customWidth="1"/>
    <col min="8" max="9" width="16.7109375" customWidth="1"/>
    <col min="10" max="10" width="30.7109375" customWidth="1"/>
  </cols>
  <sheetData>
    <row r="1" spans="1:10" ht="24" customHeight="1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128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6" t="s">
        <v>62</v>
      </c>
      <c r="B5" s="6" t="s">
        <v>64</v>
      </c>
      <c r="C5" s="6" t="s">
        <v>65</v>
      </c>
      <c r="D5" s="6" t="s">
        <v>66</v>
      </c>
      <c r="E5" s="6" t="s">
        <v>70</v>
      </c>
      <c r="F5" s="6" t="s">
        <v>71</v>
      </c>
      <c r="G5" s="6" t="s">
        <v>129</v>
      </c>
      <c r="H5" s="6" t="s">
        <v>130</v>
      </c>
      <c r="I5" s="6" t="s">
        <v>131</v>
      </c>
      <c r="J5" s="6" t="s">
        <v>132</v>
      </c>
    </row>
    <row r="6" spans="1:10">
      <c r="A6" s="8" t="s">
        <v>74</v>
      </c>
      <c r="B6" s="8" t="s">
        <v>133</v>
      </c>
      <c r="C6" s="9">
        <v>3347</v>
      </c>
      <c r="D6" s="9">
        <v>3384</v>
      </c>
      <c r="E6" s="7">
        <v>155303</v>
      </c>
      <c r="F6" s="7">
        <v>1</v>
      </c>
      <c r="G6" s="12"/>
      <c r="H6" s="12"/>
      <c r="I6" s="10">
        <f>C6-C6</f>
        <v>0</v>
      </c>
    </row>
    <row r="7" spans="1:10">
      <c r="A7" s="8" t="s">
        <v>76</v>
      </c>
      <c r="B7" s="8" t="s">
        <v>134</v>
      </c>
      <c r="C7" s="9">
        <v>3204</v>
      </c>
      <c r="D7" s="9">
        <v>3231</v>
      </c>
      <c r="E7" s="7">
        <v>293034</v>
      </c>
      <c r="F7" s="7">
        <v>2</v>
      </c>
      <c r="G7" s="10">
        <f>C7-C6</f>
        <v>-143.0</v>
      </c>
      <c r="H7" s="10">
        <f>IF(C6=0,"",F7)</f>
        <v>-143.0</v>
      </c>
      <c r="I7" s="10">
        <f>C7-$C$6</f>
        <v>-143.0</v>
      </c>
    </row>
    <row r="8" spans="1:10">
      <c r="A8" s="8" t="s">
        <v>77</v>
      </c>
      <c r="B8" s="8" t="s">
        <v>135</v>
      </c>
      <c r="C8" s="9">
        <v>3137</v>
      </c>
      <c r="D8" s="9">
        <v>3157</v>
      </c>
      <c r="E8" s="7">
        <v>860774</v>
      </c>
      <c r="F8" s="7">
        <v>3</v>
      </c>
      <c r="G8" s="10">
        <f>C8-C7</f>
        <v>-67.0</v>
      </c>
      <c r="H8" s="10">
        <f>IF(C7=0,"",F8)</f>
        <v>-67.0</v>
      </c>
      <c r="I8" s="10">
        <f>C8-$C$6</f>
        <v>-210.0</v>
      </c>
      <c r="J8" s="13" t="s">
        <v>136</v>
      </c>
    </row>
    <row r="9" spans="1:10">
      <c r="A9" s="8" t="s">
        <v>79</v>
      </c>
      <c r="B9" s="8" t="s">
        <v>137</v>
      </c>
      <c r="C9" s="9">
        <v>3080</v>
      </c>
      <c r="D9" s="9">
        <v>3093</v>
      </c>
      <c r="E9" s="7">
        <v>134219</v>
      </c>
      <c r="F9" s="7">
        <v>4</v>
      </c>
      <c r="G9" s="10">
        <f>C9-C8</f>
        <v>-57.0</v>
      </c>
      <c r="H9" s="10">
        <f>IF(C8=0,"",F9)</f>
        <v>-57.0</v>
      </c>
      <c r="I9" s="10">
        <f>C9-$C$6</f>
        <v>-267.0</v>
      </c>
    </row>
    <row r="10" spans="1:10">
      <c r="A10" s="8" t="s">
        <v>80</v>
      </c>
      <c r="B10" s="8" t="s">
        <v>138</v>
      </c>
      <c r="C10" s="9">
        <v>3028</v>
      </c>
      <c r="D10" s="9">
        <v>3040</v>
      </c>
      <c r="E10" s="7">
        <v>229089</v>
      </c>
      <c r="F10" s="7">
        <v>5</v>
      </c>
      <c r="G10" s="10">
        <f>C10-C9</f>
        <v>-52.0</v>
      </c>
      <c r="H10" s="10">
        <f>IF(C9=0,"",F10)</f>
        <v>-52.0</v>
      </c>
      <c r="I10" s="10">
        <f>C10-$C$6</f>
        <v>-319.0</v>
      </c>
    </row>
    <row r="11" spans="1:10">
      <c r="A11" s="8" t="s">
        <v>81</v>
      </c>
      <c r="B11" s="8" t="s">
        <v>139</v>
      </c>
      <c r="C11" s="9">
        <v>2976</v>
      </c>
      <c r="D11" s="9">
        <v>2992</v>
      </c>
      <c r="E11" s="7">
        <v>2086</v>
      </c>
      <c r="F11" s="7">
        <v>6</v>
      </c>
      <c r="G11" s="10">
        <f>C11-C10</f>
        <v>-52.0</v>
      </c>
      <c r="H11" s="10">
        <f>IF(C10=0,"",F11)</f>
        <v>-52.0</v>
      </c>
      <c r="I11" s="10">
        <f>C11-$C$6</f>
        <v>-371.0</v>
      </c>
    </row>
    <row r="12" spans="1:10">
      <c r="A12" s="8" t="s">
        <v>82</v>
      </c>
      <c r="B12" s="8" t="s">
        <v>140</v>
      </c>
      <c r="C12" s="9">
        <v>2931</v>
      </c>
      <c r="D12" s="9">
        <v>2941</v>
      </c>
      <c r="E12" s="7">
        <v>149821</v>
      </c>
      <c r="F12" s="7">
        <v>7</v>
      </c>
      <c r="G12" s="10">
        <f>C12-C11</f>
        <v>-45.0</v>
      </c>
      <c r="H12" s="10">
        <f>IF(C11=0,"",F12)</f>
        <v>-45.0</v>
      </c>
      <c r="I12" s="10">
        <f>C12-$C$6</f>
        <v>-416.0</v>
      </c>
    </row>
    <row r="13" spans="1:10">
      <c r="A13" s="8" t="s">
        <v>83</v>
      </c>
      <c r="B13" s="8" t="s">
        <v>141</v>
      </c>
      <c r="C13" s="9">
        <v>2907</v>
      </c>
      <c r="D13" s="9">
        <v>2923</v>
      </c>
      <c r="E13" s="7">
        <v>860</v>
      </c>
      <c r="F13" s="7">
        <v>8</v>
      </c>
      <c r="G13" s="10">
        <f>C13-C12</f>
        <v>-24.0</v>
      </c>
      <c r="H13" s="10">
        <f>IF(C12=0,"",F13)</f>
        <v>-24.0</v>
      </c>
      <c r="I13" s="10">
        <f>C13-$C$6</f>
        <v>-440.0</v>
      </c>
    </row>
    <row r="14" spans="1:10">
      <c r="A14" s="8" t="s">
        <v>84</v>
      </c>
      <c r="B14" s="8" t="s">
        <v>142</v>
      </c>
      <c r="C14" s="9">
        <v>2883</v>
      </c>
      <c r="D14" s="9">
        <v>2895</v>
      </c>
      <c r="E14" s="7">
        <v>1202</v>
      </c>
      <c r="F14" s="7">
        <v>9</v>
      </c>
      <c r="G14" s="10">
        <f>C14-C13</f>
        <v>-24.0</v>
      </c>
      <c r="H14" s="10">
        <f>IF(C13=0,"",F14)</f>
        <v>-24.0</v>
      </c>
      <c r="I14" s="10">
        <f>C14-$C$6</f>
        <v>-464.0</v>
      </c>
    </row>
    <row r="15" spans="1:10">
      <c r="A15" s="8" t="s">
        <v>85</v>
      </c>
      <c r="B15" s="8" t="s">
        <v>143</v>
      </c>
      <c r="C15" s="9">
        <v>2863</v>
      </c>
      <c r="D15" s="9">
        <v>2876</v>
      </c>
      <c r="E15" s="7">
        <v>828</v>
      </c>
      <c r="F15" s="7">
        <v>10</v>
      </c>
      <c r="G15" s="10">
        <f>C15-C14</f>
        <v>-20.0</v>
      </c>
      <c r="H15" s="10">
        <f>IF(C14=0,"",F15)</f>
        <v>-20.0</v>
      </c>
      <c r="I15" s="10">
        <f>C15-$C$6</f>
        <v>-484.0</v>
      </c>
    </row>
    <row r="16" spans="1:10">
      <c r="A16" s="8" t="s">
        <v>86</v>
      </c>
      <c r="B16" s="8" t="s">
        <v>144</v>
      </c>
      <c r="C16" s="9">
        <v>2844</v>
      </c>
      <c r="D16" s="9">
        <v>2853</v>
      </c>
      <c r="E16" s="7">
        <v>3759</v>
      </c>
      <c r="F16" s="7">
        <v>11</v>
      </c>
      <c r="G16" s="10">
        <f>C16-C15</f>
        <v>-19.0</v>
      </c>
      <c r="H16" s="10">
        <f>IF(C15=0,"",F16)</f>
        <v>-19.0</v>
      </c>
      <c r="I16" s="10">
        <f>C16-$C$6</f>
        <v>-503.0</v>
      </c>
    </row>
    <row r="17" spans="1:10">
      <c r="A17" s="8" t="s">
        <v>145</v>
      </c>
      <c r="B17" s="11">
        <f>SLOPE(C6:C16,F6:F16)</f>
        <v>-46.22</v>
      </c>
      <c r="C17" s="8" t="s">
        <v>146</v>
      </c>
      <c r="D17" s="8" t="s">
        <v>147</v>
      </c>
    </row>
    <row r="20" spans="1:10">
      <c r="A20" s="3" t="s">
        <v>148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6" t="s">
        <v>62</v>
      </c>
      <c r="B21" s="6" t="s">
        <v>64</v>
      </c>
      <c r="C21" s="6" t="s">
        <v>65</v>
      </c>
      <c r="D21" s="6" t="s">
        <v>66</v>
      </c>
      <c r="E21" s="6" t="s">
        <v>70</v>
      </c>
      <c r="F21" s="6" t="s">
        <v>71</v>
      </c>
      <c r="G21" s="6" t="s">
        <v>129</v>
      </c>
      <c r="H21" s="6" t="s">
        <v>130</v>
      </c>
      <c r="I21" s="6" t="s">
        <v>131</v>
      </c>
      <c r="J21" s="6" t="s">
        <v>132</v>
      </c>
    </row>
    <row r="22" spans="1:10">
      <c r="A22" s="8" t="s">
        <v>100</v>
      </c>
      <c r="B22" s="8" t="s">
        <v>133</v>
      </c>
      <c r="C22" s="9">
        <v>918</v>
      </c>
      <c r="D22" s="9">
        <v>910</v>
      </c>
      <c r="E22" s="7">
        <v>36399</v>
      </c>
      <c r="F22" s="7">
        <v>1</v>
      </c>
      <c r="G22" s="12"/>
      <c r="H22" s="12"/>
      <c r="I22" s="10">
        <f>C22-C22</f>
        <v>0</v>
      </c>
    </row>
    <row r="23" spans="1:10">
      <c r="A23" s="8" t="s">
        <v>101</v>
      </c>
      <c r="B23" s="8" t="s">
        <v>134</v>
      </c>
      <c r="C23" s="9">
        <v>941</v>
      </c>
      <c r="D23" s="9">
        <v>934</v>
      </c>
      <c r="E23" s="7">
        <v>142710</v>
      </c>
      <c r="F23" s="7">
        <v>2</v>
      </c>
      <c r="G23" s="10">
        <f>C23-C22</f>
        <v>23.0</v>
      </c>
      <c r="H23" s="10">
        <f>IF(C22=0,"",F23)</f>
        <v>23.0</v>
      </c>
      <c r="I23" s="10">
        <f>C23-$C$22</f>
        <v>23.0</v>
      </c>
    </row>
    <row r="24" spans="1:10">
      <c r="A24" s="8" t="s">
        <v>102</v>
      </c>
      <c r="B24" s="8" t="s">
        <v>135</v>
      </c>
      <c r="C24" s="9">
        <v>946</v>
      </c>
      <c r="D24" s="9">
        <v>938</v>
      </c>
      <c r="E24" s="7">
        <v>1317795</v>
      </c>
      <c r="F24" s="7">
        <v>3</v>
      </c>
      <c r="G24" s="10">
        <f>C24-C23</f>
        <v>5.0</v>
      </c>
      <c r="H24" s="10">
        <f>IF(C23=0,"",F24)</f>
        <v>5.0</v>
      </c>
      <c r="I24" s="10">
        <f>C24-$C$22</f>
        <v>28.0</v>
      </c>
      <c r="J24" s="13" t="s">
        <v>136</v>
      </c>
    </row>
    <row r="25" spans="1:10">
      <c r="A25" s="8" t="s">
        <v>103</v>
      </c>
      <c r="B25" s="8" t="s">
        <v>137</v>
      </c>
      <c r="C25" s="9">
        <v>981</v>
      </c>
      <c r="D25" s="9">
        <v>974</v>
      </c>
      <c r="E25" s="7">
        <v>136429</v>
      </c>
      <c r="F25" s="7">
        <v>4</v>
      </c>
      <c r="G25" s="10">
        <f>C25-C24</f>
        <v>35.0</v>
      </c>
      <c r="H25" s="10">
        <f>IF(C24=0,"",F25)</f>
        <v>35.0</v>
      </c>
      <c r="I25" s="10">
        <f>C25-$C$22</f>
        <v>63.0</v>
      </c>
    </row>
    <row r="26" spans="1:10">
      <c r="A26" s="8" t="s">
        <v>104</v>
      </c>
      <c r="B26" s="8" t="s">
        <v>138</v>
      </c>
      <c r="C26" s="9">
        <v>979</v>
      </c>
      <c r="D26" s="9">
        <v>972</v>
      </c>
      <c r="E26" s="7">
        <v>251446</v>
      </c>
      <c r="F26" s="7">
        <v>5</v>
      </c>
      <c r="G26" s="10">
        <f>C26-C25</f>
        <v>-2.0</v>
      </c>
      <c r="H26" s="10">
        <f>IF(C25=0,"",F26)</f>
        <v>-2.0</v>
      </c>
      <c r="I26" s="10">
        <f>C26-$C$22</f>
        <v>61.0</v>
      </c>
    </row>
    <row r="27" spans="1:10">
      <c r="A27" s="8" t="s">
        <v>105</v>
      </c>
      <c r="B27" s="8" t="s">
        <v>139</v>
      </c>
      <c r="C27" s="9">
        <v>1010</v>
      </c>
      <c r="D27" s="9">
        <v>1001</v>
      </c>
      <c r="E27" s="7">
        <v>5097</v>
      </c>
      <c r="F27" s="7">
        <v>6</v>
      </c>
      <c r="G27" s="10">
        <f>C27-C26</f>
        <v>31.0</v>
      </c>
      <c r="H27" s="10">
        <f>IF(C26=0,"",F27)</f>
        <v>31.0</v>
      </c>
      <c r="I27" s="10">
        <f>C27-$C$22</f>
        <v>92.0</v>
      </c>
    </row>
    <row r="28" spans="1:10">
      <c r="A28" s="8" t="s">
        <v>106</v>
      </c>
      <c r="B28" s="8" t="s">
        <v>140</v>
      </c>
      <c r="C28" s="9">
        <v>1008</v>
      </c>
      <c r="D28" s="9">
        <v>1002</v>
      </c>
      <c r="E28" s="7">
        <v>156478</v>
      </c>
      <c r="F28" s="7">
        <v>7</v>
      </c>
      <c r="G28" s="10">
        <f>C28-C27</f>
        <v>-2.0</v>
      </c>
      <c r="H28" s="10">
        <f>IF(C27=0,"",F28)</f>
        <v>-2.0</v>
      </c>
      <c r="I28" s="10">
        <f>C28-$C$22</f>
        <v>90.0</v>
      </c>
    </row>
    <row r="29" spans="1:10">
      <c r="A29" s="8" t="s">
        <v>107</v>
      </c>
      <c r="B29" s="8" t="s">
        <v>141</v>
      </c>
      <c r="C29" s="9">
        <v>1033</v>
      </c>
      <c r="D29" s="9">
        <v>1026</v>
      </c>
      <c r="E29" s="7">
        <v>3769</v>
      </c>
      <c r="F29" s="7">
        <v>8</v>
      </c>
      <c r="G29" s="10">
        <f>C29-C28</f>
        <v>25.0</v>
      </c>
      <c r="H29" s="10">
        <f>IF(C28=0,"",F29)</f>
        <v>25.0</v>
      </c>
      <c r="I29" s="10">
        <f>C29-$C$22</f>
        <v>115.0</v>
      </c>
    </row>
    <row r="30" spans="1:10">
      <c r="A30" s="8" t="s">
        <v>108</v>
      </c>
      <c r="B30" s="8" t="s">
        <v>142</v>
      </c>
      <c r="C30" s="9">
        <v>1031</v>
      </c>
      <c r="D30" s="9">
        <v>1025</v>
      </c>
      <c r="E30" s="7">
        <v>8887</v>
      </c>
      <c r="F30" s="7">
        <v>9</v>
      </c>
      <c r="G30" s="10">
        <f>C30-C29</f>
        <v>-2.0</v>
      </c>
      <c r="H30" s="10">
        <f>IF(C29=0,"",F30)</f>
        <v>-2.0</v>
      </c>
      <c r="I30" s="10">
        <f>C30-$C$22</f>
        <v>113.0</v>
      </c>
    </row>
    <row r="31" spans="1:10">
      <c r="A31" s="8" t="s">
        <v>109</v>
      </c>
      <c r="B31" s="8" t="s">
        <v>143</v>
      </c>
      <c r="C31" s="9">
        <v>1061</v>
      </c>
      <c r="D31" s="9">
        <v>1053</v>
      </c>
      <c r="E31" s="7">
        <v>2201</v>
      </c>
      <c r="F31" s="7">
        <v>10</v>
      </c>
      <c r="G31" s="10">
        <f>C31-C30</f>
        <v>30.0</v>
      </c>
      <c r="H31" s="10">
        <f>IF(C30=0,"",F31)</f>
        <v>30.0</v>
      </c>
      <c r="I31" s="10">
        <f>C31-$C$22</f>
        <v>143.0</v>
      </c>
    </row>
    <row r="32" spans="1:10">
      <c r="A32" s="8" t="s">
        <v>110</v>
      </c>
      <c r="B32" s="8" t="s">
        <v>144</v>
      </c>
      <c r="C32" s="9">
        <v>1060</v>
      </c>
      <c r="D32" s="9">
        <v>1054</v>
      </c>
      <c r="E32" s="7">
        <v>5714</v>
      </c>
      <c r="F32" s="7">
        <v>11</v>
      </c>
      <c r="G32" s="10">
        <f>C32-C31</f>
        <v>-1.0</v>
      </c>
      <c r="H32" s="10">
        <f>IF(C31=0,"",F32)</f>
        <v>-1.0</v>
      </c>
      <c r="I32" s="10">
        <f>C32-$C$22</f>
        <v>142.0</v>
      </c>
    </row>
    <row r="33" spans="1:10">
      <c r="A33" s="8" t="s">
        <v>145</v>
      </c>
      <c r="B33" s="11">
        <f>SLOPE(C22:C32,F22:F32)</f>
        <v>14.35</v>
      </c>
      <c r="C33" s="8" t="s">
        <v>146</v>
      </c>
      <c r="D33" s="8" t="s">
        <v>149</v>
      </c>
    </row>
    <row r="36" spans="1:10">
      <c r="A36" s="3" t="s">
        <v>150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6" t="s">
        <v>62</v>
      </c>
      <c r="B37" s="6" t="s">
        <v>64</v>
      </c>
      <c r="C37" s="6" t="s">
        <v>65</v>
      </c>
      <c r="D37" s="6" t="s">
        <v>66</v>
      </c>
      <c r="E37" s="6" t="s">
        <v>70</v>
      </c>
      <c r="F37" s="6" t="s">
        <v>71</v>
      </c>
      <c r="G37" s="6" t="s">
        <v>129</v>
      </c>
      <c r="H37" s="6" t="s">
        <v>130</v>
      </c>
      <c r="I37" s="6" t="s">
        <v>131</v>
      </c>
      <c r="J37" s="6" t="s">
        <v>132</v>
      </c>
    </row>
    <row r="38" spans="1:10">
      <c r="A38" s="8" t="s">
        <v>87</v>
      </c>
      <c r="B38" s="8" t="s">
        <v>151</v>
      </c>
      <c r="C38" s="9">
        <v>10401</v>
      </c>
      <c r="D38" s="9">
        <v>10450</v>
      </c>
      <c r="E38" s="7">
        <v>5504</v>
      </c>
      <c r="F38" s="7">
        <v>0</v>
      </c>
      <c r="G38" s="12"/>
      <c r="H38" s="12"/>
      <c r="I38" s="10">
        <f>C38-C38</f>
        <v>0</v>
      </c>
    </row>
    <row r="39" spans="1:10">
      <c r="A39" s="8" t="s">
        <v>89</v>
      </c>
      <c r="B39" s="8" t="s">
        <v>133</v>
      </c>
      <c r="C39" s="9">
        <v>10144</v>
      </c>
      <c r="D39" s="9">
        <v>10184</v>
      </c>
      <c r="E39" s="7">
        <v>99417</v>
      </c>
      <c r="F39" s="7">
        <v>1</v>
      </c>
      <c r="G39" s="10">
        <f>C39-C38</f>
        <v>-257.0</v>
      </c>
      <c r="H39" s="10">
        <f>IF(C38=0,"",F39)</f>
        <v>-257.0</v>
      </c>
      <c r="I39" s="10">
        <f>C39-$C$38</f>
        <v>-257.0</v>
      </c>
    </row>
    <row r="40" spans="1:10">
      <c r="A40" s="8" t="s">
        <v>90</v>
      </c>
      <c r="B40" s="8" t="s">
        <v>134</v>
      </c>
      <c r="C40" s="9">
        <v>9685</v>
      </c>
      <c r="D40" s="9">
        <v>9734</v>
      </c>
      <c r="E40" s="7">
        <v>133078</v>
      </c>
      <c r="F40" s="7">
        <v>2</v>
      </c>
      <c r="G40" s="10">
        <f>C40-C39</f>
        <v>-459.0</v>
      </c>
      <c r="H40" s="10">
        <f>IF(C39=0,"",F40)</f>
        <v>-459.0</v>
      </c>
      <c r="I40" s="10">
        <f>C40-$C$38</f>
        <v>-716.0</v>
      </c>
    </row>
    <row r="41" spans="1:10">
      <c r="A41" s="8" t="s">
        <v>91</v>
      </c>
      <c r="B41" s="8" t="s">
        <v>135</v>
      </c>
      <c r="C41" s="9">
        <v>9331</v>
      </c>
      <c r="D41" s="9">
        <v>9376</v>
      </c>
      <c r="E41" s="7">
        <v>672680</v>
      </c>
      <c r="F41" s="7">
        <v>3</v>
      </c>
      <c r="G41" s="10">
        <f>C41-C40</f>
        <v>-354.0</v>
      </c>
      <c r="H41" s="10">
        <f>IF(C40=0,"",F41)</f>
        <v>-354.0</v>
      </c>
      <c r="I41" s="10">
        <f>C41-$C$38</f>
        <v>-1070.0</v>
      </c>
      <c r="J41" s="13" t="s">
        <v>136</v>
      </c>
    </row>
    <row r="42" spans="1:10">
      <c r="A42" s="8" t="s">
        <v>92</v>
      </c>
      <c r="B42" s="8" t="s">
        <v>137</v>
      </c>
      <c r="C42" s="9">
        <v>9028</v>
      </c>
      <c r="D42" s="9">
        <v>9068</v>
      </c>
      <c r="E42" s="7">
        <v>57974</v>
      </c>
      <c r="F42" s="7">
        <v>4</v>
      </c>
      <c r="G42" s="10">
        <f>C42-C41</f>
        <v>-303.0</v>
      </c>
      <c r="H42" s="10">
        <f>IF(C41=0,"",F42)</f>
        <v>-303.0</v>
      </c>
      <c r="I42" s="10">
        <f>C42-$C$38</f>
        <v>-1373.0</v>
      </c>
    </row>
    <row r="43" spans="1:10">
      <c r="A43" s="8" t="s">
        <v>93</v>
      </c>
      <c r="B43" s="8" t="s">
        <v>138</v>
      </c>
      <c r="C43" s="9">
        <v>8819</v>
      </c>
      <c r="D43" s="9">
        <v>8864</v>
      </c>
      <c r="E43" s="7">
        <v>17823</v>
      </c>
      <c r="F43" s="7">
        <v>5</v>
      </c>
      <c r="G43" s="10">
        <f>C43-C42</f>
        <v>-209.0</v>
      </c>
      <c r="H43" s="10">
        <f>IF(C42=0,"",F43)</f>
        <v>-209.0</v>
      </c>
      <c r="I43" s="10">
        <f>C43-$C$38</f>
        <v>-1582.0</v>
      </c>
    </row>
    <row r="44" spans="1:10">
      <c r="A44" s="8" t="s">
        <v>94</v>
      </c>
      <c r="B44" s="8" t="s">
        <v>139</v>
      </c>
      <c r="C44" s="9">
        <v>8800</v>
      </c>
      <c r="D44" s="9">
        <v>8814</v>
      </c>
      <c r="E44" s="7">
        <v>560</v>
      </c>
      <c r="F44" s="7">
        <v>6</v>
      </c>
      <c r="G44" s="10">
        <f>C44-C43</f>
        <v>-19.0</v>
      </c>
      <c r="H44" s="10">
        <f>IF(C43=0,"",F44)</f>
        <v>-19.0</v>
      </c>
      <c r="I44" s="10">
        <f>C44-$C$38</f>
        <v>-1601.0</v>
      </c>
    </row>
    <row r="45" spans="1:10">
      <c r="A45" s="8" t="s">
        <v>95</v>
      </c>
      <c r="B45" s="8" t="s">
        <v>140</v>
      </c>
      <c r="C45" s="9">
        <v>8690</v>
      </c>
      <c r="D45" s="9">
        <v>8695</v>
      </c>
      <c r="E45" s="7">
        <v>84791</v>
      </c>
      <c r="F45" s="7">
        <v>7</v>
      </c>
      <c r="G45" s="10">
        <f>C45-C44</f>
        <v>-110.0</v>
      </c>
      <c r="H45" s="10">
        <f>IF(C44=0,"",F45)</f>
        <v>-110.0</v>
      </c>
      <c r="I45" s="10">
        <f>C45-$C$38</f>
        <v>-1711.0</v>
      </c>
    </row>
    <row r="46" spans="1:10">
      <c r="A46" s="8" t="s">
        <v>96</v>
      </c>
      <c r="B46" s="8" t="s">
        <v>141</v>
      </c>
      <c r="C46" s="9">
        <v>8511</v>
      </c>
      <c r="D46" s="9">
        <v>8586</v>
      </c>
      <c r="E46" s="7">
        <v>247</v>
      </c>
      <c r="F46" s="7">
        <v>8</v>
      </c>
      <c r="G46" s="10">
        <f>C46-C45</f>
        <v>-179.0</v>
      </c>
      <c r="H46" s="10">
        <f>IF(C45=0,"",F46)</f>
        <v>-179.0</v>
      </c>
      <c r="I46" s="10">
        <f>C46-$C$38</f>
        <v>-1890.0</v>
      </c>
    </row>
    <row r="47" spans="1:10">
      <c r="A47" s="8" t="s">
        <v>97</v>
      </c>
      <c r="B47" s="8" t="s">
        <v>142</v>
      </c>
      <c r="C47" s="9">
        <v>8456</v>
      </c>
      <c r="D47" s="9">
        <v>8400</v>
      </c>
      <c r="E47" s="7">
        <v>656</v>
      </c>
      <c r="F47" s="7">
        <v>9</v>
      </c>
      <c r="G47" s="10">
        <f>C47-C46</f>
        <v>-55.0</v>
      </c>
      <c r="H47" s="10">
        <f>IF(C46=0,"",F47)</f>
        <v>-55.0</v>
      </c>
      <c r="I47" s="10">
        <f>C47-$C$38</f>
        <v>-1945.0</v>
      </c>
    </row>
    <row r="48" spans="1:10">
      <c r="A48" s="8" t="s">
        <v>98</v>
      </c>
      <c r="B48" s="8" t="s">
        <v>143</v>
      </c>
      <c r="C48" s="9">
        <v>8440</v>
      </c>
      <c r="D48" s="9">
        <v>8500</v>
      </c>
      <c r="E48" s="7">
        <v>399</v>
      </c>
      <c r="F48" s="7">
        <v>10</v>
      </c>
      <c r="G48" s="10">
        <f>C48-C47</f>
        <v>-16.0</v>
      </c>
      <c r="H48" s="10">
        <f>IF(C47=0,"",F48)</f>
        <v>-16.0</v>
      </c>
      <c r="I48" s="10">
        <f>C48-$C$38</f>
        <v>-1961.0</v>
      </c>
    </row>
    <row r="49" spans="1:10">
      <c r="A49" s="8" t="s">
        <v>99</v>
      </c>
      <c r="B49" s="8" t="s">
        <v>144</v>
      </c>
      <c r="C49" s="9">
        <v>8400</v>
      </c>
      <c r="D49" s="9">
        <v>8384</v>
      </c>
      <c r="E49" s="7">
        <v>904</v>
      </c>
      <c r="F49" s="7">
        <v>11</v>
      </c>
      <c r="G49" s="10">
        <f>C49-C48</f>
        <v>-40.0</v>
      </c>
      <c r="H49" s="10">
        <f>IF(C48=0,"",F49)</f>
        <v>-40.0</v>
      </c>
      <c r="I49" s="10">
        <f>C49-$C$38</f>
        <v>-2001.0</v>
      </c>
    </row>
    <row r="50" spans="1:10">
      <c r="A50" s="8" t="s">
        <v>145</v>
      </c>
      <c r="B50" s="11">
        <f>SLOPE(C38:C49,F38:F49)</f>
        <v>-178.61</v>
      </c>
      <c r="C50" s="8" t="s">
        <v>146</v>
      </c>
      <c r="D50" s="8" t="s">
        <v>147</v>
      </c>
    </row>
    <row r="53" spans="1:10">
      <c r="A53" s="3" t="s">
        <v>152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6" t="s">
        <v>62</v>
      </c>
      <c r="B54" s="6" t="s">
        <v>64</v>
      </c>
      <c r="C54" s="6" t="s">
        <v>65</v>
      </c>
      <c r="D54" s="6" t="s">
        <v>66</v>
      </c>
      <c r="E54" s="6" t="s">
        <v>70</v>
      </c>
      <c r="F54" s="6" t="s">
        <v>71</v>
      </c>
      <c r="G54" s="6" t="s">
        <v>129</v>
      </c>
      <c r="H54" s="6" t="s">
        <v>130</v>
      </c>
      <c r="I54" s="6" t="s">
        <v>131</v>
      </c>
      <c r="J54" s="6" t="s">
        <v>132</v>
      </c>
    </row>
    <row r="55" spans="1:10">
      <c r="A55" s="8" t="s">
        <v>111</v>
      </c>
      <c r="B55" s="8" t="s">
        <v>151</v>
      </c>
      <c r="C55" s="9">
        <v>6928</v>
      </c>
      <c r="D55" s="9">
        <v>6994</v>
      </c>
      <c r="E55" s="7">
        <v>33756</v>
      </c>
      <c r="F55" s="7">
        <v>0</v>
      </c>
      <c r="G55" s="12"/>
      <c r="H55" s="12"/>
      <c r="I55" s="10">
        <f>C55-C55</f>
        <v>0</v>
      </c>
    </row>
    <row r="56" spans="1:10">
      <c r="A56" s="8" t="s">
        <v>112</v>
      </c>
      <c r="B56" s="8" t="s">
        <v>133</v>
      </c>
      <c r="C56" s="9">
        <v>6696</v>
      </c>
      <c r="D56" s="9">
        <v>6758</v>
      </c>
      <c r="E56" s="7">
        <v>147051</v>
      </c>
      <c r="F56" s="7">
        <v>1</v>
      </c>
      <c r="G56" s="10">
        <f>C56-C55</f>
        <v>-232.0</v>
      </c>
      <c r="H56" s="10">
        <f>IF(C55=0,"",F56)</f>
        <v>-232.0</v>
      </c>
      <c r="I56" s="10">
        <f>C56-$C$55</f>
        <v>-232.0</v>
      </c>
    </row>
    <row r="57" spans="1:10">
      <c r="A57" s="8" t="s">
        <v>113</v>
      </c>
      <c r="B57" s="8" t="s">
        <v>134</v>
      </c>
      <c r="C57" s="9">
        <v>6604</v>
      </c>
      <c r="D57" s="9">
        <v>6644</v>
      </c>
      <c r="E57" s="7">
        <v>220816</v>
      </c>
      <c r="F57" s="7">
        <v>2</v>
      </c>
      <c r="G57" s="10">
        <f>C57-C56</f>
        <v>-92.0</v>
      </c>
      <c r="H57" s="10">
        <f>IF(C56=0,"",F57)</f>
        <v>-92.0</v>
      </c>
      <c r="I57" s="10">
        <f>C57-$C$55</f>
        <v>-324.0</v>
      </c>
    </row>
    <row r="58" spans="1:10">
      <c r="A58" s="8" t="s">
        <v>114</v>
      </c>
      <c r="B58" s="8" t="s">
        <v>135</v>
      </c>
      <c r="C58" s="9">
        <v>6450</v>
      </c>
      <c r="D58" s="9">
        <v>6488</v>
      </c>
      <c r="E58" s="7">
        <v>1102618</v>
      </c>
      <c r="F58" s="7">
        <v>3</v>
      </c>
      <c r="G58" s="10">
        <f>C58-C57</f>
        <v>-154.0</v>
      </c>
      <c r="H58" s="10">
        <f>IF(C57=0,"",F58)</f>
        <v>-154.0</v>
      </c>
      <c r="I58" s="10">
        <f>C58-$C$55</f>
        <v>-478.0</v>
      </c>
      <c r="J58" s="13" t="s">
        <v>136</v>
      </c>
    </row>
    <row r="59" spans="1:10">
      <c r="A59" s="8" t="s">
        <v>115</v>
      </c>
      <c r="B59" s="8" t="s">
        <v>137</v>
      </c>
      <c r="C59" s="9">
        <v>6332</v>
      </c>
      <c r="D59" s="9">
        <v>6372</v>
      </c>
      <c r="E59" s="7">
        <v>115699</v>
      </c>
      <c r="F59" s="7">
        <v>4</v>
      </c>
      <c r="G59" s="10">
        <f>C59-C58</f>
        <v>-118.0</v>
      </c>
      <c r="H59" s="10">
        <f>IF(C58=0,"",F59)</f>
        <v>-118.0</v>
      </c>
      <c r="I59" s="10">
        <f>C59-$C$55</f>
        <v>-596.0</v>
      </c>
    </row>
    <row r="60" spans="1:10">
      <c r="A60" s="8" t="s">
        <v>116</v>
      </c>
      <c r="B60" s="8" t="s">
        <v>138</v>
      </c>
      <c r="C60" s="9">
        <v>6248</v>
      </c>
      <c r="D60" s="9">
        <v>6290</v>
      </c>
      <c r="E60" s="7">
        <v>269507</v>
      </c>
      <c r="F60" s="7">
        <v>5</v>
      </c>
      <c r="G60" s="10">
        <f>C60-C59</f>
        <v>-84.0</v>
      </c>
      <c r="H60" s="10">
        <f>IF(C59=0,"",F60)</f>
        <v>-84.0</v>
      </c>
      <c r="I60" s="10">
        <f>C60-$C$55</f>
        <v>-680.0</v>
      </c>
    </row>
    <row r="61" spans="1:10">
      <c r="A61" s="8" t="s">
        <v>117</v>
      </c>
      <c r="B61" s="8" t="s">
        <v>139</v>
      </c>
      <c r="C61" s="9">
        <v>6192</v>
      </c>
      <c r="D61" s="9">
        <v>6230</v>
      </c>
      <c r="E61" s="7">
        <v>402</v>
      </c>
      <c r="F61" s="7">
        <v>6</v>
      </c>
      <c r="G61" s="10">
        <f>C61-C60</f>
        <v>-56.0</v>
      </c>
      <c r="H61" s="10">
        <f>IF(C60=0,"",F61)</f>
        <v>-56.0</v>
      </c>
      <c r="I61" s="10">
        <f>C61-$C$55</f>
        <v>-736.0</v>
      </c>
    </row>
    <row r="62" spans="1:10">
      <c r="A62" s="8" t="s">
        <v>118</v>
      </c>
      <c r="B62" s="8" t="s">
        <v>140</v>
      </c>
      <c r="C62" s="9">
        <v>6146</v>
      </c>
      <c r="D62" s="9">
        <v>6170</v>
      </c>
      <c r="E62" s="7">
        <v>121879</v>
      </c>
      <c r="F62" s="7">
        <v>7</v>
      </c>
      <c r="G62" s="10">
        <f>C62-C61</f>
        <v>-46.0</v>
      </c>
      <c r="H62" s="10">
        <f>IF(C61=0,"",F62)</f>
        <v>-46.0</v>
      </c>
      <c r="I62" s="10">
        <f>C62-$C$55</f>
        <v>-782.0</v>
      </c>
    </row>
    <row r="63" spans="1:10">
      <c r="A63" s="8" t="s">
        <v>119</v>
      </c>
      <c r="B63" s="8" t="s">
        <v>141</v>
      </c>
      <c r="C63" s="9">
        <v>6094</v>
      </c>
      <c r="D63" s="9">
        <v>6114</v>
      </c>
      <c r="E63" s="7">
        <v>526</v>
      </c>
      <c r="F63" s="7">
        <v>8</v>
      </c>
      <c r="G63" s="10">
        <f>C63-C62</f>
        <v>-52.0</v>
      </c>
      <c r="H63" s="10">
        <f>IF(C62=0,"",F63)</f>
        <v>-52.0</v>
      </c>
      <c r="I63" s="10">
        <f>C63-$C$55</f>
        <v>-834.0</v>
      </c>
    </row>
    <row r="64" spans="1:10">
      <c r="A64" s="8" t="s">
        <v>120</v>
      </c>
      <c r="B64" s="8" t="s">
        <v>142</v>
      </c>
      <c r="C64" s="9">
        <v>6040</v>
      </c>
      <c r="D64" s="9">
        <v>6092</v>
      </c>
      <c r="E64" s="7">
        <v>60</v>
      </c>
      <c r="F64" s="7">
        <v>9</v>
      </c>
      <c r="G64" s="10">
        <f>C64-C63</f>
        <v>-54.0</v>
      </c>
      <c r="H64" s="10">
        <f>IF(C63=0,"",F64)</f>
        <v>-54.0</v>
      </c>
      <c r="I64" s="10">
        <f>C64-$C$55</f>
        <v>-888.0</v>
      </c>
    </row>
    <row r="65" spans="1:9">
      <c r="A65" s="8" t="s">
        <v>121</v>
      </c>
      <c r="B65" s="8" t="s">
        <v>143</v>
      </c>
      <c r="C65" s="9">
        <v>5978</v>
      </c>
      <c r="D65" s="9">
        <v>5998</v>
      </c>
      <c r="E65" s="7">
        <v>116</v>
      </c>
      <c r="F65" s="7">
        <v>10</v>
      </c>
      <c r="G65" s="10">
        <f>C65-C64</f>
        <v>-62.0</v>
      </c>
      <c r="H65" s="10">
        <f>IF(C64=0,"",F65)</f>
        <v>-62.0</v>
      </c>
      <c r="I65" s="10">
        <f>C65-$C$55</f>
        <v>-950.0</v>
      </c>
    </row>
    <row r="66" spans="1:9">
      <c r="A66" s="8" t="s">
        <v>122</v>
      </c>
      <c r="B66" s="8" t="s">
        <v>144</v>
      </c>
      <c r="C66" s="9">
        <v>5942</v>
      </c>
      <c r="D66" s="9">
        <v>5970</v>
      </c>
      <c r="E66" s="7">
        <v>1054</v>
      </c>
      <c r="F66" s="7">
        <v>11</v>
      </c>
      <c r="G66" s="10">
        <f>C66-C65</f>
        <v>-36.0</v>
      </c>
      <c r="H66" s="10">
        <f>IF(C65=0,"",F66)</f>
        <v>-36.0</v>
      </c>
      <c r="I66" s="10">
        <f>C66-$C$55</f>
        <v>-986.0</v>
      </c>
    </row>
    <row r="67" spans="1:9">
      <c r="A67" s="8" t="s">
        <v>145</v>
      </c>
      <c r="B67" s="11">
        <f>SLOPE(C55:C66,F55:F66)</f>
        <v>-82.69</v>
      </c>
      <c r="C67" s="8" t="s">
        <v>146</v>
      </c>
      <c r="D67" s="8" t="s">
        <v>147</v>
      </c>
    </row>
  </sheetData>
  <mergeCells count="6">
    <mergeCell ref="A1:J1"/>
    <mergeCell ref="A2:J2"/>
    <mergeCell ref="A4:J4"/>
    <mergeCell ref="A20:J20"/>
    <mergeCell ref="A36:J36"/>
    <mergeCell ref="A53:J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3" width="10.7109375" customWidth="1"/>
    <col min="4" max="4" width="18.7109375" customWidth="1"/>
    <col min="5" max="14" width="12.7109375" customWidth="1"/>
    <col min="15" max="15" width="10.7109375" customWidth="1"/>
    <col min="16" max="16" width="18.7109375" customWidth="1"/>
    <col min="17" max="17" width="20.7109375" customWidth="1"/>
  </cols>
  <sheetData>
    <row r="1" spans="1:17" ht="24" customHeight="1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" customHeight="1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s="6" t="s">
        <v>155</v>
      </c>
      <c r="B4" s="6" t="s">
        <v>22</v>
      </c>
      <c r="C4" s="6" t="s">
        <v>23</v>
      </c>
      <c r="D4" s="6" t="s">
        <v>156</v>
      </c>
      <c r="E4" s="6" t="s">
        <v>157</v>
      </c>
      <c r="F4" s="6" t="s">
        <v>158</v>
      </c>
      <c r="G4" s="6" t="s">
        <v>159</v>
      </c>
      <c r="H4" s="6" t="s">
        <v>160</v>
      </c>
      <c r="I4" s="6" t="s">
        <v>6</v>
      </c>
      <c r="J4" s="6" t="s">
        <v>161</v>
      </c>
      <c r="K4" s="6" t="s">
        <v>162</v>
      </c>
      <c r="L4" s="6" t="s">
        <v>163</v>
      </c>
      <c r="M4" s="6" t="s">
        <v>164</v>
      </c>
      <c r="N4" s="6" t="s">
        <v>165</v>
      </c>
      <c r="O4" s="6" t="s">
        <v>166</v>
      </c>
      <c r="P4" s="6" t="s">
        <v>167</v>
      </c>
      <c r="Q4" s="6" t="s">
        <v>132</v>
      </c>
    </row>
    <row r="5" spans="1:17">
      <c r="A5" s="7">
        <v>1</v>
      </c>
      <c r="B5" s="8" t="s">
        <v>47</v>
      </c>
      <c r="C5" s="8" t="s">
        <v>48</v>
      </c>
      <c r="D5" s="8" t="s">
        <v>168</v>
      </c>
      <c r="E5" s="9">
        <v>9331</v>
      </c>
      <c r="F5" s="9">
        <v>8800</v>
      </c>
      <c r="G5" s="10">
        <f>E5-F5</f>
        <v>531.0</v>
      </c>
      <c r="H5" s="9">
        <v>22.8</v>
      </c>
      <c r="I5" s="14">
        <v>100</v>
      </c>
      <c r="J5" s="9">
        <v>7.73</v>
      </c>
      <c r="K5" s="9">
        <v>517</v>
      </c>
      <c r="L5" s="10">
        <f>G5-K5</f>
        <v>14.0</v>
      </c>
      <c r="M5" s="9">
        <v>100</v>
      </c>
      <c r="N5" s="7">
        <v>5</v>
      </c>
      <c r="O5" s="15" t="s">
        <v>169</v>
      </c>
      <c r="P5" s="13" t="s">
        <v>170</v>
      </c>
      <c r="Q5" s="4"/>
    </row>
    <row r="6" spans="1:17">
      <c r="A6" s="7">
        <v>2</v>
      </c>
      <c r="B6" s="8" t="s">
        <v>54</v>
      </c>
      <c r="C6" s="8" t="s">
        <v>55</v>
      </c>
      <c r="D6" s="8" t="s">
        <v>171</v>
      </c>
      <c r="E6" s="9">
        <v>6450</v>
      </c>
      <c r="F6" s="9">
        <v>6192</v>
      </c>
      <c r="G6" s="10">
        <f>E6-F6</f>
        <v>258.0</v>
      </c>
      <c r="H6" s="9">
        <v>13.6</v>
      </c>
      <c r="I6" s="14">
        <v>100</v>
      </c>
      <c r="J6" s="9">
        <v>3.36</v>
      </c>
      <c r="K6" s="9">
        <v>286</v>
      </c>
      <c r="L6" s="10">
        <f>G6-K6</f>
        <v>-28.0</v>
      </c>
      <c r="M6" s="9">
        <v>100</v>
      </c>
      <c r="N6" s="7">
        <v>5</v>
      </c>
      <c r="O6" s="15" t="s">
        <v>169</v>
      </c>
      <c r="P6" s="8" t="s">
        <v>172</v>
      </c>
      <c r="Q6" s="4" t="s">
        <v>173</v>
      </c>
    </row>
    <row r="7" spans="1:17">
      <c r="A7" s="7">
        <v>3</v>
      </c>
      <c r="B7" s="8" t="s">
        <v>35</v>
      </c>
      <c r="C7" s="8" t="s">
        <v>36</v>
      </c>
      <c r="D7" s="8" t="s">
        <v>174</v>
      </c>
      <c r="E7" s="9">
        <v>3137</v>
      </c>
      <c r="F7" s="9">
        <v>2976</v>
      </c>
      <c r="G7" s="10">
        <f>E7-F7</f>
        <v>161.0</v>
      </c>
      <c r="H7" s="9">
        <v>92</v>
      </c>
      <c r="I7" s="14">
        <v>80</v>
      </c>
      <c r="J7" s="9">
        <v>0.47</v>
      </c>
      <c r="K7" s="9">
        <v>265</v>
      </c>
      <c r="L7" s="10">
        <f>G7-K7</f>
        <v>-104.0</v>
      </c>
      <c r="M7" s="9">
        <v>60</v>
      </c>
      <c r="N7" s="7">
        <v>5</v>
      </c>
      <c r="O7" s="8" t="s">
        <v>175</v>
      </c>
      <c r="P7" s="13" t="s">
        <v>170</v>
      </c>
      <c r="Q7" s="4"/>
    </row>
    <row r="8" spans="1:17">
      <c r="A8" s="7">
        <v>4</v>
      </c>
      <c r="B8" s="8" t="s">
        <v>44</v>
      </c>
      <c r="C8" s="8" t="s">
        <v>45</v>
      </c>
      <c r="D8" s="8" t="s">
        <v>176</v>
      </c>
      <c r="E8" s="9">
        <v>946</v>
      </c>
      <c r="F8" s="9">
        <v>1010</v>
      </c>
      <c r="G8" s="10">
        <f>E8-F8</f>
        <v>-64.0</v>
      </c>
      <c r="H8" s="9">
        <v>43</v>
      </c>
      <c r="I8" s="14">
        <v>40</v>
      </c>
      <c r="J8" s="9">
        <v>-0.8100000000000001</v>
      </c>
      <c r="K8" s="9">
        <v>-57</v>
      </c>
      <c r="L8" s="10">
        <f>G8-K8</f>
        <v>-7.0</v>
      </c>
      <c r="M8" s="9">
        <v>20</v>
      </c>
      <c r="N8" s="7">
        <v>5</v>
      </c>
      <c r="O8" s="8" t="s">
        <v>177</v>
      </c>
      <c r="P8" s="13" t="s">
        <v>170</v>
      </c>
      <c r="Q8" s="4"/>
    </row>
    <row r="10" spans="1:17" ht="30" customHeight="1">
      <c r="A10" s="5" t="s">
        <v>178</v>
      </c>
      <c r="B10" s="4" t="s">
        <v>179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</sheetData>
  <autoFilter ref="A4:Q8"/>
  <mergeCells count="3">
    <mergeCell ref="A1:Q1"/>
    <mergeCell ref="A2:Q2"/>
    <mergeCell ref="B10:Q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.7109375" customWidth="1"/>
    <col min="2" max="2" width="10.7109375" customWidth="1"/>
    <col min="3" max="3" width="18.7109375" customWidth="1"/>
    <col min="4" max="4" width="6.7109375" customWidth="1"/>
    <col min="5" max="8" width="12.7109375" customWidth="1"/>
    <col min="9" max="11" width="14.7109375" customWidth="1"/>
  </cols>
  <sheetData>
    <row r="1" spans="1:11" ht="24" customHeight="1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6" t="s">
        <v>155</v>
      </c>
      <c r="B4" s="6" t="s">
        <v>22</v>
      </c>
      <c r="C4" s="6" t="s">
        <v>182</v>
      </c>
      <c r="D4" s="6" t="s">
        <v>183</v>
      </c>
      <c r="E4" s="6" t="s">
        <v>184</v>
      </c>
      <c r="F4" s="6" t="s">
        <v>185</v>
      </c>
      <c r="G4" s="6" t="s">
        <v>186</v>
      </c>
      <c r="H4" s="6" t="s">
        <v>157</v>
      </c>
      <c r="I4" s="6" t="s">
        <v>158</v>
      </c>
      <c r="J4" s="6" t="s">
        <v>187</v>
      </c>
      <c r="K4" s="6" t="s">
        <v>188</v>
      </c>
    </row>
    <row r="5" spans="1:11">
      <c r="A5" s="7">
        <v>1</v>
      </c>
      <c r="B5" s="8" t="s">
        <v>47</v>
      </c>
      <c r="C5" s="8" t="s">
        <v>168</v>
      </c>
      <c r="D5" s="7">
        <v>2022</v>
      </c>
      <c r="E5" s="8" t="s">
        <v>189</v>
      </c>
      <c r="F5" s="16">
        <v>44489</v>
      </c>
      <c r="G5" s="9">
        <v>118</v>
      </c>
      <c r="H5" s="9">
        <v>9332</v>
      </c>
      <c r="I5" s="9">
        <v>9214</v>
      </c>
      <c r="J5" s="9">
        <v>13.14</v>
      </c>
      <c r="K5" s="8" t="s">
        <v>190</v>
      </c>
    </row>
    <row r="6" spans="1:11">
      <c r="A6" s="7">
        <v>2</v>
      </c>
      <c r="B6" s="8" t="s">
        <v>47</v>
      </c>
      <c r="C6" s="8" t="s">
        <v>168</v>
      </c>
      <c r="D6" s="7">
        <v>2023</v>
      </c>
      <c r="E6" s="8" t="s">
        <v>191</v>
      </c>
      <c r="F6" s="16">
        <v>44854</v>
      </c>
      <c r="G6" s="9">
        <v>52</v>
      </c>
      <c r="H6" s="9">
        <v>7622</v>
      </c>
      <c r="I6" s="9">
        <v>7570</v>
      </c>
      <c r="J6" s="9">
        <v>13.14</v>
      </c>
      <c r="K6" s="8" t="s">
        <v>190</v>
      </c>
    </row>
    <row r="7" spans="1:11">
      <c r="A7" s="7">
        <v>3</v>
      </c>
      <c r="B7" s="8" t="s">
        <v>47</v>
      </c>
      <c r="C7" s="8" t="s">
        <v>168</v>
      </c>
      <c r="D7" s="7">
        <v>2024</v>
      </c>
      <c r="E7" s="8" t="s">
        <v>192</v>
      </c>
      <c r="F7" s="16">
        <v>45219</v>
      </c>
      <c r="G7" s="9">
        <v>19</v>
      </c>
      <c r="H7" s="9">
        <v>7466</v>
      </c>
      <c r="I7" s="9">
        <v>7447</v>
      </c>
      <c r="J7" s="9">
        <v>13.14</v>
      </c>
      <c r="K7" s="8" t="s">
        <v>190</v>
      </c>
    </row>
    <row r="8" spans="1:11">
      <c r="A8" s="7">
        <v>4</v>
      </c>
      <c r="B8" s="8" t="s">
        <v>47</v>
      </c>
      <c r="C8" s="8" t="s">
        <v>168</v>
      </c>
      <c r="D8" s="7">
        <v>2025</v>
      </c>
      <c r="E8" s="8" t="s">
        <v>193</v>
      </c>
      <c r="F8" s="16">
        <v>45586</v>
      </c>
      <c r="G8" s="9">
        <v>-44</v>
      </c>
      <c r="H8" s="9">
        <v>7456</v>
      </c>
      <c r="I8" s="9">
        <v>7500</v>
      </c>
      <c r="J8" s="9">
        <v>13</v>
      </c>
      <c r="K8" s="8" t="s">
        <v>190</v>
      </c>
    </row>
    <row r="9" spans="1:11">
      <c r="A9" s="7">
        <v>5</v>
      </c>
      <c r="B9" s="8" t="s">
        <v>47</v>
      </c>
      <c r="C9" s="8" t="s">
        <v>168</v>
      </c>
      <c r="D9" s="7">
        <v>2026</v>
      </c>
      <c r="E9" s="8" t="s">
        <v>194</v>
      </c>
      <c r="F9" s="16">
        <v>45950</v>
      </c>
      <c r="G9" s="9">
        <v>-31</v>
      </c>
      <c r="H9" s="9">
        <v>6594</v>
      </c>
      <c r="I9" s="9">
        <v>6625</v>
      </c>
      <c r="J9" s="9">
        <v>13.14</v>
      </c>
      <c r="K9" s="8" t="s">
        <v>190</v>
      </c>
    </row>
    <row r="10" spans="1:11">
      <c r="A10" s="7">
        <v>6</v>
      </c>
      <c r="B10" s="8" t="s">
        <v>54</v>
      </c>
      <c r="C10" s="8" t="s">
        <v>171</v>
      </c>
      <c r="D10" s="7">
        <v>2022</v>
      </c>
      <c r="E10" s="8" t="s">
        <v>195</v>
      </c>
      <c r="F10" s="16">
        <v>44489</v>
      </c>
      <c r="G10" s="9">
        <v>2</v>
      </c>
      <c r="H10" s="9">
        <v>5410</v>
      </c>
      <c r="I10" s="9">
        <v>5408</v>
      </c>
      <c r="J10" s="9">
        <v>13.14</v>
      </c>
      <c r="K10" s="8" t="s">
        <v>190</v>
      </c>
    </row>
    <row r="11" spans="1:11">
      <c r="A11" s="7">
        <v>7</v>
      </c>
      <c r="B11" s="8" t="s">
        <v>54</v>
      </c>
      <c r="C11" s="8" t="s">
        <v>171</v>
      </c>
      <c r="D11" s="7">
        <v>2023</v>
      </c>
      <c r="E11" s="8" t="s">
        <v>196</v>
      </c>
      <c r="F11" s="16">
        <v>44854</v>
      </c>
      <c r="G11" s="9">
        <v>116</v>
      </c>
      <c r="H11" s="9">
        <v>5400</v>
      </c>
      <c r="I11" s="9">
        <v>5284</v>
      </c>
      <c r="J11" s="9">
        <v>13.14</v>
      </c>
      <c r="K11" s="8" t="s">
        <v>190</v>
      </c>
    </row>
    <row r="12" spans="1:11">
      <c r="A12" s="7">
        <v>8</v>
      </c>
      <c r="B12" s="8" t="s">
        <v>54</v>
      </c>
      <c r="C12" s="8" t="s">
        <v>171</v>
      </c>
      <c r="D12" s="7">
        <v>2024</v>
      </c>
      <c r="E12" s="8" t="s">
        <v>197</v>
      </c>
      <c r="F12" s="16">
        <v>45219</v>
      </c>
      <c r="G12" s="9">
        <v>52</v>
      </c>
      <c r="H12" s="9">
        <v>5794</v>
      </c>
      <c r="I12" s="9">
        <v>5742</v>
      </c>
      <c r="J12" s="9">
        <v>13.14</v>
      </c>
      <c r="K12" s="8" t="s">
        <v>190</v>
      </c>
    </row>
    <row r="13" spans="1:11">
      <c r="A13" s="7">
        <v>9</v>
      </c>
      <c r="B13" s="8" t="s">
        <v>54</v>
      </c>
      <c r="C13" s="8" t="s">
        <v>171</v>
      </c>
      <c r="D13" s="7">
        <v>2025</v>
      </c>
      <c r="E13" s="8" t="s">
        <v>198</v>
      </c>
      <c r="F13" s="16">
        <v>45586</v>
      </c>
      <c r="G13" s="9">
        <v>-70</v>
      </c>
      <c r="H13" s="9">
        <v>4944</v>
      </c>
      <c r="I13" s="9">
        <v>5014</v>
      </c>
      <c r="J13" s="9">
        <v>13</v>
      </c>
      <c r="K13" s="8" t="s">
        <v>190</v>
      </c>
    </row>
    <row r="14" spans="1:11">
      <c r="A14" s="7">
        <v>10</v>
      </c>
      <c r="B14" s="8" t="s">
        <v>54</v>
      </c>
      <c r="C14" s="8" t="s">
        <v>171</v>
      </c>
      <c r="D14" s="7">
        <v>2026</v>
      </c>
      <c r="E14" s="8" t="s">
        <v>199</v>
      </c>
      <c r="F14" s="16">
        <v>45950</v>
      </c>
      <c r="G14" s="9">
        <v>-32</v>
      </c>
      <c r="H14" s="9">
        <v>4414</v>
      </c>
      <c r="I14" s="9">
        <v>4446</v>
      </c>
      <c r="J14" s="9">
        <v>13.14</v>
      </c>
      <c r="K14" s="8" t="s">
        <v>190</v>
      </c>
    </row>
    <row r="15" spans="1:11">
      <c r="A15" s="7">
        <v>11</v>
      </c>
      <c r="B15" s="8" t="s">
        <v>35</v>
      </c>
      <c r="C15" s="8" t="s">
        <v>174</v>
      </c>
      <c r="D15" s="7">
        <v>2022</v>
      </c>
      <c r="E15" s="8" t="s">
        <v>200</v>
      </c>
      <c r="F15" s="16">
        <v>44489</v>
      </c>
      <c r="G15" s="9">
        <v>325</v>
      </c>
      <c r="H15" s="9">
        <v>3563</v>
      </c>
      <c r="I15" s="9">
        <v>3238</v>
      </c>
      <c r="J15" s="9">
        <v>13.14</v>
      </c>
      <c r="K15" s="8" t="s">
        <v>190</v>
      </c>
    </row>
    <row r="16" spans="1:11">
      <c r="A16" s="7">
        <v>12</v>
      </c>
      <c r="B16" s="8" t="s">
        <v>35</v>
      </c>
      <c r="C16" s="8" t="s">
        <v>174</v>
      </c>
      <c r="D16" s="7">
        <v>2023</v>
      </c>
      <c r="E16" s="8" t="s">
        <v>201</v>
      </c>
      <c r="F16" s="16">
        <v>44854</v>
      </c>
      <c r="G16" s="9">
        <v>141</v>
      </c>
      <c r="H16" s="9">
        <v>2693</v>
      </c>
      <c r="I16" s="9">
        <v>2552</v>
      </c>
      <c r="J16" s="9">
        <v>13.14</v>
      </c>
      <c r="K16" s="8" t="s">
        <v>190</v>
      </c>
    </row>
    <row r="17" spans="1:11">
      <c r="A17" s="7">
        <v>13</v>
      </c>
      <c r="B17" s="8" t="s">
        <v>35</v>
      </c>
      <c r="C17" s="8" t="s">
        <v>174</v>
      </c>
      <c r="D17" s="7">
        <v>2024</v>
      </c>
      <c r="E17" s="8" t="s">
        <v>202</v>
      </c>
      <c r="F17" s="16">
        <v>45219</v>
      </c>
      <c r="G17" s="9">
        <v>46</v>
      </c>
      <c r="H17" s="9">
        <v>2428</v>
      </c>
      <c r="I17" s="9">
        <v>2382</v>
      </c>
      <c r="J17" s="9">
        <v>13.14</v>
      </c>
      <c r="K17" s="8" t="s">
        <v>190</v>
      </c>
    </row>
    <row r="18" spans="1:11">
      <c r="A18" s="7">
        <v>14</v>
      </c>
      <c r="B18" s="8" t="s">
        <v>35</v>
      </c>
      <c r="C18" s="8" t="s">
        <v>174</v>
      </c>
      <c r="D18" s="7">
        <v>2025</v>
      </c>
      <c r="E18" s="8" t="s">
        <v>203</v>
      </c>
      <c r="F18" s="16">
        <v>45586</v>
      </c>
      <c r="G18" s="9">
        <v>-18</v>
      </c>
      <c r="H18" s="9">
        <v>2400</v>
      </c>
      <c r="I18" s="9">
        <v>2418</v>
      </c>
      <c r="J18" s="9">
        <v>13</v>
      </c>
      <c r="K18" s="8" t="s">
        <v>190</v>
      </c>
    </row>
    <row r="19" spans="1:11">
      <c r="A19" s="7">
        <v>15</v>
      </c>
      <c r="B19" s="8" t="s">
        <v>35</v>
      </c>
      <c r="C19" s="8" t="s">
        <v>174</v>
      </c>
      <c r="D19" s="7">
        <v>2026</v>
      </c>
      <c r="E19" s="8" t="s">
        <v>204</v>
      </c>
      <c r="F19" s="16">
        <v>45950</v>
      </c>
      <c r="G19" s="9">
        <v>-34</v>
      </c>
      <c r="H19" s="9">
        <v>2280</v>
      </c>
      <c r="I19" s="9">
        <v>2314</v>
      </c>
      <c r="J19" s="9">
        <v>13.14</v>
      </c>
      <c r="K19" s="8" t="s">
        <v>190</v>
      </c>
    </row>
    <row r="20" spans="1:11">
      <c r="A20" s="7">
        <v>16</v>
      </c>
      <c r="B20" s="8" t="s">
        <v>44</v>
      </c>
      <c r="C20" s="8" t="s">
        <v>176</v>
      </c>
      <c r="D20" s="7">
        <v>2022</v>
      </c>
      <c r="E20" s="8" t="s">
        <v>205</v>
      </c>
      <c r="F20" s="16">
        <v>44489</v>
      </c>
      <c r="G20" s="9">
        <v>137</v>
      </c>
      <c r="H20" s="9">
        <v>3301</v>
      </c>
      <c r="I20" s="9">
        <v>3164</v>
      </c>
      <c r="J20" s="9">
        <v>13.14</v>
      </c>
      <c r="K20" s="8" t="s">
        <v>190</v>
      </c>
    </row>
    <row r="21" spans="1:11">
      <c r="A21" s="7">
        <v>17</v>
      </c>
      <c r="B21" s="8" t="s">
        <v>44</v>
      </c>
      <c r="C21" s="8" t="s">
        <v>176</v>
      </c>
      <c r="D21" s="7">
        <v>2023</v>
      </c>
      <c r="E21" s="8" t="s">
        <v>206</v>
      </c>
      <c r="F21" s="16">
        <v>44854</v>
      </c>
      <c r="G21" s="9">
        <v>194</v>
      </c>
      <c r="H21" s="9">
        <v>2445</v>
      </c>
      <c r="I21" s="9">
        <v>2251</v>
      </c>
      <c r="J21" s="9">
        <v>13.14</v>
      </c>
      <c r="K21" s="8" t="s">
        <v>190</v>
      </c>
    </row>
    <row r="22" spans="1:11">
      <c r="A22" s="7">
        <v>18</v>
      </c>
      <c r="B22" s="8" t="s">
        <v>44</v>
      </c>
      <c r="C22" s="8" t="s">
        <v>176</v>
      </c>
      <c r="D22" s="7">
        <v>2024</v>
      </c>
      <c r="E22" s="8" t="s">
        <v>207</v>
      </c>
      <c r="F22" s="16">
        <v>45219</v>
      </c>
      <c r="G22" s="9">
        <v>69</v>
      </c>
      <c r="H22" s="9">
        <v>1719</v>
      </c>
      <c r="I22" s="9">
        <v>1650</v>
      </c>
      <c r="J22" s="9">
        <v>13.14</v>
      </c>
      <c r="K22" s="8" t="s">
        <v>190</v>
      </c>
    </row>
    <row r="23" spans="1:11">
      <c r="A23" s="7">
        <v>19</v>
      </c>
      <c r="B23" s="8" t="s">
        <v>44</v>
      </c>
      <c r="C23" s="8" t="s">
        <v>176</v>
      </c>
      <c r="D23" s="7">
        <v>2025</v>
      </c>
      <c r="E23" s="8" t="s">
        <v>208</v>
      </c>
      <c r="F23" s="16">
        <v>45586</v>
      </c>
      <c r="G23" s="9">
        <v>-103</v>
      </c>
      <c r="H23" s="9">
        <v>1446</v>
      </c>
      <c r="I23" s="9">
        <v>1549</v>
      </c>
      <c r="J23" s="9">
        <v>13</v>
      </c>
      <c r="K23" s="8" t="s">
        <v>190</v>
      </c>
    </row>
    <row r="24" spans="1:11">
      <c r="A24" s="7">
        <v>20</v>
      </c>
      <c r="B24" s="8" t="s">
        <v>44</v>
      </c>
      <c r="C24" s="8" t="s">
        <v>176</v>
      </c>
      <c r="D24" s="7">
        <v>2026</v>
      </c>
      <c r="E24" s="8" t="s">
        <v>209</v>
      </c>
      <c r="F24" s="16">
        <v>45950</v>
      </c>
      <c r="G24" s="9">
        <v>-82</v>
      </c>
      <c r="H24" s="9">
        <v>1228</v>
      </c>
      <c r="I24" s="9">
        <v>1310</v>
      </c>
      <c r="J24" s="9">
        <v>13.14</v>
      </c>
      <c r="K24" s="8" t="s">
        <v>190</v>
      </c>
    </row>
    <row r="26" spans="1:11" ht="28" customHeight="1">
      <c r="A26" s="5" t="s">
        <v>210</v>
      </c>
      <c r="B26" s="4" t="s">
        <v>211</v>
      </c>
      <c r="C26" s="4"/>
      <c r="D26" s="4"/>
      <c r="E26" s="4"/>
      <c r="F26" s="4"/>
      <c r="G26" s="4"/>
      <c r="H26" s="4"/>
      <c r="I26" s="4"/>
      <c r="J26" s="4"/>
      <c r="K26" s="4"/>
    </row>
  </sheetData>
  <autoFilter ref="A4:K24"/>
  <mergeCells count="3">
    <mergeCell ref="A1:K1"/>
    <mergeCell ref="A2:K2"/>
    <mergeCell ref="B26:K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4" width="12.7109375" customWidth="1"/>
    <col min="5" max="6" width="10.7109375" customWidth="1"/>
    <col min="7" max="13" width="12.7109375" customWidth="1"/>
    <col min="14" max="14" width="14.7109375" customWidth="1"/>
  </cols>
  <sheetData>
    <row r="1" spans="1:14" ht="24" customHeight="1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213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6" t="s">
        <v>22</v>
      </c>
      <c r="B4" s="6" t="s">
        <v>182</v>
      </c>
      <c r="C4" s="6" t="s">
        <v>214</v>
      </c>
      <c r="D4" s="6" t="s">
        <v>215</v>
      </c>
      <c r="E4" s="6" t="s">
        <v>216</v>
      </c>
      <c r="F4" s="6" t="s">
        <v>217</v>
      </c>
      <c r="G4" s="6" t="s">
        <v>218</v>
      </c>
      <c r="H4" s="6" t="s">
        <v>219</v>
      </c>
      <c r="I4" s="6" t="s">
        <v>220</v>
      </c>
      <c r="J4" s="6" t="s">
        <v>221</v>
      </c>
      <c r="K4" s="6" t="s">
        <v>222</v>
      </c>
      <c r="L4" s="6" t="s">
        <v>223</v>
      </c>
      <c r="M4" s="6" t="s">
        <v>224</v>
      </c>
      <c r="N4" s="6" t="s">
        <v>225</v>
      </c>
    </row>
    <row r="5" spans="1:14">
      <c r="A5" s="8" t="s">
        <v>47</v>
      </c>
      <c r="B5" s="8" t="s">
        <v>168</v>
      </c>
      <c r="C5" s="11">
        <f>COUNT('05 历史可比样本'!$G$5:$G$9)</f>
        <v>5</v>
      </c>
      <c r="D5" s="10">
        <f>AVERAGE('05 历史可比样本'!$G$5:$G$9)</f>
        <v>22.8</v>
      </c>
      <c r="E5" s="10">
        <f>STDEV('05 历史可比样本'!$G$5:$G$9)</f>
        <v>44.43768996960486</v>
      </c>
      <c r="F5" s="10">
        <f>MIN('05 历史可比样本'!$G$5:$G$9)</f>
        <v>-44.0</v>
      </c>
      <c r="G5" s="10">
        <f>PERCENTILE('05 历史可比样本'!$G$5:$G$9,0.05)</f>
        <v>-41.4</v>
      </c>
      <c r="H5" s="10">
        <f>PERCENTILE('05 历史可比样本'!$G$5:$G$9,0.25)</f>
        <v>-31.0</v>
      </c>
      <c r="I5" s="10">
        <f>PERCENTILE('05 历史可比样本'!$G$5:$G$9,0.5)</f>
        <v>19.0</v>
      </c>
      <c r="J5" s="10">
        <f>PERCENTILE('05 历史可比样本'!$G$5:$G$9,0.75)</f>
        <v>52.0</v>
      </c>
      <c r="K5" s="10">
        <f>PERCENTILE('05 历史可比样本'!$G$5:$G$9,0.95)</f>
        <v>104.79999999999998</v>
      </c>
      <c r="L5" s="10">
        <f>MAX('05 历史可比样本'!$G$5:$G$9)</f>
        <v>118.0</v>
      </c>
      <c r="M5" s="17">
        <f>IF(C5&lt;3,"",(COUNTIF('05 历史可比样本'!$G$5:$G$9,"&lt;"&amp;531.0)+0.5*COUNTIF('05 历史可比样本'!$G$5:$G$9,531.0))/C5*100)</f>
        <v>100.0</v>
      </c>
      <c r="N5" s="8" t="str">
        <f>IF(C5&lt;3,"样本不足",IF(L5="","",IF(OR(M5&lt;=5,M5&gt;=95),"极端","正常")))</f>
        <v>极端(近月升水)</v>
      </c>
    </row>
    <row r="6" spans="1:14">
      <c r="A6" s="8" t="s">
        <v>54</v>
      </c>
      <c r="B6" s="8" t="s">
        <v>171</v>
      </c>
      <c r="C6" s="11">
        <f>COUNT('05 历史可比样本'!$G$10:$G$14)</f>
        <v>5</v>
      </c>
      <c r="D6" s="10">
        <f>AVERAGE('05 历史可比样本'!$G$10:$G$14)</f>
        <v>13.6</v>
      </c>
      <c r="E6" s="10">
        <f>STDEV('05 历史可比样本'!$G$10:$G$14)</f>
        <v>50.33434650455927</v>
      </c>
      <c r="F6" s="10">
        <f>MIN('05 历史可比样本'!$G$10:$G$14)</f>
        <v>-70.0</v>
      </c>
      <c r="G6" s="10">
        <f>PERCENTILE('05 历史可比样本'!$G$10:$G$14,0.05)</f>
        <v>-62.4</v>
      </c>
      <c r="H6" s="10">
        <f>PERCENTILE('05 历史可比样本'!$G$10:$G$14,0.25)</f>
        <v>-32.0</v>
      </c>
      <c r="I6" s="10">
        <f>PERCENTILE('05 历史可比样本'!$G$10:$G$14,0.5)</f>
        <v>2.0</v>
      </c>
      <c r="J6" s="10">
        <f>PERCENTILE('05 历史可比样本'!$G$10:$G$14,0.75)</f>
        <v>52.0</v>
      </c>
      <c r="K6" s="10">
        <f>PERCENTILE('05 历史可比样本'!$G$10:$G$14,0.95)</f>
        <v>103.19999999999999</v>
      </c>
      <c r="L6" s="10">
        <f>MAX('05 历史可比样本'!$G$10:$G$14)</f>
        <v>116.0</v>
      </c>
      <c r="M6" s="17">
        <f>IF(C6&lt;3,"",(COUNTIF('05 历史可比样本'!$G$10:$G$14,"&lt;"&amp;258.0)+0.5*COUNTIF('05 历史可比样本'!$G$10:$G$14,258.0))/C6*100)</f>
        <v>100.0</v>
      </c>
      <c r="N6" s="8" t="str">
        <f>IF(C6&lt;3,"样本不足",IF(L6="","",IF(OR(M6&lt;=5,M6&gt;=95),"极端","正常")))</f>
        <v>极端(近月升水)</v>
      </c>
    </row>
    <row r="7" spans="1:14">
      <c r="A7" s="8" t="s">
        <v>35</v>
      </c>
      <c r="B7" s="8" t="s">
        <v>174</v>
      </c>
      <c r="C7" s="11">
        <f>COUNT('05 历史可比样本'!$G$15:$G$19)</f>
        <v>5</v>
      </c>
      <c r="D7" s="10">
        <f>AVERAGE('05 历史可比样本'!$G$15:$G$19)</f>
        <v>92.0</v>
      </c>
      <c r="E7" s="10">
        <f>STDEV('05 历史可比样本'!$G$15:$G$19)</f>
        <v>96.96048632218843</v>
      </c>
      <c r="F7" s="10">
        <f>MIN('05 历史可比样本'!$G$15:$G$19)</f>
        <v>-34.0</v>
      </c>
      <c r="G7" s="10">
        <f>PERCENTILE('05 历史可比样本'!$G$15:$G$19,0.05)</f>
        <v>-30.8</v>
      </c>
      <c r="H7" s="10">
        <f>PERCENTILE('05 历史可比样本'!$G$15:$G$19,0.25)</f>
        <v>-18.0</v>
      </c>
      <c r="I7" s="10">
        <f>PERCENTILE('05 历史可比样本'!$G$15:$G$19,0.5)</f>
        <v>46.0</v>
      </c>
      <c r="J7" s="10">
        <f>PERCENTILE('05 历史可比样本'!$G$15:$G$19,0.75)</f>
        <v>141.0</v>
      </c>
      <c r="K7" s="10">
        <f>PERCENTILE('05 历史可比样本'!$G$15:$G$19,0.95)</f>
        <v>288.19999999999993</v>
      </c>
      <c r="L7" s="10">
        <f>MAX('05 历史可比样本'!$G$15:$G$19)</f>
        <v>325.0</v>
      </c>
      <c r="M7" s="17">
        <f>IF(C7&lt;3,"",(COUNTIF('05 历史可比样本'!$G$15:$G$19,"&lt;"&amp;161.0)+0.5*COUNTIF('05 历史可比样本'!$G$15:$G$19,161.0))/C7*100)</f>
        <v>80.0</v>
      </c>
      <c r="N7" s="8" t="str">
        <f>IF(C7&lt;3,"样本不足",IF(L7="","",IF(OR(M7&lt;=5,M7&gt;=95),"极端","正常")))</f>
        <v>偏高(近月升水)</v>
      </c>
    </row>
    <row r="8" spans="1:14">
      <c r="A8" s="8" t="s">
        <v>44</v>
      </c>
      <c r="B8" s="8" t="s">
        <v>176</v>
      </c>
      <c r="C8" s="11">
        <f>COUNT('05 历史可比样本'!$G$20:$G$24)</f>
        <v>5</v>
      </c>
      <c r="D8" s="10">
        <f>AVERAGE('05 历史可比样本'!$G$20:$G$24)</f>
        <v>43.0</v>
      </c>
      <c r="E8" s="10">
        <f>STDEV('05 历史可比样本'!$G$20:$G$24)</f>
        <v>85.53191489361701</v>
      </c>
      <c r="F8" s="10">
        <f>MIN('05 历史可比样本'!$G$20:$G$24)</f>
        <v>-103.0</v>
      </c>
      <c r="G8" s="10">
        <f>PERCENTILE('05 历史可比样本'!$G$20:$G$24,0.05)</f>
        <v>-98.8</v>
      </c>
      <c r="H8" s="10">
        <f>PERCENTILE('05 历史可比样本'!$G$20:$G$24,0.25)</f>
        <v>-82.0</v>
      </c>
      <c r="I8" s="10">
        <f>PERCENTILE('05 历史可比样本'!$G$20:$G$24,0.5)</f>
        <v>69.0</v>
      </c>
      <c r="J8" s="10">
        <f>PERCENTILE('05 历史可比样本'!$G$20:$G$24,0.75)</f>
        <v>137.0</v>
      </c>
      <c r="K8" s="10">
        <f>PERCENTILE('05 历史可比样本'!$G$20:$G$24,0.95)</f>
        <v>182.6</v>
      </c>
      <c r="L8" s="10">
        <f>MAX('05 历史可比样本'!$G$20:$G$24)</f>
        <v>194.0</v>
      </c>
      <c r="M8" s="17">
        <f>IF(C8&lt;3,"",(COUNTIF('05 历史可比样本'!$G$20:$G$24,"&lt;"&amp;-64.0)+0.5*COUNTIF('05 历史可比样本'!$G$20:$G$24,-64.0))/C8*100)</f>
        <v>40.0</v>
      </c>
      <c r="N8" s="8" t="str">
        <f>IF(C8&lt;3,"样本不足",IF(L8="","",IF(OR(M8&lt;=5,M8&gt;=95),"极端","正常")))</f>
        <v>正常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34.7109375" customWidth="1"/>
    <col min="4" max="4" width="12.7109375" customWidth="1"/>
    <col min="5" max="5" width="10.7109375" customWidth="1"/>
    <col min="6" max="8" width="12.7109375" customWidth="1"/>
    <col min="9" max="9" width="34.7109375" customWidth="1"/>
    <col min="10" max="10" width="8.7109375" customWidth="1"/>
  </cols>
  <sheetData>
    <row r="1" spans="1:10" ht="24" customHeight="1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227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6" t="s">
        <v>22</v>
      </c>
      <c r="B4" s="6" t="s">
        <v>228</v>
      </c>
      <c r="C4" s="6" t="s">
        <v>229</v>
      </c>
      <c r="D4" s="6" t="s">
        <v>230</v>
      </c>
      <c r="E4" s="6" t="s">
        <v>231</v>
      </c>
      <c r="F4" s="6" t="s">
        <v>232</v>
      </c>
      <c r="G4" s="6" t="s">
        <v>233</v>
      </c>
      <c r="H4" s="6" t="s">
        <v>234</v>
      </c>
      <c r="I4" s="6" t="s">
        <v>235</v>
      </c>
      <c r="J4" s="6" t="s">
        <v>236</v>
      </c>
    </row>
    <row r="5" spans="1:10">
      <c r="A5" s="8" t="s">
        <v>35</v>
      </c>
      <c r="B5" s="8" t="s">
        <v>237</v>
      </c>
      <c r="C5" s="4" t="s">
        <v>238</v>
      </c>
      <c r="D5" s="7">
        <v>6633</v>
      </c>
      <c r="E5" s="8" t="s">
        <v>239</v>
      </c>
      <c r="F5" s="7">
        <v>0</v>
      </c>
      <c r="G5" s="12"/>
      <c r="H5" s="8" t="s">
        <v>240</v>
      </c>
      <c r="I5" s="4" t="s">
        <v>241</v>
      </c>
      <c r="J5" s="13" t="s">
        <v>242</v>
      </c>
    </row>
    <row r="6" spans="1:10">
      <c r="A6" s="8" t="s">
        <v>35</v>
      </c>
      <c r="B6" s="8" t="s">
        <v>243</v>
      </c>
      <c r="C6" s="4" t="s">
        <v>244</v>
      </c>
      <c r="D6" s="9">
        <v>30.51</v>
      </c>
      <c r="E6" s="8" t="s">
        <v>245</v>
      </c>
      <c r="F6" s="9">
        <v>-8.84</v>
      </c>
      <c r="G6" s="14">
        <v>-22.47</v>
      </c>
      <c r="H6" s="8" t="s">
        <v>246</v>
      </c>
      <c r="I6" s="4" t="s">
        <v>247</v>
      </c>
      <c r="J6" s="8" t="s">
        <v>248</v>
      </c>
    </row>
    <row r="7" spans="1:10">
      <c r="A7" s="8" t="s">
        <v>35</v>
      </c>
      <c r="B7" s="8" t="s">
        <v>243</v>
      </c>
      <c r="C7" s="4" t="s">
        <v>249</v>
      </c>
      <c r="D7" s="9">
        <v>30.44</v>
      </c>
      <c r="E7" s="8" t="s">
        <v>245</v>
      </c>
      <c r="F7" s="9">
        <v>5.62</v>
      </c>
      <c r="G7" s="14">
        <v>0</v>
      </c>
      <c r="H7" s="8" t="s">
        <v>250</v>
      </c>
      <c r="I7" s="4" t="s">
        <v>251</v>
      </c>
      <c r="J7" s="8" t="s">
        <v>248</v>
      </c>
    </row>
    <row r="8" spans="1:10">
      <c r="A8" s="8" t="s">
        <v>35</v>
      </c>
      <c r="B8" s="8" t="s">
        <v>252</v>
      </c>
      <c r="C8" s="4" t="s">
        <v>253</v>
      </c>
      <c r="D8" s="9">
        <v>3965</v>
      </c>
      <c r="E8" s="8" t="s">
        <v>254</v>
      </c>
      <c r="F8" s="12"/>
      <c r="G8" s="12"/>
      <c r="H8" s="8" t="s">
        <v>255</v>
      </c>
      <c r="I8" s="4" t="s">
        <v>256</v>
      </c>
      <c r="J8" s="13" t="s">
        <v>242</v>
      </c>
    </row>
    <row r="9" spans="1:10">
      <c r="A9" s="8" t="s">
        <v>35</v>
      </c>
      <c r="B9" s="8" t="s">
        <v>252</v>
      </c>
      <c r="C9" s="4" t="s">
        <v>257</v>
      </c>
      <c r="D9" s="9">
        <v>3085</v>
      </c>
      <c r="E9" s="8" t="s">
        <v>254</v>
      </c>
      <c r="F9" s="12"/>
      <c r="G9" s="12"/>
      <c r="H9" s="8" t="s">
        <v>255</v>
      </c>
      <c r="I9" s="4"/>
      <c r="J9" s="13" t="s">
        <v>242</v>
      </c>
    </row>
    <row r="10" spans="1:10">
      <c r="A10" s="8" t="s">
        <v>44</v>
      </c>
      <c r="B10" s="8" t="s">
        <v>237</v>
      </c>
      <c r="C10" s="4" t="s">
        <v>238</v>
      </c>
      <c r="D10" s="7">
        <v>3214</v>
      </c>
      <c r="E10" s="8" t="s">
        <v>239</v>
      </c>
      <c r="F10" s="7">
        <v>297</v>
      </c>
      <c r="G10" s="12"/>
      <c r="H10" s="8" t="s">
        <v>240</v>
      </c>
      <c r="I10" s="4" t="s">
        <v>241</v>
      </c>
      <c r="J10" s="13" t="s">
        <v>242</v>
      </c>
    </row>
    <row r="11" spans="1:10">
      <c r="A11" s="8" t="s">
        <v>44</v>
      </c>
      <c r="B11" s="8" t="s">
        <v>243</v>
      </c>
      <c r="C11" s="4" t="s">
        <v>258</v>
      </c>
      <c r="D11" s="9">
        <v>153.96</v>
      </c>
      <c r="E11" s="8" t="s">
        <v>245</v>
      </c>
      <c r="F11" s="9">
        <v>-8.93</v>
      </c>
      <c r="G11" s="14">
        <v>-5.48</v>
      </c>
      <c r="H11" s="8" t="s">
        <v>255</v>
      </c>
      <c r="I11" s="4" t="s">
        <v>259</v>
      </c>
      <c r="J11" s="13" t="s">
        <v>242</v>
      </c>
    </row>
    <row r="12" spans="1:10">
      <c r="A12" s="8" t="s">
        <v>44</v>
      </c>
      <c r="B12" s="8" t="s">
        <v>243</v>
      </c>
      <c r="C12" s="4" t="s">
        <v>260</v>
      </c>
      <c r="D12" s="9">
        <v>82.23</v>
      </c>
      <c r="E12" s="8" t="s">
        <v>245</v>
      </c>
      <c r="F12" s="9">
        <v>-3.15</v>
      </c>
      <c r="G12" s="14">
        <v>0</v>
      </c>
      <c r="H12" s="8" t="s">
        <v>255</v>
      </c>
      <c r="I12" s="4"/>
      <c r="J12" s="13" t="s">
        <v>242</v>
      </c>
    </row>
    <row r="13" spans="1:10">
      <c r="A13" s="8" t="s">
        <v>44</v>
      </c>
      <c r="B13" s="8" t="s">
        <v>243</v>
      </c>
      <c r="C13" s="4" t="s">
        <v>261</v>
      </c>
      <c r="D13" s="9">
        <v>71.73</v>
      </c>
      <c r="E13" s="8" t="s">
        <v>245</v>
      </c>
      <c r="F13" s="9">
        <v>-5.78</v>
      </c>
      <c r="G13" s="14">
        <v>0</v>
      </c>
      <c r="H13" s="8" t="s">
        <v>255</v>
      </c>
      <c r="I13" s="4"/>
      <c r="J13" s="13" t="s">
        <v>242</v>
      </c>
    </row>
    <row r="14" spans="1:10">
      <c r="A14" s="8" t="s">
        <v>44</v>
      </c>
      <c r="B14" s="8" t="s">
        <v>243</v>
      </c>
      <c r="C14" s="4" t="s">
        <v>262</v>
      </c>
      <c r="D14" s="9">
        <v>162.89</v>
      </c>
      <c r="E14" s="8" t="s">
        <v>245</v>
      </c>
      <c r="F14" s="9">
        <v>-8.130000000000001</v>
      </c>
      <c r="G14" s="14">
        <v>0</v>
      </c>
      <c r="H14" s="8" t="s">
        <v>250</v>
      </c>
      <c r="I14" s="4" t="s">
        <v>263</v>
      </c>
      <c r="J14" s="13" t="s">
        <v>242</v>
      </c>
    </row>
    <row r="15" spans="1:10">
      <c r="A15" s="8" t="s">
        <v>44</v>
      </c>
      <c r="B15" s="8" t="s">
        <v>243</v>
      </c>
      <c r="C15" s="4" t="s">
        <v>264</v>
      </c>
      <c r="D15" s="9">
        <v>177.87</v>
      </c>
      <c r="E15" s="8" t="s">
        <v>245</v>
      </c>
      <c r="F15" s="9">
        <v>1.94</v>
      </c>
      <c r="G15" s="14">
        <v>0</v>
      </c>
      <c r="H15" s="8" t="s">
        <v>246</v>
      </c>
      <c r="I15" s="4"/>
      <c r="J15" s="8" t="s">
        <v>248</v>
      </c>
    </row>
    <row r="16" spans="1:10">
      <c r="A16" s="8" t="s">
        <v>44</v>
      </c>
      <c r="B16" s="8" t="s">
        <v>252</v>
      </c>
      <c r="C16" s="4" t="s">
        <v>265</v>
      </c>
      <c r="D16" s="9">
        <v>951</v>
      </c>
      <c r="E16" s="8" t="s">
        <v>254</v>
      </c>
      <c r="F16" s="12"/>
      <c r="G16" s="12"/>
      <c r="H16" s="8" t="s">
        <v>255</v>
      </c>
      <c r="I16" s="4" t="s">
        <v>256</v>
      </c>
      <c r="J16" s="13" t="s">
        <v>242</v>
      </c>
    </row>
    <row r="17" spans="1:10">
      <c r="A17" s="8" t="s">
        <v>44</v>
      </c>
      <c r="B17" s="8" t="s">
        <v>252</v>
      </c>
      <c r="C17" s="4" t="s">
        <v>266</v>
      </c>
      <c r="D17" s="9">
        <v>1180</v>
      </c>
      <c r="E17" s="8" t="s">
        <v>254</v>
      </c>
      <c r="F17" s="12"/>
      <c r="G17" s="12"/>
      <c r="H17" s="8" t="s">
        <v>255</v>
      </c>
      <c r="I17" s="4"/>
      <c r="J17" s="8" t="s">
        <v>248</v>
      </c>
    </row>
    <row r="18" spans="1:10">
      <c r="A18" s="8" t="s">
        <v>47</v>
      </c>
      <c r="B18" s="8" t="s">
        <v>237</v>
      </c>
      <c r="C18" s="4" t="s">
        <v>238</v>
      </c>
      <c r="D18" s="7">
        <v>26390</v>
      </c>
      <c r="E18" s="8" t="s">
        <v>267</v>
      </c>
      <c r="F18" s="7">
        <v>0</v>
      </c>
      <c r="G18" s="12"/>
      <c r="H18" s="8" t="s">
        <v>255</v>
      </c>
      <c r="I18" s="4" t="s">
        <v>268</v>
      </c>
      <c r="J18" s="8" t="s">
        <v>248</v>
      </c>
    </row>
    <row r="19" spans="1:10">
      <c r="A19" s="8" t="s">
        <v>47</v>
      </c>
      <c r="B19" s="8" t="s">
        <v>243</v>
      </c>
      <c r="C19" s="4" t="s">
        <v>269</v>
      </c>
      <c r="D19" s="9">
        <v>62.08</v>
      </c>
      <c r="E19" s="8" t="s">
        <v>245</v>
      </c>
      <c r="F19" s="9">
        <v>-6.69</v>
      </c>
      <c r="G19" s="14">
        <v>-9.73</v>
      </c>
      <c r="H19" s="8" t="s">
        <v>270</v>
      </c>
      <c r="I19" s="4" t="s">
        <v>271</v>
      </c>
      <c r="J19" s="8" t="s">
        <v>248</v>
      </c>
    </row>
    <row r="20" spans="1:10">
      <c r="A20" s="8" t="s">
        <v>47</v>
      </c>
      <c r="B20" s="8" t="s">
        <v>243</v>
      </c>
      <c r="C20" s="4" t="s">
        <v>272</v>
      </c>
      <c r="D20" s="9">
        <v>79</v>
      </c>
      <c r="E20" s="8" t="s">
        <v>245</v>
      </c>
      <c r="F20" s="9">
        <v>0</v>
      </c>
      <c r="G20" s="14">
        <v>0</v>
      </c>
      <c r="H20" s="8" t="s">
        <v>250</v>
      </c>
      <c r="I20" s="4" t="s">
        <v>273</v>
      </c>
      <c r="J20" s="8" t="s">
        <v>248</v>
      </c>
    </row>
    <row r="21" spans="1:10">
      <c r="A21" s="8" t="s">
        <v>47</v>
      </c>
      <c r="B21" s="8" t="s">
        <v>252</v>
      </c>
      <c r="C21" s="4" t="s">
        <v>274</v>
      </c>
      <c r="D21" s="9">
        <v>10775</v>
      </c>
      <c r="E21" s="8" t="s">
        <v>254</v>
      </c>
      <c r="F21" s="12"/>
      <c r="G21" s="12"/>
      <c r="H21" s="8" t="s">
        <v>255</v>
      </c>
      <c r="I21" s="4" t="s">
        <v>275</v>
      </c>
      <c r="J21" s="8" t="s">
        <v>248</v>
      </c>
    </row>
    <row r="22" spans="1:10">
      <c r="A22" s="8" t="s">
        <v>47</v>
      </c>
      <c r="B22" s="8" t="s">
        <v>276</v>
      </c>
      <c r="C22" s="4" t="s">
        <v>277</v>
      </c>
      <c r="D22" s="9">
        <v>1436</v>
      </c>
      <c r="E22" s="8" t="s">
        <v>254</v>
      </c>
      <c r="F22" s="12"/>
      <c r="G22" s="12"/>
      <c r="H22" s="8" t="s">
        <v>255</v>
      </c>
      <c r="I22" s="4" t="s">
        <v>278</v>
      </c>
      <c r="J22" s="8" t="s">
        <v>279</v>
      </c>
    </row>
    <row r="23" spans="1:10">
      <c r="A23" s="8" t="s">
        <v>54</v>
      </c>
      <c r="B23" s="8" t="s">
        <v>237</v>
      </c>
      <c r="C23" s="4" t="s">
        <v>238</v>
      </c>
      <c r="D23" s="7">
        <v>34728</v>
      </c>
      <c r="E23" s="8" t="s">
        <v>280</v>
      </c>
      <c r="F23" s="7">
        <v>168</v>
      </c>
      <c r="G23" s="12"/>
      <c r="H23" s="8" t="s">
        <v>240</v>
      </c>
      <c r="I23" s="4" t="s">
        <v>241</v>
      </c>
      <c r="J23" s="13" t="s">
        <v>242</v>
      </c>
    </row>
    <row r="24" spans="1:10">
      <c r="A24" s="8" t="s">
        <v>54</v>
      </c>
      <c r="B24" s="8" t="s">
        <v>243</v>
      </c>
      <c r="C24" s="4" t="s">
        <v>281</v>
      </c>
      <c r="D24" s="9">
        <v>140</v>
      </c>
      <c r="E24" s="8" t="s">
        <v>245</v>
      </c>
      <c r="F24" s="9">
        <v>0</v>
      </c>
      <c r="G24" s="14">
        <v>0</v>
      </c>
      <c r="H24" s="8" t="s">
        <v>282</v>
      </c>
      <c r="I24" s="4" t="s">
        <v>283</v>
      </c>
      <c r="J24" s="8" t="s">
        <v>248</v>
      </c>
    </row>
    <row r="25" spans="1:10">
      <c r="A25" s="8" t="s">
        <v>54</v>
      </c>
      <c r="B25" s="8" t="s">
        <v>243</v>
      </c>
      <c r="C25" s="4" t="s">
        <v>284</v>
      </c>
      <c r="D25" s="9">
        <v>122.75</v>
      </c>
      <c r="E25" s="8" t="s">
        <v>245</v>
      </c>
      <c r="F25" s="9">
        <v>11.2</v>
      </c>
      <c r="G25" s="14">
        <v>9.119999999999999</v>
      </c>
      <c r="H25" s="8" t="s">
        <v>285</v>
      </c>
      <c r="I25" s="4" t="s">
        <v>286</v>
      </c>
      <c r="J25" s="8" t="s">
        <v>248</v>
      </c>
    </row>
    <row r="26" spans="1:10">
      <c r="A26" s="8" t="s">
        <v>54</v>
      </c>
      <c r="B26" s="8" t="s">
        <v>252</v>
      </c>
      <c r="C26" s="4" t="s">
        <v>287</v>
      </c>
      <c r="D26" s="9">
        <v>7054.5</v>
      </c>
      <c r="E26" s="8" t="s">
        <v>254</v>
      </c>
      <c r="F26" s="12"/>
      <c r="G26" s="12"/>
      <c r="H26" s="8" t="s">
        <v>255</v>
      </c>
      <c r="I26" s="4" t="s">
        <v>278</v>
      </c>
      <c r="J26" s="8" t="s">
        <v>279</v>
      </c>
    </row>
    <row r="27" spans="1:10">
      <c r="A27" s="8" t="s">
        <v>54</v>
      </c>
      <c r="B27" s="8" t="s">
        <v>276</v>
      </c>
      <c r="C27" s="4" t="s">
        <v>288</v>
      </c>
      <c r="D27" s="9">
        <v>670</v>
      </c>
      <c r="E27" s="8" t="s">
        <v>254</v>
      </c>
      <c r="F27" s="12"/>
      <c r="G27" s="12"/>
      <c r="H27" s="8" t="s">
        <v>255</v>
      </c>
      <c r="I27" s="4"/>
      <c r="J27" s="8" t="s">
        <v>279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70.7109375" customWidth="1"/>
    <col min="4" max="4" width="34.7109375" customWidth="1"/>
    <col min="5" max="5" width="16.7109375" customWidth="1"/>
  </cols>
  <sheetData>
    <row r="1" spans="1:5" ht="24" customHeight="1">
      <c r="A1" s="1" t="s">
        <v>289</v>
      </c>
      <c r="B1" s="1"/>
      <c r="C1" s="1"/>
      <c r="D1" s="1"/>
      <c r="E1" s="1"/>
    </row>
    <row r="2" spans="1:5" ht="18" customHeight="1">
      <c r="A2" s="2" t="s">
        <v>290</v>
      </c>
      <c r="B2" s="2"/>
      <c r="C2" s="2"/>
      <c r="D2" s="2"/>
      <c r="E2" s="2"/>
    </row>
    <row r="4" spans="1:5">
      <c r="A4" s="6" t="s">
        <v>22</v>
      </c>
      <c r="B4" s="6" t="s">
        <v>234</v>
      </c>
      <c r="C4" s="6" t="s">
        <v>291</v>
      </c>
      <c r="D4" s="6" t="s">
        <v>292</v>
      </c>
      <c r="E4" s="6" t="s">
        <v>293</v>
      </c>
    </row>
    <row r="5" spans="1:5" ht="30" customHeight="1">
      <c r="A5" s="8" t="s">
        <v>35</v>
      </c>
      <c r="B5" s="8" t="s">
        <v>294</v>
      </c>
      <c r="C5" s="4" t="s">
        <v>295</v>
      </c>
      <c r="D5" s="4" t="s">
        <v>296</v>
      </c>
      <c r="E5" s="8" t="s">
        <v>297</v>
      </c>
    </row>
    <row r="6" spans="1:5" ht="30" customHeight="1">
      <c r="A6" s="8" t="s">
        <v>35</v>
      </c>
      <c r="B6" s="8" t="s">
        <v>298</v>
      </c>
      <c r="C6" s="4" t="s">
        <v>299</v>
      </c>
      <c r="D6" s="4" t="s">
        <v>300</v>
      </c>
      <c r="E6" s="8" t="s">
        <v>297</v>
      </c>
    </row>
    <row r="7" spans="1:5" ht="30" customHeight="1">
      <c r="A7" s="8" t="s">
        <v>35</v>
      </c>
      <c r="B7" s="8" t="s">
        <v>301</v>
      </c>
      <c r="C7" s="4" t="s">
        <v>302</v>
      </c>
      <c r="D7" s="4" t="s">
        <v>303</v>
      </c>
      <c r="E7" s="8" t="s">
        <v>297</v>
      </c>
    </row>
    <row r="8" spans="1:5" ht="30" customHeight="1">
      <c r="A8" s="8" t="s">
        <v>35</v>
      </c>
      <c r="B8" s="8" t="s">
        <v>304</v>
      </c>
      <c r="C8" s="4" t="s">
        <v>305</v>
      </c>
      <c r="D8" s="4" t="s">
        <v>306</v>
      </c>
      <c r="E8" s="8" t="s">
        <v>307</v>
      </c>
    </row>
    <row r="9" spans="1:5" ht="30" customHeight="1">
      <c r="A9" s="8" t="s">
        <v>35</v>
      </c>
      <c r="B9" s="8" t="s">
        <v>308</v>
      </c>
      <c r="C9" s="4" t="s">
        <v>309</v>
      </c>
      <c r="D9" s="4" t="s">
        <v>310</v>
      </c>
      <c r="E9" s="8" t="s">
        <v>311</v>
      </c>
    </row>
    <row r="10" spans="1:5" ht="30" customHeight="1">
      <c r="A10" s="8" t="s">
        <v>35</v>
      </c>
      <c r="B10" s="8" t="s">
        <v>312</v>
      </c>
      <c r="C10" s="4" t="s">
        <v>313</v>
      </c>
      <c r="D10" s="4" t="s">
        <v>314</v>
      </c>
      <c r="E10" s="8" t="s">
        <v>311</v>
      </c>
    </row>
    <row r="11" spans="1:5" ht="30" customHeight="1">
      <c r="A11" s="8" t="s">
        <v>35</v>
      </c>
      <c r="B11" s="8" t="s">
        <v>315</v>
      </c>
      <c r="C11" s="4" t="s">
        <v>316</v>
      </c>
      <c r="D11" s="4" t="s">
        <v>317</v>
      </c>
      <c r="E11" s="8" t="s">
        <v>307</v>
      </c>
    </row>
    <row r="12" spans="1:5" ht="30" customHeight="1">
      <c r="A12" s="8" t="s">
        <v>35</v>
      </c>
      <c r="B12" s="8" t="s">
        <v>318</v>
      </c>
      <c r="C12" s="4" t="s">
        <v>319</v>
      </c>
      <c r="D12" s="4" t="s">
        <v>320</v>
      </c>
      <c r="E12" s="8" t="s">
        <v>307</v>
      </c>
    </row>
    <row r="13" spans="1:5" ht="30" customHeight="1">
      <c r="A13" s="8" t="s">
        <v>44</v>
      </c>
      <c r="B13" s="8" t="s">
        <v>246</v>
      </c>
      <c r="C13" s="4" t="s">
        <v>321</v>
      </c>
      <c r="D13" s="4" t="s">
        <v>322</v>
      </c>
      <c r="E13" s="8" t="s">
        <v>307</v>
      </c>
    </row>
    <row r="14" spans="1:5" ht="30" customHeight="1">
      <c r="A14" s="8" t="s">
        <v>44</v>
      </c>
      <c r="B14" s="8" t="s">
        <v>323</v>
      </c>
      <c r="C14" s="4" t="s">
        <v>324</v>
      </c>
      <c r="D14" s="4" t="s">
        <v>325</v>
      </c>
      <c r="E14" s="8" t="s">
        <v>326</v>
      </c>
    </row>
    <row r="15" spans="1:5" ht="30" customHeight="1">
      <c r="A15" s="8" t="s">
        <v>44</v>
      </c>
      <c r="B15" s="8" t="s">
        <v>327</v>
      </c>
      <c r="C15" s="4" t="s">
        <v>328</v>
      </c>
      <c r="D15" s="4" t="s">
        <v>329</v>
      </c>
      <c r="E15" s="8" t="s">
        <v>330</v>
      </c>
    </row>
    <row r="16" spans="1:5" ht="30" customHeight="1">
      <c r="A16" s="8" t="s">
        <v>44</v>
      </c>
      <c r="B16" s="8" t="s">
        <v>304</v>
      </c>
      <c r="C16" s="4" t="s">
        <v>331</v>
      </c>
      <c r="D16" s="4" t="s">
        <v>332</v>
      </c>
      <c r="E16" s="8" t="s">
        <v>326</v>
      </c>
    </row>
    <row r="17" spans="1:5" ht="30" customHeight="1">
      <c r="A17" s="8" t="s">
        <v>44</v>
      </c>
      <c r="B17" s="8" t="s">
        <v>333</v>
      </c>
      <c r="C17" s="4" t="s">
        <v>334</v>
      </c>
      <c r="D17" s="4" t="s">
        <v>335</v>
      </c>
      <c r="E17" s="8" t="s">
        <v>307</v>
      </c>
    </row>
    <row r="18" spans="1:5" ht="30" customHeight="1">
      <c r="A18" s="8" t="s">
        <v>44</v>
      </c>
      <c r="B18" s="8" t="s">
        <v>151</v>
      </c>
      <c r="C18" s="4" t="s">
        <v>336</v>
      </c>
      <c r="D18" s="4" t="s">
        <v>337</v>
      </c>
      <c r="E18" s="8" t="s">
        <v>307</v>
      </c>
    </row>
    <row r="19" spans="1:5" ht="30" customHeight="1">
      <c r="A19" s="8" t="s">
        <v>47</v>
      </c>
      <c r="B19" s="8" t="s">
        <v>301</v>
      </c>
      <c r="C19" s="4" t="s">
        <v>338</v>
      </c>
      <c r="D19" s="4" t="s">
        <v>339</v>
      </c>
      <c r="E19" s="8" t="s">
        <v>297</v>
      </c>
    </row>
    <row r="20" spans="1:5" ht="30" customHeight="1">
      <c r="A20" s="8" t="s">
        <v>47</v>
      </c>
      <c r="B20" s="8" t="s">
        <v>340</v>
      </c>
      <c r="C20" s="4" t="s">
        <v>341</v>
      </c>
      <c r="D20" s="4" t="s">
        <v>342</v>
      </c>
      <c r="E20" s="8" t="s">
        <v>330</v>
      </c>
    </row>
    <row r="21" spans="1:5" ht="30" customHeight="1">
      <c r="A21" s="8" t="s">
        <v>47</v>
      </c>
      <c r="B21" s="8" t="s">
        <v>343</v>
      </c>
      <c r="C21" s="4" t="s">
        <v>344</v>
      </c>
      <c r="D21" s="4" t="s">
        <v>345</v>
      </c>
      <c r="E21" s="8" t="s">
        <v>330</v>
      </c>
    </row>
    <row r="22" spans="1:5" ht="30" customHeight="1">
      <c r="A22" s="8" t="s">
        <v>47</v>
      </c>
      <c r="B22" s="8" t="s">
        <v>343</v>
      </c>
      <c r="C22" s="4" t="s">
        <v>346</v>
      </c>
      <c r="D22" s="4" t="s">
        <v>347</v>
      </c>
      <c r="E22" s="8" t="s">
        <v>330</v>
      </c>
    </row>
    <row r="23" spans="1:5" ht="30" customHeight="1">
      <c r="A23" s="8" t="s">
        <v>47</v>
      </c>
      <c r="B23" s="8" t="s">
        <v>348</v>
      </c>
      <c r="C23" s="4" t="s">
        <v>349</v>
      </c>
      <c r="D23" s="4" t="s">
        <v>350</v>
      </c>
      <c r="E23" s="8" t="s">
        <v>351</v>
      </c>
    </row>
    <row r="24" spans="1:5" ht="30" customHeight="1">
      <c r="A24" s="8" t="s">
        <v>47</v>
      </c>
      <c r="B24" s="8" t="s">
        <v>318</v>
      </c>
      <c r="C24" s="4" t="s">
        <v>352</v>
      </c>
      <c r="D24" s="4" t="s">
        <v>353</v>
      </c>
      <c r="E24" s="8" t="s">
        <v>330</v>
      </c>
    </row>
    <row r="25" spans="1:5" ht="30" customHeight="1">
      <c r="A25" s="8" t="s">
        <v>47</v>
      </c>
      <c r="B25" s="8" t="s">
        <v>354</v>
      </c>
      <c r="C25" s="4" t="s">
        <v>355</v>
      </c>
      <c r="D25" s="4" t="s">
        <v>356</v>
      </c>
      <c r="E25" s="8" t="s">
        <v>297</v>
      </c>
    </row>
    <row r="26" spans="1:5" ht="30" customHeight="1">
      <c r="A26" s="8" t="s">
        <v>54</v>
      </c>
      <c r="B26" s="8" t="s">
        <v>294</v>
      </c>
      <c r="C26" s="4" t="s">
        <v>357</v>
      </c>
      <c r="D26" s="4" t="s">
        <v>358</v>
      </c>
      <c r="E26" s="8" t="s">
        <v>297</v>
      </c>
    </row>
    <row r="27" spans="1:5" ht="30" customHeight="1">
      <c r="A27" s="8" t="s">
        <v>54</v>
      </c>
      <c r="B27" s="8" t="s">
        <v>359</v>
      </c>
      <c r="C27" s="4" t="s">
        <v>360</v>
      </c>
      <c r="D27" s="4" t="s">
        <v>361</v>
      </c>
      <c r="E27" s="8" t="s">
        <v>297</v>
      </c>
    </row>
    <row r="28" spans="1:5" ht="30" customHeight="1">
      <c r="A28" s="8" t="s">
        <v>54</v>
      </c>
      <c r="B28" s="8" t="s">
        <v>362</v>
      </c>
      <c r="C28" s="4" t="s">
        <v>363</v>
      </c>
      <c r="D28" s="4" t="s">
        <v>364</v>
      </c>
      <c r="E28" s="8" t="s">
        <v>330</v>
      </c>
    </row>
    <row r="29" spans="1:5" ht="30" customHeight="1">
      <c r="A29" s="8" t="s">
        <v>54</v>
      </c>
      <c r="B29" s="8" t="s">
        <v>270</v>
      </c>
      <c r="C29" s="4" t="s">
        <v>365</v>
      </c>
      <c r="D29" s="4" t="s">
        <v>366</v>
      </c>
      <c r="E29" s="8" t="s">
        <v>330</v>
      </c>
    </row>
    <row r="30" spans="1:5" ht="30" customHeight="1">
      <c r="A30" s="8" t="s">
        <v>54</v>
      </c>
      <c r="B30" s="8" t="s">
        <v>151</v>
      </c>
      <c r="C30" s="4" t="s">
        <v>367</v>
      </c>
      <c r="D30" s="4" t="s">
        <v>368</v>
      </c>
      <c r="E30" s="8" t="s">
        <v>330</v>
      </c>
    </row>
    <row r="31" spans="1:5" ht="30" customHeight="1">
      <c r="A31" s="8" t="s">
        <v>54</v>
      </c>
      <c r="B31" s="8" t="s">
        <v>151</v>
      </c>
      <c r="C31" s="4" t="s">
        <v>369</v>
      </c>
      <c r="D31" s="4" t="s">
        <v>370</v>
      </c>
      <c r="E31" s="8" t="s">
        <v>307</v>
      </c>
    </row>
    <row r="32" spans="1:5" ht="30" customHeight="1">
      <c r="A32" s="8" t="s">
        <v>54</v>
      </c>
      <c r="B32" s="8" t="s">
        <v>151</v>
      </c>
      <c r="C32" s="4" t="s">
        <v>371</v>
      </c>
      <c r="D32" s="4" t="s">
        <v>372</v>
      </c>
      <c r="E32" s="8" t="s">
        <v>307</v>
      </c>
    </row>
    <row r="33" spans="1:5" ht="30" customHeight="1">
      <c r="A33" s="8" t="s">
        <v>54</v>
      </c>
      <c r="B33" s="8" t="s">
        <v>373</v>
      </c>
      <c r="C33" s="4" t="s">
        <v>374</v>
      </c>
      <c r="D33" s="4" t="s">
        <v>375</v>
      </c>
      <c r="E33" s="8" t="s">
        <v>297</v>
      </c>
    </row>
    <row r="34" spans="1:5" ht="30" customHeight="1">
      <c r="A34" s="8" t="s">
        <v>54</v>
      </c>
      <c r="B34" s="8" t="s">
        <v>376</v>
      </c>
      <c r="C34" s="4" t="s">
        <v>377</v>
      </c>
      <c r="D34" s="4" t="s">
        <v>378</v>
      </c>
      <c r="E34" s="8" t="s">
        <v>297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46.7109375" customWidth="1"/>
    <col min="3" max="3" width="60.7109375" customWidth="1"/>
  </cols>
  <sheetData>
    <row r="1" spans="1:3" ht="24" customHeight="1">
      <c r="A1" s="1" t="s">
        <v>379</v>
      </c>
      <c r="B1" s="1"/>
      <c r="C1" s="1"/>
    </row>
    <row r="3" spans="1:3">
      <c r="A3" s="6" t="s">
        <v>229</v>
      </c>
      <c r="B3" s="6" t="s">
        <v>380</v>
      </c>
      <c r="C3" s="6" t="s">
        <v>381</v>
      </c>
    </row>
    <row r="4" spans="1:3" ht="26" customHeight="1">
      <c r="A4" s="8" t="s">
        <v>382</v>
      </c>
      <c r="B4" s="4" t="s">
        <v>383</v>
      </c>
      <c r="C4" s="4">
        <f>E-F（04 表 G 列）</f>
        <v>0</v>
      </c>
    </row>
    <row r="5" spans="1:3" ht="26" customHeight="1">
      <c r="A5" s="8" t="s">
        <v>384</v>
      </c>
      <c r="B5" s="4" t="s">
        <v>385</v>
      </c>
      <c r="C5" s="4">
        <f>(C-YEAR(DATEVALUE("2026-10-20")))*12+(D-MONTH(DATEVALUE("2026-10-20")))</f>
        <v>0</v>
      </c>
    </row>
    <row r="6" spans="1:3" ht="26" customHeight="1">
      <c r="A6" s="8" t="s">
        <v>386</v>
      </c>
      <c r="B6" s="4" t="s">
        <v>387</v>
      </c>
      <c r="C6" s="4">
        <f>C(n)-C(n-1)（03 表）</f>
        <v>0</v>
      </c>
    </row>
    <row r="7" spans="1:3" ht="26" customHeight="1">
      <c r="A7" s="8" t="s">
        <v>388</v>
      </c>
      <c r="B7" s="4" t="s">
        <v>389</v>
      </c>
      <c r="C7" s="4">
        <f>SLOPE(结算价区, 距交割月数区)；&lt;-3 判正向市场，&gt;3 判反向市场</f>
        <v>0</v>
      </c>
    </row>
    <row r="8" spans="1:3" ht="26" customHeight="1">
      <c r="A8" s="8" t="s">
        <v>390</v>
      </c>
      <c r="B8" s="4" t="s">
        <v>391</v>
      </c>
      <c r="C8" s="4" t="s">
        <v>392</v>
      </c>
    </row>
    <row r="9" spans="1:3" ht="26" customHeight="1">
      <c r="A9" s="8" t="s">
        <v>6</v>
      </c>
      <c r="B9" s="4" t="s">
        <v>393</v>
      </c>
      <c r="C9" s="4">
        <f>(COUNTIF(区间,"&lt;"&amp;当前)+0.5*COUNTIF(区间,当前))/N*100</f>
        <v>0</v>
      </c>
    </row>
    <row r="10" spans="1:3" ht="26" customHeight="1">
      <c r="A10" s="8" t="s">
        <v>160</v>
      </c>
      <c r="B10" s="4" t="s">
        <v>394</v>
      </c>
      <c r="C10" s="4">
        <f>AVERAGE(区间)</f>
        <v>0</v>
      </c>
    </row>
    <row r="11" spans="1:3" ht="26" customHeight="1">
      <c r="A11" s="8" t="s">
        <v>216</v>
      </c>
      <c r="B11" s="4" t="s">
        <v>395</v>
      </c>
      <c r="C11" s="4">
        <f>STDEV(区间)（n−1 分母）</f>
        <v>0</v>
      </c>
    </row>
    <row r="12" spans="1:3" ht="26" customHeight="1">
      <c r="A12" s="8" t="s">
        <v>396</v>
      </c>
      <c r="B12" s="4" t="s">
        <v>397</v>
      </c>
      <c r="C12" s="4">
        <f>(当前-AVERAGE(区间))/STDEV(区间)</f>
        <v>0</v>
      </c>
    </row>
    <row r="13" spans="1:3" ht="26" customHeight="1">
      <c r="A13" s="8" t="s">
        <v>163</v>
      </c>
      <c r="B13" s="4" t="s">
        <v>398</v>
      </c>
      <c r="C13" s="4">
        <f>G-K（04 表）</f>
        <v>0</v>
      </c>
    </row>
    <row r="14" spans="1:3" ht="26" customHeight="1">
      <c r="A14" s="8" t="s">
        <v>164</v>
      </c>
      <c r="B14" s="4" t="s">
        <v>399</v>
      </c>
      <c r="C14" s="4" t="s">
        <v>400</v>
      </c>
    </row>
    <row r="15" spans="1:3" ht="26" customHeight="1">
      <c r="A15" s="8" t="s">
        <v>401</v>
      </c>
      <c r="B15" s="4" t="s">
        <v>402</v>
      </c>
      <c r="C15" s="4" t="s">
        <v>403</v>
      </c>
    </row>
    <row r="16" spans="1:3" ht="26" customHeight="1">
      <c r="A16" s="8" t="s">
        <v>404</v>
      </c>
      <c r="B16" s="4" t="s">
        <v>405</v>
      </c>
      <c r="C16" s="4" t="s">
        <v>406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60.7109375" customWidth="1"/>
    <col min="4" max="4" width="50.7109375" customWidth="1"/>
  </cols>
  <sheetData>
    <row r="1" spans="1:4" ht="24" customHeight="1">
      <c r="A1" s="1" t="s">
        <v>407</v>
      </c>
      <c r="B1" s="1"/>
      <c r="C1" s="1"/>
      <c r="D1" s="1"/>
    </row>
    <row r="3" spans="1:4">
      <c r="A3" s="6" t="s">
        <v>22</v>
      </c>
      <c r="B3" s="6" t="s">
        <v>408</v>
      </c>
      <c r="C3" s="6" t="s">
        <v>409</v>
      </c>
      <c r="D3" s="6" t="s">
        <v>410</v>
      </c>
    </row>
    <row r="4" spans="1:4" ht="26" customHeight="1">
      <c r="A4" s="8" t="s">
        <v>35</v>
      </c>
      <c r="B4" s="8" t="s">
        <v>411</v>
      </c>
      <c r="C4" s="4" t="s">
        <v>73</v>
      </c>
      <c r="D4" s="4" t="s">
        <v>412</v>
      </c>
    </row>
    <row r="5" spans="1:4" ht="26" customHeight="1">
      <c r="A5" s="8" t="s">
        <v>44</v>
      </c>
      <c r="B5" s="8" t="s">
        <v>411</v>
      </c>
      <c r="C5" s="4" t="s">
        <v>73</v>
      </c>
      <c r="D5" s="4" t="s">
        <v>412</v>
      </c>
    </row>
    <row r="6" spans="1:4" ht="26" customHeight="1">
      <c r="A6" s="8" t="s">
        <v>47</v>
      </c>
      <c r="B6" s="8" t="s">
        <v>411</v>
      </c>
      <c r="C6" s="4" t="s">
        <v>73</v>
      </c>
      <c r="D6" s="4" t="s">
        <v>413</v>
      </c>
    </row>
    <row r="7" spans="1:4" ht="26" customHeight="1">
      <c r="A7" s="8" t="s">
        <v>54</v>
      </c>
      <c r="B7" s="8" t="s">
        <v>411</v>
      </c>
      <c r="C7" s="4" t="s">
        <v>73</v>
      </c>
      <c r="D7" s="4" t="s">
        <v>412</v>
      </c>
    </row>
    <row r="8" spans="1:4" ht="26" customHeight="1">
      <c r="A8" s="8" t="s">
        <v>54</v>
      </c>
      <c r="B8" s="8" t="s">
        <v>171</v>
      </c>
      <c r="C8" s="4" t="s">
        <v>414</v>
      </c>
      <c r="D8" s="4" t="s">
        <v>173</v>
      </c>
    </row>
    <row r="9" spans="1:4" ht="26" customHeight="1">
      <c r="A9" s="8" t="s">
        <v>411</v>
      </c>
      <c r="B9" s="8" t="s">
        <v>415</v>
      </c>
      <c r="C9" s="4" t="s">
        <v>416</v>
      </c>
      <c r="D9" s="4" t="s">
        <v>417</v>
      </c>
    </row>
    <row r="10" spans="1:4" ht="26" customHeight="1">
      <c r="A10" s="8" t="s">
        <v>411</v>
      </c>
      <c r="B10" s="8" t="s">
        <v>418</v>
      </c>
      <c r="C10" s="4" t="s">
        <v>419</v>
      </c>
      <c r="D10" s="4" t="s">
        <v>420</v>
      </c>
    </row>
    <row r="11" spans="1:4" ht="26" customHeight="1">
      <c r="A11" s="8" t="s">
        <v>411</v>
      </c>
      <c r="B11" s="8" t="s">
        <v>421</v>
      </c>
      <c r="C11" s="4" t="s">
        <v>422</v>
      </c>
      <c r="D11" s="4" t="s">
        <v>423</v>
      </c>
    </row>
    <row r="12" spans="1:4" ht="26" customHeight="1">
      <c r="A12" s="8" t="s">
        <v>411</v>
      </c>
      <c r="B12" s="8" t="s">
        <v>424</v>
      </c>
      <c r="C12" s="4" t="s">
        <v>425</v>
      </c>
      <c r="D12" s="4" t="s">
        <v>426</v>
      </c>
    </row>
    <row r="13" spans="1:4" ht="26" customHeight="1">
      <c r="A13" s="8" t="s">
        <v>411</v>
      </c>
      <c r="B13" s="8" t="s">
        <v>427</v>
      </c>
      <c r="C13" s="4" t="s">
        <v>428</v>
      </c>
      <c r="D13" s="4" t="s">
        <v>429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 说明与红线</vt:lpstr>
      <vt:lpstr>01 合约规则</vt:lpstr>
      <vt:lpstr>02 挂牌合约行情</vt:lpstr>
      <vt:lpstr>03 期限结构</vt:lpstr>
      <vt:lpstr>04 月差计算</vt:lpstr>
      <vt:lpstr>05 历史可比样本</vt:lpstr>
      <vt:lpstr>06 分位统计</vt:lpstr>
      <vt:lpstr>07 产业面</vt:lpstr>
      <vt:lpstr>08 供需事件</vt:lpstr>
      <vt:lpstr>09 公式说明</vt:lpstr>
      <vt:lpstr>10 数据质量与限制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2026-10-20T10:50:29Z</dcterms:created>
  <dcterms:modified xsi:type="dcterms:W3CDTF">2026-10-20T10:50:29Z</dcterms:modified>
</cp:coreProperties>
</file>
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说明" sheetId="1" state="visible" r:id="rId1"/>
    <sheet xmlns:r="http://schemas.openxmlformats.org/officeDocument/2006/relationships" name="01 口径与来源" sheetId="2" state="visible" r:id="rId2"/>
    <sheet xmlns:r="http://schemas.openxmlformats.org/officeDocument/2006/relationships" name="02 价格(主口径)" sheetId="3" state="visible" r:id="rId3"/>
    <sheet xmlns:r="http://schemas.openxmlformats.org/officeDocument/2006/relationships" name="03 价格(对照口径)" sheetId="4" state="visible" r:id="rId4"/>
    <sheet xmlns:r="http://schemas.openxmlformats.org/officeDocument/2006/relationships" name="04 价差明细" sheetId="5" state="visible" r:id="rId5"/>
    <sheet xmlns:r="http://schemas.openxmlformats.org/officeDocument/2006/relationships" name="05 价差矩阵" sheetId="6" state="visible" r:id="rId6"/>
    <sheet xmlns:r="http://schemas.openxmlformats.org/officeDocument/2006/relationships" name="06 历史分位" sheetId="7" state="visible" r:id="rId7"/>
    <sheet xmlns:r="http://schemas.openxmlformats.org/officeDocument/2006/relationships" name="07 滚动分位" sheetId="8" state="visible" r:id="rId8"/>
    <sheet xmlns:r="http://schemas.openxmlformats.org/officeDocument/2006/relationships" name="08 运输距离" sheetId="9" state="visible" r:id="rId9"/>
    <sheet xmlns:r="http://schemas.openxmlformats.org/officeDocument/2006/relationships" name="09 运费参数" sheetId="10" state="visible" r:id="rId10"/>
    <sheet xmlns:r="http://schemas.openxmlformats.org/officeDocument/2006/relationships" name="10 运费调整" sheetId="11" state="visible" r:id="rId11"/>
    <sheet xmlns:r="http://schemas.openxmlformats.org/officeDocument/2006/relationships" name="11 企业产能" sheetId="12" state="visible" r:id="rId12"/>
    <sheet xmlns:r="http://schemas.openxmlformats.org/officeDocument/2006/relationships" name="12 下游结构" sheetId="13" state="visible" r:id="rId13"/>
    <sheet xmlns:r="http://schemas.openxmlformats.org/officeDocument/2006/relationships" name="13 国标与规格" sheetId="14" state="visible" r:id="rId14"/>
    <sheet xmlns:r="http://schemas.openxmlformats.org/officeDocument/2006/relationships" name="14 区域事件" sheetId="15" state="visible" r:id="rId15"/>
    <sheet xmlns:r="http://schemas.openxmlformats.org/officeDocument/2006/relationships" name="15 数据质检" sheetId="16" state="visible" r:id="rId16"/>
    <sheet xmlns:r="http://schemas.openxmlformats.org/officeDocument/2006/relationships" name="16 计算公式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"/>
    <numFmt numFmtId="166" formatCode="+#,##0;-#,##0"/>
    <numFmt numFmtId="167" formatCode="0.0&quot;%&quot;"/>
    <numFmt numFmtId="168" formatCode="+#,##0.0;-#,##0.0"/>
    <numFmt numFmtId="169" formatCode="0.0%"/>
  </numFmts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5A6B7F"/>
      <sz val="9"/>
    </font>
    <font>
      <name val="Microsoft YaHei"/>
      <sz val="9.5"/>
    </font>
    <font>
      <name val="Microsoft YaHei"/>
      <b val="1"/>
      <color rgb="001B2A41"/>
      <sz val="11"/>
    </font>
    <font>
      <name val="Microsoft YaHei"/>
      <b val="1"/>
      <color rgb="00FFFFFF"/>
      <sz val="10.5"/>
    </font>
    <font>
      <name val="Microsoft YaHei"/>
      <sz val="10"/>
    </font>
    <font>
      <name val="Microsoft YaHei"/>
      <color rgb="002F6DB5"/>
      <sz val="8.5"/>
      <u val="single"/>
    </font>
    <font>
      <name val="Microsoft YaHei"/>
      <color rgb="00C0392B"/>
      <sz val="9"/>
    </font>
    <font>
      <name val="Microsoft YaHei"/>
      <b val="1"/>
      <color rgb="002F6DB5"/>
      <sz val="10"/>
    </font>
  </fonts>
  <fills count="10">
    <fill>
      <patternFill/>
    </fill>
    <fill>
      <patternFill patternType="gray125"/>
    </fill>
    <fill>
      <patternFill patternType="solid">
        <fgColor rgb="001B2A41"/>
      </patternFill>
    </fill>
    <fill>
      <patternFill patternType="solid">
        <fgColor rgb="00DCE9F7"/>
      </patternFill>
    </fill>
    <fill>
      <patternFill patternType="solid">
        <fgColor rgb="00F2F5F9"/>
      </patternFill>
    </fill>
    <fill>
      <patternFill patternType="solid">
        <fgColor rgb="002F6DB5"/>
      </patternFill>
    </fill>
    <fill>
      <patternFill patternType="solid">
        <fgColor rgb="00FFFFFF"/>
      </patternFill>
    </fill>
    <fill>
      <patternFill patternType="solid">
        <fgColor rgb="00FFF5D6"/>
      </patternFill>
    </fill>
    <fill>
      <patternFill patternType="solid">
        <fgColor rgb="00E3F4EA"/>
      </patternFill>
    </fill>
    <fill>
      <patternFill patternType="solid">
        <fgColor rgb="00FBE6E9"/>
      </patternFill>
    </fill>
  </fills>
  <borders count="6">
    <border>
      <left/>
      <right/>
      <top/>
      <bottom/>
      <diagonal/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  <border>
      <left/>
      <right/>
      <top style="thin">
        <color rgb="00D5DEE8"/>
      </top>
      <bottom/>
      <diagonal/>
    </border>
    <border>
      <left/>
      <right style="thin">
        <color rgb="00D5DEE8"/>
      </right>
      <top style="thin">
        <color rgb="00D5DEE8"/>
      </top>
      <bottom/>
      <diagonal/>
    </border>
    <border>
      <left/>
      <right style="thin">
        <color rgb="00D5DEE8"/>
      </right>
      <top style="thin">
        <color rgb="00D5DEE8"/>
      </top>
      <bottom style="thin">
        <color rgb="00D5DEE8"/>
      </bottom>
      <diagonal/>
    </border>
    <border>
      <left/>
      <right/>
      <top style="thin">
        <color rgb="00D5DEE8"/>
      </top>
      <bottom style="thin">
        <color rgb="00D5DEE8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top" wrapText="1"/>
    </xf>
    <xf numFmtId="3" fontId="6" fillId="0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  <xf numFmtId="0" fontId="6" fillId="0" borderId="1" pivotButton="0" quotePrefix="0" xfId="0"/>
    <xf numFmtId="165" fontId="9" fillId="0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5" pivotButton="0" quotePrefix="0" xfId="0"/>
    <xf numFmtId="3" fontId="6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2" fillId="3" borderId="1" applyAlignment="1" pivotButton="0" quotePrefix="0" xfId="0">
      <alignment horizontal="left" vertical="center" wrapText="1"/>
    </xf>
    <xf numFmtId="169" fontId="6" fillId="0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3F4EA"/>
        </patternFill>
      </fill>
    </dxf>
    <dxf>
      <fill>
        <patternFill patternType="solid">
          <fgColor rgb="00FBE6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重质纯碱 三地区价格走势（送到价（到厂/到库））</a:t>
            </a:r>
          </a:p>
        </rich>
      </tx>
    </title>
    <plotArea>
      <lineChart>
        <grouping val="standard"/>
        <ser>
          <idx val="0"/>
          <order val="0"/>
          <tx>
            <strRef>
              <f>'02 价格(主口径)'!B4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 价格(主口径)'!$A$5:$A$156</f>
            </numRef>
          </cat>
          <val>
            <numRef>
              <f>'02 价格(主口径)'!$B$5:$B$156</f>
            </numRef>
          </val>
        </ser>
        <ser>
          <idx val="1"/>
          <order val="1"/>
          <tx>
            <strRef>
              <f>'02 价格(主口径)'!C4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 价格(主口径)'!$A$5:$A$156</f>
            </numRef>
          </cat>
          <val>
            <numRef>
              <f>'02 价格(主口径)'!$C$5:$C$156</f>
            </numRef>
          </val>
        </ser>
        <ser>
          <idx val="2"/>
          <order val="2"/>
          <tx>
            <strRef>
              <f>'02 价格(主口径)'!D4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 价格(主口径)'!$A$5:$A$156</f>
            </numRef>
          </cat>
          <val>
            <numRef>
              <f>'02 价格(主口径)'!$D$5:$D$156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重质纯碱 三地区价格走势（出厂价（厂提））</a:t>
            </a:r>
          </a:p>
        </rich>
      </tx>
    </title>
    <plotArea>
      <lineChart>
        <grouping val="standard"/>
        <ser>
          <idx val="0"/>
          <order val="0"/>
          <tx>
            <strRef>
              <f>'03 价格(对照口径)'!B4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 价格(对照口径)'!$A$5:$A$158</f>
            </numRef>
          </cat>
          <val>
            <numRef>
              <f>'03 价格(对照口径)'!$B$5:$B$158</f>
            </numRef>
          </val>
        </ser>
        <ser>
          <idx val="1"/>
          <order val="1"/>
          <tx>
            <strRef>
              <f>'03 价格(对照口径)'!C4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 价格(对照口径)'!$A$5:$A$158</f>
            </numRef>
          </cat>
          <val>
            <numRef>
              <f>'03 价格(对照口径)'!$C$5:$C$158</f>
            </numRef>
          </val>
        </ser>
        <ser>
          <idx val="2"/>
          <order val="2"/>
          <tx>
            <strRef>
              <f>'03 价格(对照口径)'!D4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 价格(对照口径)'!$A$5:$A$158</f>
            </numRef>
          </cat>
          <val>
            <numRef>
              <f>'03 价格(对照口径)'!$D$5:$D$158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nance.sina.cn/futuremarket/qszx/2019-12-01/detail-iihnzahi4623500.d.html?vt=4" TargetMode="External" Id="rId1"/><Relationship Type="http://schemas.openxmlformats.org/officeDocument/2006/relationships/hyperlink" Target="https://nenghua.m.mysteel.com/a/25060416/98BCA1C064AACE9D_abc.html" TargetMode="External" Id="rId2"/><Relationship Type="http://schemas.openxmlformats.org/officeDocument/2006/relationships/hyperlink" Target="https://soda.100ppi.com" TargetMode="External" Id="rId3"/><Relationship Type="http://schemas.openxmlformats.org/officeDocument/2006/relationships/hyperlink" Target="https://finance.sina.com.cn/money/future/roll/2025-01-03/doc-inecsvux6433846.shtml" TargetMode="External" Id="rId4"/><Relationship Type="http://schemas.openxmlformats.org/officeDocument/2006/relationships/hyperlink" Target="https://www.stcn.com/article/detail/1077670.html" TargetMode="External" Id="rId5"/><Relationship Type="http://schemas.openxmlformats.org/officeDocument/2006/relationships/hyperlink" Target="http://www.lyg.gov.cn/zglygzfmhwz/gcyw/content/3ad7d8d1-8a2a-4683-82b5-4766ac84985e.html" TargetMode="External" Id="rId6"/><Relationship Type="http://schemas.openxmlformats.org/officeDocument/2006/relationships/hyperlink" Target="https://www.chinasoda.com.cn/cn/datainfo.aspx?faid=578&amp;rid=12963" TargetMode="External" Id="rId7"/><Relationship Type="http://schemas.openxmlformats.org/officeDocument/2006/relationships/hyperlink" Target="https://www.7hcn.com/article/458274-1.html" TargetMode="External" Id="rId8"/><Relationship Type="http://schemas.openxmlformats.org/officeDocument/2006/relationships/hyperlink" Target="https://np-newsimg.dfcfw.com/download/A2_cms_f_20231123161555494870?direct=1&amp;abc7363.pdf" TargetMode="External" Id="rId9"/><Relationship Type="http://schemas.openxmlformats.org/officeDocument/2006/relationships/hyperlink" Target="https://pdf.dfcfw.com/pdf/H3_AP202205101564746575_1.pdf" TargetMode="External" Id="rId10"/><Relationship Type="http://schemas.openxmlformats.org/officeDocument/2006/relationships/hyperlink" Target="https://www.haihua.com.cn/About_11/1664471386467147776.html" TargetMode="External" Id="rId11"/><Relationship Type="http://schemas.openxmlformats.org/officeDocument/2006/relationships/hyperlink" Target="https://www.stcn.com/article/detail/1580785.html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2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" t="inlineStr">
        <is>
          <t>重质纯碱 区域价差研究工作簿</t>
        </is>
      </c>
    </row>
    <row r="2" ht="30" customHeight="1">
      <c r="A2" s="2" t="inlineStr">
        <is>
          <t>覆盖：山东 / 河北 / 江苏 ｜ 单位：元/吨 ｜ 频率：weekly ｜ 样本：2023-01-06 ~ 2025-12-26（152 期）</t>
        </is>
      </c>
    </row>
    <row r="4" ht="18" customHeight="1">
      <c r="A4" s="3" t="inlineStr">
        <is>
          <t>数据状态</t>
        </is>
      </c>
      <c r="B4" s="4" t="inlineStr">
        <is>
          <t>DEMO  ← DEMO 拟真数据，非真实报价，不得用于交易或对外引用</t>
        </is>
      </c>
    </row>
    <row r="5" ht="18" customHeight="1">
      <c r="A5" s="3" t="inlineStr">
        <is>
          <t>产品 / 规格</t>
        </is>
      </c>
      <c r="B5" s="4" t="inlineStr">
        <is>
          <t>重质纯碱 ｜ GB/T 210-2022《工业碳酸钠》Ⅱ类优等品，Na₂CO₃ ≥ 99.2%（干基）</t>
        </is>
      </c>
    </row>
    <row r="6" ht="30" customHeight="1">
      <c r="A6" s="3" t="inlineStr">
        <is>
          <t>主口径</t>
        </is>
      </c>
      <c r="B6" s="4" t="inlineStr">
        <is>
          <t>送到价（到厂/到库）：国内纯碱统计规范：轻碱统一采用出厂价，【重碱除西北以外地区采用送到价】。山东、河北、江苏的重碱报价默认即送到价，三地同口径，可直接相减。</t>
        </is>
      </c>
    </row>
    <row r="7" ht="30" customHeight="1">
      <c r="A7" s="3" t="inlineStr">
        <is>
          <t>对照口径</t>
        </is>
      </c>
      <c r="B7" s="4" t="inlineStr">
        <is>
          <t>出厂价（厂提）：对照口径。用于展示『同一批货离开工厂时的价差』，并把运费显性化。山东海化、山东海天、唐山三友、苏盐井神等均为郑商所纯碱交割厂库，厂提价可核。</t>
        </is>
      </c>
    </row>
    <row r="8" ht="18" customHeight="1">
      <c r="A8" s="3" t="inlineStr">
        <is>
          <t>减法方向</t>
        </is>
      </c>
      <c r="B8" s="4" t="inlineStr">
        <is>
          <t>价差 = 价(甲) − 价(乙)；正数表示甲比乙贵。矩阵为「行 − 列」。</t>
        </is>
      </c>
    </row>
    <row r="9" ht="18" customHeight="1">
      <c r="A9" s="3" t="inlineStr">
        <is>
          <t>对齐规则</t>
        </is>
      </c>
      <c r="B9" s="4" t="inlineStr">
        <is>
          <t>ISO 周对齐（周五锚）；三地同周均有报价才进入价差样本，缺口剔除、不插值。</t>
        </is>
      </c>
    </row>
    <row r="10" ht="18" customHeight="1">
      <c r="A10" s="3" t="inlineStr">
        <is>
          <t>分位算法</t>
        </is>
      </c>
      <c r="B10" s="4" t="inlineStr">
        <is>
          <t>经验分布 ECDF：(#{x&lt;v} + 0.5·#{x=v}) / N × 100%，不假设正态。</t>
        </is>
      </c>
    </row>
    <row r="11" ht="18" customHeight="1">
      <c r="A11" s="3" t="inlineStr">
        <is>
          <t>运费口径</t>
        </is>
      </c>
      <c r="B11" s="4" t="inlineStr">
        <is>
          <t>综合运费 = 主运费 + 装货费 + 卸货费 + 短驳费 + 其他；任一项未知则总额为空，不按 0 计。</t>
        </is>
      </c>
    </row>
    <row r="12" ht="18" customHeight="1">
      <c r="A12" s="3" t="inlineStr">
        <is>
          <t>生成日期</t>
        </is>
      </c>
      <c r="B12" s="4" t="inlineStr">
        <is>
          <t>2026-10-20</t>
        </is>
      </c>
    </row>
    <row r="14">
      <c r="A14" s="5" t="inlineStr">
        <is>
          <t>工作表导览</t>
        </is>
      </c>
    </row>
    <row r="15" ht="18" customHeight="1">
      <c r="A15" s="3" t="inlineStr">
        <is>
          <t>01 口径与来源</t>
        </is>
      </c>
      <c r="B15" s="4" t="inlineStr">
        <is>
          <t>五要素核对：规格/税率/计量/交付/付款 + 来源与口径风险</t>
        </is>
      </c>
    </row>
    <row r="16" ht="18" customHeight="1">
      <c r="A16" s="3" t="inlineStr">
        <is>
          <t>02 价格(主口径)</t>
        </is>
      </c>
      <c r="B16" s="4" t="inlineStr">
        <is>
          <t>三地区周度价格（用户输入区，改这里→全表重算）+ 走势图</t>
        </is>
      </c>
    </row>
    <row r="17" ht="18" customHeight="1">
      <c r="A17" s="3" t="inlineStr">
        <is>
          <t>03 价格(对照口径)</t>
        </is>
      </c>
      <c r="B17" s="4" t="inlineStr">
        <is>
          <t>出厂价口径价格序列，用于口径对照</t>
        </is>
      </c>
    </row>
    <row r="18" ht="18" customHeight="1">
      <c r="A18" s="3" t="inlineStr">
        <is>
          <t>04 价差明细</t>
        </is>
      </c>
      <c r="B18" s="4" t="inlineStr">
        <is>
          <t>全部有序对价差，原生公式 =B-A</t>
        </is>
      </c>
    </row>
    <row r="19" ht="18" customHeight="1">
      <c r="A19" s="3" t="inlineStr">
        <is>
          <t>05 价差矩阵</t>
        </is>
      </c>
      <c r="B19" s="4" t="inlineStr">
        <is>
          <t>行−列矩阵，含等价校验与颜色刻度</t>
        </is>
      </c>
    </row>
    <row r="20" ht="18" customHeight="1">
      <c r="A20" s="3" t="inlineStr">
        <is>
          <t>06 历史分位</t>
        </is>
      </c>
      <c r="B20" s="4" t="inlineStr">
        <is>
          <t>当前价差在 1 年 / 3 年 / 全样本中的分位（公式实现）</t>
        </is>
      </c>
    </row>
    <row r="21" ht="18" customHeight="1">
      <c r="A21" s="3" t="inlineStr">
        <is>
          <t>07 滚动分位</t>
        </is>
      </c>
      <c r="B21" s="4" t="inlineStr">
        <is>
          <t>滚动 1 年分位曲线数据</t>
        </is>
      </c>
    </row>
    <row r="22" ht="18" customHeight="1">
      <c r="A22" s="3" t="inlineStr">
        <is>
          <t>08 运输距离</t>
        </is>
      </c>
      <c r="B22" s="4" t="inlineStr">
        <is>
          <t>三地公路里程 + 已核实参考点（阿拉善—石家庄 1500km 等）</t>
        </is>
      </c>
    </row>
    <row r="23" ht="18" customHeight="1">
      <c r="A23" s="3" t="inlineStr">
        <is>
          <t>09 运费参数</t>
        </is>
      </c>
      <c r="B23" s="4" t="inlineStr">
        <is>
          <t>★ 运费输入区：真实报价优先；默认参考值可直接改</t>
        </is>
      </c>
    </row>
    <row r="24" ht="18" customHeight="1">
      <c r="A24" s="3" t="inlineStr">
        <is>
          <t>10 运费调整</t>
        </is>
      </c>
      <c r="B24" s="4" t="inlineStr">
        <is>
          <t>按方向计算 综合运费 / 到货成本 / 扣费后参考差异</t>
        </is>
      </c>
    </row>
    <row r="25" ht="18" customHeight="1">
      <c r="A25" s="3" t="inlineStr">
        <is>
          <t>11 企业产能</t>
        </is>
      </c>
      <c r="B25" s="4" t="inlineStr">
        <is>
          <t>企业级可核实产能（省级合计未查到者不给假数）</t>
        </is>
      </c>
    </row>
    <row r="26" ht="18" customHeight="1">
      <c r="A26" s="3" t="inlineStr">
        <is>
          <t>12 下游结构</t>
        </is>
      </c>
      <c r="B26" s="4" t="inlineStr">
        <is>
          <t>全国工艺结构与下游；省级拆分为示意并标注</t>
        </is>
      </c>
    </row>
    <row r="27" ht="18" customHeight="1">
      <c r="A27" s="3" t="inlineStr">
        <is>
          <t>13 国标与规格</t>
        </is>
      </c>
      <c r="B27" s="4" t="inlineStr">
        <is>
          <t>GB/T 210-2022、期货交割品、包装、税率依据</t>
        </is>
      </c>
    </row>
    <row r="28" ht="18" customHeight="1">
      <c r="A28" s="3" t="inlineStr">
        <is>
          <t>14 区域事件</t>
        </is>
      </c>
      <c r="B28" s="4" t="inlineStr">
        <is>
          <t>可核对的事件日历（装置/产能/需求/物流/政策/口径）</t>
        </is>
      </c>
    </row>
    <row r="29" ht="18" customHeight="1">
      <c r="A29" s="3" t="inlineStr">
        <is>
          <t>15 数据质检</t>
        </is>
      </c>
      <c r="B29" s="4" t="inlineStr">
        <is>
          <t>缺口、滞后、样本量、口径一致性检查</t>
        </is>
      </c>
    </row>
    <row r="30" ht="18" customHeight="1">
      <c r="A30" s="3" t="inlineStr">
        <is>
          <t>16 计算公式</t>
        </is>
      </c>
      <c r="B30" s="4" t="inlineStr">
        <is>
          <t>每个单元格公式的含义、Excel 写法、与 Python 的对应关系</t>
        </is>
      </c>
    </row>
  </sheetData>
  <mergeCells count="27">
    <mergeCell ref="B9:H9"/>
    <mergeCell ref="B6:H6"/>
    <mergeCell ref="B24:H24"/>
    <mergeCell ref="B30:H30"/>
    <mergeCell ref="B15:H15"/>
    <mergeCell ref="A1:H1"/>
    <mergeCell ref="B5:H5"/>
    <mergeCell ref="B20:H20"/>
    <mergeCell ref="B26:H26"/>
    <mergeCell ref="B4:H4"/>
    <mergeCell ref="B16:H16"/>
    <mergeCell ref="B7:H7"/>
    <mergeCell ref="B25:H25"/>
    <mergeCell ref="B22:H22"/>
    <mergeCell ref="B18:H18"/>
    <mergeCell ref="B27:H27"/>
    <mergeCell ref="B21:H21"/>
    <mergeCell ref="A2:H2"/>
    <mergeCell ref="B12:H12"/>
    <mergeCell ref="B11:H11"/>
    <mergeCell ref="B23:H23"/>
    <mergeCell ref="B8:H8"/>
    <mergeCell ref="B17:H17"/>
    <mergeCell ref="B29:H29"/>
    <mergeCell ref="B10:H10"/>
    <mergeCell ref="B19:H19"/>
    <mergeCell ref="B28:H28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I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2" customWidth="1" min="4" max="4"/>
    <col width="9" customWidth="1" min="5" max="5"/>
    <col width="12" customWidth="1" min="6" max="6"/>
    <col width="40" customWidth="1" min="7" max="7"/>
    <col width="46" customWidth="1" min="8" max="8"/>
    <col width="10" customWidth="1" min="9" max="9"/>
  </cols>
  <sheetData>
    <row r="1" ht="30" customHeight="1">
      <c r="A1" s="1" t="inlineStr">
        <is>
          <t>口径与来源（多地区可比性的第一道关）</t>
        </is>
      </c>
    </row>
    <row r="2" ht="30" customHeight="1">
      <c r="A2" s="2" t="inlineStr">
        <is>
          <t>同一张表回答：三地区卖的是不是同一个东西、同一个税基、同一个交货方式、同一个时点。</t>
        </is>
      </c>
    </row>
    <row r="3" ht="30" customHeight="1">
      <c r="A3" s="6" t="inlineStr">
        <is>
          <t>地区</t>
        </is>
      </c>
      <c r="B3" s="6" t="inlineStr">
        <is>
          <t>代表市场</t>
        </is>
      </c>
      <c r="C3" s="6" t="inlineStr">
        <is>
          <t>报价口径</t>
        </is>
      </c>
      <c r="D3" s="6" t="inlineStr">
        <is>
          <t>交付方式</t>
        </is>
      </c>
      <c r="E3" s="6" t="inlineStr">
        <is>
          <t>付款方式</t>
        </is>
      </c>
      <c r="F3" s="6" t="inlineStr">
        <is>
          <t>税基</t>
        </is>
      </c>
      <c r="G3" s="6" t="inlineStr">
        <is>
          <t>来源与样本</t>
        </is>
      </c>
      <c r="H3" s="6" t="inlineStr">
        <is>
          <t>口径风险</t>
        </is>
      </c>
      <c r="I3" s="6" t="inlineStr">
        <is>
          <t>供需角色</t>
        </is>
      </c>
    </row>
    <row r="4" ht="62" customHeight="1">
      <c r="A4" s="7" t="inlineStr">
        <is>
          <t>山东</t>
        </is>
      </c>
      <c r="B4" s="7" t="inlineStr">
        <is>
          <t>潍坊</t>
        </is>
      </c>
      <c r="C4" s="4" t="inlineStr">
        <is>
          <t>重碱送到价（含13%增值税、现汇）</t>
        </is>
      </c>
      <c r="D4" s="8" t="inlineStr">
        <is>
          <t>DELIVERED</t>
        </is>
      </c>
      <c r="E4" s="8" t="inlineStr">
        <is>
          <t>现汇</t>
        </is>
      </c>
      <c r="F4" s="8" t="inlineStr">
        <is>
          <t>含13%增值税</t>
        </is>
      </c>
      <c r="G4" s="4" t="inlineStr">
        <is>
          <t>卓创资讯 / 隆众资讯 华东纯碱日报（潍坊），厂库核对：山东海化、山东海天生物化工</t>
        </is>
      </c>
      <c r="H4" s="4" t="inlineStr">
        <is>
          <t>潍坊主产区出厂与『送到淄博/潍坊下游』之间存在短途差价；山东口径在部分机构按『潍坊出厂』、部分按『潍坊送到』，切换机构即视为口径断点。山东海化产能存在 280 万吨（上市公司口径）/300 万吨（资讯口径）两个流通值。</t>
        </is>
      </c>
      <c r="I4" s="8" t="inlineStr">
        <is>
          <t>净调出</t>
        </is>
      </c>
    </row>
    <row r="5" ht="62" customHeight="1">
      <c r="A5" s="7" t="inlineStr">
        <is>
          <t>河北</t>
        </is>
      </c>
      <c r="B5" s="7" t="inlineStr">
        <is>
          <t>沙河</t>
        </is>
      </c>
      <c r="C5" s="4" t="inlineStr">
        <is>
          <t>重碱送到价（含13%增值税、现汇），以沙河及周边为交割地</t>
        </is>
      </c>
      <c r="D5" s="8" t="inlineStr">
        <is>
          <t>DELIVERED</t>
        </is>
      </c>
      <c r="E5" s="8" t="inlineStr">
        <is>
          <t>现汇</t>
        </is>
      </c>
      <c r="F5" s="8" t="inlineStr">
        <is>
          <t>含13%增值税</t>
        </is>
      </c>
      <c r="G5" s="4" t="inlineStr">
        <is>
          <t>隆众资讯《沙河及周边贸易价格行情》（我的钢铁网转载）；厂库核对：唐山三友化工（郑商所指定厂库）、沙玻玻璃物流沙河（指定厂库）</t>
        </is>
      </c>
      <c r="H5" s="4" t="inlineStr">
        <is>
          <t>河北同时存在三种报价：①期现交割库出库价、②送到价、③厂提价（按 SA 合约升贴水报）。2025-06-04 同日实测：交割库出库 1220 元/吨 vs 送到 1270—1320 元/吨，短途物流+装卸溢价 50—100 元/吨。河北的产业角色更偏消费与集散（沙河），而非生产。</t>
        </is>
      </c>
      <c r="I5" s="8" t="inlineStr">
        <is>
          <t>生产+集散</t>
        </is>
      </c>
    </row>
    <row r="6" ht="62" customHeight="1">
      <c r="A6" s="7" t="inlineStr">
        <is>
          <t>江苏</t>
        </is>
      </c>
      <c r="B6" s="7" t="inlineStr">
        <is>
          <t>连云港</t>
        </is>
      </c>
      <c r="C6" s="4" t="inlineStr">
        <is>
          <t>重碱送到价（含13%增值税、现汇）</t>
        </is>
      </c>
      <c r="D6" s="8" t="inlineStr">
        <is>
          <t>DELIVERED</t>
        </is>
      </c>
      <c r="E6" s="8" t="inlineStr">
        <is>
          <t>现汇</t>
        </is>
      </c>
      <c r="F6" s="8" t="inlineStr">
        <is>
          <t>含13%增值税</t>
        </is>
      </c>
      <c r="G6" s="4" t="inlineStr">
        <is>
          <t>卓创资讯 / 隆众资讯 华东纯碱日报（连云港、徐州）；厂库核对：苏盐井神（2024-11 增设纯碱交割厂库）、江苏华昌化工、中盐昆山</t>
        </is>
      </c>
      <c r="H6" s="4" t="inlineStr">
        <is>
          <t>连云港碱业老厂已于 2021—2022 年间关停（协会 2022-12 分企业产量为 0），新厂 110 万吨联碱于 2025-05-18 投产——江苏供给格局在样本期内发生过置换，必须分段解释。江苏无海港直达山东的水路优势，京杭运河船期受水位影响。</t>
        </is>
      </c>
      <c r="I6" s="8" t="inlineStr">
        <is>
          <t>净调入</t>
        </is>
      </c>
    </row>
    <row r="8">
      <c r="A8" s="5" t="inlineStr">
        <is>
          <t>口径核对清单</t>
        </is>
      </c>
    </row>
    <row r="9" ht="30" customHeight="1">
      <c r="A9" s="6" t="inlineStr">
        <is>
          <t>项</t>
        </is>
      </c>
      <c r="B9" s="6" t="inlineStr">
        <is>
          <t>检查问题</t>
        </is>
      </c>
      <c r="C9" s="6" t="inlineStr">
        <is>
          <t>状态</t>
        </is>
      </c>
      <c r="D9" s="6" t="inlineStr">
        <is>
          <t>处理动作</t>
        </is>
      </c>
      <c r="E9" s="6" t="inlineStr"/>
      <c r="F9" s="6" t="inlineStr"/>
      <c r="G9" s="6" t="inlineStr"/>
      <c r="H9" s="6" t="inlineStr"/>
      <c r="I9" s="6" t="inlineStr"/>
    </row>
    <row r="11">
      <c r="A11" s="5" t="inlineStr">
        <is>
          <t>数据来源</t>
        </is>
      </c>
    </row>
    <row r="12" ht="30" customHeight="1">
      <c r="A12" s="6" t="inlineStr">
        <is>
          <t>编号</t>
        </is>
      </c>
      <c r="B12" s="6" t="inlineStr">
        <is>
          <t>来源</t>
        </is>
      </c>
      <c r="C12" s="6" t="inlineStr">
        <is>
          <t>日期</t>
        </is>
      </c>
      <c r="D12" s="6" t="inlineStr">
        <is>
          <t>覆盖内容</t>
        </is>
      </c>
      <c r="E12" s="6" t="inlineStr">
        <is>
          <t>链接</t>
        </is>
      </c>
      <c r="F12" s="6" t="inlineStr">
        <is>
          <t>状态</t>
        </is>
      </c>
      <c r="G12" s="6" t="inlineStr"/>
      <c r="H12" s="6" t="inlineStr"/>
      <c r="I12" s="6" t="inlineStr"/>
    </row>
    <row r="13" ht="34" customHeight="1">
      <c r="A13" s="8" t="inlineStr">
        <is>
          <t>S1</t>
        </is>
      </c>
      <c r="B13" s="4" t="inlineStr">
        <is>
          <t>期货日报《纯碱的物流仓储与价格政策介绍》</t>
        </is>
      </c>
      <c r="C13" s="9" t="n">
        <v>43800</v>
      </c>
      <c r="D13" s="4" t="inlineStr">
        <is>
          <t>统计口径（重碱除西北外为送到价）、运费分界线（300 km 汽运/铁运）、水运 30—120 元/吨</t>
        </is>
      </c>
      <c r="F13" s="10" t="inlineStr">
        <is>
          <t>https://finance.sina.cn/futuremarket/qszx/2019-12-01/detail-iihnzahi4623500.d.html?vt=4</t>
        </is>
      </c>
      <c r="I13" s="8" t="inlineStr">
        <is>
          <t>已核实</t>
        </is>
      </c>
    </row>
    <row r="14" ht="34" customHeight="1">
      <c r="A14" s="8" t="inlineStr">
        <is>
          <t>S2</t>
        </is>
      </c>
      <c r="B14" s="4" t="inlineStr">
        <is>
          <t>隆众资讯《沙河及周边贸易价格行情》（我的钢铁网转载）</t>
        </is>
      </c>
      <c r="C14" s="9" t="n">
        <v>45812</v>
      </c>
      <c r="D14" s="4" t="inlineStr">
        <is>
          <t>河北沙河交割库出库价 1220 vs 送到价 1270—1320；各厂提基差</t>
        </is>
      </c>
      <c r="F14" s="10" t="inlineStr">
        <is>
          <t>https://nenghua.m.mysteel.com/a/25060416/98BCA1C064AACE9D_abc.html</t>
        </is>
      </c>
      <c r="I14" s="8" t="inlineStr">
        <is>
          <t>已核实</t>
        </is>
      </c>
    </row>
    <row r="15" ht="34" customHeight="1">
      <c r="A15" s="8" t="inlineStr">
        <is>
          <t>S3</t>
        </is>
      </c>
      <c r="B15" s="4" t="inlineStr">
        <is>
          <t>生意社（100ppi）纯碱产业网 / 重质纯碱基准价</t>
        </is>
      </c>
      <c r="C15" s="9" t="n">
        <v>46022</v>
      </c>
      <c r="D15" s="4" t="inlineStr">
        <is>
          <t>重质纯碱基准价 1225.71 元/吨；华东/华北/华中大区区间价</t>
        </is>
      </c>
      <c r="F15" s="10" t="inlineStr">
        <is>
          <t>https://soda.100ppi.com</t>
        </is>
      </c>
      <c r="I15" s="8" t="inlineStr">
        <is>
          <t>已核实（量级校对）</t>
        </is>
      </c>
    </row>
    <row r="16" ht="34" customHeight="1">
      <c r="A16" s="8" t="inlineStr">
        <is>
          <t>S4</t>
        </is>
      </c>
      <c r="B16" s="4" t="inlineStr">
        <is>
          <t>卓创资讯《纯碱：2024年数据盘点及2025年展望》（新浪财经转载）</t>
        </is>
      </c>
      <c r="C16" s="9" t="n">
        <v>45660</v>
      </c>
      <c r="D16" s="4" t="inlineStr">
        <is>
          <t>2024 重碱终端均价 1953（-29.6%）；全国产能 3838 万吨；工艺结构</t>
        </is>
      </c>
      <c r="F16" s="10" t="inlineStr">
        <is>
          <t>https://finance.sina.com.cn/money/future/roll/2025-01-03/doc-inecsvux6433846.shtml</t>
        </is>
      </c>
      <c r="I16" s="8" t="inlineStr">
        <is>
          <t>已核实</t>
        </is>
      </c>
    </row>
    <row r="17" ht="34" customHeight="1">
      <c r="A17" s="8" t="inlineStr">
        <is>
          <t>S5</t>
        </is>
      </c>
      <c r="B17" s="4" t="inlineStr">
        <is>
          <t>证券时报《远兴能源：启动阿拉善塔木素天然碱二期》</t>
        </is>
      </c>
      <c r="C17" s="9" t="n">
        <v>45288</v>
      </c>
      <c r="D17" s="4" t="inlineStr">
        <is>
          <t>一期 500 万吨 2023-06 投产；二期 280 万吨规划</t>
        </is>
      </c>
      <c r="F17" s="10" t="inlineStr">
        <is>
          <t>https://www.stcn.com/article/detail/1077670.html</t>
        </is>
      </c>
      <c r="I17" s="8" t="inlineStr">
        <is>
          <t>已核实</t>
        </is>
      </c>
    </row>
    <row r="18" ht="34" customHeight="1">
      <c r="A18" s="8" t="inlineStr">
        <is>
          <t>S6</t>
        </is>
      </c>
      <c r="B18" s="4" t="inlineStr">
        <is>
          <t>连云港市政府《碱业公司搬迁升级改造项目建成投产》</t>
        </is>
      </c>
      <c r="C18" s="9" t="n">
        <v>45803</v>
      </c>
      <c r="D18" s="4" t="inlineStr">
        <is>
          <t>连云港碱业 110 万吨联碱 2025-05-18 一次开车成功</t>
        </is>
      </c>
      <c r="F18" s="10" t="inlineStr">
        <is>
          <t>http://www.lyg.gov.cn/zglygzfmhwz/gcyw/content/3ad7d8d1-8a2a-4683-82b5-4766ac84985e.html</t>
        </is>
      </c>
      <c r="I18" s="8" t="inlineStr">
        <is>
          <t>已核实</t>
        </is>
      </c>
    </row>
    <row r="19" ht="34" customHeight="1">
      <c r="A19" s="8" t="inlineStr">
        <is>
          <t>S7</t>
        </is>
      </c>
      <c r="B19" s="4" t="inlineStr">
        <is>
          <t>中国纯碱工业协会 2022年12月全国纯碱产量（分企业）</t>
        </is>
      </c>
      <c r="C19" s="8" t="inlineStr">
        <is>
          <t>2023</t>
        </is>
      </c>
      <c r="D19" s="4" t="inlineStr">
        <is>
          <t>连云港当月与累计产量均为 0（老厂关停硬证据）</t>
        </is>
      </c>
      <c r="F19" s="10" t="inlineStr">
        <is>
          <t>https://www.chinasoda.com.cn/cn/datainfo.aspx?faid=578&amp;rid=12963</t>
        </is>
      </c>
      <c r="I19" s="8" t="inlineStr">
        <is>
          <t>已核实</t>
        </is>
      </c>
    </row>
    <row r="20" ht="34" customHeight="1">
      <c r="A20" s="8" t="inlineStr">
        <is>
          <t>S8</t>
        </is>
      </c>
      <c r="B20" s="4" t="inlineStr">
        <is>
          <t>七禾网《河北、山东玻璃纯碱调研报告完整版》</t>
        </is>
      </c>
      <c r="C20" s="8" t="inlineStr">
        <is>
          <t>2024-05</t>
        </is>
      </c>
      <c r="D20" s="4" t="inlineStr">
        <is>
          <t>沙河月用量约 9 万吨、玻璃厂纯碱库存 15—25 天、阿拉善→石家庄 300 元/1500 km、海运 140—150 元/吨、基差套利阈值约 100 元/吨</t>
        </is>
      </c>
      <c r="F20" s="10" t="inlineStr">
        <is>
          <t>https://www.7hcn.com/article/458274-1.html</t>
        </is>
      </c>
      <c r="I20" s="8" t="inlineStr">
        <is>
          <t>已核实</t>
        </is>
      </c>
    </row>
    <row r="21" ht="34" customHeight="1">
      <c r="A21" s="8" t="inlineStr">
        <is>
          <t>S9</t>
        </is>
      </c>
      <c r="B21" s="4" t="inlineStr">
        <is>
          <t>郑商所《纯碱期货业务细则》/ 交割手册</t>
        </is>
      </c>
      <c r="C21" s="9" t="n">
        <v>45253</v>
      </c>
      <c r="D21" s="4" t="inlineStr">
        <is>
          <t>交割品规格、吨包 1 吨、入库费 25 元/吨（汽车）/30（火车）、仓储 0.5 元/吨·天</t>
        </is>
      </c>
      <c r="F21" s="10" t="inlineStr">
        <is>
          <t>https://np-newsimg.dfcfw.com/download/A2_cms_f_20231123161555494870?direct=1&amp;abc7363.pdf</t>
        </is>
      </c>
      <c r="I21" s="8" t="inlineStr">
        <is>
          <t>已核实</t>
        </is>
      </c>
    </row>
    <row r="22" ht="34" customHeight="1">
      <c r="A22" s="8" t="inlineStr">
        <is>
          <t>S10</t>
        </is>
      </c>
      <c r="B22" s="4" t="inlineStr">
        <is>
          <t>东方财富研报《纯碱行业分析框架》</t>
        </is>
      </c>
      <c r="C22" s="8" t="inlineStr">
        <is>
          <t>2022-05</t>
        </is>
      </c>
      <c r="D22" s="4" t="inlineStr">
        <is>
          <t>三友化工纯碱 340 万吨（唐山三友 230 + 五彩碱业 110）</t>
        </is>
      </c>
      <c r="F22" s="10" t="inlineStr">
        <is>
          <t>https://pdf.dfcfw.com/pdf/H3_AP202205101564746575_1.pdf</t>
        </is>
      </c>
      <c r="I22" s="8" t="inlineStr">
        <is>
          <t>已核实</t>
        </is>
      </c>
    </row>
    <row r="23" ht="34" customHeight="1">
      <c r="A23" s="8" t="inlineStr">
        <is>
          <t>S11</t>
        </is>
      </c>
      <c r="B23" s="4" t="inlineStr">
        <is>
          <t>山东海化集团·纯碱厂简介 / 上市公司回应</t>
        </is>
      </c>
      <c r="C23" s="8" t="inlineStr">
        <is>
          <t>2023-07</t>
        </is>
      </c>
      <c r="D23" s="4" t="inlineStr">
        <is>
          <t>山东海化 280 万吨（老线 120 + 新线 160）</t>
        </is>
      </c>
      <c r="F23" s="10" t="inlineStr">
        <is>
          <t>https://www.haihua.com.cn/About_11/1664471386467147776.html</t>
        </is>
      </c>
      <c r="I23" s="8" t="inlineStr">
        <is>
          <t>已核实</t>
        </is>
      </c>
    </row>
    <row r="24" ht="34" customHeight="1">
      <c r="A24" s="8" t="inlineStr">
        <is>
          <t>S12</t>
        </is>
      </c>
      <c r="B24" s="4" t="inlineStr">
        <is>
          <t>国家发改委等《关于深化新能源上网电价市场化改革》（发改价格〔2025〕136号）</t>
        </is>
      </c>
      <c r="C24" s="9" t="n">
        <v>45697</v>
      </c>
      <c r="D24" s="4" t="inlineStr">
        <is>
          <t>2025-06-01 存量/增量分界，Q1 抢装 5971 万千瓦</t>
        </is>
      </c>
      <c r="F24" s="10" t="inlineStr">
        <is>
          <t>https://www.stcn.com/article/detail/1580785.html</t>
        </is>
      </c>
      <c r="I24" s="8" t="inlineStr">
        <is>
          <t>已核实</t>
        </is>
      </c>
    </row>
  </sheetData>
  <mergeCells count="26">
    <mergeCell ref="F20:H20"/>
    <mergeCell ref="D20:E20"/>
    <mergeCell ref="F21:H21"/>
    <mergeCell ref="F18:H18"/>
    <mergeCell ref="D19:E19"/>
    <mergeCell ref="F17:H17"/>
    <mergeCell ref="D22:E22"/>
    <mergeCell ref="D21:E21"/>
    <mergeCell ref="F23:H23"/>
    <mergeCell ref="A2:I2"/>
    <mergeCell ref="F22:H22"/>
    <mergeCell ref="F13:H13"/>
    <mergeCell ref="D13:E13"/>
    <mergeCell ref="D17:E17"/>
    <mergeCell ref="D16:E16"/>
    <mergeCell ref="F14:H14"/>
    <mergeCell ref="D18:E18"/>
    <mergeCell ref="F16:H16"/>
    <mergeCell ref="F19:H19"/>
    <mergeCell ref="D24:E24"/>
    <mergeCell ref="D15:E15"/>
    <mergeCell ref="D23:E23"/>
    <mergeCell ref="A1:I1"/>
    <mergeCell ref="D14:E14"/>
    <mergeCell ref="F15:H15"/>
    <mergeCell ref="F24:H24"/>
  </mergeCells>
  <hyperlinks>
    <hyperlink xmlns:r="http://schemas.openxmlformats.org/officeDocument/2006/relationships" ref="F13" r:id="rId1"/>
    <hyperlink xmlns:r="http://schemas.openxmlformats.org/officeDocument/2006/relationships" ref="F14" r:id="rId2"/>
    <hyperlink xmlns:r="http://schemas.openxmlformats.org/officeDocument/2006/relationships" ref="F15" r:id="rId3"/>
    <hyperlink xmlns:r="http://schemas.openxmlformats.org/officeDocument/2006/relationships" ref="F16" r:id="rId4"/>
    <hyperlink xmlns:r="http://schemas.openxmlformats.org/officeDocument/2006/relationships" ref="F17" r:id="rId5"/>
    <hyperlink xmlns:r="http://schemas.openxmlformats.org/officeDocument/2006/relationships" ref="F18" r:id="rId6"/>
    <hyperlink xmlns:r="http://schemas.openxmlformats.org/officeDocument/2006/relationships" ref="F19" r:id="rId7"/>
    <hyperlink xmlns:r="http://schemas.openxmlformats.org/officeDocument/2006/relationships" ref="F20" r:id="rId8"/>
    <hyperlink xmlns:r="http://schemas.openxmlformats.org/officeDocument/2006/relationships" ref="F21" r:id="rId9"/>
    <hyperlink xmlns:r="http://schemas.openxmlformats.org/officeDocument/2006/relationships" ref="F22" r:id="rId10"/>
    <hyperlink xmlns:r="http://schemas.openxmlformats.org/officeDocument/2006/relationships" ref="F23" r:id="rId11"/>
    <hyperlink xmlns:r="http://schemas.openxmlformats.org/officeDocument/2006/relationships" ref="F24" r:id="rId12"/>
  </hyperlink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H15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1" customWidth="1" min="5" max="5"/>
    <col width="30" customWidth="1" min="6" max="6"/>
  </cols>
  <sheetData>
    <row r="1" ht="30" customHeight="1">
      <c r="A1" s="1" t="inlineStr">
        <is>
          <t>三地区周度价格（送到价（到厂/到库））</t>
        </is>
      </c>
    </row>
    <row r="2" ht="30" customHeight="1">
      <c r="A2" s="2" t="inlineStr">
        <is>
          <t>送到价（到厂/到库）｜国内纯碱统计规范：轻碱统一采用出厂价，【重碱除西北以外地区采用送到价】。山东、河北、江苏的重碱报价默认即送到价，三地同口径，可直接相减。</t>
        </is>
      </c>
    </row>
    <row r="4" ht="30" customHeight="1">
      <c r="A4" s="6" t="inlineStr">
        <is>
          <t>日期</t>
        </is>
      </c>
      <c r="B4" s="6" t="inlineStr">
        <is>
          <t>山东</t>
        </is>
      </c>
      <c r="C4" s="6" t="inlineStr">
        <is>
          <t>河北</t>
        </is>
      </c>
      <c r="D4" s="6" t="inlineStr">
        <is>
          <t>江苏</t>
        </is>
      </c>
      <c r="E4" s="6" t="inlineStr">
        <is>
          <t>有效地区数</t>
        </is>
      </c>
      <c r="F4" s="6" t="inlineStr">
        <is>
          <t>备注</t>
        </is>
      </c>
    </row>
    <row r="5">
      <c r="A5" s="11" t="n">
        <v>44932</v>
      </c>
      <c r="B5" s="12" t="n">
        <v>2805</v>
      </c>
      <c r="C5" s="12" t="n">
        <v>2740</v>
      </c>
      <c r="D5" s="12" t="n">
        <v>2805</v>
      </c>
      <c r="E5" s="13">
        <f>COUNT(B5,C5,D5)</f>
        <v/>
      </c>
      <c r="F5" s="14" t="inlineStr"/>
    </row>
    <row r="6">
      <c r="A6" s="11" t="n">
        <v>44939</v>
      </c>
      <c r="B6" s="12" t="n">
        <v>2825</v>
      </c>
      <c r="C6" s="12" t="n">
        <v>2765</v>
      </c>
      <c r="D6" s="12" t="n">
        <v>2825</v>
      </c>
      <c r="E6" s="13">
        <f>COUNT(B6,C6,D6)</f>
        <v/>
      </c>
      <c r="F6" s="14" t="inlineStr"/>
    </row>
    <row r="7">
      <c r="A7" s="11" t="n">
        <v>44946</v>
      </c>
      <c r="B7" s="12" t="n">
        <v>2825</v>
      </c>
      <c r="C7" s="12" t="n">
        <v>2770</v>
      </c>
      <c r="D7" s="12" t="n">
        <v>2825</v>
      </c>
      <c r="E7" s="13">
        <f>COUNT(B7,C7,D7)</f>
        <v/>
      </c>
      <c r="F7" s="14" t="inlineStr"/>
    </row>
    <row r="8">
      <c r="A8" s="11" t="n">
        <v>44953</v>
      </c>
      <c r="B8" s="12" t="n">
        <v>2810</v>
      </c>
      <c r="C8" s="12" t="n">
        <v>2755</v>
      </c>
      <c r="D8" s="12" t="n">
        <v>2815</v>
      </c>
      <c r="E8" s="13">
        <f>COUNT(B8,C8,D8)</f>
        <v/>
      </c>
      <c r="F8" s="14" t="inlineStr"/>
    </row>
    <row r="9">
      <c r="A9" s="11" t="n">
        <v>44960</v>
      </c>
      <c r="B9" s="12" t="n">
        <v>2790</v>
      </c>
      <c r="C9" s="12" t="n">
        <v>2735</v>
      </c>
      <c r="D9" s="12" t="n">
        <v>2800</v>
      </c>
      <c r="E9" s="13">
        <f>COUNT(B9,C9,D9)</f>
        <v/>
      </c>
      <c r="F9" s="14" t="inlineStr"/>
    </row>
    <row r="10">
      <c r="A10" s="11" t="n">
        <v>44967</v>
      </c>
      <c r="B10" s="12" t="n">
        <v>2785</v>
      </c>
      <c r="C10" s="12" t="n">
        <v>2720</v>
      </c>
      <c r="D10" s="12" t="n">
        <v>2790</v>
      </c>
      <c r="E10" s="13">
        <f>COUNT(B10,C10,D10)</f>
        <v/>
      </c>
      <c r="F10" s="14" t="inlineStr"/>
    </row>
    <row r="11">
      <c r="A11" s="11" t="n">
        <v>44974</v>
      </c>
      <c r="B11" s="12" t="n">
        <v>2785</v>
      </c>
      <c r="C11" s="12" t="n">
        <v>2720</v>
      </c>
      <c r="D11" s="12" t="n">
        <v>2790</v>
      </c>
      <c r="E11" s="13">
        <f>COUNT(B11,C11,D11)</f>
        <v/>
      </c>
      <c r="F11" s="14" t="inlineStr"/>
    </row>
    <row r="12">
      <c r="A12" s="11" t="n">
        <v>44981</v>
      </c>
      <c r="B12" s="12" t="n">
        <v>2785</v>
      </c>
      <c r="C12" s="12" t="n">
        <v>2715</v>
      </c>
      <c r="D12" s="12" t="n">
        <v>2790</v>
      </c>
      <c r="E12" s="13">
        <f>COUNT(B12,C12,D12)</f>
        <v/>
      </c>
      <c r="F12" s="14" t="inlineStr"/>
    </row>
    <row r="13">
      <c r="A13" s="11" t="n">
        <v>44988</v>
      </c>
      <c r="B13" s="12" t="n">
        <v>2785</v>
      </c>
      <c r="C13" s="12" t="n">
        <v>2725</v>
      </c>
      <c r="D13" s="12" t="n">
        <v>2790</v>
      </c>
      <c r="E13" s="13">
        <f>COUNT(B13,C13,D13)</f>
        <v/>
      </c>
      <c r="F13" s="14" t="inlineStr"/>
    </row>
    <row r="14">
      <c r="A14" s="11" t="n">
        <v>44995</v>
      </c>
      <c r="B14" s="12" t="n">
        <v>2805</v>
      </c>
      <c r="C14" s="12" t="n">
        <v>2740</v>
      </c>
      <c r="D14" s="12" t="n">
        <v>2810</v>
      </c>
      <c r="E14" s="13">
        <f>COUNT(B14,C14,D14)</f>
        <v/>
      </c>
      <c r="F14" s="14" t="inlineStr"/>
    </row>
    <row r="15">
      <c r="A15" s="11" t="n">
        <v>45002</v>
      </c>
      <c r="B15" s="12" t="n">
        <v>2800</v>
      </c>
      <c r="C15" s="12" t="n">
        <v>2740</v>
      </c>
      <c r="D15" s="12" t="n">
        <v>2795</v>
      </c>
      <c r="E15" s="13">
        <f>COUNT(B15,C15,D15)</f>
        <v/>
      </c>
      <c r="F15" s="14" t="inlineStr"/>
    </row>
    <row r="16">
      <c r="A16" s="11" t="n">
        <v>45009</v>
      </c>
      <c r="B16" s="12" t="n">
        <v>2790</v>
      </c>
      <c r="C16" s="12" t="n">
        <v>2730</v>
      </c>
      <c r="D16" s="12" t="n">
        <v>2790</v>
      </c>
      <c r="E16" s="13">
        <f>COUNT(B16,C16,D16)</f>
        <v/>
      </c>
      <c r="F16" s="14" t="inlineStr"/>
    </row>
    <row r="17">
      <c r="A17" s="11" t="n">
        <v>45016</v>
      </c>
      <c r="B17" s="12" t="n">
        <v>2770</v>
      </c>
      <c r="C17" s="12" t="n">
        <v>2710</v>
      </c>
      <c r="D17" s="12" t="n">
        <v>2770</v>
      </c>
      <c r="E17" s="13">
        <f>COUNT(B17,C17,D17)</f>
        <v/>
      </c>
      <c r="F17" s="14" t="inlineStr"/>
    </row>
    <row r="18">
      <c r="A18" s="11" t="n">
        <v>45023</v>
      </c>
      <c r="B18" s="12" t="n">
        <v>2710</v>
      </c>
      <c r="C18" s="12" t="n">
        <v>2655</v>
      </c>
      <c r="D18" s="12" t="n">
        <v>2710</v>
      </c>
      <c r="E18" s="13">
        <f>COUNT(B18,C18,D18)</f>
        <v/>
      </c>
      <c r="F18" s="14" t="inlineStr"/>
    </row>
    <row r="19">
      <c r="A19" s="11" t="n">
        <v>45030</v>
      </c>
      <c r="B19" s="12" t="n">
        <v>2575</v>
      </c>
      <c r="C19" s="12" t="n">
        <v>2525</v>
      </c>
      <c r="D19" s="12" t="n">
        <v>2570</v>
      </c>
      <c r="E19" s="13">
        <f>COUNT(B19,C19,D19)</f>
        <v/>
      </c>
      <c r="F19" s="14" t="inlineStr"/>
    </row>
    <row r="20">
      <c r="A20" s="11" t="n">
        <v>45037</v>
      </c>
      <c r="B20" s="12" t="n">
        <v>2435</v>
      </c>
      <c r="C20" s="12" t="n">
        <v>2380</v>
      </c>
      <c r="D20" s="12" t="n">
        <v>2430</v>
      </c>
      <c r="E20" s="13">
        <f>COUNT(B20,C20,D20)</f>
        <v/>
      </c>
      <c r="F20" s="14" t="inlineStr"/>
    </row>
    <row r="21">
      <c r="A21" s="11" t="n">
        <v>45044</v>
      </c>
      <c r="B21" s="12" t="n">
        <v>2360</v>
      </c>
      <c r="C21" s="12" t="n">
        <v>2305</v>
      </c>
      <c r="D21" s="12" t="n">
        <v>2355</v>
      </c>
      <c r="E21" s="13">
        <f>COUNT(B21,C21,D21)</f>
        <v/>
      </c>
      <c r="F21" s="14" t="inlineStr"/>
    </row>
    <row r="22">
      <c r="A22" s="11" t="n">
        <v>45051</v>
      </c>
      <c r="B22" s="12" t="n">
        <v>2290</v>
      </c>
      <c r="C22" s="12" t="n">
        <v>2225</v>
      </c>
      <c r="D22" s="12" t="n">
        <v>2280</v>
      </c>
      <c r="E22" s="13">
        <f>COUNT(B22,C22,D22)</f>
        <v/>
      </c>
      <c r="F22" s="14" t="inlineStr"/>
    </row>
    <row r="23">
      <c r="A23" s="11" t="n">
        <v>45058</v>
      </c>
      <c r="B23" s="12" t="n">
        <v>2130</v>
      </c>
      <c r="C23" s="12" t="n">
        <v>2065</v>
      </c>
      <c r="D23" s="12" t="n">
        <v>2125</v>
      </c>
      <c r="E23" s="13">
        <f>COUNT(B23,C23,D23)</f>
        <v/>
      </c>
      <c r="F23" s="14" t="inlineStr"/>
    </row>
    <row r="24">
      <c r="A24" s="11" t="n">
        <v>45065</v>
      </c>
      <c r="B24" s="12" t="n">
        <v>2075</v>
      </c>
      <c r="C24" s="12" t="n">
        <v>2010</v>
      </c>
      <c r="D24" s="12" t="n">
        <v>2070</v>
      </c>
      <c r="E24" s="13">
        <f>COUNT(B24,C24,D24)</f>
        <v/>
      </c>
      <c r="F24" s="14" t="inlineStr"/>
    </row>
    <row r="25">
      <c r="A25" s="11" t="n">
        <v>45072</v>
      </c>
      <c r="B25" s="12" t="n">
        <v>2080</v>
      </c>
      <c r="C25" s="12" t="n">
        <v>2015</v>
      </c>
      <c r="D25" s="12" t="n">
        <v>2070</v>
      </c>
      <c r="E25" s="13">
        <f>COUNT(B25,C25,D25)</f>
        <v/>
      </c>
      <c r="F25" s="14" t="inlineStr"/>
    </row>
    <row r="26">
      <c r="A26" s="11" t="n">
        <v>45079</v>
      </c>
      <c r="B26" s="12" t="n">
        <v>2085</v>
      </c>
      <c r="C26" s="12" t="n">
        <v>2015</v>
      </c>
      <c r="D26" s="12" t="n">
        <v>2070</v>
      </c>
      <c r="E26" s="13">
        <f>COUNT(B26,C26,D26)</f>
        <v/>
      </c>
      <c r="F26" s="14" t="inlineStr"/>
    </row>
    <row r="27">
      <c r="A27" s="11" t="n">
        <v>45086</v>
      </c>
      <c r="B27" s="12" t="n">
        <v>2090</v>
      </c>
      <c r="C27" s="12" t="n">
        <v>2020</v>
      </c>
      <c r="D27" s="12" t="n">
        <v>2080</v>
      </c>
      <c r="E27" s="13">
        <f>COUNT(B27,C27,D27)</f>
        <v/>
      </c>
      <c r="F27" s="14" t="inlineStr"/>
    </row>
    <row r="28">
      <c r="A28" s="11" t="n">
        <v>45093</v>
      </c>
      <c r="B28" s="12" t="n">
        <v>2105</v>
      </c>
      <c r="C28" s="12" t="n">
        <v>2035</v>
      </c>
      <c r="D28" s="12" t="n">
        <v>2095</v>
      </c>
      <c r="E28" s="13">
        <f>COUNT(B28,C28,D28)</f>
        <v/>
      </c>
      <c r="F28" s="14" t="inlineStr"/>
    </row>
    <row r="29">
      <c r="A29" s="11" t="n">
        <v>45100</v>
      </c>
      <c r="B29" s="12" t="n">
        <v>2110</v>
      </c>
      <c r="C29" s="12" t="n">
        <v>2040</v>
      </c>
      <c r="D29" s="12" t="n">
        <v>2105</v>
      </c>
      <c r="E29" s="13">
        <f>COUNT(B29,C29,D29)</f>
        <v/>
      </c>
      <c r="F29" s="14" t="inlineStr"/>
    </row>
    <row r="30">
      <c r="A30" s="11" t="n">
        <v>45107</v>
      </c>
      <c r="B30" s="12" t="n">
        <v>2140</v>
      </c>
      <c r="C30" s="12" t="n">
        <v>2075</v>
      </c>
      <c r="D30" s="12" t="n">
        <v>2140</v>
      </c>
      <c r="E30" s="13">
        <f>COUNT(B30,C30,D30)</f>
        <v/>
      </c>
      <c r="F30" s="14" t="inlineStr"/>
    </row>
    <row r="31">
      <c r="A31" s="11" t="n">
        <v>45114</v>
      </c>
      <c r="B31" s="12" t="n">
        <v>2165</v>
      </c>
      <c r="C31" s="12" t="n">
        <v>2100</v>
      </c>
      <c r="D31" s="12" t="n">
        <v>2155</v>
      </c>
      <c r="E31" s="13">
        <f>COUNT(B31,C31,D31)</f>
        <v/>
      </c>
      <c r="F31" s="14" t="inlineStr"/>
    </row>
    <row r="32">
      <c r="A32" s="11" t="n">
        <v>45121</v>
      </c>
      <c r="B32" s="12" t="n">
        <v>2185</v>
      </c>
      <c r="C32" s="12" t="n">
        <v>2120</v>
      </c>
      <c r="D32" s="12" t="n">
        <v>2180</v>
      </c>
      <c r="E32" s="13">
        <f>COUNT(B32,C32,D32)</f>
        <v/>
      </c>
      <c r="F32" s="14" t="inlineStr"/>
    </row>
    <row r="33">
      <c r="A33" s="11" t="n">
        <v>45128</v>
      </c>
      <c r="B33" s="12" t="n">
        <v>2195</v>
      </c>
      <c r="C33" s="12" t="n">
        <v>2145</v>
      </c>
      <c r="D33" s="12" t="n">
        <v>2195</v>
      </c>
      <c r="E33" s="13">
        <f>COUNT(B33,C33,D33)</f>
        <v/>
      </c>
      <c r="F33" s="14" t="inlineStr"/>
    </row>
    <row r="34">
      <c r="A34" s="11" t="n">
        <v>45135</v>
      </c>
      <c r="B34" s="12" t="n">
        <v>2295</v>
      </c>
      <c r="C34" s="12" t="n">
        <v>2250</v>
      </c>
      <c r="D34" s="12" t="n">
        <v>2290</v>
      </c>
      <c r="E34" s="13">
        <f>COUNT(B34,C34,D34)</f>
        <v/>
      </c>
      <c r="F34" s="14" t="inlineStr"/>
    </row>
    <row r="35">
      <c r="A35" s="11" t="n">
        <v>45142</v>
      </c>
      <c r="B35" s="12" t="n">
        <v>2425</v>
      </c>
      <c r="C35" s="12" t="n">
        <v>2375</v>
      </c>
      <c r="D35" s="12" t="n">
        <v>2415</v>
      </c>
      <c r="E35" s="13">
        <f>COUNT(B35,C35,D35)</f>
        <v/>
      </c>
      <c r="F35" s="14" t="inlineStr"/>
    </row>
    <row r="36">
      <c r="A36" s="11" t="n">
        <v>45149</v>
      </c>
      <c r="B36" s="12" t="n">
        <v>2685</v>
      </c>
      <c r="C36" s="12" t="n">
        <v>2640</v>
      </c>
      <c r="D36" s="12" t="n">
        <v>2670</v>
      </c>
      <c r="E36" s="13">
        <f>COUNT(B36,C36,D36)</f>
        <v/>
      </c>
      <c r="F36" s="14" t="inlineStr"/>
    </row>
    <row r="37">
      <c r="A37" s="11" t="n">
        <v>45156</v>
      </c>
      <c r="B37" s="12" t="n">
        <v>2920</v>
      </c>
      <c r="C37" s="12" t="n">
        <v>2885</v>
      </c>
      <c r="D37" s="12" t="n">
        <v>2910</v>
      </c>
      <c r="E37" s="13">
        <f>COUNT(B37,C37,D37)</f>
        <v/>
      </c>
      <c r="F37" s="14" t="inlineStr"/>
    </row>
    <row r="38">
      <c r="A38" s="11" t="n">
        <v>45163</v>
      </c>
      <c r="B38" s="12" t="n">
        <v>3035</v>
      </c>
      <c r="C38" s="12" t="n">
        <v>3000</v>
      </c>
      <c r="D38" s="12" t="n">
        <v>3015</v>
      </c>
      <c r="E38" s="13">
        <f>COUNT(B38,C38,D38)</f>
        <v/>
      </c>
      <c r="F38" s="14" t="inlineStr"/>
    </row>
    <row r="39">
      <c r="A39" s="11" t="n">
        <v>45170</v>
      </c>
      <c r="B39" s="12" t="n">
        <v>3190</v>
      </c>
      <c r="C39" s="12" t="n">
        <v>3155</v>
      </c>
      <c r="D39" s="12" t="n">
        <v>3165</v>
      </c>
      <c r="E39" s="13">
        <f>COUNT(B39,C39,D39)</f>
        <v/>
      </c>
      <c r="F39" s="14" t="inlineStr"/>
    </row>
    <row r="40">
      <c r="A40" s="11" t="n">
        <v>45177</v>
      </c>
      <c r="B40" s="12" t="n">
        <v>3180</v>
      </c>
      <c r="C40" s="12" t="n">
        <v>3135</v>
      </c>
      <c r="D40" s="12" t="n">
        <v>3150</v>
      </c>
      <c r="E40" s="13">
        <f>COUNT(B40,C40,D40)</f>
        <v/>
      </c>
      <c r="F40" s="14" t="inlineStr"/>
    </row>
    <row r="41">
      <c r="A41" s="11" t="n">
        <v>45184</v>
      </c>
      <c r="B41" s="12" t="n">
        <v>3095</v>
      </c>
      <c r="C41" s="12" t="n">
        <v>3055</v>
      </c>
      <c r="D41" s="12" t="n">
        <v>3065</v>
      </c>
      <c r="E41" s="13">
        <f>COUNT(B41,C41,D41)</f>
        <v/>
      </c>
      <c r="F41" s="14" t="inlineStr"/>
    </row>
    <row r="42">
      <c r="A42" s="11" t="n">
        <v>45191</v>
      </c>
      <c r="B42" s="12" t="n">
        <v>2980</v>
      </c>
      <c r="C42" s="12" t="n">
        <v>2940</v>
      </c>
      <c r="D42" s="12" t="n">
        <v>2960</v>
      </c>
      <c r="E42" s="13">
        <f>COUNT(B42,C42,D42)</f>
        <v/>
      </c>
      <c r="F42" s="14" t="inlineStr"/>
    </row>
    <row r="43">
      <c r="A43" s="11" t="n">
        <v>45198</v>
      </c>
      <c r="B43" s="12" t="n">
        <v>2880</v>
      </c>
      <c r="C43" s="12" t="n">
        <v>2840</v>
      </c>
      <c r="D43" s="12" t="n">
        <v>2865</v>
      </c>
      <c r="E43" s="13">
        <f>COUNT(B43,C43,D43)</f>
        <v/>
      </c>
      <c r="F43" s="14" t="inlineStr"/>
    </row>
    <row r="44">
      <c r="A44" s="11" t="n">
        <v>45205</v>
      </c>
      <c r="B44" s="12" t="n">
        <v>2785</v>
      </c>
      <c r="C44" s="12" t="n">
        <v>2735</v>
      </c>
      <c r="D44" s="12" t="n">
        <v>2770</v>
      </c>
      <c r="E44" s="13">
        <f>COUNT(B44,C44,D44)</f>
        <v/>
      </c>
      <c r="F44" s="14" t="inlineStr"/>
    </row>
    <row r="45">
      <c r="A45" s="11" t="n">
        <v>45212</v>
      </c>
      <c r="B45" s="12" t="n">
        <v>2720</v>
      </c>
      <c r="C45" s="12" t="n">
        <v>2660</v>
      </c>
      <c r="D45" s="12" t="n">
        <v>2705</v>
      </c>
      <c r="E45" s="13">
        <f>COUNT(B45,C45,D45)</f>
        <v/>
      </c>
      <c r="F45" s="14" t="inlineStr"/>
    </row>
    <row r="46">
      <c r="A46" s="11" t="n">
        <v>45226</v>
      </c>
      <c r="B46" s="12" t="n">
        <v>2650</v>
      </c>
      <c r="C46" s="12" t="n">
        <v>2595</v>
      </c>
      <c r="D46" s="12" t="n">
        <v>2645</v>
      </c>
      <c r="E46" s="13">
        <f>COUNT(B46,C46,D46)</f>
        <v/>
      </c>
      <c r="F46" s="14" t="inlineStr"/>
    </row>
    <row r="47">
      <c r="A47" s="11" t="n">
        <v>45233</v>
      </c>
      <c r="B47" s="12" t="n">
        <v>2590</v>
      </c>
      <c r="C47" s="12" t="n">
        <v>2530</v>
      </c>
      <c r="D47" s="12" t="n">
        <v>2575</v>
      </c>
      <c r="E47" s="13">
        <f>COUNT(B47,C47,D47)</f>
        <v/>
      </c>
      <c r="F47" s="14" t="inlineStr"/>
    </row>
    <row r="48">
      <c r="A48" s="11" t="n">
        <v>45240</v>
      </c>
      <c r="B48" s="12" t="n">
        <v>2560</v>
      </c>
      <c r="C48" s="12" t="n">
        <v>2500</v>
      </c>
      <c r="D48" s="12" t="n">
        <v>2550</v>
      </c>
      <c r="E48" s="13">
        <f>COUNT(B48,C48,D48)</f>
        <v/>
      </c>
      <c r="F48" s="14" t="inlineStr"/>
    </row>
    <row r="49">
      <c r="A49" s="11" t="n">
        <v>45247</v>
      </c>
      <c r="B49" s="12" t="n">
        <v>2580</v>
      </c>
      <c r="C49" s="12" t="n">
        <v>2525</v>
      </c>
      <c r="D49" s="12" t="n">
        <v>2580</v>
      </c>
      <c r="E49" s="13">
        <f>COUNT(B49,C49,D49)</f>
        <v/>
      </c>
      <c r="F49" s="14" t="inlineStr"/>
    </row>
    <row r="50">
      <c r="A50" s="11" t="n">
        <v>45254</v>
      </c>
      <c r="B50" s="12" t="n">
        <v>2640</v>
      </c>
      <c r="C50" s="12" t="n">
        <v>2585</v>
      </c>
      <c r="D50" s="12" t="n">
        <v>2640</v>
      </c>
      <c r="E50" s="13">
        <f>COUNT(B50,C50,D50)</f>
        <v/>
      </c>
      <c r="F50" s="14" t="inlineStr"/>
    </row>
    <row r="51">
      <c r="A51" s="11" t="n">
        <v>45261</v>
      </c>
      <c r="B51" s="12" t="n">
        <v>2715</v>
      </c>
      <c r="C51" s="12" t="n">
        <v>2655</v>
      </c>
      <c r="D51" s="12" t="n">
        <v>2710</v>
      </c>
      <c r="E51" s="13">
        <f>COUNT(B51,C51,D51)</f>
        <v/>
      </c>
      <c r="F51" s="14" t="inlineStr"/>
    </row>
    <row r="52">
      <c r="A52" s="11" t="n">
        <v>45268</v>
      </c>
      <c r="B52" s="12" t="n">
        <v>2745</v>
      </c>
      <c r="C52" s="12" t="n">
        <v>2685</v>
      </c>
      <c r="D52" s="12" t="n">
        <v>2740</v>
      </c>
      <c r="E52" s="13">
        <f>COUNT(B52,C52,D52)</f>
        <v/>
      </c>
      <c r="F52" s="14" t="inlineStr"/>
    </row>
    <row r="53">
      <c r="A53" s="11" t="n">
        <v>45275</v>
      </c>
      <c r="B53" s="12" t="n">
        <v>2725</v>
      </c>
      <c r="C53" s="12" t="n">
        <v>2665</v>
      </c>
      <c r="D53" s="12" t="n">
        <v>2720</v>
      </c>
      <c r="E53" s="13">
        <f>COUNT(B53,C53,D53)</f>
        <v/>
      </c>
      <c r="F53" s="14" t="inlineStr"/>
    </row>
    <row r="54">
      <c r="A54" s="11" t="n">
        <v>45282</v>
      </c>
      <c r="B54" s="12" t="n">
        <v>2665</v>
      </c>
      <c r="C54" s="12" t="n">
        <v>2605</v>
      </c>
      <c r="D54" s="12" t="n">
        <v>2660</v>
      </c>
      <c r="E54" s="13">
        <f>COUNT(B54,C54,D54)</f>
        <v/>
      </c>
      <c r="F54" s="14" t="inlineStr"/>
    </row>
    <row r="55">
      <c r="A55" s="11" t="n">
        <v>45289</v>
      </c>
      <c r="B55" s="12" t="n">
        <v>2645</v>
      </c>
      <c r="C55" s="12" t="n">
        <v>2585</v>
      </c>
      <c r="D55" s="12" t="n">
        <v>2640</v>
      </c>
      <c r="E55" s="13">
        <f>COUNT(B55,C55,D55)</f>
        <v/>
      </c>
      <c r="F55" s="14" t="inlineStr"/>
    </row>
    <row r="56">
      <c r="A56" s="11" t="n">
        <v>45296</v>
      </c>
      <c r="B56" s="12" t="n">
        <v>2615</v>
      </c>
      <c r="C56" s="12" t="n">
        <v>2560</v>
      </c>
      <c r="D56" s="12" t="n">
        <v>2615</v>
      </c>
      <c r="E56" s="13">
        <f>COUNT(B56,C56,D56)</f>
        <v/>
      </c>
      <c r="F56" s="14" t="inlineStr"/>
    </row>
    <row r="57">
      <c r="A57" s="11" t="n">
        <v>45303</v>
      </c>
      <c r="B57" s="12" t="n">
        <v>2525</v>
      </c>
      <c r="C57" s="12" t="n">
        <v>2470</v>
      </c>
      <c r="D57" s="12" t="n">
        <v>2525</v>
      </c>
      <c r="E57" s="13">
        <f>COUNT(B57,C57,D57)</f>
        <v/>
      </c>
      <c r="F57" s="14" t="inlineStr"/>
    </row>
    <row r="58">
      <c r="A58" s="11" t="n">
        <v>45310</v>
      </c>
      <c r="B58" s="12" t="n">
        <v>2445</v>
      </c>
      <c r="C58" s="12" t="n">
        <v>2390</v>
      </c>
      <c r="D58" s="12" t="n">
        <v>2445</v>
      </c>
      <c r="E58" s="13">
        <f>COUNT(B58,C58,D58)</f>
        <v/>
      </c>
      <c r="F58" s="14" t="inlineStr"/>
    </row>
    <row r="59">
      <c r="A59" s="11" t="n">
        <v>45317</v>
      </c>
      <c r="B59" s="12" t="n">
        <v>2410</v>
      </c>
      <c r="C59" s="12" t="n">
        <v>2355</v>
      </c>
      <c r="D59" s="12" t="n">
        <v>2410</v>
      </c>
      <c r="E59" s="13">
        <f>COUNT(B59,C59,D59)</f>
        <v/>
      </c>
      <c r="F59" s="14" t="inlineStr"/>
    </row>
    <row r="60">
      <c r="A60" s="11" t="n">
        <v>45324</v>
      </c>
      <c r="B60" s="12" t="n">
        <v>2390</v>
      </c>
      <c r="C60" s="12" t="n">
        <v>2330</v>
      </c>
      <c r="D60" s="12" t="n">
        <v>2385</v>
      </c>
      <c r="E60" s="13">
        <f>COUNT(B60,C60,D60)</f>
        <v/>
      </c>
      <c r="F60" s="14" t="inlineStr"/>
    </row>
    <row r="61">
      <c r="A61" s="11" t="n">
        <v>45338</v>
      </c>
      <c r="B61" s="12" t="n">
        <v>2275</v>
      </c>
      <c r="C61" s="12" t="n">
        <v>2215</v>
      </c>
      <c r="D61" s="12" t="n">
        <v>2270</v>
      </c>
      <c r="E61" s="13">
        <f>COUNT(B61,C61,D61)</f>
        <v/>
      </c>
      <c r="F61" s="14" t="inlineStr"/>
    </row>
    <row r="62">
      <c r="A62" s="11" t="n">
        <v>45345</v>
      </c>
      <c r="B62" s="12" t="n">
        <v>2255</v>
      </c>
      <c r="C62" s="12" t="n">
        <v>2195</v>
      </c>
      <c r="D62" s="12" t="n">
        <v>2250</v>
      </c>
      <c r="E62" s="13">
        <f>COUNT(B62,C62,D62)</f>
        <v/>
      </c>
      <c r="F62" s="14" t="inlineStr"/>
    </row>
    <row r="63">
      <c r="A63" s="11" t="n">
        <v>45352</v>
      </c>
      <c r="B63" s="12" t="n">
        <v>2225</v>
      </c>
      <c r="C63" s="12" t="n">
        <v>2165</v>
      </c>
      <c r="D63" s="12" t="n">
        <v>2230</v>
      </c>
      <c r="E63" s="13">
        <f>COUNT(B63,C63,D63)</f>
        <v/>
      </c>
      <c r="F63" s="14" t="inlineStr"/>
    </row>
    <row r="64">
      <c r="A64" s="11" t="n">
        <v>45359</v>
      </c>
      <c r="B64" s="12" t="n">
        <v>2125</v>
      </c>
      <c r="C64" s="12" t="n">
        <v>2065</v>
      </c>
      <c r="D64" s="12" t="n">
        <v>2135</v>
      </c>
      <c r="E64" s="13">
        <f>COUNT(B64,C64,D64)</f>
        <v/>
      </c>
      <c r="F64" s="14" t="inlineStr"/>
    </row>
    <row r="65">
      <c r="A65" s="11" t="n">
        <v>45366</v>
      </c>
      <c r="B65" s="12" t="n">
        <v>2050</v>
      </c>
      <c r="C65" s="12" t="n">
        <v>1985</v>
      </c>
      <c r="D65" s="12" t="n">
        <v>2055</v>
      </c>
      <c r="E65" s="13">
        <f>COUNT(B65,C65,D65)</f>
        <v/>
      </c>
      <c r="F65" s="14" t="inlineStr"/>
    </row>
    <row r="66">
      <c r="A66" s="11" t="n">
        <v>45373</v>
      </c>
      <c r="B66" s="12" t="n">
        <v>1995</v>
      </c>
      <c r="C66" s="12" t="n">
        <v>1925</v>
      </c>
      <c r="D66" s="12" t="n">
        <v>2005</v>
      </c>
      <c r="E66" s="13">
        <f>COUNT(B66,C66,D66)</f>
        <v/>
      </c>
      <c r="F66" s="14" t="inlineStr"/>
    </row>
    <row r="67">
      <c r="A67" s="11" t="n">
        <v>45380</v>
      </c>
      <c r="B67" s="12" t="n">
        <v>2015</v>
      </c>
      <c r="C67" s="12" t="n">
        <v>1950</v>
      </c>
      <c r="D67" s="12" t="n">
        <v>2030</v>
      </c>
      <c r="E67" s="13">
        <f>COUNT(B67,C67,D67)</f>
        <v/>
      </c>
      <c r="F67" s="14" t="inlineStr"/>
    </row>
    <row r="68">
      <c r="A68" s="11" t="n">
        <v>45387</v>
      </c>
      <c r="B68" s="12" t="n">
        <v>2030</v>
      </c>
      <c r="C68" s="12" t="n">
        <v>1965</v>
      </c>
      <c r="D68" s="12" t="n">
        <v>2050</v>
      </c>
      <c r="E68" s="13">
        <f>COUNT(B68,C68,D68)</f>
        <v/>
      </c>
      <c r="F68" s="14" t="inlineStr"/>
    </row>
    <row r="69">
      <c r="A69" s="11" t="n">
        <v>45394</v>
      </c>
      <c r="B69" s="12" t="n">
        <v>2045</v>
      </c>
      <c r="C69" s="12" t="n">
        <v>1975</v>
      </c>
      <c r="D69" s="12" t="n">
        <v>2065</v>
      </c>
      <c r="E69" s="13">
        <f>COUNT(B69,C69,D69)</f>
        <v/>
      </c>
      <c r="F69" s="14" t="inlineStr"/>
    </row>
    <row r="70">
      <c r="A70" s="11" t="n">
        <v>45401</v>
      </c>
      <c r="B70" s="12" t="n">
        <v>2045</v>
      </c>
      <c r="C70" s="12" t="n">
        <v>1975</v>
      </c>
      <c r="D70" s="12" t="n">
        <v>2070</v>
      </c>
      <c r="E70" s="13">
        <f>COUNT(B70,C70,D70)</f>
        <v/>
      </c>
      <c r="F70" s="14" t="inlineStr"/>
    </row>
    <row r="71">
      <c r="A71" s="11" t="n">
        <v>45408</v>
      </c>
      <c r="B71" s="12" t="n">
        <v>2055</v>
      </c>
      <c r="C71" s="12" t="n">
        <v>1985</v>
      </c>
      <c r="D71" s="12" t="n">
        <v>2080</v>
      </c>
      <c r="E71" s="13">
        <f>COUNT(B71,C71,D71)</f>
        <v/>
      </c>
      <c r="F71" s="14" t="inlineStr"/>
    </row>
    <row r="72">
      <c r="A72" s="11" t="n">
        <v>45415</v>
      </c>
      <c r="B72" s="12" t="n">
        <v>2070</v>
      </c>
      <c r="C72" s="12" t="n">
        <v>2000</v>
      </c>
      <c r="D72" s="12" t="n">
        <v>2100</v>
      </c>
      <c r="E72" s="13">
        <f>COUNT(B72,C72,D72)</f>
        <v/>
      </c>
      <c r="F72" s="14" t="inlineStr"/>
    </row>
    <row r="73">
      <c r="A73" s="11" t="n">
        <v>45422</v>
      </c>
      <c r="B73" s="12" t="n">
        <v>2130</v>
      </c>
      <c r="C73" s="12" t="n">
        <v>2055</v>
      </c>
      <c r="D73" s="12" t="n">
        <v>2160</v>
      </c>
      <c r="E73" s="13">
        <f>COUNT(B73,C73,D73)</f>
        <v/>
      </c>
      <c r="F73" s="14" t="inlineStr"/>
    </row>
    <row r="74">
      <c r="A74" s="11" t="n">
        <v>45429</v>
      </c>
      <c r="B74" s="12" t="n">
        <v>2155</v>
      </c>
      <c r="C74" s="12" t="n">
        <v>2085</v>
      </c>
      <c r="D74" s="12" t="n">
        <v>2190</v>
      </c>
      <c r="E74" s="13">
        <f>COUNT(B74,C74,D74)</f>
        <v/>
      </c>
      <c r="F74" s="14" t="inlineStr"/>
    </row>
    <row r="75">
      <c r="A75" s="11" t="n">
        <v>45436</v>
      </c>
      <c r="B75" s="12" t="n">
        <v>2155</v>
      </c>
      <c r="C75" s="12" t="n">
        <v>2090</v>
      </c>
      <c r="D75" s="12" t="n">
        <v>2195</v>
      </c>
      <c r="E75" s="13">
        <f>COUNT(B75,C75,D75)</f>
        <v/>
      </c>
      <c r="F75" s="14" t="inlineStr"/>
    </row>
    <row r="76">
      <c r="A76" s="11" t="n">
        <v>45443</v>
      </c>
      <c r="B76" s="12" t="n">
        <v>2170</v>
      </c>
      <c r="C76" s="12" t="n">
        <v>2100</v>
      </c>
      <c r="D76" s="12" t="n">
        <v>2210</v>
      </c>
      <c r="E76" s="13">
        <f>COUNT(B76,C76,D76)</f>
        <v/>
      </c>
      <c r="F76" s="14" t="inlineStr"/>
    </row>
    <row r="77">
      <c r="A77" s="11" t="n">
        <v>45450</v>
      </c>
      <c r="B77" s="12" t="n">
        <v>2165</v>
      </c>
      <c r="C77" s="12" t="n">
        <v>2095</v>
      </c>
      <c r="D77" s="12" t="n">
        <v>2210</v>
      </c>
      <c r="E77" s="13">
        <f>COUNT(B77,C77,D77)</f>
        <v/>
      </c>
      <c r="F77" s="14" t="inlineStr"/>
    </row>
    <row r="78">
      <c r="A78" s="11" t="n">
        <v>45457</v>
      </c>
      <c r="B78" s="12" t="n">
        <v>2155</v>
      </c>
      <c r="C78" s="12" t="n">
        <v>2085</v>
      </c>
      <c r="D78" s="12" t="n">
        <v>2195</v>
      </c>
      <c r="E78" s="13">
        <f>COUNT(B78,C78,D78)</f>
        <v/>
      </c>
      <c r="F78" s="14" t="inlineStr"/>
    </row>
    <row r="79">
      <c r="A79" s="11" t="n">
        <v>45464</v>
      </c>
      <c r="B79" s="12" t="n">
        <v>2160</v>
      </c>
      <c r="C79" s="12" t="n">
        <v>2085</v>
      </c>
      <c r="D79" s="12" t="n">
        <v>2190</v>
      </c>
      <c r="E79" s="13">
        <f>COUNT(B79,C79,D79)</f>
        <v/>
      </c>
      <c r="F79" s="14" t="inlineStr"/>
    </row>
    <row r="80">
      <c r="A80" s="11" t="n">
        <v>45471</v>
      </c>
      <c r="B80" s="12" t="n">
        <v>2135</v>
      </c>
      <c r="C80" s="12" t="n">
        <v>2060</v>
      </c>
      <c r="D80" s="12" t="n">
        <v>2170</v>
      </c>
      <c r="E80" s="13">
        <f>COUNT(B80,C80,D80)</f>
        <v/>
      </c>
      <c r="F80" s="14" t="inlineStr"/>
    </row>
    <row r="81">
      <c r="A81" s="11" t="n">
        <v>45478</v>
      </c>
      <c r="B81" s="12" t="n">
        <v>2080</v>
      </c>
      <c r="C81" s="12" t="n">
        <v>2010</v>
      </c>
      <c r="D81" s="12" t="n">
        <v>2110</v>
      </c>
      <c r="E81" s="13">
        <f>COUNT(B81,C81,D81)</f>
        <v/>
      </c>
      <c r="F81" s="14" t="inlineStr"/>
    </row>
    <row r="82">
      <c r="A82" s="11" t="n">
        <v>45485</v>
      </c>
      <c r="B82" s="12" t="n">
        <v>2010</v>
      </c>
      <c r="C82" s="12" t="n">
        <v>1940</v>
      </c>
      <c r="D82" s="12" t="n">
        <v>2030</v>
      </c>
      <c r="E82" s="13">
        <f>COUNT(B82,C82,D82)</f>
        <v/>
      </c>
      <c r="F82" s="14" t="inlineStr"/>
    </row>
    <row r="83">
      <c r="A83" s="11" t="n">
        <v>45492</v>
      </c>
      <c r="B83" s="12" t="n">
        <v>1955</v>
      </c>
      <c r="C83" s="12" t="n">
        <v>1885</v>
      </c>
      <c r="D83" s="12" t="n">
        <v>1970</v>
      </c>
      <c r="E83" s="13">
        <f>COUNT(B83,C83,D83)</f>
        <v/>
      </c>
      <c r="F83" s="14" t="inlineStr"/>
    </row>
    <row r="84">
      <c r="A84" s="11" t="n">
        <v>45499</v>
      </c>
      <c r="B84" s="12" t="n">
        <v>1915</v>
      </c>
      <c r="C84" s="12" t="n">
        <v>1845</v>
      </c>
      <c r="D84" s="12" t="n">
        <v>1920</v>
      </c>
      <c r="E84" s="13">
        <f>COUNT(B84,C84,D84)</f>
        <v/>
      </c>
      <c r="F84" s="14" t="inlineStr"/>
    </row>
    <row r="85">
      <c r="A85" s="11" t="n">
        <v>45506</v>
      </c>
      <c r="B85" s="12" t="n">
        <v>1880</v>
      </c>
      <c r="C85" s="12" t="n">
        <v>1810</v>
      </c>
      <c r="D85" s="12" t="n">
        <v>1885</v>
      </c>
      <c r="E85" s="13">
        <f>COUNT(B85,C85,D85)</f>
        <v/>
      </c>
      <c r="F85" s="14" t="inlineStr"/>
    </row>
    <row r="86">
      <c r="A86" s="11" t="n">
        <v>45513</v>
      </c>
      <c r="B86" s="12" t="n">
        <v>1860</v>
      </c>
      <c r="C86" s="12" t="n">
        <v>1785</v>
      </c>
      <c r="D86" s="12" t="n">
        <v>1860</v>
      </c>
      <c r="E86" s="13">
        <f>COUNT(B86,C86,D86)</f>
        <v/>
      </c>
      <c r="F86" s="14" t="inlineStr"/>
    </row>
    <row r="87">
      <c r="A87" s="11" t="n">
        <v>45520</v>
      </c>
      <c r="B87" s="12" t="n">
        <v>1845</v>
      </c>
      <c r="C87" s="12" t="n">
        <v>1770</v>
      </c>
      <c r="D87" s="12" t="n">
        <v>1845</v>
      </c>
      <c r="E87" s="13">
        <f>COUNT(B87,C87,D87)</f>
        <v/>
      </c>
      <c r="F87" s="14" t="inlineStr"/>
    </row>
    <row r="88">
      <c r="A88" s="11" t="n">
        <v>45527</v>
      </c>
      <c r="B88" s="12" t="n">
        <v>1825</v>
      </c>
      <c r="C88" s="12" t="n">
        <v>1750</v>
      </c>
      <c r="D88" s="12" t="n">
        <v>1820</v>
      </c>
      <c r="E88" s="13">
        <f>COUNT(B88,C88,D88)</f>
        <v/>
      </c>
      <c r="F88" s="14" t="inlineStr"/>
    </row>
    <row r="89">
      <c r="A89" s="11" t="n">
        <v>45534</v>
      </c>
      <c r="B89" s="12" t="n">
        <v>1790</v>
      </c>
      <c r="C89" s="12" t="n">
        <v>1720</v>
      </c>
      <c r="D89" s="12" t="n">
        <v>1785</v>
      </c>
      <c r="E89" s="13">
        <f>COUNT(B89,C89,D89)</f>
        <v/>
      </c>
      <c r="F89" s="14" t="inlineStr"/>
    </row>
    <row r="90">
      <c r="A90" s="11" t="n">
        <v>45541</v>
      </c>
      <c r="B90" s="12" t="n">
        <v>1755</v>
      </c>
      <c r="C90" s="12" t="n">
        <v>1675</v>
      </c>
      <c r="D90" s="12" t="n">
        <v>1750</v>
      </c>
      <c r="E90" s="13">
        <f>COUNT(B90,C90,D90)</f>
        <v/>
      </c>
      <c r="F90" s="14" t="inlineStr"/>
    </row>
    <row r="91">
      <c r="A91" s="11" t="n">
        <v>45548</v>
      </c>
      <c r="B91" s="12" t="n">
        <v>1715</v>
      </c>
      <c r="C91" s="12" t="n">
        <v>1630</v>
      </c>
      <c r="D91" s="12" t="n">
        <v>1710</v>
      </c>
      <c r="E91" s="13">
        <f>COUNT(B91,C91,D91)</f>
        <v/>
      </c>
      <c r="F91" s="14" t="inlineStr"/>
    </row>
    <row r="92">
      <c r="A92" s="11" t="n">
        <v>45555</v>
      </c>
      <c r="B92" s="12" t="n">
        <v>1705</v>
      </c>
      <c r="C92" s="12" t="n">
        <v>1610</v>
      </c>
      <c r="D92" s="12" t="n">
        <v>1700</v>
      </c>
      <c r="E92" s="13">
        <f>COUNT(B92,C92,D92)</f>
        <v/>
      </c>
      <c r="F92" s="14" t="inlineStr"/>
    </row>
    <row r="93">
      <c r="A93" s="11" t="n">
        <v>45562</v>
      </c>
      <c r="B93" s="12" t="n">
        <v>1670</v>
      </c>
      <c r="C93" s="12" t="n">
        <v>1575</v>
      </c>
      <c r="D93" s="12" t="n">
        <v>1665</v>
      </c>
      <c r="E93" s="13">
        <f>COUNT(B93,C93,D93)</f>
        <v/>
      </c>
      <c r="F93" s="14" t="inlineStr"/>
    </row>
    <row r="94">
      <c r="A94" s="11" t="n">
        <v>45569</v>
      </c>
      <c r="B94" s="12" t="n">
        <v>1640</v>
      </c>
      <c r="C94" s="12" t="n">
        <v>1535</v>
      </c>
      <c r="D94" s="12" t="n">
        <v>1645</v>
      </c>
      <c r="E94" s="13">
        <f>COUNT(B94,C94,D94)</f>
        <v/>
      </c>
      <c r="F94" s="14" t="inlineStr"/>
    </row>
    <row r="95">
      <c r="A95" s="11" t="n">
        <v>45576</v>
      </c>
      <c r="B95" s="12" t="n">
        <v>1605</v>
      </c>
      <c r="C95" s="12" t="n">
        <v>1500</v>
      </c>
      <c r="D95" s="12" t="n">
        <v>1615</v>
      </c>
      <c r="E95" s="13">
        <f>COUNT(B95,C95,D95)</f>
        <v/>
      </c>
      <c r="F95" s="14" t="inlineStr"/>
    </row>
    <row r="96">
      <c r="A96" s="11" t="n">
        <v>45583</v>
      </c>
      <c r="B96" s="12" t="n">
        <v>1580</v>
      </c>
      <c r="C96" s="12" t="n">
        <v>1470</v>
      </c>
      <c r="D96" s="12" t="n">
        <v>1575</v>
      </c>
      <c r="E96" s="13">
        <f>COUNT(B96,C96,D96)</f>
        <v/>
      </c>
      <c r="F96" s="14" t="inlineStr"/>
    </row>
    <row r="97">
      <c r="A97" s="11" t="n">
        <v>45590</v>
      </c>
      <c r="B97" s="12" t="n">
        <v>1585</v>
      </c>
      <c r="C97" s="12" t="n">
        <v>1475</v>
      </c>
      <c r="D97" s="12" t="n">
        <v>1585</v>
      </c>
      <c r="E97" s="13">
        <f>COUNT(B97,C97,D97)</f>
        <v/>
      </c>
      <c r="F97" s="14" t="inlineStr"/>
    </row>
    <row r="98">
      <c r="A98" s="11" t="n">
        <v>45597</v>
      </c>
      <c r="B98" s="12" t="n">
        <v>1555</v>
      </c>
      <c r="C98" s="12" t="n">
        <v>1435</v>
      </c>
      <c r="D98" s="12" t="n">
        <v>1550</v>
      </c>
      <c r="E98" s="13">
        <f>COUNT(B98,C98,D98)</f>
        <v/>
      </c>
      <c r="F98" s="14" t="inlineStr"/>
    </row>
    <row r="99">
      <c r="A99" s="11" t="n">
        <v>45604</v>
      </c>
      <c r="B99" s="12" t="n">
        <v>1545</v>
      </c>
      <c r="C99" s="12" t="n">
        <v>1415</v>
      </c>
      <c r="D99" s="12" t="n">
        <v>1535</v>
      </c>
      <c r="E99" s="13">
        <f>COUNT(B99,C99,D99)</f>
        <v/>
      </c>
      <c r="F99" s="14" t="inlineStr"/>
    </row>
    <row r="100">
      <c r="A100" s="11" t="n">
        <v>45611</v>
      </c>
      <c r="B100" s="12" t="n">
        <v>1520</v>
      </c>
      <c r="C100" s="12" t="n">
        <v>1400</v>
      </c>
      <c r="D100" s="12" t="n">
        <v>1515</v>
      </c>
      <c r="E100" s="13">
        <f>COUNT(B100,C100,D100)</f>
        <v/>
      </c>
      <c r="F100" s="14" t="inlineStr"/>
    </row>
    <row r="101">
      <c r="A101" s="11" t="n">
        <v>45618</v>
      </c>
      <c r="B101" s="12" t="n">
        <v>1545</v>
      </c>
      <c r="C101" s="12" t="n">
        <v>1425</v>
      </c>
      <c r="D101" s="12" t="n">
        <v>1540</v>
      </c>
      <c r="E101" s="13">
        <f>COUNT(B101,C101,D101)</f>
        <v/>
      </c>
      <c r="F101" s="14" t="inlineStr"/>
    </row>
    <row r="102">
      <c r="A102" s="11" t="n">
        <v>45625</v>
      </c>
      <c r="B102" s="12" t="n">
        <v>1535</v>
      </c>
      <c r="C102" s="12" t="n">
        <v>1410</v>
      </c>
      <c r="D102" s="12" t="n">
        <v>1530</v>
      </c>
      <c r="E102" s="13">
        <f>COUNT(B102,C102,D102)</f>
        <v/>
      </c>
      <c r="F102" s="14" t="inlineStr"/>
    </row>
    <row r="103">
      <c r="A103" s="11" t="n">
        <v>45632</v>
      </c>
      <c r="B103" s="12" t="n">
        <v>1515</v>
      </c>
      <c r="C103" s="12" t="n">
        <v>1405</v>
      </c>
      <c r="D103" s="12" t="n">
        <v>1515</v>
      </c>
      <c r="E103" s="13">
        <f>COUNT(B103,C103,D103)</f>
        <v/>
      </c>
      <c r="F103" s="14" t="inlineStr"/>
    </row>
    <row r="104">
      <c r="A104" s="11" t="n">
        <v>45639</v>
      </c>
      <c r="B104" s="12" t="n">
        <v>1505</v>
      </c>
      <c r="C104" s="12" t="n">
        <v>1405</v>
      </c>
      <c r="D104" s="12" t="n">
        <v>1500</v>
      </c>
      <c r="E104" s="13">
        <f>COUNT(B104,C104,D104)</f>
        <v/>
      </c>
      <c r="F104" s="14" t="inlineStr"/>
    </row>
    <row r="105">
      <c r="A105" s="11" t="n">
        <v>45653</v>
      </c>
      <c r="B105" s="12" t="n">
        <v>1485</v>
      </c>
      <c r="C105" s="12" t="n">
        <v>1400</v>
      </c>
      <c r="D105" s="12" t="n">
        <v>1485</v>
      </c>
      <c r="E105" s="13">
        <f>COUNT(B105,C105,D105)</f>
        <v/>
      </c>
      <c r="F105" s="14" t="inlineStr"/>
    </row>
    <row r="106">
      <c r="A106" s="11" t="n">
        <v>45660</v>
      </c>
      <c r="B106" s="12" t="n">
        <v>1490</v>
      </c>
      <c r="C106" s="12" t="n">
        <v>1410</v>
      </c>
      <c r="D106" s="12" t="n">
        <v>1495</v>
      </c>
      <c r="E106" s="13">
        <f>COUNT(B106,C106,D106)</f>
        <v/>
      </c>
      <c r="F106" s="14" t="inlineStr"/>
    </row>
    <row r="107">
      <c r="A107" s="11" t="n">
        <v>45667</v>
      </c>
      <c r="B107" s="12" t="n">
        <v>1485</v>
      </c>
      <c r="C107" s="12" t="n">
        <v>1415</v>
      </c>
      <c r="D107" s="12" t="n">
        <v>1495</v>
      </c>
      <c r="E107" s="13">
        <f>COUNT(B107,C107,D107)</f>
        <v/>
      </c>
      <c r="F107" s="14" t="inlineStr"/>
    </row>
    <row r="108">
      <c r="A108" s="11" t="n">
        <v>45674</v>
      </c>
      <c r="B108" s="12" t="n">
        <v>1480</v>
      </c>
      <c r="C108" s="12" t="n">
        <v>1410</v>
      </c>
      <c r="D108" s="12" t="n">
        <v>1485</v>
      </c>
      <c r="E108" s="13">
        <f>COUNT(B108,C108,D108)</f>
        <v/>
      </c>
      <c r="F108" s="14" t="inlineStr"/>
    </row>
    <row r="109">
      <c r="A109" s="11" t="n">
        <v>45681</v>
      </c>
      <c r="B109" s="12" t="n">
        <v>1475</v>
      </c>
      <c r="C109" s="12" t="n">
        <v>1410</v>
      </c>
      <c r="D109" s="12" t="n">
        <v>1480</v>
      </c>
      <c r="E109" s="13">
        <f>COUNT(B109,C109,D109)</f>
        <v/>
      </c>
      <c r="F109" s="14" t="inlineStr"/>
    </row>
    <row r="110">
      <c r="A110" s="11" t="n">
        <v>45688</v>
      </c>
      <c r="B110" s="12" t="n">
        <v>1480</v>
      </c>
      <c r="C110" s="12" t="n">
        <v>1415</v>
      </c>
      <c r="D110" s="12" t="n">
        <v>1485</v>
      </c>
      <c r="E110" s="13">
        <f>COUNT(B110,C110,D110)</f>
        <v/>
      </c>
      <c r="F110" s="14" t="inlineStr"/>
    </row>
    <row r="111">
      <c r="A111" s="11" t="n">
        <v>45695</v>
      </c>
      <c r="B111" s="12" t="n">
        <v>1490</v>
      </c>
      <c r="C111" s="12" t="n">
        <v>1425</v>
      </c>
      <c r="D111" s="12" t="n">
        <v>1490</v>
      </c>
      <c r="E111" s="13">
        <f>COUNT(B111,C111,D111)</f>
        <v/>
      </c>
      <c r="F111" s="14" t="inlineStr"/>
    </row>
    <row r="112">
      <c r="A112" s="11" t="n">
        <v>45702</v>
      </c>
      <c r="B112" s="12" t="n">
        <v>1480</v>
      </c>
      <c r="C112" s="12" t="n">
        <v>1415</v>
      </c>
      <c r="D112" s="12" t="n">
        <v>1475</v>
      </c>
      <c r="E112" s="13">
        <f>COUNT(B112,C112,D112)</f>
        <v/>
      </c>
      <c r="F112" s="14" t="inlineStr"/>
    </row>
    <row r="113">
      <c r="A113" s="11" t="n">
        <v>45709</v>
      </c>
      <c r="B113" s="12" t="n">
        <v>1475</v>
      </c>
      <c r="C113" s="12" t="n">
        <v>1410</v>
      </c>
      <c r="D113" s="12" t="n">
        <v>1465</v>
      </c>
      <c r="E113" s="13">
        <f>COUNT(B113,C113,D113)</f>
        <v/>
      </c>
      <c r="F113" s="14" t="inlineStr"/>
    </row>
    <row r="114">
      <c r="A114" s="11" t="n">
        <v>45716</v>
      </c>
      <c r="B114" s="12" t="n">
        <v>1475</v>
      </c>
      <c r="C114" s="12" t="n">
        <v>1405</v>
      </c>
      <c r="D114" s="12" t="n">
        <v>1470</v>
      </c>
      <c r="E114" s="13">
        <f>COUNT(B114,C114,D114)</f>
        <v/>
      </c>
      <c r="F114" s="14" t="inlineStr"/>
    </row>
    <row r="115">
      <c r="A115" s="11" t="n">
        <v>45723</v>
      </c>
      <c r="B115" s="12" t="n">
        <v>1495</v>
      </c>
      <c r="C115" s="12" t="n">
        <v>1425</v>
      </c>
      <c r="D115" s="12" t="n">
        <v>1485</v>
      </c>
      <c r="E115" s="13">
        <f>COUNT(B115,C115,D115)</f>
        <v/>
      </c>
      <c r="F115" s="14" t="inlineStr"/>
    </row>
    <row r="116">
      <c r="A116" s="11" t="n">
        <v>45730</v>
      </c>
      <c r="B116" s="12" t="n">
        <v>1485</v>
      </c>
      <c r="C116" s="12" t="n">
        <v>1410</v>
      </c>
      <c r="D116" s="12" t="n">
        <v>1470</v>
      </c>
      <c r="E116" s="13">
        <f>COUNT(B116,C116,D116)</f>
        <v/>
      </c>
      <c r="F116" s="14" t="inlineStr"/>
    </row>
    <row r="117">
      <c r="A117" s="11" t="n">
        <v>45737</v>
      </c>
      <c r="B117" s="12" t="n">
        <v>1480</v>
      </c>
      <c r="C117" s="12" t="n">
        <v>1410</v>
      </c>
      <c r="D117" s="12" t="n">
        <v>1460</v>
      </c>
      <c r="E117" s="13">
        <f>COUNT(B117,C117,D117)</f>
        <v/>
      </c>
      <c r="F117" s="14" t="inlineStr"/>
    </row>
    <row r="118">
      <c r="A118" s="11" t="n">
        <v>45744</v>
      </c>
      <c r="B118" s="12" t="n">
        <v>1460</v>
      </c>
      <c r="C118" s="12" t="n">
        <v>1390</v>
      </c>
      <c r="D118" s="12" t="n">
        <v>1440</v>
      </c>
      <c r="E118" s="13">
        <f>COUNT(B118,C118,D118)</f>
        <v/>
      </c>
      <c r="F118" s="14" t="inlineStr"/>
    </row>
    <row r="119">
      <c r="A119" s="11" t="n">
        <v>45751</v>
      </c>
      <c r="B119" s="12" t="n">
        <v>1440</v>
      </c>
      <c r="C119" s="12" t="n">
        <v>1370</v>
      </c>
      <c r="D119" s="12" t="n">
        <v>1425</v>
      </c>
      <c r="E119" s="13">
        <f>COUNT(B119,C119,D119)</f>
        <v/>
      </c>
      <c r="F119" s="14" t="inlineStr"/>
    </row>
    <row r="120">
      <c r="A120" s="11" t="n">
        <v>45758</v>
      </c>
      <c r="B120" s="12" t="n">
        <v>1415</v>
      </c>
      <c r="C120" s="12" t="n">
        <v>1345</v>
      </c>
      <c r="D120" s="12" t="n">
        <v>1400</v>
      </c>
      <c r="E120" s="13">
        <f>COUNT(B120,C120,D120)</f>
        <v/>
      </c>
      <c r="F120" s="14" t="inlineStr"/>
    </row>
    <row r="121">
      <c r="A121" s="11" t="n">
        <v>45765</v>
      </c>
      <c r="B121" s="12" t="n">
        <v>1425</v>
      </c>
      <c r="C121" s="12" t="n">
        <v>1345</v>
      </c>
      <c r="D121" s="12" t="n">
        <v>1405</v>
      </c>
      <c r="E121" s="13">
        <f>COUNT(B121,C121,D121)</f>
        <v/>
      </c>
      <c r="F121" s="14" t="inlineStr"/>
    </row>
    <row r="122">
      <c r="A122" s="11" t="n">
        <v>45772</v>
      </c>
      <c r="B122" s="12" t="n">
        <v>1440</v>
      </c>
      <c r="C122" s="12" t="n">
        <v>1370</v>
      </c>
      <c r="D122" s="12" t="n">
        <v>1420</v>
      </c>
      <c r="E122" s="13">
        <f>COUNT(B122,C122,D122)</f>
        <v/>
      </c>
      <c r="F122" s="14" t="inlineStr"/>
    </row>
    <row r="123">
      <c r="A123" s="11" t="n">
        <v>45786</v>
      </c>
      <c r="B123" s="12" t="n">
        <v>1420</v>
      </c>
      <c r="C123" s="12" t="n">
        <v>1360</v>
      </c>
      <c r="D123" s="12" t="n">
        <v>1405</v>
      </c>
      <c r="E123" s="13">
        <f>COUNT(B123,C123,D123)</f>
        <v/>
      </c>
      <c r="F123" s="14" t="inlineStr"/>
    </row>
    <row r="124">
      <c r="A124" s="11" t="n">
        <v>45793</v>
      </c>
      <c r="B124" s="12" t="n">
        <v>1430</v>
      </c>
      <c r="C124" s="12" t="n">
        <v>1365</v>
      </c>
      <c r="D124" s="12" t="n">
        <v>1415</v>
      </c>
      <c r="E124" s="13">
        <f>COUNT(B124,C124,D124)</f>
        <v/>
      </c>
      <c r="F124" s="14" t="inlineStr"/>
    </row>
    <row r="125">
      <c r="A125" s="11" t="n">
        <v>45800</v>
      </c>
      <c r="B125" s="12" t="n">
        <v>1405</v>
      </c>
      <c r="C125" s="12" t="n">
        <v>1340</v>
      </c>
      <c r="D125" s="12" t="n">
        <v>1390</v>
      </c>
      <c r="E125" s="13">
        <f>COUNT(B125,C125,D125)</f>
        <v/>
      </c>
      <c r="F125" s="14" t="inlineStr"/>
    </row>
    <row r="126">
      <c r="A126" s="11" t="n">
        <v>45807</v>
      </c>
      <c r="B126" s="12" t="n">
        <v>1405</v>
      </c>
      <c r="C126" s="12" t="n">
        <v>1345</v>
      </c>
      <c r="D126" s="12" t="n">
        <v>1395</v>
      </c>
      <c r="E126" s="13">
        <f>COUNT(B126,C126,D126)</f>
        <v/>
      </c>
      <c r="F126" s="14" t="inlineStr"/>
    </row>
    <row r="127">
      <c r="A127" s="11" t="n">
        <v>45814</v>
      </c>
      <c r="B127" s="12" t="n">
        <v>1375</v>
      </c>
      <c r="C127" s="12" t="n">
        <v>1310</v>
      </c>
      <c r="D127" s="12" t="n">
        <v>1375</v>
      </c>
      <c r="E127" s="13">
        <f>COUNT(B127,C127,D127)</f>
        <v/>
      </c>
      <c r="F127" s="14" t="inlineStr"/>
    </row>
    <row r="128">
      <c r="A128" s="11" t="n">
        <v>45821</v>
      </c>
      <c r="B128" s="12" t="n">
        <v>1365</v>
      </c>
      <c r="C128" s="12" t="n">
        <v>1295</v>
      </c>
      <c r="D128" s="12" t="n">
        <v>1370</v>
      </c>
      <c r="E128" s="13">
        <f>COUNT(B128,C128,D128)</f>
        <v/>
      </c>
      <c r="F128" s="14" t="inlineStr"/>
    </row>
    <row r="129">
      <c r="A129" s="11" t="n">
        <v>45828</v>
      </c>
      <c r="B129" s="12" t="n">
        <v>1360</v>
      </c>
      <c r="C129" s="12" t="n">
        <v>1285</v>
      </c>
      <c r="D129" s="12" t="n">
        <v>1370</v>
      </c>
      <c r="E129" s="13">
        <f>COUNT(B129,C129,D129)</f>
        <v/>
      </c>
      <c r="F129" s="14" t="inlineStr"/>
    </row>
    <row r="130">
      <c r="A130" s="11" t="n">
        <v>45835</v>
      </c>
      <c r="B130" s="12" t="n">
        <v>1350</v>
      </c>
      <c r="C130" s="12" t="n">
        <v>1270</v>
      </c>
      <c r="D130" s="12" t="n">
        <v>1360</v>
      </c>
      <c r="E130" s="13">
        <f>COUNT(B130,C130,D130)</f>
        <v/>
      </c>
      <c r="F130" s="14" t="inlineStr"/>
    </row>
    <row r="131">
      <c r="A131" s="11" t="n">
        <v>45842</v>
      </c>
      <c r="B131" s="12" t="n">
        <v>1325</v>
      </c>
      <c r="C131" s="12" t="n">
        <v>1240</v>
      </c>
      <c r="D131" s="12" t="n">
        <v>1330</v>
      </c>
      <c r="E131" s="13">
        <f>COUNT(B131,C131,D131)</f>
        <v/>
      </c>
      <c r="F131" s="14" t="inlineStr"/>
    </row>
    <row r="132">
      <c r="A132" s="11" t="n">
        <v>45849</v>
      </c>
      <c r="B132" s="12" t="n">
        <v>1285</v>
      </c>
      <c r="C132" s="12" t="n">
        <v>1200</v>
      </c>
      <c r="D132" s="12" t="n">
        <v>1300</v>
      </c>
      <c r="E132" s="13">
        <f>COUNT(B132,C132,D132)</f>
        <v/>
      </c>
      <c r="F132" s="14" t="inlineStr"/>
    </row>
    <row r="133">
      <c r="A133" s="11" t="n">
        <v>45856</v>
      </c>
      <c r="B133" s="12" t="n">
        <v>1240</v>
      </c>
      <c r="C133" s="12" t="n">
        <v>1160</v>
      </c>
      <c r="D133" s="12" t="n">
        <v>1260</v>
      </c>
      <c r="E133" s="13">
        <f>COUNT(B133,C133,D133)</f>
        <v/>
      </c>
      <c r="F133" s="14" t="inlineStr"/>
    </row>
    <row r="134">
      <c r="A134" s="11" t="n">
        <v>45863</v>
      </c>
      <c r="B134" s="12" t="n">
        <v>1265</v>
      </c>
      <c r="C134" s="12" t="n">
        <v>1185</v>
      </c>
      <c r="D134" s="12" t="n">
        <v>1290</v>
      </c>
      <c r="E134" s="13">
        <f>COUNT(B134,C134,D134)</f>
        <v/>
      </c>
      <c r="F134" s="14" t="inlineStr"/>
    </row>
    <row r="135">
      <c r="A135" s="11" t="n">
        <v>45870</v>
      </c>
      <c r="B135" s="12" t="n">
        <v>1295</v>
      </c>
      <c r="C135" s="12" t="n">
        <v>1225</v>
      </c>
      <c r="D135" s="12" t="n">
        <v>1325</v>
      </c>
      <c r="E135" s="13">
        <f>COUNT(B135,C135,D135)</f>
        <v/>
      </c>
      <c r="F135" s="14" t="inlineStr"/>
    </row>
    <row r="136">
      <c r="A136" s="11" t="n">
        <v>45877</v>
      </c>
      <c r="B136" s="12" t="n">
        <v>1300</v>
      </c>
      <c r="C136" s="12" t="n">
        <v>1230</v>
      </c>
      <c r="D136" s="12" t="n">
        <v>1330</v>
      </c>
      <c r="E136" s="13">
        <f>COUNT(B136,C136,D136)</f>
        <v/>
      </c>
      <c r="F136" s="14" t="inlineStr"/>
    </row>
    <row r="137">
      <c r="A137" s="11" t="n">
        <v>45884</v>
      </c>
      <c r="B137" s="12" t="n">
        <v>1300</v>
      </c>
      <c r="C137" s="12" t="n">
        <v>1225</v>
      </c>
      <c r="D137" s="12" t="n">
        <v>1325</v>
      </c>
      <c r="E137" s="13">
        <f>COUNT(B137,C137,D137)</f>
        <v/>
      </c>
      <c r="F137" s="14" t="inlineStr"/>
    </row>
    <row r="138">
      <c r="A138" s="11" t="n">
        <v>45891</v>
      </c>
      <c r="B138" s="12" t="n">
        <v>1270</v>
      </c>
      <c r="C138" s="12" t="n">
        <v>1200</v>
      </c>
      <c r="D138" s="12" t="n">
        <v>1295</v>
      </c>
      <c r="E138" s="13">
        <f>COUNT(B138,C138,D138)</f>
        <v/>
      </c>
      <c r="F138" s="14" t="inlineStr"/>
    </row>
    <row r="139">
      <c r="A139" s="11" t="n">
        <v>45898</v>
      </c>
      <c r="B139" s="12" t="n">
        <v>1255</v>
      </c>
      <c r="C139" s="12" t="n">
        <v>1180</v>
      </c>
      <c r="D139" s="12" t="n">
        <v>1285</v>
      </c>
      <c r="E139" s="13">
        <f>COUNT(B139,C139,D139)</f>
        <v/>
      </c>
      <c r="F139" s="14" t="inlineStr"/>
    </row>
    <row r="140">
      <c r="A140" s="11" t="n">
        <v>45905</v>
      </c>
      <c r="B140" s="12" t="n">
        <v>1275</v>
      </c>
      <c r="C140" s="12" t="n">
        <v>1195</v>
      </c>
      <c r="D140" s="12" t="n">
        <v>1300</v>
      </c>
      <c r="E140" s="13">
        <f>COUNT(B140,C140,D140)</f>
        <v/>
      </c>
      <c r="F140" s="14" t="inlineStr"/>
    </row>
    <row r="141">
      <c r="A141" s="11" t="n">
        <v>45912</v>
      </c>
      <c r="B141" s="12" t="n">
        <v>1270</v>
      </c>
      <c r="C141" s="12" t="n">
        <v>1190</v>
      </c>
      <c r="D141" s="12" t="n">
        <v>1295</v>
      </c>
      <c r="E141" s="13">
        <f>COUNT(B141,C141,D141)</f>
        <v/>
      </c>
      <c r="F141" s="14" t="inlineStr"/>
    </row>
    <row r="142">
      <c r="A142" s="11" t="n">
        <v>45919</v>
      </c>
      <c r="B142" s="12" t="n">
        <v>1290</v>
      </c>
      <c r="C142" s="12" t="n">
        <v>1210</v>
      </c>
      <c r="D142" s="12" t="n">
        <v>1315</v>
      </c>
      <c r="E142" s="13">
        <f>COUNT(B142,C142,D142)</f>
        <v/>
      </c>
      <c r="F142" s="14" t="inlineStr"/>
    </row>
    <row r="143">
      <c r="A143" s="11" t="n">
        <v>45926</v>
      </c>
      <c r="B143" s="12" t="n">
        <v>1310</v>
      </c>
      <c r="C143" s="12" t="n">
        <v>1240</v>
      </c>
      <c r="D143" s="12" t="n">
        <v>1345</v>
      </c>
      <c r="E143" s="13">
        <f>COUNT(B143,C143,D143)</f>
        <v/>
      </c>
      <c r="F143" s="14" t="inlineStr"/>
    </row>
    <row r="144">
      <c r="A144" s="11" t="n">
        <v>45933</v>
      </c>
      <c r="B144" s="12" t="n">
        <v>1365</v>
      </c>
      <c r="C144" s="12" t="n">
        <v>1295</v>
      </c>
      <c r="D144" s="12" t="n">
        <v>1395</v>
      </c>
      <c r="E144" s="13">
        <f>COUNT(B144,C144,D144)</f>
        <v/>
      </c>
      <c r="F144" s="14" t="inlineStr"/>
    </row>
    <row r="145">
      <c r="A145" s="11" t="n">
        <v>45940</v>
      </c>
      <c r="B145" s="12" t="n">
        <v>1405</v>
      </c>
      <c r="C145" s="12" t="n">
        <v>1330</v>
      </c>
      <c r="D145" s="12" t="n">
        <v>1430</v>
      </c>
      <c r="E145" s="13">
        <f>COUNT(B145,C145,D145)</f>
        <v/>
      </c>
      <c r="F145" s="14" t="inlineStr"/>
    </row>
    <row r="146">
      <c r="A146" s="11" t="n">
        <v>45947</v>
      </c>
      <c r="B146" s="12" t="n">
        <v>1435</v>
      </c>
      <c r="C146" s="12" t="n">
        <v>1365</v>
      </c>
      <c r="D146" s="12" t="n">
        <v>1460</v>
      </c>
      <c r="E146" s="13">
        <f>COUNT(B146,C146,D146)</f>
        <v/>
      </c>
      <c r="F146" s="14" t="inlineStr"/>
    </row>
    <row r="147">
      <c r="A147" s="11" t="n">
        <v>45954</v>
      </c>
      <c r="B147" s="12" t="n">
        <v>1465</v>
      </c>
      <c r="C147" s="12" t="n">
        <v>1395</v>
      </c>
      <c r="D147" s="12" t="n">
        <v>1485</v>
      </c>
      <c r="E147" s="13">
        <f>COUNT(B147,C147,D147)</f>
        <v/>
      </c>
      <c r="F147" s="14" t="inlineStr"/>
    </row>
    <row r="148">
      <c r="A148" s="11" t="n">
        <v>45961</v>
      </c>
      <c r="B148" s="12" t="n">
        <v>1475</v>
      </c>
      <c r="C148" s="12" t="n">
        <v>1405</v>
      </c>
      <c r="D148" s="12" t="n">
        <v>1490</v>
      </c>
      <c r="E148" s="13">
        <f>COUNT(B148,C148,D148)</f>
        <v/>
      </c>
      <c r="F148" s="14" t="inlineStr"/>
    </row>
    <row r="149">
      <c r="A149" s="11" t="n">
        <v>45968</v>
      </c>
      <c r="B149" s="12" t="n">
        <v>1470</v>
      </c>
      <c r="C149" s="12" t="n">
        <v>1390</v>
      </c>
      <c r="D149" s="12" t="n">
        <v>1485</v>
      </c>
      <c r="E149" s="13">
        <f>COUNT(B149,C149,D149)</f>
        <v/>
      </c>
      <c r="F149" s="14" t="inlineStr"/>
    </row>
    <row r="150">
      <c r="A150" s="11" t="n">
        <v>45975</v>
      </c>
      <c r="B150" s="12" t="n">
        <v>1475</v>
      </c>
      <c r="C150" s="12" t="n">
        <v>1385</v>
      </c>
      <c r="D150" s="12" t="n">
        <v>1485</v>
      </c>
      <c r="E150" s="13">
        <f>COUNT(B150,C150,D150)</f>
        <v/>
      </c>
      <c r="F150" s="14" t="inlineStr"/>
    </row>
    <row r="151">
      <c r="A151" s="11" t="n">
        <v>45982</v>
      </c>
      <c r="B151" s="12" t="n">
        <v>1470</v>
      </c>
      <c r="C151" s="12" t="n">
        <v>1375</v>
      </c>
      <c r="D151" s="12" t="n">
        <v>1475</v>
      </c>
      <c r="E151" s="13">
        <f>COUNT(B151,C151,D151)</f>
        <v/>
      </c>
      <c r="F151" s="14" t="inlineStr"/>
    </row>
    <row r="152">
      <c r="A152" s="11" t="n">
        <v>45989</v>
      </c>
      <c r="B152" s="12" t="n">
        <v>1445</v>
      </c>
      <c r="C152" s="12" t="n">
        <v>1345</v>
      </c>
      <c r="D152" s="12" t="n">
        <v>1455</v>
      </c>
      <c r="E152" s="13">
        <f>COUNT(B152,C152,D152)</f>
        <v/>
      </c>
      <c r="F152" s="14" t="inlineStr"/>
    </row>
    <row r="153">
      <c r="A153" s="11" t="n">
        <v>45996</v>
      </c>
      <c r="B153" s="12" t="n">
        <v>1425</v>
      </c>
      <c r="C153" s="12" t="n">
        <v>1330</v>
      </c>
      <c r="D153" s="12" t="n">
        <v>1440</v>
      </c>
      <c r="E153" s="13">
        <f>COUNT(B153,C153,D153)</f>
        <v/>
      </c>
      <c r="F153" s="14" t="inlineStr"/>
    </row>
    <row r="154">
      <c r="A154" s="11" t="n">
        <v>46003</v>
      </c>
      <c r="B154" s="12" t="n">
        <v>1395</v>
      </c>
      <c r="C154" s="12" t="n">
        <v>1295</v>
      </c>
      <c r="D154" s="12" t="n">
        <v>1405</v>
      </c>
      <c r="E154" s="13">
        <f>COUNT(B154,C154,D154)</f>
        <v/>
      </c>
      <c r="F154" s="14" t="inlineStr"/>
    </row>
    <row r="155">
      <c r="A155" s="11" t="n">
        <v>46010</v>
      </c>
      <c r="B155" s="12" t="n">
        <v>1395</v>
      </c>
      <c r="C155" s="12" t="n">
        <v>1295</v>
      </c>
      <c r="D155" s="12" t="n">
        <v>1405</v>
      </c>
      <c r="E155" s="13">
        <f>COUNT(B155,C155,D155)</f>
        <v/>
      </c>
      <c r="F155" s="14" t="inlineStr"/>
    </row>
    <row r="156">
      <c r="A156" s="11" t="n">
        <v>46017</v>
      </c>
      <c r="B156" s="12" t="n">
        <v>1370</v>
      </c>
      <c r="C156" s="12" t="n">
        <v>1275</v>
      </c>
      <c r="D156" s="12" t="n">
        <v>1385</v>
      </c>
      <c r="E156" s="13">
        <f>COUNT(B156,C156,D156)</f>
        <v/>
      </c>
      <c r="F156" s="14" t="inlineStr"/>
    </row>
    <row r="158" ht="26" customHeight="1">
      <c r="A158" s="15" t="inlineStr">
        <is>
          <t>★ 输入区：直接把真实数据粘贴到 B:E 列即可，全表（价差/分位/图）自动重算。缺失请留空——不要把缺失填 0 或重复上一期值；留空会在价差表里显示为空，这是正确行为。</t>
        </is>
      </c>
    </row>
  </sheetData>
  <mergeCells count="3">
    <mergeCell ref="A158:F158"/>
    <mergeCell ref="A2:H2"/>
    <mergeCell ref="A1:H1"/>
  </mergeCells>
  <dataValidations count="1">
    <dataValidation sqref="B5:D156" showDropDown="0" showInputMessage="0" showErrorMessage="1" allowBlank="1" error="价格应在 100–20000 元/吨（纯碱量级），请检查单位是否为 元/吨" type="decimal" operator="between">
      <formula1>100</formula1>
      <formula2>20000</formula2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H1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1" customWidth="1" min="5" max="5"/>
    <col width="30" customWidth="1" min="6" max="6"/>
  </cols>
  <sheetData>
    <row r="1" ht="30" customHeight="1">
      <c r="A1" s="1" t="inlineStr">
        <is>
          <t>三地区周度价格（出厂价（厂提））</t>
        </is>
      </c>
    </row>
    <row r="2" ht="30" customHeight="1">
      <c r="A2" s="2" t="inlineStr">
        <is>
          <t>出厂价（厂提）｜对照口径。用于展示『同一批货离开工厂时的价差』，并把运费显性化。山东海化、山东海天、唐山三友、苏盐井神等均为郑商所纯碱交割厂库，厂提价可核。</t>
        </is>
      </c>
    </row>
    <row r="4" ht="30" customHeight="1">
      <c r="A4" s="6" t="inlineStr">
        <is>
          <t>日期</t>
        </is>
      </c>
      <c r="B4" s="6" t="inlineStr">
        <is>
          <t>山东</t>
        </is>
      </c>
      <c r="C4" s="6" t="inlineStr">
        <is>
          <t>河北</t>
        </is>
      </c>
      <c r="D4" s="6" t="inlineStr">
        <is>
          <t>江苏</t>
        </is>
      </c>
      <c r="E4" s="6" t="inlineStr">
        <is>
          <t>有效地区数</t>
        </is>
      </c>
      <c r="F4" s="6" t="inlineStr">
        <is>
          <t>备注</t>
        </is>
      </c>
    </row>
    <row r="5">
      <c r="A5" s="11" t="n">
        <v>44932</v>
      </c>
      <c r="B5" s="12" t="n">
        <v>2760</v>
      </c>
      <c r="C5" s="12" t="n">
        <v>2670</v>
      </c>
      <c r="D5" s="12" t="n">
        <v>2750</v>
      </c>
      <c r="E5" s="13">
        <f>COUNT(B5,C5,D5)</f>
        <v/>
      </c>
      <c r="F5" s="14" t="inlineStr"/>
    </row>
    <row r="6">
      <c r="A6" s="11" t="n">
        <v>44939</v>
      </c>
      <c r="B6" s="12" t="n">
        <v>2780</v>
      </c>
      <c r="C6" s="12" t="n">
        <v>2695</v>
      </c>
      <c r="D6" s="12" t="n">
        <v>2770</v>
      </c>
      <c r="E6" s="13">
        <f>COUNT(B6,C6,D6)</f>
        <v/>
      </c>
      <c r="F6" s="14" t="inlineStr"/>
    </row>
    <row r="7">
      <c r="A7" s="11" t="n">
        <v>44946</v>
      </c>
      <c r="B7" s="12" t="n">
        <v>2780</v>
      </c>
      <c r="C7" s="12" t="n">
        <v>2700</v>
      </c>
      <c r="D7" s="12" t="n">
        <v>2770</v>
      </c>
      <c r="E7" s="13">
        <f>COUNT(B7,C7,D7)</f>
        <v/>
      </c>
      <c r="F7" s="14" t="inlineStr"/>
    </row>
    <row r="8">
      <c r="A8" s="11" t="n">
        <v>44953</v>
      </c>
      <c r="B8" s="12" t="n">
        <v>2765</v>
      </c>
      <c r="C8" s="12" t="n">
        <v>2685</v>
      </c>
      <c r="D8" s="12" t="n">
        <v>2760</v>
      </c>
      <c r="E8" s="13">
        <f>COUNT(B8,C8,D8)</f>
        <v/>
      </c>
      <c r="F8" s="14" t="inlineStr"/>
    </row>
    <row r="9">
      <c r="A9" s="11" t="n">
        <v>44960</v>
      </c>
      <c r="B9" s="12" t="n">
        <v>2745</v>
      </c>
      <c r="C9" s="12" t="n">
        <v>2665</v>
      </c>
      <c r="D9" s="12" t="n">
        <v>2745</v>
      </c>
      <c r="E9" s="13">
        <f>COUNT(B9,C9,D9)</f>
        <v/>
      </c>
      <c r="F9" s="14" t="inlineStr"/>
    </row>
    <row r="10">
      <c r="A10" s="11" t="n">
        <v>44967</v>
      </c>
      <c r="B10" s="12" t="n">
        <v>2740</v>
      </c>
      <c r="C10" s="12" t="n">
        <v>2650</v>
      </c>
      <c r="D10" s="12" t="n">
        <v>2735</v>
      </c>
      <c r="E10" s="13">
        <f>COUNT(B10,C10,D10)</f>
        <v/>
      </c>
      <c r="F10" s="14" t="inlineStr"/>
    </row>
    <row r="11">
      <c r="A11" s="11" t="n">
        <v>44974</v>
      </c>
      <c r="B11" s="12" t="n">
        <v>2740</v>
      </c>
      <c r="C11" s="12" t="n">
        <v>2650</v>
      </c>
      <c r="D11" s="12" t="n">
        <v>2735</v>
      </c>
      <c r="E11" s="13">
        <f>COUNT(B11,C11,D11)</f>
        <v/>
      </c>
      <c r="F11" s="14" t="inlineStr"/>
    </row>
    <row r="12">
      <c r="A12" s="11" t="n">
        <v>44981</v>
      </c>
      <c r="B12" s="12" t="n">
        <v>2740</v>
      </c>
      <c r="C12" s="12" t="n">
        <v>2645</v>
      </c>
      <c r="D12" s="12" t="n">
        <v>2735</v>
      </c>
      <c r="E12" s="13">
        <f>COUNT(B12,C12,D12)</f>
        <v/>
      </c>
      <c r="F12" s="14" t="inlineStr"/>
    </row>
    <row r="13">
      <c r="A13" s="11" t="n">
        <v>44988</v>
      </c>
      <c r="B13" s="12" t="n">
        <v>2740</v>
      </c>
      <c r="C13" s="12" t="n">
        <v>2655</v>
      </c>
      <c r="D13" s="12" t="n">
        <v>2735</v>
      </c>
      <c r="E13" s="13">
        <f>COUNT(B13,C13,D13)</f>
        <v/>
      </c>
      <c r="F13" s="14" t="inlineStr"/>
    </row>
    <row r="14">
      <c r="A14" s="11" t="n">
        <v>44995</v>
      </c>
      <c r="B14" s="12" t="n">
        <v>2760</v>
      </c>
      <c r="C14" s="12" t="n">
        <v>2670</v>
      </c>
      <c r="D14" s="12" t="n">
        <v>2755</v>
      </c>
      <c r="E14" s="13">
        <f>COUNT(B14,C14,D14)</f>
        <v/>
      </c>
      <c r="F14" s="14" t="inlineStr"/>
    </row>
    <row r="15">
      <c r="A15" s="11" t="n">
        <v>45002</v>
      </c>
      <c r="B15" s="12" t="n">
        <v>2755</v>
      </c>
      <c r="C15" s="12" t="n">
        <v>2665</v>
      </c>
      <c r="D15" s="12" t="n">
        <v>2740</v>
      </c>
      <c r="E15" s="13">
        <f>COUNT(B15,C15,D15)</f>
        <v/>
      </c>
      <c r="F15" s="14" t="inlineStr"/>
    </row>
    <row r="16">
      <c r="A16" s="11" t="n">
        <v>45009</v>
      </c>
      <c r="B16" s="12" t="n">
        <v>2745</v>
      </c>
      <c r="C16" s="12" t="n">
        <v>2655</v>
      </c>
      <c r="D16" s="12" t="n">
        <v>2735</v>
      </c>
      <c r="E16" s="13">
        <f>COUNT(B16,C16,D16)</f>
        <v/>
      </c>
      <c r="F16" s="14" t="inlineStr"/>
    </row>
    <row r="17">
      <c r="A17" s="11" t="n">
        <v>45016</v>
      </c>
      <c r="B17" s="12" t="n">
        <v>2725</v>
      </c>
      <c r="C17" s="12" t="n">
        <v>2640</v>
      </c>
      <c r="D17" s="12" t="n">
        <v>2715</v>
      </c>
      <c r="E17" s="13">
        <f>COUNT(B17,C17,D17)</f>
        <v/>
      </c>
      <c r="F17" s="14" t="inlineStr"/>
    </row>
    <row r="18">
      <c r="A18" s="11" t="n">
        <v>45023</v>
      </c>
      <c r="B18" s="12" t="n">
        <v>2665</v>
      </c>
      <c r="C18" s="12" t="n">
        <v>2580</v>
      </c>
      <c r="D18" s="12" t="n">
        <v>2655</v>
      </c>
      <c r="E18" s="13">
        <f>COUNT(B18,C18,D18)</f>
        <v/>
      </c>
      <c r="F18" s="14" t="inlineStr"/>
    </row>
    <row r="19">
      <c r="A19" s="11" t="n">
        <v>45030</v>
      </c>
      <c r="B19" s="12" t="n">
        <v>2530</v>
      </c>
      <c r="C19" s="12" t="n">
        <v>2450</v>
      </c>
      <c r="D19" s="12" t="n">
        <v>2515</v>
      </c>
      <c r="E19" s="13">
        <f>COUNT(B19,C19,D19)</f>
        <v/>
      </c>
      <c r="F19" s="14" t="inlineStr"/>
    </row>
    <row r="20">
      <c r="A20" s="11" t="n">
        <v>45037</v>
      </c>
      <c r="B20" s="12" t="n">
        <v>2390</v>
      </c>
      <c r="C20" s="12" t="n">
        <v>2310</v>
      </c>
      <c r="D20" s="12" t="n">
        <v>2375</v>
      </c>
      <c r="E20" s="13">
        <f>COUNT(B20,C20,D20)</f>
        <v/>
      </c>
      <c r="F20" s="14" t="inlineStr"/>
    </row>
    <row r="21">
      <c r="A21" s="11" t="n">
        <v>45044</v>
      </c>
      <c r="B21" s="12" t="n">
        <v>2315</v>
      </c>
      <c r="C21" s="12" t="n">
        <v>2230</v>
      </c>
      <c r="D21" s="12" t="n">
        <v>2300</v>
      </c>
      <c r="E21" s="13">
        <f>COUNT(B21,C21,D21)</f>
        <v/>
      </c>
      <c r="F21" s="14" t="inlineStr"/>
    </row>
    <row r="22">
      <c r="A22" s="11" t="n">
        <v>45051</v>
      </c>
      <c r="B22" s="12" t="n">
        <v>2245</v>
      </c>
      <c r="C22" s="12" t="n">
        <v>2155</v>
      </c>
      <c r="D22" s="12" t="n">
        <v>2225</v>
      </c>
      <c r="E22" s="13">
        <f>COUNT(B22,C22,D22)</f>
        <v/>
      </c>
      <c r="F22" s="14" t="inlineStr"/>
    </row>
    <row r="23">
      <c r="A23" s="11" t="n">
        <v>45058</v>
      </c>
      <c r="B23" s="12" t="n">
        <v>2085</v>
      </c>
      <c r="C23" s="12" t="n">
        <v>1995</v>
      </c>
      <c r="D23" s="12" t="n">
        <v>2070</v>
      </c>
      <c r="E23" s="13">
        <f>COUNT(B23,C23,D23)</f>
        <v/>
      </c>
      <c r="F23" s="14" t="inlineStr"/>
    </row>
    <row r="24">
      <c r="A24" s="11" t="n">
        <v>45065</v>
      </c>
      <c r="B24" s="12" t="n">
        <v>2030</v>
      </c>
      <c r="C24" s="12" t="n">
        <v>1935</v>
      </c>
      <c r="D24" s="12" t="n">
        <v>2015</v>
      </c>
      <c r="E24" s="13">
        <f>COUNT(B24,C24,D24)</f>
        <v/>
      </c>
      <c r="F24" s="14" t="inlineStr"/>
    </row>
    <row r="25">
      <c r="A25" s="11" t="n">
        <v>45072</v>
      </c>
      <c r="B25" s="12" t="n">
        <v>2035</v>
      </c>
      <c r="C25" s="12" t="n">
        <v>1940</v>
      </c>
      <c r="D25" s="12" t="n">
        <v>2015</v>
      </c>
      <c r="E25" s="13">
        <f>COUNT(B25,C25,D25)</f>
        <v/>
      </c>
      <c r="F25" s="14" t="inlineStr"/>
    </row>
    <row r="26">
      <c r="A26" s="11" t="n">
        <v>45079</v>
      </c>
      <c r="B26" s="12" t="n">
        <v>2040</v>
      </c>
      <c r="C26" s="12" t="n">
        <v>1945</v>
      </c>
      <c r="D26" s="12" t="n">
        <v>2015</v>
      </c>
      <c r="E26" s="13">
        <f>COUNT(B26,C26,D26)</f>
        <v/>
      </c>
      <c r="F26" s="14" t="inlineStr"/>
    </row>
    <row r="27">
      <c r="A27" s="11" t="n">
        <v>45086</v>
      </c>
      <c r="B27" s="12" t="n">
        <v>2045</v>
      </c>
      <c r="C27" s="12" t="n">
        <v>1950</v>
      </c>
      <c r="D27" s="12" t="n">
        <v>2025</v>
      </c>
      <c r="E27" s="13">
        <f>COUNT(B27,C27,D27)</f>
        <v/>
      </c>
      <c r="F27" s="14" t="inlineStr"/>
    </row>
    <row r="28">
      <c r="A28" s="11" t="n">
        <v>45100</v>
      </c>
      <c r="B28" s="12" t="n">
        <v>2065</v>
      </c>
      <c r="C28" s="12" t="n">
        <v>1970</v>
      </c>
      <c r="D28" s="12" t="n">
        <v>2050</v>
      </c>
      <c r="E28" s="13">
        <f>COUNT(B28,C28,D28)</f>
        <v/>
      </c>
      <c r="F28" s="14" t="inlineStr"/>
    </row>
    <row r="29">
      <c r="A29" s="11" t="n">
        <v>45107</v>
      </c>
      <c r="B29" s="12" t="n">
        <v>2095</v>
      </c>
      <c r="C29" s="12" t="n">
        <v>2005</v>
      </c>
      <c r="D29" s="12" t="n">
        <v>2085</v>
      </c>
      <c r="E29" s="13">
        <f>COUNT(B29,C29,D29)</f>
        <v/>
      </c>
      <c r="F29" s="14" t="inlineStr"/>
    </row>
    <row r="30">
      <c r="A30" s="11" t="n">
        <v>45114</v>
      </c>
      <c r="B30" s="12" t="n">
        <v>2120</v>
      </c>
      <c r="C30" s="12" t="n">
        <v>2025</v>
      </c>
      <c r="D30" s="12" t="n">
        <v>2100</v>
      </c>
      <c r="E30" s="13">
        <f>COUNT(B30,C30,D30)</f>
        <v/>
      </c>
      <c r="F30" s="14" t="inlineStr"/>
    </row>
    <row r="31">
      <c r="A31" s="11" t="n">
        <v>45121</v>
      </c>
      <c r="B31" s="12" t="n">
        <v>2140</v>
      </c>
      <c r="C31" s="12" t="n">
        <v>2050</v>
      </c>
      <c r="D31" s="12" t="n">
        <v>2125</v>
      </c>
      <c r="E31" s="13">
        <f>COUNT(B31,C31,D31)</f>
        <v/>
      </c>
      <c r="F31" s="14" t="inlineStr"/>
    </row>
    <row r="32">
      <c r="A32" s="11" t="n">
        <v>45128</v>
      </c>
      <c r="B32" s="12" t="n">
        <v>2150</v>
      </c>
      <c r="C32" s="12" t="n">
        <v>2075</v>
      </c>
      <c r="D32" s="12" t="n">
        <v>2140</v>
      </c>
      <c r="E32" s="13">
        <f>COUNT(B32,C32,D32)</f>
        <v/>
      </c>
      <c r="F32" s="14" t="inlineStr"/>
    </row>
    <row r="33">
      <c r="A33" s="11" t="n">
        <v>45135</v>
      </c>
      <c r="B33" s="12" t="n">
        <v>2250</v>
      </c>
      <c r="C33" s="12" t="n">
        <v>2180</v>
      </c>
      <c r="D33" s="12" t="n">
        <v>2235</v>
      </c>
      <c r="E33" s="13">
        <f>COUNT(B33,C33,D33)</f>
        <v/>
      </c>
      <c r="F33" s="14" t="inlineStr"/>
    </row>
    <row r="34">
      <c r="A34" s="11" t="n">
        <v>45142</v>
      </c>
      <c r="B34" s="12" t="n">
        <v>2380</v>
      </c>
      <c r="C34" s="12" t="n">
        <v>2300</v>
      </c>
      <c r="D34" s="12" t="n">
        <v>2360</v>
      </c>
      <c r="E34" s="13">
        <f>COUNT(B34,C34,D34)</f>
        <v/>
      </c>
      <c r="F34" s="14" t="inlineStr"/>
    </row>
    <row r="35">
      <c r="A35" s="11" t="n">
        <v>45149</v>
      </c>
      <c r="B35" s="12" t="n">
        <v>2640</v>
      </c>
      <c r="C35" s="12" t="n">
        <v>2570</v>
      </c>
      <c r="D35" s="12" t="n">
        <v>2615</v>
      </c>
      <c r="E35" s="13">
        <f>COUNT(B35,C35,D35)</f>
        <v/>
      </c>
      <c r="F35" s="14" t="inlineStr"/>
    </row>
    <row r="36">
      <c r="A36" s="11" t="n">
        <v>45156</v>
      </c>
      <c r="B36" s="12" t="n">
        <v>2875</v>
      </c>
      <c r="C36" s="12" t="n">
        <v>2815</v>
      </c>
      <c r="D36" s="12" t="n">
        <v>2855</v>
      </c>
      <c r="E36" s="13">
        <f>COUNT(B36,C36,D36)</f>
        <v/>
      </c>
      <c r="F36" s="14" t="inlineStr"/>
    </row>
    <row r="37">
      <c r="A37" s="11" t="n">
        <v>45163</v>
      </c>
      <c r="B37" s="12" t="n">
        <v>2990</v>
      </c>
      <c r="C37" s="12" t="n">
        <v>2930</v>
      </c>
      <c r="D37" s="12" t="n">
        <v>2960</v>
      </c>
      <c r="E37" s="13">
        <f>COUNT(B37,C37,D37)</f>
        <v/>
      </c>
      <c r="F37" s="14" t="inlineStr"/>
    </row>
    <row r="38">
      <c r="A38" s="11" t="n">
        <v>45170</v>
      </c>
      <c r="B38" s="12" t="n">
        <v>3145</v>
      </c>
      <c r="C38" s="12" t="n">
        <v>3080</v>
      </c>
      <c r="D38" s="12" t="n">
        <v>3110</v>
      </c>
      <c r="E38" s="13">
        <f>COUNT(B38,C38,D38)</f>
        <v/>
      </c>
      <c r="F38" s="14" t="inlineStr"/>
    </row>
    <row r="39">
      <c r="A39" s="11" t="n">
        <v>45177</v>
      </c>
      <c r="B39" s="12" t="n">
        <v>3135</v>
      </c>
      <c r="C39" s="12" t="n">
        <v>3065</v>
      </c>
      <c r="D39" s="12" t="n">
        <v>3095</v>
      </c>
      <c r="E39" s="13">
        <f>COUNT(B39,C39,D39)</f>
        <v/>
      </c>
      <c r="F39" s="14" t="inlineStr"/>
    </row>
    <row r="40">
      <c r="A40" s="11" t="n">
        <v>45184</v>
      </c>
      <c r="B40" s="12" t="n">
        <v>3050</v>
      </c>
      <c r="C40" s="12" t="n">
        <v>2985</v>
      </c>
      <c r="D40" s="12" t="n">
        <v>3010</v>
      </c>
      <c r="E40" s="13">
        <f>COUNT(B40,C40,D40)</f>
        <v/>
      </c>
      <c r="F40" s="14" t="inlineStr"/>
    </row>
    <row r="41">
      <c r="A41" s="11" t="n">
        <v>45191</v>
      </c>
      <c r="B41" s="12" t="n">
        <v>2935</v>
      </c>
      <c r="C41" s="12" t="n">
        <v>2865</v>
      </c>
      <c r="D41" s="12" t="n">
        <v>2905</v>
      </c>
      <c r="E41" s="13">
        <f>COUNT(B41,C41,D41)</f>
        <v/>
      </c>
      <c r="F41" s="14" t="inlineStr"/>
    </row>
    <row r="42">
      <c r="A42" s="11" t="n">
        <v>45198</v>
      </c>
      <c r="B42" s="12" t="n">
        <v>2835</v>
      </c>
      <c r="C42" s="12" t="n">
        <v>2765</v>
      </c>
      <c r="D42" s="12" t="n">
        <v>2810</v>
      </c>
      <c r="E42" s="13">
        <f>COUNT(B42,C42,D42)</f>
        <v/>
      </c>
      <c r="F42" s="14" t="inlineStr"/>
    </row>
    <row r="43">
      <c r="A43" s="11" t="n">
        <v>45205</v>
      </c>
      <c r="B43" s="12" t="n">
        <v>2740</v>
      </c>
      <c r="C43" s="12" t="n">
        <v>2665</v>
      </c>
      <c r="D43" s="12" t="n">
        <v>2715</v>
      </c>
      <c r="E43" s="13">
        <f>COUNT(B43,C43,D43)</f>
        <v/>
      </c>
      <c r="F43" s="14" t="inlineStr"/>
    </row>
    <row r="44">
      <c r="A44" s="11" t="n">
        <v>45212</v>
      </c>
      <c r="B44" s="12" t="n">
        <v>2675</v>
      </c>
      <c r="C44" s="12" t="n">
        <v>2590</v>
      </c>
      <c r="D44" s="12" t="n">
        <v>2650</v>
      </c>
      <c r="E44" s="13">
        <f>COUNT(B44,C44,D44)</f>
        <v/>
      </c>
      <c r="F44" s="14" t="inlineStr"/>
    </row>
    <row r="45">
      <c r="A45" s="11" t="n">
        <v>45219</v>
      </c>
      <c r="B45" s="12" t="n">
        <v>2640</v>
      </c>
      <c r="C45" s="12" t="n">
        <v>2560</v>
      </c>
      <c r="D45" s="12" t="n">
        <v>2625</v>
      </c>
      <c r="E45" s="13">
        <f>COUNT(B45,C45,D45)</f>
        <v/>
      </c>
      <c r="F45" s="14" t="inlineStr"/>
    </row>
    <row r="46">
      <c r="A46" s="11" t="n">
        <v>45226</v>
      </c>
      <c r="B46" s="12" t="n">
        <v>2605</v>
      </c>
      <c r="C46" s="12" t="n">
        <v>2520</v>
      </c>
      <c r="D46" s="12" t="n">
        <v>2590</v>
      </c>
      <c r="E46" s="13">
        <f>COUNT(B46,C46,D46)</f>
        <v/>
      </c>
      <c r="F46" s="14" t="inlineStr"/>
    </row>
    <row r="47">
      <c r="A47" s="11" t="n">
        <v>45233</v>
      </c>
      <c r="B47" s="12" t="n">
        <v>2545</v>
      </c>
      <c r="C47" s="12" t="n">
        <v>2455</v>
      </c>
      <c r="D47" s="12" t="n">
        <v>2520</v>
      </c>
      <c r="E47" s="13">
        <f>COUNT(B47,C47,D47)</f>
        <v/>
      </c>
      <c r="F47" s="14" t="inlineStr"/>
    </row>
    <row r="48">
      <c r="A48" s="11" t="n">
        <v>45240</v>
      </c>
      <c r="B48" s="12" t="n">
        <v>2515</v>
      </c>
      <c r="C48" s="12" t="n">
        <v>2430</v>
      </c>
      <c r="D48" s="12" t="n">
        <v>2495</v>
      </c>
      <c r="E48" s="13">
        <f>COUNT(B48,C48,D48)</f>
        <v/>
      </c>
      <c r="F48" s="14" t="inlineStr"/>
    </row>
    <row r="49">
      <c r="A49" s="11" t="n">
        <v>45247</v>
      </c>
      <c r="B49" s="12" t="n">
        <v>2535</v>
      </c>
      <c r="C49" s="12" t="n">
        <v>2450</v>
      </c>
      <c r="D49" s="12" t="n">
        <v>2525</v>
      </c>
      <c r="E49" s="13">
        <f>COUNT(B49,C49,D49)</f>
        <v/>
      </c>
      <c r="F49" s="14" t="inlineStr"/>
    </row>
    <row r="50">
      <c r="A50" s="11" t="n">
        <v>45254</v>
      </c>
      <c r="B50" s="12" t="n">
        <v>2595</v>
      </c>
      <c r="C50" s="12" t="n">
        <v>2515</v>
      </c>
      <c r="D50" s="12" t="n">
        <v>2585</v>
      </c>
      <c r="E50" s="13">
        <f>COUNT(B50,C50,D50)</f>
        <v/>
      </c>
      <c r="F50" s="14" t="inlineStr"/>
    </row>
    <row r="51">
      <c r="A51" s="11" t="n">
        <v>45261</v>
      </c>
      <c r="B51" s="12" t="n">
        <v>2670</v>
      </c>
      <c r="C51" s="12" t="n">
        <v>2580</v>
      </c>
      <c r="D51" s="12" t="n">
        <v>2655</v>
      </c>
      <c r="E51" s="13">
        <f>COUNT(B51,C51,D51)</f>
        <v/>
      </c>
      <c r="F51" s="14" t="inlineStr"/>
    </row>
    <row r="52">
      <c r="A52" s="11" t="n">
        <v>45268</v>
      </c>
      <c r="B52" s="12" t="n">
        <v>2700</v>
      </c>
      <c r="C52" s="12" t="n">
        <v>2610</v>
      </c>
      <c r="D52" s="12" t="n">
        <v>2685</v>
      </c>
      <c r="E52" s="13">
        <f>COUNT(B52,C52,D52)</f>
        <v/>
      </c>
      <c r="F52" s="14" t="inlineStr"/>
    </row>
    <row r="53">
      <c r="A53" s="11" t="n">
        <v>45275</v>
      </c>
      <c r="B53" s="12" t="n">
        <v>2680</v>
      </c>
      <c r="C53" s="12" t="n">
        <v>2595</v>
      </c>
      <c r="D53" s="12" t="n">
        <v>2665</v>
      </c>
      <c r="E53" s="13">
        <f>COUNT(B53,C53,D53)</f>
        <v/>
      </c>
      <c r="F53" s="14" t="inlineStr"/>
    </row>
    <row r="54">
      <c r="A54" s="11" t="n">
        <v>45282</v>
      </c>
      <c r="B54" s="12" t="n">
        <v>2620</v>
      </c>
      <c r="C54" s="12" t="n">
        <v>2530</v>
      </c>
      <c r="D54" s="12" t="n">
        <v>2605</v>
      </c>
      <c r="E54" s="13">
        <f>COUNT(B54,C54,D54)</f>
        <v/>
      </c>
      <c r="F54" s="14" t="inlineStr"/>
    </row>
    <row r="55">
      <c r="A55" s="11" t="n">
        <v>45289</v>
      </c>
      <c r="B55" s="12" t="n">
        <v>2600</v>
      </c>
      <c r="C55" s="12" t="n">
        <v>2515</v>
      </c>
      <c r="D55" s="12" t="n">
        <v>2585</v>
      </c>
      <c r="E55" s="13">
        <f>COUNT(B55,C55,D55)</f>
        <v/>
      </c>
      <c r="F55" s="14" t="inlineStr"/>
    </row>
    <row r="56">
      <c r="A56" s="11" t="n">
        <v>45296</v>
      </c>
      <c r="B56" s="12" t="n">
        <v>2570</v>
      </c>
      <c r="C56" s="12" t="n">
        <v>2485</v>
      </c>
      <c r="D56" s="12" t="n">
        <v>2560</v>
      </c>
      <c r="E56" s="13">
        <f>COUNT(B56,C56,D56)</f>
        <v/>
      </c>
      <c r="F56" s="14" t="inlineStr"/>
    </row>
    <row r="57">
      <c r="A57" s="11" t="n">
        <v>45303</v>
      </c>
      <c r="B57" s="12" t="n">
        <v>2480</v>
      </c>
      <c r="C57" s="12" t="n">
        <v>2395</v>
      </c>
      <c r="D57" s="12" t="n">
        <v>2470</v>
      </c>
      <c r="E57" s="13">
        <f>COUNT(B57,C57,D57)</f>
        <v/>
      </c>
      <c r="F57" s="14" t="inlineStr"/>
    </row>
    <row r="58">
      <c r="A58" s="11" t="n">
        <v>45310</v>
      </c>
      <c r="B58" s="12" t="n">
        <v>2400</v>
      </c>
      <c r="C58" s="12" t="n">
        <v>2320</v>
      </c>
      <c r="D58" s="12" t="n">
        <v>2390</v>
      </c>
      <c r="E58" s="13">
        <f>COUNT(B58,C58,D58)</f>
        <v/>
      </c>
      <c r="F58" s="14" t="inlineStr"/>
    </row>
    <row r="59">
      <c r="A59" s="11" t="n">
        <v>45317</v>
      </c>
      <c r="B59" s="12" t="n">
        <v>2365</v>
      </c>
      <c r="C59" s="12" t="n">
        <v>2285</v>
      </c>
      <c r="D59" s="12" t="n">
        <v>2355</v>
      </c>
      <c r="E59" s="13">
        <f>COUNT(B59,C59,D59)</f>
        <v/>
      </c>
      <c r="F59" s="14" t="inlineStr"/>
    </row>
    <row r="60">
      <c r="A60" s="11" t="n">
        <v>45324</v>
      </c>
      <c r="B60" s="12" t="n">
        <v>2345</v>
      </c>
      <c r="C60" s="12" t="n">
        <v>2260</v>
      </c>
      <c r="D60" s="12" t="n">
        <v>2330</v>
      </c>
      <c r="E60" s="13">
        <f>COUNT(B60,C60,D60)</f>
        <v/>
      </c>
      <c r="F60" s="14" t="inlineStr"/>
    </row>
    <row r="61">
      <c r="A61" s="11" t="n">
        <v>45331</v>
      </c>
      <c r="B61" s="12" t="n">
        <v>2290</v>
      </c>
      <c r="C61" s="12" t="n">
        <v>2205</v>
      </c>
      <c r="D61" s="12" t="n">
        <v>2275</v>
      </c>
      <c r="E61" s="13">
        <f>COUNT(B61,C61,D61)</f>
        <v/>
      </c>
      <c r="F61" s="14" t="inlineStr"/>
    </row>
    <row r="62">
      <c r="A62" s="11" t="n">
        <v>45338</v>
      </c>
      <c r="B62" s="12" t="n">
        <v>2230</v>
      </c>
      <c r="C62" s="12" t="n">
        <v>2145</v>
      </c>
      <c r="D62" s="12" t="n">
        <v>2215</v>
      </c>
      <c r="E62" s="13">
        <f>COUNT(B62,C62,D62)</f>
        <v/>
      </c>
      <c r="F62" s="14" t="inlineStr"/>
    </row>
    <row r="63">
      <c r="A63" s="11" t="n">
        <v>45345</v>
      </c>
      <c r="B63" s="12" t="n">
        <v>2210</v>
      </c>
      <c r="C63" s="12" t="n">
        <v>2125</v>
      </c>
      <c r="D63" s="12" t="n">
        <v>2195</v>
      </c>
      <c r="E63" s="13">
        <f>COUNT(B63,C63,D63)</f>
        <v/>
      </c>
      <c r="F63" s="14" t="inlineStr"/>
    </row>
    <row r="64">
      <c r="A64" s="11" t="n">
        <v>45352</v>
      </c>
      <c r="B64" s="12" t="n">
        <v>2180</v>
      </c>
      <c r="C64" s="12" t="n">
        <v>2095</v>
      </c>
      <c r="D64" s="12" t="n">
        <v>2175</v>
      </c>
      <c r="E64" s="13">
        <f>COUNT(B64,C64,D64)</f>
        <v/>
      </c>
      <c r="F64" s="14" t="inlineStr"/>
    </row>
    <row r="65">
      <c r="A65" s="11" t="n">
        <v>45359</v>
      </c>
      <c r="B65" s="12" t="n">
        <v>2080</v>
      </c>
      <c r="C65" s="12" t="n">
        <v>1990</v>
      </c>
      <c r="D65" s="12" t="n">
        <v>2080</v>
      </c>
      <c r="E65" s="13">
        <f>COUNT(B65,C65,D65)</f>
        <v/>
      </c>
      <c r="F65" s="14" t="inlineStr"/>
    </row>
    <row r="66">
      <c r="A66" s="11" t="n">
        <v>45366</v>
      </c>
      <c r="B66" s="12" t="n">
        <v>2005</v>
      </c>
      <c r="C66" s="12" t="n">
        <v>1915</v>
      </c>
      <c r="D66" s="12" t="n">
        <v>2000</v>
      </c>
      <c r="E66" s="13">
        <f>COUNT(B66,C66,D66)</f>
        <v/>
      </c>
      <c r="F66" s="14" t="inlineStr"/>
    </row>
    <row r="67">
      <c r="A67" s="11" t="n">
        <v>45373</v>
      </c>
      <c r="B67" s="12" t="n">
        <v>1950</v>
      </c>
      <c r="C67" s="12" t="n">
        <v>1855</v>
      </c>
      <c r="D67" s="12" t="n">
        <v>1950</v>
      </c>
      <c r="E67" s="13">
        <f>COUNT(B67,C67,D67)</f>
        <v/>
      </c>
      <c r="F67" s="14" t="inlineStr"/>
    </row>
    <row r="68">
      <c r="A68" s="11" t="n">
        <v>45380</v>
      </c>
      <c r="B68" s="12" t="n">
        <v>1970</v>
      </c>
      <c r="C68" s="12" t="n">
        <v>1875</v>
      </c>
      <c r="D68" s="12" t="n">
        <v>1975</v>
      </c>
      <c r="E68" s="13">
        <f>COUNT(B68,C68,D68)</f>
        <v/>
      </c>
      <c r="F68" s="14" t="inlineStr"/>
    </row>
    <row r="69">
      <c r="A69" s="11" t="n">
        <v>45387</v>
      </c>
      <c r="B69" s="12" t="n">
        <v>1985</v>
      </c>
      <c r="C69" s="12" t="n">
        <v>1890</v>
      </c>
      <c r="D69" s="12" t="n">
        <v>1995</v>
      </c>
      <c r="E69" s="13">
        <f>COUNT(B69,C69,D69)</f>
        <v/>
      </c>
      <c r="F69" s="14" t="inlineStr"/>
    </row>
    <row r="70">
      <c r="A70" s="11" t="n">
        <v>45394</v>
      </c>
      <c r="B70" s="12" t="n">
        <v>2000</v>
      </c>
      <c r="C70" s="12" t="n">
        <v>1900</v>
      </c>
      <c r="D70" s="12" t="n">
        <v>2010</v>
      </c>
      <c r="E70" s="13">
        <f>COUNT(B70,C70,D70)</f>
        <v/>
      </c>
      <c r="F70" s="14" t="inlineStr"/>
    </row>
    <row r="71">
      <c r="A71" s="11" t="n">
        <v>45401</v>
      </c>
      <c r="B71" s="12" t="n">
        <v>2000</v>
      </c>
      <c r="C71" s="12" t="n">
        <v>1900</v>
      </c>
      <c r="D71" s="12" t="n">
        <v>2015</v>
      </c>
      <c r="E71" s="13">
        <f>COUNT(B71,C71,D71)</f>
        <v/>
      </c>
      <c r="F71" s="14" t="inlineStr"/>
    </row>
    <row r="72">
      <c r="A72" s="11" t="n">
        <v>45408</v>
      </c>
      <c r="B72" s="12" t="n">
        <v>2010</v>
      </c>
      <c r="C72" s="12" t="n">
        <v>1910</v>
      </c>
      <c r="D72" s="12" t="n">
        <v>2025</v>
      </c>
      <c r="E72" s="13">
        <f>COUNT(B72,C72,D72)</f>
        <v/>
      </c>
      <c r="F72" s="14" t="inlineStr"/>
    </row>
    <row r="73">
      <c r="A73" s="11" t="n">
        <v>45415</v>
      </c>
      <c r="B73" s="12" t="n">
        <v>2025</v>
      </c>
      <c r="C73" s="12" t="n">
        <v>1925</v>
      </c>
      <c r="D73" s="12" t="n">
        <v>2045</v>
      </c>
      <c r="E73" s="13">
        <f>COUNT(B73,C73,D73)</f>
        <v/>
      </c>
      <c r="F73" s="14" t="inlineStr"/>
    </row>
    <row r="74">
      <c r="A74" s="11" t="n">
        <v>45422</v>
      </c>
      <c r="B74" s="12" t="n">
        <v>2085</v>
      </c>
      <c r="C74" s="12" t="n">
        <v>1985</v>
      </c>
      <c r="D74" s="12" t="n">
        <v>2105</v>
      </c>
      <c r="E74" s="13">
        <f>COUNT(B74,C74,D74)</f>
        <v/>
      </c>
      <c r="F74" s="14" t="inlineStr"/>
    </row>
    <row r="75">
      <c r="A75" s="11" t="n">
        <v>45429</v>
      </c>
      <c r="B75" s="12" t="n">
        <v>2110</v>
      </c>
      <c r="C75" s="12" t="n">
        <v>2015</v>
      </c>
      <c r="D75" s="12" t="n">
        <v>2135</v>
      </c>
      <c r="E75" s="13">
        <f>COUNT(B75,C75,D75)</f>
        <v/>
      </c>
      <c r="F75" s="14" t="inlineStr"/>
    </row>
    <row r="76">
      <c r="A76" s="11" t="n">
        <v>45436</v>
      </c>
      <c r="B76" s="12" t="n">
        <v>2110</v>
      </c>
      <c r="C76" s="12" t="n">
        <v>2020</v>
      </c>
      <c r="D76" s="12" t="n">
        <v>2140</v>
      </c>
      <c r="E76" s="13">
        <f>COUNT(B76,C76,D76)</f>
        <v/>
      </c>
      <c r="F76" s="14" t="inlineStr"/>
    </row>
    <row r="77">
      <c r="A77" s="11" t="n">
        <v>45443</v>
      </c>
      <c r="B77" s="12" t="n">
        <v>2125</v>
      </c>
      <c r="C77" s="12" t="n">
        <v>2030</v>
      </c>
      <c r="D77" s="12" t="n">
        <v>2155</v>
      </c>
      <c r="E77" s="13">
        <f>COUNT(B77,C77,D77)</f>
        <v/>
      </c>
      <c r="F77" s="14" t="inlineStr"/>
    </row>
    <row r="78">
      <c r="A78" s="11" t="n">
        <v>45450</v>
      </c>
      <c r="B78" s="12" t="n">
        <v>2120</v>
      </c>
      <c r="C78" s="12" t="n">
        <v>2025</v>
      </c>
      <c r="D78" s="12" t="n">
        <v>2155</v>
      </c>
      <c r="E78" s="13">
        <f>COUNT(B78,C78,D78)</f>
        <v/>
      </c>
      <c r="F78" s="14" t="inlineStr"/>
    </row>
    <row r="79">
      <c r="A79" s="11" t="n">
        <v>45457</v>
      </c>
      <c r="B79" s="12" t="n">
        <v>2110</v>
      </c>
      <c r="C79" s="12" t="n">
        <v>2015</v>
      </c>
      <c r="D79" s="12" t="n">
        <v>2140</v>
      </c>
      <c r="E79" s="13">
        <f>COUNT(B79,C79,D79)</f>
        <v/>
      </c>
      <c r="F79" s="14" t="inlineStr"/>
    </row>
    <row r="80">
      <c r="A80" s="11" t="n">
        <v>45464</v>
      </c>
      <c r="B80" s="12" t="n">
        <v>2115</v>
      </c>
      <c r="C80" s="12" t="n">
        <v>2010</v>
      </c>
      <c r="D80" s="12" t="n">
        <v>2135</v>
      </c>
      <c r="E80" s="13">
        <f>COUNT(B80,C80,D80)</f>
        <v/>
      </c>
      <c r="F80" s="14" t="inlineStr"/>
    </row>
    <row r="81">
      <c r="A81" s="11" t="n">
        <v>45471</v>
      </c>
      <c r="B81" s="12" t="n">
        <v>2090</v>
      </c>
      <c r="C81" s="12" t="n">
        <v>1985</v>
      </c>
      <c r="D81" s="12" t="n">
        <v>2115</v>
      </c>
      <c r="E81" s="13">
        <f>COUNT(B81,C81,D81)</f>
        <v/>
      </c>
      <c r="F81" s="14" t="inlineStr"/>
    </row>
    <row r="82">
      <c r="A82" s="11" t="n">
        <v>45478</v>
      </c>
      <c r="B82" s="12" t="n">
        <v>2035</v>
      </c>
      <c r="C82" s="12" t="n">
        <v>1940</v>
      </c>
      <c r="D82" s="12" t="n">
        <v>2055</v>
      </c>
      <c r="E82" s="13">
        <f>COUNT(B82,C82,D82)</f>
        <v/>
      </c>
      <c r="F82" s="14" t="inlineStr"/>
    </row>
    <row r="83">
      <c r="A83" s="11" t="n">
        <v>45485</v>
      </c>
      <c r="B83" s="12" t="n">
        <v>1965</v>
      </c>
      <c r="C83" s="12" t="n">
        <v>1870</v>
      </c>
      <c r="D83" s="12" t="n">
        <v>1975</v>
      </c>
      <c r="E83" s="13">
        <f>COUNT(B83,C83,D83)</f>
        <v/>
      </c>
      <c r="F83" s="14" t="inlineStr"/>
    </row>
    <row r="84">
      <c r="A84" s="11" t="n">
        <v>45492</v>
      </c>
      <c r="B84" s="12" t="n">
        <v>1910</v>
      </c>
      <c r="C84" s="12" t="n">
        <v>1810</v>
      </c>
      <c r="D84" s="12" t="n">
        <v>1915</v>
      </c>
      <c r="E84" s="13">
        <f>COUNT(B84,C84,D84)</f>
        <v/>
      </c>
      <c r="F84" s="14" t="inlineStr"/>
    </row>
    <row r="85">
      <c r="A85" s="11" t="n">
        <v>45499</v>
      </c>
      <c r="B85" s="12" t="n">
        <v>1870</v>
      </c>
      <c r="C85" s="12" t="n">
        <v>1775</v>
      </c>
      <c r="D85" s="12" t="n">
        <v>1865</v>
      </c>
      <c r="E85" s="13">
        <f>COUNT(B85,C85,D85)</f>
        <v/>
      </c>
      <c r="F85" s="14" t="inlineStr"/>
    </row>
    <row r="86">
      <c r="A86" s="11" t="n">
        <v>45506</v>
      </c>
      <c r="B86" s="12" t="n">
        <v>1835</v>
      </c>
      <c r="C86" s="12" t="n">
        <v>1735</v>
      </c>
      <c r="D86" s="12" t="n">
        <v>1830</v>
      </c>
      <c r="E86" s="13">
        <f>COUNT(B86,C86,D86)</f>
        <v/>
      </c>
      <c r="F86" s="14" t="inlineStr"/>
    </row>
    <row r="87">
      <c r="A87" s="11" t="n">
        <v>45513</v>
      </c>
      <c r="B87" s="12" t="n">
        <v>1815</v>
      </c>
      <c r="C87" s="12" t="n">
        <v>1715</v>
      </c>
      <c r="D87" s="12" t="n">
        <v>1805</v>
      </c>
      <c r="E87" s="13">
        <f>COUNT(B87,C87,D87)</f>
        <v/>
      </c>
      <c r="F87" s="14" t="inlineStr"/>
    </row>
    <row r="88">
      <c r="A88" s="11" t="n">
        <v>45520</v>
      </c>
      <c r="B88" s="12" t="n">
        <v>1800</v>
      </c>
      <c r="C88" s="12" t="n">
        <v>1700</v>
      </c>
      <c r="D88" s="12" t="n">
        <v>1790</v>
      </c>
      <c r="E88" s="13">
        <f>COUNT(B88,C88,D88)</f>
        <v/>
      </c>
      <c r="F88" s="14" t="inlineStr"/>
    </row>
    <row r="89">
      <c r="A89" s="11" t="n">
        <v>45527</v>
      </c>
      <c r="B89" s="12" t="n">
        <v>1780</v>
      </c>
      <c r="C89" s="12" t="n">
        <v>1675</v>
      </c>
      <c r="D89" s="12" t="n">
        <v>1765</v>
      </c>
      <c r="E89" s="13">
        <f>COUNT(B89,C89,D89)</f>
        <v/>
      </c>
      <c r="F89" s="14" t="inlineStr"/>
    </row>
    <row r="90">
      <c r="A90" s="11" t="n">
        <v>45534</v>
      </c>
      <c r="B90" s="12" t="n">
        <v>1745</v>
      </c>
      <c r="C90" s="12" t="n">
        <v>1645</v>
      </c>
      <c r="D90" s="12" t="n">
        <v>1730</v>
      </c>
      <c r="E90" s="13">
        <f>COUNT(B90,C90,D90)</f>
        <v/>
      </c>
      <c r="F90" s="14" t="inlineStr"/>
    </row>
    <row r="91">
      <c r="A91" s="11" t="n">
        <v>45541</v>
      </c>
      <c r="B91" s="12" t="n">
        <v>1710</v>
      </c>
      <c r="C91" s="12" t="n">
        <v>1600</v>
      </c>
      <c r="D91" s="12" t="n">
        <v>1695</v>
      </c>
      <c r="E91" s="13">
        <f>COUNT(B91,C91,D91)</f>
        <v/>
      </c>
      <c r="F91" s="14" t="inlineStr"/>
    </row>
    <row r="92">
      <c r="A92" s="11" t="n">
        <v>45548</v>
      </c>
      <c r="B92" s="12" t="n">
        <v>1670</v>
      </c>
      <c r="C92" s="12" t="n">
        <v>1560</v>
      </c>
      <c r="D92" s="12" t="n">
        <v>1655</v>
      </c>
      <c r="E92" s="13">
        <f>COUNT(B92,C92,D92)</f>
        <v/>
      </c>
      <c r="F92" s="14" t="inlineStr"/>
    </row>
    <row r="93">
      <c r="A93" s="11" t="n">
        <v>45555</v>
      </c>
      <c r="B93" s="12" t="n">
        <v>1660</v>
      </c>
      <c r="C93" s="12" t="n">
        <v>1540</v>
      </c>
      <c r="D93" s="12" t="n">
        <v>1645</v>
      </c>
      <c r="E93" s="13">
        <f>COUNT(B93,C93,D93)</f>
        <v/>
      </c>
      <c r="F93" s="14" t="inlineStr"/>
    </row>
    <row r="94">
      <c r="A94" s="11" t="n">
        <v>45562</v>
      </c>
      <c r="B94" s="12" t="n">
        <v>1625</v>
      </c>
      <c r="C94" s="12" t="n">
        <v>1500</v>
      </c>
      <c r="D94" s="12" t="n">
        <v>1610</v>
      </c>
      <c r="E94" s="13">
        <f>COUNT(B94,C94,D94)</f>
        <v/>
      </c>
      <c r="F94" s="14" t="inlineStr"/>
    </row>
    <row r="95">
      <c r="A95" s="11" t="n">
        <v>45569</v>
      </c>
      <c r="B95" s="12" t="n">
        <v>1595</v>
      </c>
      <c r="C95" s="12" t="n">
        <v>1465</v>
      </c>
      <c r="D95" s="12" t="n">
        <v>1590</v>
      </c>
      <c r="E95" s="13">
        <f>COUNT(B95,C95,D95)</f>
        <v/>
      </c>
      <c r="F95" s="14" t="inlineStr"/>
    </row>
    <row r="96">
      <c r="A96" s="11" t="n">
        <v>45576</v>
      </c>
      <c r="B96" s="12" t="n">
        <v>1560</v>
      </c>
      <c r="C96" s="12" t="n">
        <v>1430</v>
      </c>
      <c r="D96" s="12" t="n">
        <v>1560</v>
      </c>
      <c r="E96" s="13">
        <f>COUNT(B96,C96,D96)</f>
        <v/>
      </c>
      <c r="F96" s="14" t="inlineStr"/>
    </row>
    <row r="97">
      <c r="A97" s="11" t="n">
        <v>45583</v>
      </c>
      <c r="B97" s="12" t="n">
        <v>1535</v>
      </c>
      <c r="C97" s="12" t="n">
        <v>1395</v>
      </c>
      <c r="D97" s="12" t="n">
        <v>1520</v>
      </c>
      <c r="E97" s="13">
        <f>COUNT(B97,C97,D97)</f>
        <v/>
      </c>
      <c r="F97" s="14" t="inlineStr"/>
    </row>
    <row r="98">
      <c r="A98" s="11" t="n">
        <v>45590</v>
      </c>
      <c r="B98" s="12" t="n">
        <v>1540</v>
      </c>
      <c r="C98" s="12" t="n">
        <v>1400</v>
      </c>
      <c r="D98" s="12" t="n">
        <v>1530</v>
      </c>
      <c r="E98" s="13">
        <f>COUNT(B98,C98,D98)</f>
        <v/>
      </c>
      <c r="F98" s="14" t="inlineStr"/>
    </row>
    <row r="99">
      <c r="A99" s="11" t="n">
        <v>45597</v>
      </c>
      <c r="B99" s="12" t="n">
        <v>1510</v>
      </c>
      <c r="C99" s="12" t="n">
        <v>1365</v>
      </c>
      <c r="D99" s="12" t="n">
        <v>1495</v>
      </c>
      <c r="E99" s="13">
        <f>COUNT(B99,C99,D99)</f>
        <v/>
      </c>
      <c r="F99" s="14" t="inlineStr"/>
    </row>
    <row r="100">
      <c r="A100" s="11" t="n">
        <v>45604</v>
      </c>
      <c r="B100" s="12" t="n">
        <v>1500</v>
      </c>
      <c r="C100" s="12" t="n">
        <v>1345</v>
      </c>
      <c r="D100" s="12" t="n">
        <v>1480</v>
      </c>
      <c r="E100" s="13">
        <f>COUNT(B100,C100,D100)</f>
        <v/>
      </c>
      <c r="F100" s="14" t="inlineStr"/>
    </row>
    <row r="101">
      <c r="A101" s="11" t="n">
        <v>45611</v>
      </c>
      <c r="B101" s="12" t="n">
        <v>1475</v>
      </c>
      <c r="C101" s="12" t="n">
        <v>1325</v>
      </c>
      <c r="D101" s="12" t="n">
        <v>1460</v>
      </c>
      <c r="E101" s="13">
        <f>COUNT(B101,C101,D101)</f>
        <v/>
      </c>
      <c r="F101" s="14" t="inlineStr"/>
    </row>
    <row r="102">
      <c r="A102" s="11" t="n">
        <v>45618</v>
      </c>
      <c r="B102" s="12" t="n">
        <v>1500</v>
      </c>
      <c r="C102" s="12" t="n">
        <v>1350</v>
      </c>
      <c r="D102" s="12" t="n">
        <v>1485</v>
      </c>
      <c r="E102" s="13">
        <f>COUNT(B102,C102,D102)</f>
        <v/>
      </c>
      <c r="F102" s="14" t="inlineStr"/>
    </row>
    <row r="103">
      <c r="A103" s="11" t="n">
        <v>45625</v>
      </c>
      <c r="B103" s="12" t="n">
        <v>1490</v>
      </c>
      <c r="C103" s="12" t="n">
        <v>1340</v>
      </c>
      <c r="D103" s="12" t="n">
        <v>1475</v>
      </c>
      <c r="E103" s="13">
        <f>COUNT(B103,C103,D103)</f>
        <v/>
      </c>
      <c r="F103" s="14" t="inlineStr"/>
    </row>
    <row r="104">
      <c r="A104" s="11" t="n">
        <v>45632</v>
      </c>
      <c r="B104" s="12" t="n">
        <v>1470</v>
      </c>
      <c r="C104" s="12" t="n">
        <v>1335</v>
      </c>
      <c r="D104" s="12" t="n">
        <v>1460</v>
      </c>
      <c r="E104" s="13">
        <f>COUNT(B104,C104,D104)</f>
        <v/>
      </c>
      <c r="F104" s="14" t="inlineStr"/>
    </row>
    <row r="105">
      <c r="A105" s="11" t="n">
        <v>45639</v>
      </c>
      <c r="B105" s="12" t="n">
        <v>1460</v>
      </c>
      <c r="C105" s="12" t="n">
        <v>1330</v>
      </c>
      <c r="D105" s="12" t="n">
        <v>1445</v>
      </c>
      <c r="E105" s="13">
        <f>COUNT(B105,C105,D105)</f>
        <v/>
      </c>
      <c r="F105" s="14" t="inlineStr"/>
    </row>
    <row r="106">
      <c r="A106" s="11" t="n">
        <v>45646</v>
      </c>
      <c r="B106" s="12" t="n">
        <v>1455</v>
      </c>
      <c r="C106" s="12" t="n">
        <v>1340</v>
      </c>
      <c r="D106" s="12" t="n">
        <v>1445</v>
      </c>
      <c r="E106" s="13">
        <f>COUNT(B106,C106,D106)</f>
        <v/>
      </c>
      <c r="F106" s="14" t="inlineStr"/>
    </row>
    <row r="107">
      <c r="A107" s="11" t="n">
        <v>45653</v>
      </c>
      <c r="B107" s="12" t="n">
        <v>1440</v>
      </c>
      <c r="C107" s="12" t="n">
        <v>1330</v>
      </c>
      <c r="D107" s="12" t="n">
        <v>1430</v>
      </c>
      <c r="E107" s="13">
        <f>COUNT(B107,C107,D107)</f>
        <v/>
      </c>
      <c r="F107" s="14" t="inlineStr"/>
    </row>
    <row r="108">
      <c r="A108" s="11" t="n">
        <v>45660</v>
      </c>
      <c r="B108" s="12" t="n">
        <v>1445</v>
      </c>
      <c r="C108" s="12" t="n">
        <v>1340</v>
      </c>
      <c r="D108" s="12" t="n">
        <v>1440</v>
      </c>
      <c r="E108" s="13">
        <f>COUNT(B108,C108,D108)</f>
        <v/>
      </c>
      <c r="F108" s="14" t="inlineStr"/>
    </row>
    <row r="109">
      <c r="A109" s="11" t="n">
        <v>45667</v>
      </c>
      <c r="B109" s="12" t="n">
        <v>1440</v>
      </c>
      <c r="C109" s="12" t="n">
        <v>1345</v>
      </c>
      <c r="D109" s="12" t="n">
        <v>1440</v>
      </c>
      <c r="E109" s="13">
        <f>COUNT(B109,C109,D109)</f>
        <v/>
      </c>
      <c r="F109" s="14" t="inlineStr"/>
    </row>
    <row r="110">
      <c r="A110" s="11" t="n">
        <v>45674</v>
      </c>
      <c r="B110" s="12" t="n">
        <v>1435</v>
      </c>
      <c r="C110" s="12" t="n">
        <v>1340</v>
      </c>
      <c r="D110" s="12" t="n">
        <v>1430</v>
      </c>
      <c r="E110" s="13">
        <f>COUNT(B110,C110,D110)</f>
        <v/>
      </c>
      <c r="F110" s="14" t="inlineStr"/>
    </row>
    <row r="111">
      <c r="A111" s="11" t="n">
        <v>45681</v>
      </c>
      <c r="B111" s="12" t="n">
        <v>1430</v>
      </c>
      <c r="C111" s="12" t="n">
        <v>1335</v>
      </c>
      <c r="D111" s="12" t="n">
        <v>1425</v>
      </c>
      <c r="E111" s="13">
        <f>COUNT(B111,C111,D111)</f>
        <v/>
      </c>
      <c r="F111" s="14" t="inlineStr"/>
    </row>
    <row r="112">
      <c r="A112" s="11" t="n">
        <v>45688</v>
      </c>
      <c r="B112" s="12" t="n">
        <v>1435</v>
      </c>
      <c r="C112" s="12" t="n">
        <v>1345</v>
      </c>
      <c r="D112" s="12" t="n">
        <v>1430</v>
      </c>
      <c r="E112" s="13">
        <f>COUNT(B112,C112,D112)</f>
        <v/>
      </c>
      <c r="F112" s="14" t="inlineStr"/>
    </row>
    <row r="113">
      <c r="A113" s="11" t="n">
        <v>45695</v>
      </c>
      <c r="B113" s="12" t="n">
        <v>1445</v>
      </c>
      <c r="C113" s="12" t="n">
        <v>1350</v>
      </c>
      <c r="D113" s="12" t="n">
        <v>1435</v>
      </c>
      <c r="E113" s="13">
        <f>COUNT(B113,C113,D113)</f>
        <v/>
      </c>
      <c r="F113" s="14" t="inlineStr"/>
    </row>
    <row r="114">
      <c r="A114" s="11" t="n">
        <v>45702</v>
      </c>
      <c r="B114" s="12" t="n">
        <v>1435</v>
      </c>
      <c r="C114" s="12" t="n">
        <v>1345</v>
      </c>
      <c r="D114" s="12" t="n">
        <v>1420</v>
      </c>
      <c r="E114" s="13">
        <f>COUNT(B114,C114,D114)</f>
        <v/>
      </c>
      <c r="F114" s="14" t="inlineStr"/>
    </row>
    <row r="115">
      <c r="A115" s="11" t="n">
        <v>45709</v>
      </c>
      <c r="B115" s="12" t="n">
        <v>1430</v>
      </c>
      <c r="C115" s="12" t="n">
        <v>1340</v>
      </c>
      <c r="D115" s="12" t="n">
        <v>1410</v>
      </c>
      <c r="E115" s="13">
        <f>COUNT(B115,C115,D115)</f>
        <v/>
      </c>
      <c r="F115" s="14" t="inlineStr"/>
    </row>
    <row r="116">
      <c r="A116" s="11" t="n">
        <v>45716</v>
      </c>
      <c r="B116" s="12" t="n">
        <v>1430</v>
      </c>
      <c r="C116" s="12" t="n">
        <v>1335</v>
      </c>
      <c r="D116" s="12" t="n">
        <v>1415</v>
      </c>
      <c r="E116" s="13">
        <f>COUNT(B116,C116,D116)</f>
        <v/>
      </c>
      <c r="F116" s="14" t="inlineStr"/>
    </row>
    <row r="117">
      <c r="A117" s="11" t="n">
        <v>45723</v>
      </c>
      <c r="B117" s="12" t="n">
        <v>1450</v>
      </c>
      <c r="C117" s="12" t="n">
        <v>1350</v>
      </c>
      <c r="D117" s="12" t="n">
        <v>1430</v>
      </c>
      <c r="E117" s="13">
        <f>COUNT(B117,C117,D117)</f>
        <v/>
      </c>
      <c r="F117" s="14" t="inlineStr"/>
    </row>
    <row r="118">
      <c r="A118" s="11" t="n">
        <v>45730</v>
      </c>
      <c r="B118" s="12" t="n">
        <v>1440</v>
      </c>
      <c r="C118" s="12" t="n">
        <v>1340</v>
      </c>
      <c r="D118" s="12" t="n">
        <v>1415</v>
      </c>
      <c r="E118" s="13">
        <f>COUNT(B118,C118,D118)</f>
        <v/>
      </c>
      <c r="F118" s="14" t="inlineStr"/>
    </row>
    <row r="119">
      <c r="A119" s="11" t="n">
        <v>45737</v>
      </c>
      <c r="B119" s="12" t="n">
        <v>1435</v>
      </c>
      <c r="C119" s="12" t="n">
        <v>1335</v>
      </c>
      <c r="D119" s="12" t="n">
        <v>1405</v>
      </c>
      <c r="E119" s="13">
        <f>COUNT(B119,C119,D119)</f>
        <v/>
      </c>
      <c r="F119" s="14" t="inlineStr"/>
    </row>
    <row r="120">
      <c r="A120" s="11" t="n">
        <v>45744</v>
      </c>
      <c r="B120" s="12" t="n">
        <v>1415</v>
      </c>
      <c r="C120" s="12" t="n">
        <v>1320</v>
      </c>
      <c r="D120" s="12" t="n">
        <v>1385</v>
      </c>
      <c r="E120" s="13">
        <f>COUNT(B120,C120,D120)</f>
        <v/>
      </c>
      <c r="F120" s="14" t="inlineStr"/>
    </row>
    <row r="121">
      <c r="A121" s="11" t="n">
        <v>45751</v>
      </c>
      <c r="B121" s="12" t="n">
        <v>1395</v>
      </c>
      <c r="C121" s="12" t="n">
        <v>1300</v>
      </c>
      <c r="D121" s="12" t="n">
        <v>1370</v>
      </c>
      <c r="E121" s="13">
        <f>COUNT(B121,C121,D121)</f>
        <v/>
      </c>
      <c r="F121" s="14" t="inlineStr"/>
    </row>
    <row r="122">
      <c r="A122" s="11" t="n">
        <v>45758</v>
      </c>
      <c r="B122" s="12" t="n">
        <v>1370</v>
      </c>
      <c r="C122" s="12" t="n">
        <v>1275</v>
      </c>
      <c r="D122" s="12" t="n">
        <v>1345</v>
      </c>
      <c r="E122" s="13">
        <f>COUNT(B122,C122,D122)</f>
        <v/>
      </c>
      <c r="F122" s="14" t="inlineStr"/>
    </row>
    <row r="123">
      <c r="A123" s="11" t="n">
        <v>45765</v>
      </c>
      <c r="B123" s="12" t="n">
        <v>1380</v>
      </c>
      <c r="C123" s="12" t="n">
        <v>1275</v>
      </c>
      <c r="D123" s="12" t="n">
        <v>1350</v>
      </c>
      <c r="E123" s="13">
        <f>COUNT(B123,C123,D123)</f>
        <v/>
      </c>
      <c r="F123" s="14" t="inlineStr"/>
    </row>
    <row r="124">
      <c r="A124" s="11" t="n">
        <v>45772</v>
      </c>
      <c r="B124" s="12" t="n">
        <v>1395</v>
      </c>
      <c r="C124" s="12" t="n">
        <v>1300</v>
      </c>
      <c r="D124" s="12" t="n">
        <v>1365</v>
      </c>
      <c r="E124" s="13">
        <f>COUNT(B124,C124,D124)</f>
        <v/>
      </c>
      <c r="F124" s="14" t="inlineStr"/>
    </row>
    <row r="125">
      <c r="A125" s="11" t="n">
        <v>45779</v>
      </c>
      <c r="B125" s="12" t="n">
        <v>1385</v>
      </c>
      <c r="C125" s="12" t="n">
        <v>1295</v>
      </c>
      <c r="D125" s="12" t="n">
        <v>1360</v>
      </c>
      <c r="E125" s="13">
        <f>COUNT(B125,C125,D125)</f>
        <v/>
      </c>
      <c r="F125" s="14" t="inlineStr"/>
    </row>
    <row r="126">
      <c r="A126" s="11" t="n">
        <v>45786</v>
      </c>
      <c r="B126" s="12" t="n">
        <v>1375</v>
      </c>
      <c r="C126" s="12" t="n">
        <v>1290</v>
      </c>
      <c r="D126" s="12" t="n">
        <v>1350</v>
      </c>
      <c r="E126" s="13">
        <f>COUNT(B126,C126,D126)</f>
        <v/>
      </c>
      <c r="F126" s="14" t="inlineStr"/>
    </row>
    <row r="127">
      <c r="A127" s="11" t="n">
        <v>45793</v>
      </c>
      <c r="B127" s="12" t="n">
        <v>1385</v>
      </c>
      <c r="C127" s="12" t="n">
        <v>1290</v>
      </c>
      <c r="D127" s="12" t="n">
        <v>1360</v>
      </c>
      <c r="E127" s="13">
        <f>COUNT(B127,C127,D127)</f>
        <v/>
      </c>
      <c r="F127" s="14" t="inlineStr"/>
    </row>
    <row r="128">
      <c r="A128" s="11" t="n">
        <v>45800</v>
      </c>
      <c r="B128" s="12" t="n">
        <v>1360</v>
      </c>
      <c r="C128" s="12" t="n">
        <v>1270</v>
      </c>
      <c r="D128" s="12" t="n">
        <v>1335</v>
      </c>
      <c r="E128" s="13">
        <f>COUNT(B128,C128,D128)</f>
        <v/>
      </c>
      <c r="F128" s="14" t="inlineStr"/>
    </row>
    <row r="129">
      <c r="A129" s="11" t="n">
        <v>45807</v>
      </c>
      <c r="B129" s="12" t="n">
        <v>1360</v>
      </c>
      <c r="C129" s="12" t="n">
        <v>1270</v>
      </c>
      <c r="D129" s="12" t="n">
        <v>1340</v>
      </c>
      <c r="E129" s="13">
        <f>COUNT(B129,C129,D129)</f>
        <v/>
      </c>
      <c r="F129" s="14" t="inlineStr"/>
    </row>
    <row r="130">
      <c r="A130" s="11" t="n">
        <v>45814</v>
      </c>
      <c r="B130" s="12" t="n">
        <v>1330</v>
      </c>
      <c r="C130" s="12" t="n">
        <v>1240</v>
      </c>
      <c r="D130" s="12" t="n">
        <v>1320</v>
      </c>
      <c r="E130" s="13">
        <f>COUNT(B130,C130,D130)</f>
        <v/>
      </c>
      <c r="F130" s="14" t="inlineStr"/>
    </row>
    <row r="131">
      <c r="A131" s="11" t="n">
        <v>45821</v>
      </c>
      <c r="B131" s="12" t="n">
        <v>1320</v>
      </c>
      <c r="C131" s="12" t="n">
        <v>1220</v>
      </c>
      <c r="D131" s="12" t="n">
        <v>1315</v>
      </c>
      <c r="E131" s="13">
        <f>COUNT(B131,C131,D131)</f>
        <v/>
      </c>
      <c r="F131" s="14" t="inlineStr"/>
    </row>
    <row r="132">
      <c r="A132" s="11" t="n">
        <v>45828</v>
      </c>
      <c r="B132" s="12" t="n">
        <v>1315</v>
      </c>
      <c r="C132" s="12" t="n">
        <v>1215</v>
      </c>
      <c r="D132" s="12" t="n">
        <v>1315</v>
      </c>
      <c r="E132" s="13">
        <f>COUNT(B132,C132,D132)</f>
        <v/>
      </c>
      <c r="F132" s="14" t="inlineStr"/>
    </row>
    <row r="133">
      <c r="A133" s="11" t="n">
        <v>45835</v>
      </c>
      <c r="B133" s="12" t="n">
        <v>1305</v>
      </c>
      <c r="C133" s="12" t="n">
        <v>1200</v>
      </c>
      <c r="D133" s="12" t="n">
        <v>1305</v>
      </c>
      <c r="E133" s="13">
        <f>COUNT(B133,C133,D133)</f>
        <v/>
      </c>
      <c r="F133" s="14" t="inlineStr"/>
    </row>
    <row r="134">
      <c r="A134" s="11" t="n">
        <v>45842</v>
      </c>
      <c r="B134" s="12" t="n">
        <v>1280</v>
      </c>
      <c r="C134" s="12" t="n">
        <v>1165</v>
      </c>
      <c r="D134" s="12" t="n">
        <v>1275</v>
      </c>
      <c r="E134" s="13">
        <f>COUNT(B134,C134,D134)</f>
        <v/>
      </c>
      <c r="F134" s="14" t="inlineStr"/>
    </row>
    <row r="135">
      <c r="A135" s="11" t="n">
        <v>45849</v>
      </c>
      <c r="B135" s="12" t="n">
        <v>1240</v>
      </c>
      <c r="C135" s="12" t="n">
        <v>1125</v>
      </c>
      <c r="D135" s="12" t="n">
        <v>1245</v>
      </c>
      <c r="E135" s="13">
        <f>COUNT(B135,C135,D135)</f>
        <v/>
      </c>
      <c r="F135" s="14" t="inlineStr"/>
    </row>
    <row r="136">
      <c r="A136" s="11" t="n">
        <v>45856</v>
      </c>
      <c r="B136" s="12" t="n">
        <v>1195</v>
      </c>
      <c r="C136" s="12" t="n">
        <v>1085</v>
      </c>
      <c r="D136" s="12" t="n">
        <v>1205</v>
      </c>
      <c r="E136" s="13">
        <f>COUNT(B136,C136,D136)</f>
        <v/>
      </c>
      <c r="F136" s="14" t="inlineStr"/>
    </row>
    <row r="137">
      <c r="A137" s="11" t="n">
        <v>45863</v>
      </c>
      <c r="B137" s="12" t="n">
        <v>1220</v>
      </c>
      <c r="C137" s="12" t="n">
        <v>1110</v>
      </c>
      <c r="D137" s="12" t="n">
        <v>1235</v>
      </c>
      <c r="E137" s="13">
        <f>COUNT(B137,C137,D137)</f>
        <v/>
      </c>
      <c r="F137" s="14" t="inlineStr"/>
    </row>
    <row r="138">
      <c r="A138" s="11" t="n">
        <v>45870</v>
      </c>
      <c r="B138" s="12" t="n">
        <v>1250</v>
      </c>
      <c r="C138" s="12" t="n">
        <v>1150</v>
      </c>
      <c r="D138" s="12" t="n">
        <v>1270</v>
      </c>
      <c r="E138" s="13">
        <f>COUNT(B138,C138,D138)</f>
        <v/>
      </c>
      <c r="F138" s="14" t="inlineStr"/>
    </row>
    <row r="139">
      <c r="A139" s="11" t="n">
        <v>45877</v>
      </c>
      <c r="B139" s="12" t="n">
        <v>1255</v>
      </c>
      <c r="C139" s="12" t="n">
        <v>1155</v>
      </c>
      <c r="D139" s="12" t="n">
        <v>1275</v>
      </c>
      <c r="E139" s="13">
        <f>COUNT(B139,C139,D139)</f>
        <v/>
      </c>
      <c r="F139" s="14" t="inlineStr"/>
    </row>
    <row r="140">
      <c r="A140" s="11" t="n">
        <v>45891</v>
      </c>
      <c r="B140" s="12" t="n">
        <v>1225</v>
      </c>
      <c r="C140" s="12" t="n">
        <v>1125</v>
      </c>
      <c r="D140" s="12" t="n">
        <v>1240</v>
      </c>
      <c r="E140" s="13">
        <f>COUNT(B140,C140,D140)</f>
        <v/>
      </c>
      <c r="F140" s="14" t="inlineStr"/>
    </row>
    <row r="141">
      <c r="A141" s="11" t="n">
        <v>45898</v>
      </c>
      <c r="B141" s="12" t="n">
        <v>1210</v>
      </c>
      <c r="C141" s="12" t="n">
        <v>1105</v>
      </c>
      <c r="D141" s="12" t="n">
        <v>1230</v>
      </c>
      <c r="E141" s="13">
        <f>COUNT(B141,C141,D141)</f>
        <v/>
      </c>
      <c r="F141" s="14" t="inlineStr"/>
    </row>
    <row r="142">
      <c r="A142" s="11" t="n">
        <v>45905</v>
      </c>
      <c r="B142" s="12" t="n">
        <v>1230</v>
      </c>
      <c r="C142" s="12" t="n">
        <v>1125</v>
      </c>
      <c r="D142" s="12" t="n">
        <v>1245</v>
      </c>
      <c r="E142" s="13">
        <f>COUNT(B142,C142,D142)</f>
        <v/>
      </c>
      <c r="F142" s="14" t="inlineStr"/>
    </row>
    <row r="143">
      <c r="A143" s="11" t="n">
        <v>45912</v>
      </c>
      <c r="B143" s="12" t="n">
        <v>1225</v>
      </c>
      <c r="C143" s="12" t="n">
        <v>1120</v>
      </c>
      <c r="D143" s="12" t="n">
        <v>1240</v>
      </c>
      <c r="E143" s="13">
        <f>COUNT(B143,C143,D143)</f>
        <v/>
      </c>
      <c r="F143" s="14" t="inlineStr"/>
    </row>
    <row r="144">
      <c r="A144" s="11" t="n">
        <v>45919</v>
      </c>
      <c r="B144" s="12" t="n">
        <v>1245</v>
      </c>
      <c r="C144" s="12" t="n">
        <v>1140</v>
      </c>
      <c r="D144" s="12" t="n">
        <v>1260</v>
      </c>
      <c r="E144" s="13">
        <f>COUNT(B144,C144,D144)</f>
        <v/>
      </c>
      <c r="F144" s="14" t="inlineStr"/>
    </row>
    <row r="145">
      <c r="A145" s="11" t="n">
        <v>45926</v>
      </c>
      <c r="B145" s="12" t="n">
        <v>1265</v>
      </c>
      <c r="C145" s="12" t="n">
        <v>1170</v>
      </c>
      <c r="D145" s="12" t="n">
        <v>1290</v>
      </c>
      <c r="E145" s="13">
        <f>COUNT(B145,C145,D145)</f>
        <v/>
      </c>
      <c r="F145" s="14" t="inlineStr"/>
    </row>
    <row r="146">
      <c r="A146" s="11" t="n">
        <v>45933</v>
      </c>
      <c r="B146" s="12" t="n">
        <v>1320</v>
      </c>
      <c r="C146" s="12" t="n">
        <v>1225</v>
      </c>
      <c r="D146" s="12" t="n">
        <v>1340</v>
      </c>
      <c r="E146" s="13">
        <f>COUNT(B146,C146,D146)</f>
        <v/>
      </c>
      <c r="F146" s="14" t="inlineStr"/>
    </row>
    <row r="147">
      <c r="A147" s="11" t="n">
        <v>45940</v>
      </c>
      <c r="B147" s="12" t="n">
        <v>1360</v>
      </c>
      <c r="C147" s="12" t="n">
        <v>1260</v>
      </c>
      <c r="D147" s="12" t="n">
        <v>1375</v>
      </c>
      <c r="E147" s="13">
        <f>COUNT(B147,C147,D147)</f>
        <v/>
      </c>
      <c r="F147" s="14" t="inlineStr"/>
    </row>
    <row r="148">
      <c r="A148" s="11" t="n">
        <v>45947</v>
      </c>
      <c r="B148" s="12" t="n">
        <v>1390</v>
      </c>
      <c r="C148" s="12" t="n">
        <v>1290</v>
      </c>
      <c r="D148" s="12" t="n">
        <v>1405</v>
      </c>
      <c r="E148" s="13">
        <f>COUNT(B148,C148,D148)</f>
        <v/>
      </c>
      <c r="F148" s="14" t="inlineStr"/>
    </row>
    <row r="149">
      <c r="A149" s="11" t="n">
        <v>45954</v>
      </c>
      <c r="B149" s="12" t="n">
        <v>1420</v>
      </c>
      <c r="C149" s="12" t="n">
        <v>1325</v>
      </c>
      <c r="D149" s="12" t="n">
        <v>1430</v>
      </c>
      <c r="E149" s="13">
        <f>COUNT(B149,C149,D149)</f>
        <v/>
      </c>
      <c r="F149" s="14" t="inlineStr"/>
    </row>
    <row r="150">
      <c r="A150" s="11" t="n">
        <v>45961</v>
      </c>
      <c r="B150" s="12" t="n">
        <v>1430</v>
      </c>
      <c r="C150" s="12" t="n">
        <v>1330</v>
      </c>
      <c r="D150" s="12" t="n">
        <v>1435</v>
      </c>
      <c r="E150" s="13">
        <f>COUNT(B150,C150,D150)</f>
        <v/>
      </c>
      <c r="F150" s="14" t="inlineStr"/>
    </row>
    <row r="151">
      <c r="A151" s="11" t="n">
        <v>45968</v>
      </c>
      <c r="B151" s="12" t="n">
        <v>1425</v>
      </c>
      <c r="C151" s="12" t="n">
        <v>1320</v>
      </c>
      <c r="D151" s="12" t="n">
        <v>1430</v>
      </c>
      <c r="E151" s="13">
        <f>COUNT(B151,C151,D151)</f>
        <v/>
      </c>
      <c r="F151" s="14" t="inlineStr"/>
    </row>
    <row r="152">
      <c r="A152" s="11" t="n">
        <v>45975</v>
      </c>
      <c r="B152" s="12" t="n">
        <v>1430</v>
      </c>
      <c r="C152" s="12" t="n">
        <v>1315</v>
      </c>
      <c r="D152" s="12" t="n">
        <v>1430</v>
      </c>
      <c r="E152" s="13">
        <f>COUNT(B152,C152,D152)</f>
        <v/>
      </c>
      <c r="F152" s="14" t="inlineStr"/>
    </row>
    <row r="153">
      <c r="A153" s="11" t="n">
        <v>45982</v>
      </c>
      <c r="B153" s="12" t="n">
        <v>1425</v>
      </c>
      <c r="C153" s="12" t="n">
        <v>1300</v>
      </c>
      <c r="D153" s="12" t="n">
        <v>1420</v>
      </c>
      <c r="E153" s="13">
        <f>COUNT(B153,C153,D153)</f>
        <v/>
      </c>
      <c r="F153" s="14" t="inlineStr"/>
    </row>
    <row r="154">
      <c r="A154" s="11" t="n">
        <v>45989</v>
      </c>
      <c r="B154" s="12" t="n">
        <v>1400</v>
      </c>
      <c r="C154" s="12" t="n">
        <v>1275</v>
      </c>
      <c r="D154" s="12" t="n">
        <v>1400</v>
      </c>
      <c r="E154" s="13">
        <f>COUNT(B154,C154,D154)</f>
        <v/>
      </c>
      <c r="F154" s="14" t="inlineStr"/>
    </row>
    <row r="155">
      <c r="A155" s="11" t="n">
        <v>45996</v>
      </c>
      <c r="B155" s="12" t="n">
        <v>1380</v>
      </c>
      <c r="C155" s="12" t="n">
        <v>1260</v>
      </c>
      <c r="D155" s="12" t="n">
        <v>1385</v>
      </c>
      <c r="E155" s="13">
        <f>COUNT(B155,C155,D155)</f>
        <v/>
      </c>
      <c r="F155" s="14" t="inlineStr"/>
    </row>
    <row r="156">
      <c r="A156" s="11" t="n">
        <v>46003</v>
      </c>
      <c r="B156" s="12" t="n">
        <v>1350</v>
      </c>
      <c r="C156" s="12" t="n">
        <v>1225</v>
      </c>
      <c r="D156" s="12" t="n">
        <v>1350</v>
      </c>
      <c r="E156" s="13">
        <f>COUNT(B156,C156,D156)</f>
        <v/>
      </c>
      <c r="F156" s="14" t="inlineStr"/>
    </row>
    <row r="157">
      <c r="A157" s="11" t="n">
        <v>46010</v>
      </c>
      <c r="B157" s="12" t="n">
        <v>1350</v>
      </c>
      <c r="C157" s="12" t="n">
        <v>1225</v>
      </c>
      <c r="D157" s="12" t="n">
        <v>1350</v>
      </c>
      <c r="E157" s="13">
        <f>COUNT(B157,C157,D157)</f>
        <v/>
      </c>
      <c r="F157" s="14" t="inlineStr"/>
    </row>
    <row r="158">
      <c r="A158" s="11" t="n">
        <v>46017</v>
      </c>
      <c r="B158" s="12" t="n">
        <v>1325</v>
      </c>
      <c r="C158" s="12" t="n">
        <v>1205</v>
      </c>
      <c r="D158" s="12" t="n">
        <v>1330</v>
      </c>
      <c r="E158" s="13">
        <f>COUNT(B158,C158,D158)</f>
        <v/>
      </c>
      <c r="F158" s="14" t="inlineStr"/>
    </row>
    <row r="160" ht="26" customHeight="1">
      <c r="A160" s="15" t="inlineStr">
        <is>
          <t>★ 输入区：直接把真实数据粘贴到 B:E 列即可，全表（价差/分位/图）自动重算。缺失请留空——不要把缺失填 0 或重复上一期值；留空会在价差表里显示为空，这是正确行为。</t>
        </is>
      </c>
    </row>
  </sheetData>
  <mergeCells count="3">
    <mergeCell ref="A2:H2"/>
    <mergeCell ref="A160:F160"/>
    <mergeCell ref="A1:H1"/>
  </mergeCells>
  <dataValidations count="1">
    <dataValidation sqref="B5:D158" showDropDown="0" showInputMessage="0" showErrorMessage="1" allowBlank="1" error="价格应在 100–20000 元/吨（纯碱量级），请检查单位是否为 元/吨" type="decimal" operator="between">
      <formula1>100</formula1>
      <formula2>20000</formula2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L95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46" customWidth="1" min="8" max="8"/>
  </cols>
  <sheetData>
    <row r="1" ht="30" customHeight="1">
      <c r="A1" s="1" t="inlineStr">
        <is>
          <t>两两价差明细（全部有序对，方向明确）</t>
        </is>
      </c>
    </row>
    <row r="2" ht="30" customHeight="1">
      <c r="A2" s="2" t="inlineStr">
        <is>
          <t>价差 = 价(甲) − 价(乙)。甲列在前。公式直接引用「02 价格(主口径)」，改价格即重算。</t>
        </is>
      </c>
    </row>
    <row r="3" ht="30" customHeight="1">
      <c r="A3" s="6" t="inlineStr">
        <is>
          <t>日期</t>
        </is>
      </c>
      <c r="B3" s="6" t="inlineStr">
        <is>
          <t>价差(甲−乙)</t>
        </is>
      </c>
      <c r="C3" s="6" t="inlineStr">
        <is>
          <t>甲</t>
        </is>
      </c>
      <c r="D3" s="6" t="inlineStr">
        <is>
          <t>乙</t>
        </is>
      </c>
      <c r="E3" s="6" t="inlineStr">
        <is>
          <t>甲价</t>
        </is>
      </c>
      <c r="F3" s="6" t="inlineStr">
        <is>
          <t>乙价</t>
        </is>
      </c>
      <c r="G3" s="6" t="inlineStr">
        <is>
          <t>价差</t>
        </is>
      </c>
      <c r="H3" s="6" t="inlineStr">
        <is>
          <t>方向说明</t>
        </is>
      </c>
    </row>
    <row r="4">
      <c r="A4" s="5" t="inlineStr">
        <is>
          <t>山东 − 河北</t>
        </is>
      </c>
    </row>
    <row r="5" ht="30" customHeight="1">
      <c r="A5" s="6" t="inlineStr">
        <is>
          <t>日期</t>
        </is>
      </c>
      <c r="B5" s="6" t="inlineStr">
        <is>
          <t>价差(甲−乙)</t>
        </is>
      </c>
      <c r="C5" s="6" t="inlineStr">
        <is>
          <t>甲</t>
        </is>
      </c>
      <c r="D5" s="6" t="inlineStr">
        <is>
          <t>乙</t>
        </is>
      </c>
      <c r="E5" s="6" t="inlineStr">
        <is>
          <t>甲价</t>
        </is>
      </c>
      <c r="F5" s="6" t="inlineStr">
        <is>
          <t>乙价</t>
        </is>
      </c>
      <c r="G5" s="6" t="inlineStr">
        <is>
          <t>价差</t>
        </is>
      </c>
      <c r="H5" s="6" t="inlineStr">
        <is>
          <t>方向说明</t>
        </is>
      </c>
    </row>
    <row r="6">
      <c r="A6" s="7">
        <f>'02 价格(主口径)'!A5</f>
        <v/>
      </c>
      <c r="C6" s="8" t="inlineStr">
        <is>
          <t>SD</t>
        </is>
      </c>
      <c r="D6" s="8" t="inlineStr">
        <is>
          <t>HB</t>
        </is>
      </c>
      <c r="E6" s="16">
        <f>'02 价格(主口径)'!B5</f>
        <v/>
      </c>
      <c r="F6" s="16">
        <f>'02 价格(主口径)'!C5</f>
        <v/>
      </c>
      <c r="G6" s="17">
        <f>IF(OR(E6="",F6=""),"",E6-F6)</f>
        <v/>
      </c>
      <c r="H6" s="14" t="inlineStr"/>
    </row>
    <row r="7">
      <c r="A7" s="7">
        <f>'02 价格(主口径)'!A6</f>
        <v/>
      </c>
      <c r="C7" s="8" t="inlineStr">
        <is>
          <t>SD</t>
        </is>
      </c>
      <c r="D7" s="8" t="inlineStr">
        <is>
          <t>HB</t>
        </is>
      </c>
      <c r="E7" s="16">
        <f>'02 价格(主口径)'!B6</f>
        <v/>
      </c>
      <c r="F7" s="16">
        <f>'02 价格(主口径)'!C6</f>
        <v/>
      </c>
      <c r="G7" s="17">
        <f>IF(OR(E7="",F7=""),"",E7-F7)</f>
        <v/>
      </c>
      <c r="H7" s="14" t="inlineStr"/>
    </row>
    <row r="8">
      <c r="A8" s="7">
        <f>'02 价格(主口径)'!A7</f>
        <v/>
      </c>
      <c r="C8" s="8" t="inlineStr">
        <is>
          <t>SD</t>
        </is>
      </c>
      <c r="D8" s="8" t="inlineStr">
        <is>
          <t>HB</t>
        </is>
      </c>
      <c r="E8" s="16">
        <f>'02 价格(主口径)'!B7</f>
        <v/>
      </c>
      <c r="F8" s="16">
        <f>'02 价格(主口径)'!C7</f>
        <v/>
      </c>
      <c r="G8" s="17">
        <f>IF(OR(E8="",F8=""),"",E8-F8)</f>
        <v/>
      </c>
      <c r="H8" s="14" t="inlineStr"/>
    </row>
    <row r="9">
      <c r="A9" s="7">
        <f>'02 价格(主口径)'!A8</f>
        <v/>
      </c>
      <c r="C9" s="8" t="inlineStr">
        <is>
          <t>SD</t>
        </is>
      </c>
      <c r="D9" s="8" t="inlineStr">
        <is>
          <t>HB</t>
        </is>
      </c>
      <c r="E9" s="16">
        <f>'02 价格(主口径)'!B8</f>
        <v/>
      </c>
      <c r="F9" s="16">
        <f>'02 价格(主口径)'!C8</f>
        <v/>
      </c>
      <c r="G9" s="17">
        <f>IF(OR(E9="",F9=""),"",E9-F9)</f>
        <v/>
      </c>
      <c r="H9" s="14" t="inlineStr"/>
    </row>
    <row r="10">
      <c r="A10" s="7">
        <f>'02 价格(主口径)'!A9</f>
        <v/>
      </c>
      <c r="C10" s="8" t="inlineStr">
        <is>
          <t>SD</t>
        </is>
      </c>
      <c r="D10" s="8" t="inlineStr">
        <is>
          <t>HB</t>
        </is>
      </c>
      <c r="E10" s="16">
        <f>'02 价格(主口径)'!B9</f>
        <v/>
      </c>
      <c r="F10" s="16">
        <f>'02 价格(主口径)'!C9</f>
        <v/>
      </c>
      <c r="G10" s="17">
        <f>IF(OR(E10="",F10=""),"",E10-F10)</f>
        <v/>
      </c>
      <c r="H10" s="14" t="inlineStr"/>
    </row>
    <row r="11">
      <c r="A11" s="7">
        <f>'02 价格(主口径)'!A10</f>
        <v/>
      </c>
      <c r="C11" s="8" t="inlineStr">
        <is>
          <t>SD</t>
        </is>
      </c>
      <c r="D11" s="8" t="inlineStr">
        <is>
          <t>HB</t>
        </is>
      </c>
      <c r="E11" s="16">
        <f>'02 价格(主口径)'!B10</f>
        <v/>
      </c>
      <c r="F11" s="16">
        <f>'02 价格(主口径)'!C10</f>
        <v/>
      </c>
      <c r="G11" s="17">
        <f>IF(OR(E11="",F11=""),"",E11-F11)</f>
        <v/>
      </c>
      <c r="H11" s="14" t="inlineStr"/>
    </row>
    <row r="12">
      <c r="A12" s="7">
        <f>'02 价格(主口径)'!A11</f>
        <v/>
      </c>
      <c r="C12" s="8" t="inlineStr">
        <is>
          <t>SD</t>
        </is>
      </c>
      <c r="D12" s="8" t="inlineStr">
        <is>
          <t>HB</t>
        </is>
      </c>
      <c r="E12" s="16">
        <f>'02 价格(主口径)'!B11</f>
        <v/>
      </c>
      <c r="F12" s="16">
        <f>'02 价格(主口径)'!C11</f>
        <v/>
      </c>
      <c r="G12" s="17">
        <f>IF(OR(E12="",F12=""),"",E12-F12)</f>
        <v/>
      </c>
      <c r="H12" s="14" t="inlineStr"/>
    </row>
    <row r="13">
      <c r="A13" s="7">
        <f>'02 价格(主口径)'!A12</f>
        <v/>
      </c>
      <c r="C13" s="8" t="inlineStr">
        <is>
          <t>SD</t>
        </is>
      </c>
      <c r="D13" s="8" t="inlineStr">
        <is>
          <t>HB</t>
        </is>
      </c>
      <c r="E13" s="16">
        <f>'02 价格(主口径)'!B12</f>
        <v/>
      </c>
      <c r="F13" s="16">
        <f>'02 价格(主口径)'!C12</f>
        <v/>
      </c>
      <c r="G13" s="17">
        <f>IF(OR(E13="",F13=""),"",E13-F13)</f>
        <v/>
      </c>
      <c r="H13" s="14" t="inlineStr"/>
    </row>
    <row r="14">
      <c r="A14" s="7">
        <f>'02 价格(主口径)'!A13</f>
        <v/>
      </c>
      <c r="C14" s="8" t="inlineStr">
        <is>
          <t>SD</t>
        </is>
      </c>
      <c r="D14" s="8" t="inlineStr">
        <is>
          <t>HB</t>
        </is>
      </c>
      <c r="E14" s="16">
        <f>'02 价格(主口径)'!B13</f>
        <v/>
      </c>
      <c r="F14" s="16">
        <f>'02 价格(主口径)'!C13</f>
        <v/>
      </c>
      <c r="G14" s="17">
        <f>IF(OR(E14="",F14=""),"",E14-F14)</f>
        <v/>
      </c>
      <c r="H14" s="14" t="inlineStr"/>
    </row>
    <row r="15">
      <c r="A15" s="7">
        <f>'02 价格(主口径)'!A14</f>
        <v/>
      </c>
      <c r="C15" s="8" t="inlineStr">
        <is>
          <t>SD</t>
        </is>
      </c>
      <c r="D15" s="8" t="inlineStr">
        <is>
          <t>HB</t>
        </is>
      </c>
      <c r="E15" s="16">
        <f>'02 价格(主口径)'!B14</f>
        <v/>
      </c>
      <c r="F15" s="16">
        <f>'02 价格(主口径)'!C14</f>
        <v/>
      </c>
      <c r="G15" s="17">
        <f>IF(OR(E15="",F15=""),"",E15-F15)</f>
        <v/>
      </c>
      <c r="H15" s="14" t="inlineStr"/>
    </row>
    <row r="16">
      <c r="A16" s="7">
        <f>'02 价格(主口径)'!A15</f>
        <v/>
      </c>
      <c r="C16" s="8" t="inlineStr">
        <is>
          <t>SD</t>
        </is>
      </c>
      <c r="D16" s="8" t="inlineStr">
        <is>
          <t>HB</t>
        </is>
      </c>
      <c r="E16" s="16">
        <f>'02 价格(主口径)'!B15</f>
        <v/>
      </c>
      <c r="F16" s="16">
        <f>'02 价格(主口径)'!C15</f>
        <v/>
      </c>
      <c r="G16" s="17">
        <f>IF(OR(E16="",F16=""),"",E16-F16)</f>
        <v/>
      </c>
      <c r="H16" s="14" t="inlineStr"/>
    </row>
    <row r="17">
      <c r="A17" s="7">
        <f>'02 价格(主口径)'!A16</f>
        <v/>
      </c>
      <c r="C17" s="8" t="inlineStr">
        <is>
          <t>SD</t>
        </is>
      </c>
      <c r="D17" s="8" t="inlineStr">
        <is>
          <t>HB</t>
        </is>
      </c>
      <c r="E17" s="16">
        <f>'02 价格(主口径)'!B16</f>
        <v/>
      </c>
      <c r="F17" s="16">
        <f>'02 价格(主口径)'!C16</f>
        <v/>
      </c>
      <c r="G17" s="17">
        <f>IF(OR(E17="",F17=""),"",E17-F17)</f>
        <v/>
      </c>
      <c r="H17" s="14" t="inlineStr"/>
    </row>
    <row r="18">
      <c r="A18" s="7">
        <f>'02 价格(主口径)'!A17</f>
        <v/>
      </c>
      <c r="C18" s="8" t="inlineStr">
        <is>
          <t>SD</t>
        </is>
      </c>
      <c r="D18" s="8" t="inlineStr">
        <is>
          <t>HB</t>
        </is>
      </c>
      <c r="E18" s="16">
        <f>'02 价格(主口径)'!B17</f>
        <v/>
      </c>
      <c r="F18" s="16">
        <f>'02 价格(主口径)'!C17</f>
        <v/>
      </c>
      <c r="G18" s="17">
        <f>IF(OR(E18="",F18=""),"",E18-F18)</f>
        <v/>
      </c>
      <c r="H18" s="14" t="inlineStr"/>
    </row>
    <row r="19">
      <c r="A19" s="7">
        <f>'02 价格(主口径)'!A18</f>
        <v/>
      </c>
      <c r="C19" s="8" t="inlineStr">
        <is>
          <t>SD</t>
        </is>
      </c>
      <c r="D19" s="8" t="inlineStr">
        <is>
          <t>HB</t>
        </is>
      </c>
      <c r="E19" s="16">
        <f>'02 价格(主口径)'!B18</f>
        <v/>
      </c>
      <c r="F19" s="16">
        <f>'02 价格(主口径)'!C18</f>
        <v/>
      </c>
      <c r="G19" s="17">
        <f>IF(OR(E19="",F19=""),"",E19-F19)</f>
        <v/>
      </c>
      <c r="H19" s="14" t="inlineStr"/>
    </row>
    <row r="20">
      <c r="A20" s="7">
        <f>'02 价格(主口径)'!A19</f>
        <v/>
      </c>
      <c r="C20" s="8" t="inlineStr">
        <is>
          <t>SD</t>
        </is>
      </c>
      <c r="D20" s="8" t="inlineStr">
        <is>
          <t>HB</t>
        </is>
      </c>
      <c r="E20" s="16">
        <f>'02 价格(主口径)'!B19</f>
        <v/>
      </c>
      <c r="F20" s="16">
        <f>'02 价格(主口径)'!C19</f>
        <v/>
      </c>
      <c r="G20" s="17">
        <f>IF(OR(E20="",F20=""),"",E20-F20)</f>
        <v/>
      </c>
      <c r="H20" s="14" t="inlineStr"/>
    </row>
    <row r="21">
      <c r="A21" s="7">
        <f>'02 价格(主口径)'!A20</f>
        <v/>
      </c>
      <c r="C21" s="8" t="inlineStr">
        <is>
          <t>SD</t>
        </is>
      </c>
      <c r="D21" s="8" t="inlineStr">
        <is>
          <t>HB</t>
        </is>
      </c>
      <c r="E21" s="16">
        <f>'02 价格(主口径)'!B20</f>
        <v/>
      </c>
      <c r="F21" s="16">
        <f>'02 价格(主口径)'!C20</f>
        <v/>
      </c>
      <c r="G21" s="17">
        <f>IF(OR(E21="",F21=""),"",E21-F21)</f>
        <v/>
      </c>
      <c r="H21" s="14" t="inlineStr"/>
    </row>
    <row r="22">
      <c r="A22" s="7">
        <f>'02 价格(主口径)'!A21</f>
        <v/>
      </c>
      <c r="C22" s="8" t="inlineStr">
        <is>
          <t>SD</t>
        </is>
      </c>
      <c r="D22" s="8" t="inlineStr">
        <is>
          <t>HB</t>
        </is>
      </c>
      <c r="E22" s="16">
        <f>'02 价格(主口径)'!B21</f>
        <v/>
      </c>
      <c r="F22" s="16">
        <f>'02 价格(主口径)'!C21</f>
        <v/>
      </c>
      <c r="G22" s="17">
        <f>IF(OR(E22="",F22=""),"",E22-F22)</f>
        <v/>
      </c>
      <c r="H22" s="14" t="inlineStr"/>
    </row>
    <row r="23">
      <c r="A23" s="7">
        <f>'02 价格(主口径)'!A22</f>
        <v/>
      </c>
      <c r="C23" s="8" t="inlineStr">
        <is>
          <t>SD</t>
        </is>
      </c>
      <c r="D23" s="8" t="inlineStr">
        <is>
          <t>HB</t>
        </is>
      </c>
      <c r="E23" s="16">
        <f>'02 价格(主口径)'!B22</f>
        <v/>
      </c>
      <c r="F23" s="16">
        <f>'02 价格(主口径)'!C22</f>
        <v/>
      </c>
      <c r="G23" s="17">
        <f>IF(OR(E23="",F23=""),"",E23-F23)</f>
        <v/>
      </c>
      <c r="H23" s="14" t="inlineStr"/>
    </row>
    <row r="24">
      <c r="A24" s="7">
        <f>'02 价格(主口径)'!A23</f>
        <v/>
      </c>
      <c r="C24" s="8" t="inlineStr">
        <is>
          <t>SD</t>
        </is>
      </c>
      <c r="D24" s="8" t="inlineStr">
        <is>
          <t>HB</t>
        </is>
      </c>
      <c r="E24" s="16">
        <f>'02 价格(主口径)'!B23</f>
        <v/>
      </c>
      <c r="F24" s="16">
        <f>'02 价格(主口径)'!C23</f>
        <v/>
      </c>
      <c r="G24" s="17">
        <f>IF(OR(E24="",F24=""),"",E24-F24)</f>
        <v/>
      </c>
      <c r="H24" s="14" t="inlineStr"/>
    </row>
    <row r="25">
      <c r="A25" s="7">
        <f>'02 价格(主口径)'!A24</f>
        <v/>
      </c>
      <c r="C25" s="8" t="inlineStr">
        <is>
          <t>SD</t>
        </is>
      </c>
      <c r="D25" s="8" t="inlineStr">
        <is>
          <t>HB</t>
        </is>
      </c>
      <c r="E25" s="16">
        <f>'02 价格(主口径)'!B24</f>
        <v/>
      </c>
      <c r="F25" s="16">
        <f>'02 价格(主口径)'!C24</f>
        <v/>
      </c>
      <c r="G25" s="17">
        <f>IF(OR(E25="",F25=""),"",E25-F25)</f>
        <v/>
      </c>
      <c r="H25" s="14" t="inlineStr"/>
    </row>
    <row r="26">
      <c r="A26" s="7">
        <f>'02 价格(主口径)'!A25</f>
        <v/>
      </c>
      <c r="C26" s="8" t="inlineStr">
        <is>
          <t>SD</t>
        </is>
      </c>
      <c r="D26" s="8" t="inlineStr">
        <is>
          <t>HB</t>
        </is>
      </c>
      <c r="E26" s="16">
        <f>'02 价格(主口径)'!B25</f>
        <v/>
      </c>
      <c r="F26" s="16">
        <f>'02 价格(主口径)'!C25</f>
        <v/>
      </c>
      <c r="G26" s="17">
        <f>IF(OR(E26="",F26=""),"",E26-F26)</f>
        <v/>
      </c>
      <c r="H26" s="14" t="inlineStr"/>
    </row>
    <row r="27">
      <c r="A27" s="7">
        <f>'02 价格(主口径)'!A26</f>
        <v/>
      </c>
      <c r="C27" s="8" t="inlineStr">
        <is>
          <t>SD</t>
        </is>
      </c>
      <c r="D27" s="8" t="inlineStr">
        <is>
          <t>HB</t>
        </is>
      </c>
      <c r="E27" s="16">
        <f>'02 价格(主口径)'!B26</f>
        <v/>
      </c>
      <c r="F27" s="16">
        <f>'02 价格(主口径)'!C26</f>
        <v/>
      </c>
      <c r="G27" s="17">
        <f>IF(OR(E27="",F27=""),"",E27-F27)</f>
        <v/>
      </c>
      <c r="H27" s="14" t="inlineStr"/>
    </row>
    <row r="28">
      <c r="A28" s="7">
        <f>'02 价格(主口径)'!A27</f>
        <v/>
      </c>
      <c r="C28" s="8" t="inlineStr">
        <is>
          <t>SD</t>
        </is>
      </c>
      <c r="D28" s="8" t="inlineStr">
        <is>
          <t>HB</t>
        </is>
      </c>
      <c r="E28" s="16">
        <f>'02 价格(主口径)'!B27</f>
        <v/>
      </c>
      <c r="F28" s="16">
        <f>'02 价格(主口径)'!C27</f>
        <v/>
      </c>
      <c r="G28" s="17">
        <f>IF(OR(E28="",F28=""),"",E28-F28)</f>
        <v/>
      </c>
      <c r="H28" s="14" t="inlineStr"/>
    </row>
    <row r="29">
      <c r="A29" s="7">
        <f>'02 价格(主口径)'!A28</f>
        <v/>
      </c>
      <c r="C29" s="8" t="inlineStr">
        <is>
          <t>SD</t>
        </is>
      </c>
      <c r="D29" s="8" t="inlineStr">
        <is>
          <t>HB</t>
        </is>
      </c>
      <c r="E29" s="16">
        <f>'02 价格(主口径)'!B28</f>
        <v/>
      </c>
      <c r="F29" s="16">
        <f>'02 价格(主口径)'!C28</f>
        <v/>
      </c>
      <c r="G29" s="17">
        <f>IF(OR(E29="",F29=""),"",E29-F29)</f>
        <v/>
      </c>
      <c r="H29" s="14" t="inlineStr"/>
    </row>
    <row r="30">
      <c r="A30" s="7">
        <f>'02 价格(主口径)'!A29</f>
        <v/>
      </c>
      <c r="C30" s="8" t="inlineStr">
        <is>
          <t>SD</t>
        </is>
      </c>
      <c r="D30" s="8" t="inlineStr">
        <is>
          <t>HB</t>
        </is>
      </c>
      <c r="E30" s="16">
        <f>'02 价格(主口径)'!B29</f>
        <v/>
      </c>
      <c r="F30" s="16">
        <f>'02 价格(主口径)'!C29</f>
        <v/>
      </c>
      <c r="G30" s="17">
        <f>IF(OR(E30="",F30=""),"",E30-F30)</f>
        <v/>
      </c>
      <c r="H30" s="14" t="inlineStr"/>
    </row>
    <row r="31">
      <c r="A31" s="7">
        <f>'02 价格(主口径)'!A30</f>
        <v/>
      </c>
      <c r="C31" s="8" t="inlineStr">
        <is>
          <t>SD</t>
        </is>
      </c>
      <c r="D31" s="8" t="inlineStr">
        <is>
          <t>HB</t>
        </is>
      </c>
      <c r="E31" s="16">
        <f>'02 价格(主口径)'!B30</f>
        <v/>
      </c>
      <c r="F31" s="16">
        <f>'02 价格(主口径)'!C30</f>
        <v/>
      </c>
      <c r="G31" s="17">
        <f>IF(OR(E31="",F31=""),"",E31-F31)</f>
        <v/>
      </c>
      <c r="H31" s="14" t="inlineStr"/>
    </row>
    <row r="32">
      <c r="A32" s="7">
        <f>'02 价格(主口径)'!A31</f>
        <v/>
      </c>
      <c r="C32" s="8" t="inlineStr">
        <is>
          <t>SD</t>
        </is>
      </c>
      <c r="D32" s="8" t="inlineStr">
        <is>
          <t>HB</t>
        </is>
      </c>
      <c r="E32" s="16">
        <f>'02 价格(主口径)'!B31</f>
        <v/>
      </c>
      <c r="F32" s="16">
        <f>'02 价格(主口径)'!C31</f>
        <v/>
      </c>
      <c r="G32" s="17">
        <f>IF(OR(E32="",F32=""),"",E32-F32)</f>
        <v/>
      </c>
      <c r="H32" s="14" t="inlineStr"/>
    </row>
    <row r="33">
      <c r="A33" s="7">
        <f>'02 价格(主口径)'!A32</f>
        <v/>
      </c>
      <c r="C33" s="8" t="inlineStr">
        <is>
          <t>SD</t>
        </is>
      </c>
      <c r="D33" s="8" t="inlineStr">
        <is>
          <t>HB</t>
        </is>
      </c>
      <c r="E33" s="16">
        <f>'02 价格(主口径)'!B32</f>
        <v/>
      </c>
      <c r="F33" s="16">
        <f>'02 价格(主口径)'!C32</f>
        <v/>
      </c>
      <c r="G33" s="17">
        <f>IF(OR(E33="",F33=""),"",E33-F33)</f>
        <v/>
      </c>
      <c r="H33" s="14" t="inlineStr"/>
    </row>
    <row r="34">
      <c r="A34" s="7">
        <f>'02 价格(主口径)'!A33</f>
        <v/>
      </c>
      <c r="C34" s="8" t="inlineStr">
        <is>
          <t>SD</t>
        </is>
      </c>
      <c r="D34" s="8" t="inlineStr">
        <is>
          <t>HB</t>
        </is>
      </c>
      <c r="E34" s="16">
        <f>'02 价格(主口径)'!B33</f>
        <v/>
      </c>
      <c r="F34" s="16">
        <f>'02 价格(主口径)'!C33</f>
        <v/>
      </c>
      <c r="G34" s="17">
        <f>IF(OR(E34="",F34=""),"",E34-F34)</f>
        <v/>
      </c>
      <c r="H34" s="14" t="inlineStr"/>
    </row>
    <row r="35">
      <c r="A35" s="7">
        <f>'02 价格(主口径)'!A34</f>
        <v/>
      </c>
      <c r="C35" s="8" t="inlineStr">
        <is>
          <t>SD</t>
        </is>
      </c>
      <c r="D35" s="8" t="inlineStr">
        <is>
          <t>HB</t>
        </is>
      </c>
      <c r="E35" s="16">
        <f>'02 价格(主口径)'!B34</f>
        <v/>
      </c>
      <c r="F35" s="16">
        <f>'02 价格(主口径)'!C34</f>
        <v/>
      </c>
      <c r="G35" s="17">
        <f>IF(OR(E35="",F35=""),"",E35-F35)</f>
        <v/>
      </c>
      <c r="H35" s="14" t="inlineStr"/>
    </row>
    <row r="36">
      <c r="A36" s="7">
        <f>'02 价格(主口径)'!A35</f>
        <v/>
      </c>
      <c r="C36" s="8" t="inlineStr">
        <is>
          <t>SD</t>
        </is>
      </c>
      <c r="D36" s="8" t="inlineStr">
        <is>
          <t>HB</t>
        </is>
      </c>
      <c r="E36" s="16">
        <f>'02 价格(主口径)'!B35</f>
        <v/>
      </c>
      <c r="F36" s="16">
        <f>'02 价格(主口径)'!C35</f>
        <v/>
      </c>
      <c r="G36" s="17">
        <f>IF(OR(E36="",F36=""),"",E36-F36)</f>
        <v/>
      </c>
      <c r="H36" s="14" t="inlineStr"/>
    </row>
    <row r="37">
      <c r="A37" s="7">
        <f>'02 价格(主口径)'!A36</f>
        <v/>
      </c>
      <c r="C37" s="8" t="inlineStr">
        <is>
          <t>SD</t>
        </is>
      </c>
      <c r="D37" s="8" t="inlineStr">
        <is>
          <t>HB</t>
        </is>
      </c>
      <c r="E37" s="16">
        <f>'02 价格(主口径)'!B36</f>
        <v/>
      </c>
      <c r="F37" s="16">
        <f>'02 价格(主口径)'!C36</f>
        <v/>
      </c>
      <c r="G37" s="17">
        <f>IF(OR(E37="",F37=""),"",E37-F37)</f>
        <v/>
      </c>
      <c r="H37" s="14" t="inlineStr"/>
    </row>
    <row r="38">
      <c r="A38" s="7">
        <f>'02 价格(主口径)'!A37</f>
        <v/>
      </c>
      <c r="C38" s="8" t="inlineStr">
        <is>
          <t>SD</t>
        </is>
      </c>
      <c r="D38" s="8" t="inlineStr">
        <is>
          <t>HB</t>
        </is>
      </c>
      <c r="E38" s="16">
        <f>'02 价格(主口径)'!B37</f>
        <v/>
      </c>
      <c r="F38" s="16">
        <f>'02 价格(主口径)'!C37</f>
        <v/>
      </c>
      <c r="G38" s="17">
        <f>IF(OR(E38="",F38=""),"",E38-F38)</f>
        <v/>
      </c>
      <c r="H38" s="14" t="inlineStr"/>
    </row>
    <row r="39">
      <c r="A39" s="7">
        <f>'02 价格(主口径)'!A38</f>
        <v/>
      </c>
      <c r="C39" s="8" t="inlineStr">
        <is>
          <t>SD</t>
        </is>
      </c>
      <c r="D39" s="8" t="inlineStr">
        <is>
          <t>HB</t>
        </is>
      </c>
      <c r="E39" s="16">
        <f>'02 价格(主口径)'!B38</f>
        <v/>
      </c>
      <c r="F39" s="16">
        <f>'02 价格(主口径)'!C38</f>
        <v/>
      </c>
      <c r="G39" s="17">
        <f>IF(OR(E39="",F39=""),"",E39-F39)</f>
        <v/>
      </c>
      <c r="H39" s="14" t="inlineStr"/>
    </row>
    <row r="40">
      <c r="A40" s="7">
        <f>'02 价格(主口径)'!A39</f>
        <v/>
      </c>
      <c r="C40" s="8" t="inlineStr">
        <is>
          <t>SD</t>
        </is>
      </c>
      <c r="D40" s="8" t="inlineStr">
        <is>
          <t>HB</t>
        </is>
      </c>
      <c r="E40" s="16">
        <f>'02 价格(主口径)'!B39</f>
        <v/>
      </c>
      <c r="F40" s="16">
        <f>'02 价格(主口径)'!C39</f>
        <v/>
      </c>
      <c r="G40" s="17">
        <f>IF(OR(E40="",F40=""),"",E40-F40)</f>
        <v/>
      </c>
      <c r="H40" s="14" t="inlineStr"/>
    </row>
    <row r="41">
      <c r="A41" s="7">
        <f>'02 价格(主口径)'!A40</f>
        <v/>
      </c>
      <c r="C41" s="8" t="inlineStr">
        <is>
          <t>SD</t>
        </is>
      </c>
      <c r="D41" s="8" t="inlineStr">
        <is>
          <t>HB</t>
        </is>
      </c>
      <c r="E41" s="16">
        <f>'02 价格(主口径)'!B40</f>
        <v/>
      </c>
      <c r="F41" s="16">
        <f>'02 价格(主口径)'!C40</f>
        <v/>
      </c>
      <c r="G41" s="17">
        <f>IF(OR(E41="",F41=""),"",E41-F41)</f>
        <v/>
      </c>
      <c r="H41" s="14" t="inlineStr"/>
    </row>
    <row r="42">
      <c r="A42" s="7">
        <f>'02 价格(主口径)'!A41</f>
        <v/>
      </c>
      <c r="C42" s="8" t="inlineStr">
        <is>
          <t>SD</t>
        </is>
      </c>
      <c r="D42" s="8" t="inlineStr">
        <is>
          <t>HB</t>
        </is>
      </c>
      <c r="E42" s="16">
        <f>'02 价格(主口径)'!B41</f>
        <v/>
      </c>
      <c r="F42" s="16">
        <f>'02 价格(主口径)'!C41</f>
        <v/>
      </c>
      <c r="G42" s="17">
        <f>IF(OR(E42="",F42=""),"",E42-F42)</f>
        <v/>
      </c>
      <c r="H42" s="14" t="inlineStr"/>
    </row>
    <row r="43">
      <c r="A43" s="7">
        <f>'02 价格(主口径)'!A42</f>
        <v/>
      </c>
      <c r="C43" s="8" t="inlineStr">
        <is>
          <t>SD</t>
        </is>
      </c>
      <c r="D43" s="8" t="inlineStr">
        <is>
          <t>HB</t>
        </is>
      </c>
      <c r="E43" s="16">
        <f>'02 价格(主口径)'!B42</f>
        <v/>
      </c>
      <c r="F43" s="16">
        <f>'02 价格(主口径)'!C42</f>
        <v/>
      </c>
      <c r="G43" s="17">
        <f>IF(OR(E43="",F43=""),"",E43-F43)</f>
        <v/>
      </c>
      <c r="H43" s="14" t="inlineStr"/>
    </row>
    <row r="44">
      <c r="A44" s="7">
        <f>'02 价格(主口径)'!A43</f>
        <v/>
      </c>
      <c r="C44" s="8" t="inlineStr">
        <is>
          <t>SD</t>
        </is>
      </c>
      <c r="D44" s="8" t="inlineStr">
        <is>
          <t>HB</t>
        </is>
      </c>
      <c r="E44" s="16">
        <f>'02 价格(主口径)'!B43</f>
        <v/>
      </c>
      <c r="F44" s="16">
        <f>'02 价格(主口径)'!C43</f>
        <v/>
      </c>
      <c r="G44" s="17">
        <f>IF(OR(E44="",F44=""),"",E44-F44)</f>
        <v/>
      </c>
      <c r="H44" s="14" t="inlineStr"/>
    </row>
    <row r="45">
      <c r="A45" s="7">
        <f>'02 价格(主口径)'!A44</f>
        <v/>
      </c>
      <c r="C45" s="8" t="inlineStr">
        <is>
          <t>SD</t>
        </is>
      </c>
      <c r="D45" s="8" t="inlineStr">
        <is>
          <t>HB</t>
        </is>
      </c>
      <c r="E45" s="16">
        <f>'02 价格(主口径)'!B44</f>
        <v/>
      </c>
      <c r="F45" s="16">
        <f>'02 价格(主口径)'!C44</f>
        <v/>
      </c>
      <c r="G45" s="17">
        <f>IF(OR(E45="",F45=""),"",E45-F45)</f>
        <v/>
      </c>
      <c r="H45" s="14" t="inlineStr"/>
    </row>
    <row r="46">
      <c r="A46" s="7">
        <f>'02 价格(主口径)'!A45</f>
        <v/>
      </c>
      <c r="C46" s="8" t="inlineStr">
        <is>
          <t>SD</t>
        </is>
      </c>
      <c r="D46" s="8" t="inlineStr">
        <is>
          <t>HB</t>
        </is>
      </c>
      <c r="E46" s="16">
        <f>'02 价格(主口径)'!B45</f>
        <v/>
      </c>
      <c r="F46" s="16">
        <f>'02 价格(主口径)'!C45</f>
        <v/>
      </c>
      <c r="G46" s="17">
        <f>IF(OR(E46="",F46=""),"",E46-F46)</f>
        <v/>
      </c>
      <c r="H46" s="14" t="inlineStr"/>
    </row>
    <row r="47">
      <c r="A47" s="7">
        <f>'02 价格(主口径)'!A46</f>
        <v/>
      </c>
      <c r="C47" s="8" t="inlineStr">
        <is>
          <t>SD</t>
        </is>
      </c>
      <c r="D47" s="8" t="inlineStr">
        <is>
          <t>HB</t>
        </is>
      </c>
      <c r="E47" s="16">
        <f>'02 价格(主口径)'!B46</f>
        <v/>
      </c>
      <c r="F47" s="16">
        <f>'02 价格(主口径)'!C46</f>
        <v/>
      </c>
      <c r="G47" s="17">
        <f>IF(OR(E47="",F47=""),"",E47-F47)</f>
        <v/>
      </c>
      <c r="H47" s="14" t="inlineStr"/>
    </row>
    <row r="48">
      <c r="A48" s="7">
        <f>'02 价格(主口径)'!A47</f>
        <v/>
      </c>
      <c r="C48" s="8" t="inlineStr">
        <is>
          <t>SD</t>
        </is>
      </c>
      <c r="D48" s="8" t="inlineStr">
        <is>
          <t>HB</t>
        </is>
      </c>
      <c r="E48" s="16">
        <f>'02 价格(主口径)'!B47</f>
        <v/>
      </c>
      <c r="F48" s="16">
        <f>'02 价格(主口径)'!C47</f>
        <v/>
      </c>
      <c r="G48" s="17">
        <f>IF(OR(E48="",F48=""),"",E48-F48)</f>
        <v/>
      </c>
      <c r="H48" s="14" t="inlineStr"/>
    </row>
    <row r="49">
      <c r="A49" s="7">
        <f>'02 价格(主口径)'!A48</f>
        <v/>
      </c>
      <c r="C49" s="8" t="inlineStr">
        <is>
          <t>SD</t>
        </is>
      </c>
      <c r="D49" s="8" t="inlineStr">
        <is>
          <t>HB</t>
        </is>
      </c>
      <c r="E49" s="16">
        <f>'02 价格(主口径)'!B48</f>
        <v/>
      </c>
      <c r="F49" s="16">
        <f>'02 价格(主口径)'!C48</f>
        <v/>
      </c>
      <c r="G49" s="17">
        <f>IF(OR(E49="",F49=""),"",E49-F49)</f>
        <v/>
      </c>
      <c r="H49" s="14" t="inlineStr"/>
    </row>
    <row r="50">
      <c r="A50" s="7">
        <f>'02 价格(主口径)'!A49</f>
        <v/>
      </c>
      <c r="C50" s="8" t="inlineStr">
        <is>
          <t>SD</t>
        </is>
      </c>
      <c r="D50" s="8" t="inlineStr">
        <is>
          <t>HB</t>
        </is>
      </c>
      <c r="E50" s="16">
        <f>'02 价格(主口径)'!B49</f>
        <v/>
      </c>
      <c r="F50" s="16">
        <f>'02 价格(主口径)'!C49</f>
        <v/>
      </c>
      <c r="G50" s="17">
        <f>IF(OR(E50="",F50=""),"",E50-F50)</f>
        <v/>
      </c>
      <c r="H50" s="14" t="inlineStr"/>
    </row>
    <row r="51">
      <c r="A51" s="7">
        <f>'02 价格(主口径)'!A50</f>
        <v/>
      </c>
      <c r="C51" s="8" t="inlineStr">
        <is>
          <t>SD</t>
        </is>
      </c>
      <c r="D51" s="8" t="inlineStr">
        <is>
          <t>HB</t>
        </is>
      </c>
      <c r="E51" s="16">
        <f>'02 价格(主口径)'!B50</f>
        <v/>
      </c>
      <c r="F51" s="16">
        <f>'02 价格(主口径)'!C50</f>
        <v/>
      </c>
      <c r="G51" s="17">
        <f>IF(OR(E51="",F51=""),"",E51-F51)</f>
        <v/>
      </c>
      <c r="H51" s="14" t="inlineStr"/>
    </row>
    <row r="52">
      <c r="A52" s="7">
        <f>'02 价格(主口径)'!A51</f>
        <v/>
      </c>
      <c r="C52" s="8" t="inlineStr">
        <is>
          <t>SD</t>
        </is>
      </c>
      <c r="D52" s="8" t="inlineStr">
        <is>
          <t>HB</t>
        </is>
      </c>
      <c r="E52" s="16">
        <f>'02 价格(主口径)'!B51</f>
        <v/>
      </c>
      <c r="F52" s="16">
        <f>'02 价格(主口径)'!C51</f>
        <v/>
      </c>
      <c r="G52" s="17">
        <f>IF(OR(E52="",F52=""),"",E52-F52)</f>
        <v/>
      </c>
      <c r="H52" s="14" t="inlineStr"/>
    </row>
    <row r="53">
      <c r="A53" s="7">
        <f>'02 价格(主口径)'!A52</f>
        <v/>
      </c>
      <c r="C53" s="8" t="inlineStr">
        <is>
          <t>SD</t>
        </is>
      </c>
      <c r="D53" s="8" t="inlineStr">
        <is>
          <t>HB</t>
        </is>
      </c>
      <c r="E53" s="16">
        <f>'02 价格(主口径)'!B52</f>
        <v/>
      </c>
      <c r="F53" s="16">
        <f>'02 价格(主口径)'!C52</f>
        <v/>
      </c>
      <c r="G53" s="17">
        <f>IF(OR(E53="",F53=""),"",E53-F53)</f>
        <v/>
      </c>
      <c r="H53" s="14" t="inlineStr"/>
    </row>
    <row r="54">
      <c r="A54" s="7">
        <f>'02 价格(主口径)'!A53</f>
        <v/>
      </c>
      <c r="C54" s="8" t="inlineStr">
        <is>
          <t>SD</t>
        </is>
      </c>
      <c r="D54" s="8" t="inlineStr">
        <is>
          <t>HB</t>
        </is>
      </c>
      <c r="E54" s="16">
        <f>'02 价格(主口径)'!B53</f>
        <v/>
      </c>
      <c r="F54" s="16">
        <f>'02 价格(主口径)'!C53</f>
        <v/>
      </c>
      <c r="G54" s="17">
        <f>IF(OR(E54="",F54=""),"",E54-F54)</f>
        <v/>
      </c>
      <c r="H54" s="14" t="inlineStr"/>
    </row>
    <row r="55">
      <c r="A55" s="7">
        <f>'02 价格(主口径)'!A54</f>
        <v/>
      </c>
      <c r="C55" s="8" t="inlineStr">
        <is>
          <t>SD</t>
        </is>
      </c>
      <c r="D55" s="8" t="inlineStr">
        <is>
          <t>HB</t>
        </is>
      </c>
      <c r="E55" s="16">
        <f>'02 价格(主口径)'!B54</f>
        <v/>
      </c>
      <c r="F55" s="16">
        <f>'02 价格(主口径)'!C54</f>
        <v/>
      </c>
      <c r="G55" s="17">
        <f>IF(OR(E55="",F55=""),"",E55-F55)</f>
        <v/>
      </c>
      <c r="H55" s="14" t="inlineStr"/>
    </row>
    <row r="56">
      <c r="A56" s="7">
        <f>'02 价格(主口径)'!A55</f>
        <v/>
      </c>
      <c r="C56" s="8" t="inlineStr">
        <is>
          <t>SD</t>
        </is>
      </c>
      <c r="D56" s="8" t="inlineStr">
        <is>
          <t>HB</t>
        </is>
      </c>
      <c r="E56" s="16">
        <f>'02 价格(主口径)'!B55</f>
        <v/>
      </c>
      <c r="F56" s="16">
        <f>'02 价格(主口径)'!C55</f>
        <v/>
      </c>
      <c r="G56" s="17">
        <f>IF(OR(E56="",F56=""),"",E56-F56)</f>
        <v/>
      </c>
      <c r="H56" s="14" t="inlineStr"/>
    </row>
    <row r="57">
      <c r="A57" s="7">
        <f>'02 价格(主口径)'!A56</f>
        <v/>
      </c>
      <c r="C57" s="8" t="inlineStr">
        <is>
          <t>SD</t>
        </is>
      </c>
      <c r="D57" s="8" t="inlineStr">
        <is>
          <t>HB</t>
        </is>
      </c>
      <c r="E57" s="16">
        <f>'02 价格(主口径)'!B56</f>
        <v/>
      </c>
      <c r="F57" s="16">
        <f>'02 价格(主口径)'!C56</f>
        <v/>
      </c>
      <c r="G57" s="17">
        <f>IF(OR(E57="",F57=""),"",E57-F57)</f>
        <v/>
      </c>
      <c r="H57" s="14" t="inlineStr"/>
    </row>
    <row r="58">
      <c r="A58" s="7">
        <f>'02 价格(主口径)'!A57</f>
        <v/>
      </c>
      <c r="C58" s="8" t="inlineStr">
        <is>
          <t>SD</t>
        </is>
      </c>
      <c r="D58" s="8" t="inlineStr">
        <is>
          <t>HB</t>
        </is>
      </c>
      <c r="E58" s="16">
        <f>'02 价格(主口径)'!B57</f>
        <v/>
      </c>
      <c r="F58" s="16">
        <f>'02 价格(主口径)'!C57</f>
        <v/>
      </c>
      <c r="G58" s="17">
        <f>IF(OR(E58="",F58=""),"",E58-F58)</f>
        <v/>
      </c>
      <c r="H58" s="14" t="inlineStr"/>
    </row>
    <row r="59">
      <c r="A59" s="7">
        <f>'02 价格(主口径)'!A58</f>
        <v/>
      </c>
      <c r="C59" s="8" t="inlineStr">
        <is>
          <t>SD</t>
        </is>
      </c>
      <c r="D59" s="8" t="inlineStr">
        <is>
          <t>HB</t>
        </is>
      </c>
      <c r="E59" s="16">
        <f>'02 价格(主口径)'!B58</f>
        <v/>
      </c>
      <c r="F59" s="16">
        <f>'02 价格(主口径)'!C58</f>
        <v/>
      </c>
      <c r="G59" s="17">
        <f>IF(OR(E59="",F59=""),"",E59-F59)</f>
        <v/>
      </c>
      <c r="H59" s="14" t="inlineStr"/>
    </row>
    <row r="60">
      <c r="A60" s="7">
        <f>'02 价格(主口径)'!A59</f>
        <v/>
      </c>
      <c r="C60" s="8" t="inlineStr">
        <is>
          <t>SD</t>
        </is>
      </c>
      <c r="D60" s="8" t="inlineStr">
        <is>
          <t>HB</t>
        </is>
      </c>
      <c r="E60" s="16">
        <f>'02 价格(主口径)'!B59</f>
        <v/>
      </c>
      <c r="F60" s="16">
        <f>'02 价格(主口径)'!C59</f>
        <v/>
      </c>
      <c r="G60" s="17">
        <f>IF(OR(E60="",F60=""),"",E60-F60)</f>
        <v/>
      </c>
      <c r="H60" s="14" t="inlineStr"/>
    </row>
    <row r="61">
      <c r="A61" s="7">
        <f>'02 价格(主口径)'!A60</f>
        <v/>
      </c>
      <c r="C61" s="8" t="inlineStr">
        <is>
          <t>SD</t>
        </is>
      </c>
      <c r="D61" s="8" t="inlineStr">
        <is>
          <t>HB</t>
        </is>
      </c>
      <c r="E61" s="16">
        <f>'02 价格(主口径)'!B60</f>
        <v/>
      </c>
      <c r="F61" s="16">
        <f>'02 价格(主口径)'!C60</f>
        <v/>
      </c>
      <c r="G61" s="17">
        <f>IF(OR(E61="",F61=""),"",E61-F61)</f>
        <v/>
      </c>
      <c r="H61" s="14" t="inlineStr"/>
    </row>
    <row r="62">
      <c r="A62" s="7">
        <f>'02 价格(主口径)'!A61</f>
        <v/>
      </c>
      <c r="C62" s="8" t="inlineStr">
        <is>
          <t>SD</t>
        </is>
      </c>
      <c r="D62" s="8" t="inlineStr">
        <is>
          <t>HB</t>
        </is>
      </c>
      <c r="E62" s="16">
        <f>'02 价格(主口径)'!B61</f>
        <v/>
      </c>
      <c r="F62" s="16">
        <f>'02 价格(主口径)'!C61</f>
        <v/>
      </c>
      <c r="G62" s="17">
        <f>IF(OR(E62="",F62=""),"",E62-F62)</f>
        <v/>
      </c>
      <c r="H62" s="14" t="inlineStr"/>
    </row>
    <row r="63">
      <c r="A63" s="7">
        <f>'02 价格(主口径)'!A62</f>
        <v/>
      </c>
      <c r="C63" s="8" t="inlineStr">
        <is>
          <t>SD</t>
        </is>
      </c>
      <c r="D63" s="8" t="inlineStr">
        <is>
          <t>HB</t>
        </is>
      </c>
      <c r="E63" s="16">
        <f>'02 价格(主口径)'!B62</f>
        <v/>
      </c>
      <c r="F63" s="16">
        <f>'02 价格(主口径)'!C62</f>
        <v/>
      </c>
      <c r="G63" s="17">
        <f>IF(OR(E63="",F63=""),"",E63-F63)</f>
        <v/>
      </c>
      <c r="H63" s="14" t="inlineStr"/>
    </row>
    <row r="64">
      <c r="A64" s="7">
        <f>'02 价格(主口径)'!A63</f>
        <v/>
      </c>
      <c r="C64" s="8" t="inlineStr">
        <is>
          <t>SD</t>
        </is>
      </c>
      <c r="D64" s="8" t="inlineStr">
        <is>
          <t>HB</t>
        </is>
      </c>
      <c r="E64" s="16">
        <f>'02 价格(主口径)'!B63</f>
        <v/>
      </c>
      <c r="F64" s="16">
        <f>'02 价格(主口径)'!C63</f>
        <v/>
      </c>
      <c r="G64" s="17">
        <f>IF(OR(E64="",F64=""),"",E64-F64)</f>
        <v/>
      </c>
      <c r="H64" s="14" t="inlineStr"/>
    </row>
    <row r="65">
      <c r="A65" s="7">
        <f>'02 价格(主口径)'!A64</f>
        <v/>
      </c>
      <c r="C65" s="8" t="inlineStr">
        <is>
          <t>SD</t>
        </is>
      </c>
      <c r="D65" s="8" t="inlineStr">
        <is>
          <t>HB</t>
        </is>
      </c>
      <c r="E65" s="16">
        <f>'02 价格(主口径)'!B64</f>
        <v/>
      </c>
      <c r="F65" s="16">
        <f>'02 价格(主口径)'!C64</f>
        <v/>
      </c>
      <c r="G65" s="17">
        <f>IF(OR(E65="",F65=""),"",E65-F65)</f>
        <v/>
      </c>
      <c r="H65" s="14" t="inlineStr"/>
    </row>
    <row r="66">
      <c r="A66" s="7">
        <f>'02 价格(主口径)'!A65</f>
        <v/>
      </c>
      <c r="C66" s="8" t="inlineStr">
        <is>
          <t>SD</t>
        </is>
      </c>
      <c r="D66" s="8" t="inlineStr">
        <is>
          <t>HB</t>
        </is>
      </c>
      <c r="E66" s="16">
        <f>'02 价格(主口径)'!B65</f>
        <v/>
      </c>
      <c r="F66" s="16">
        <f>'02 价格(主口径)'!C65</f>
        <v/>
      </c>
      <c r="G66" s="17">
        <f>IF(OR(E66="",F66=""),"",E66-F66)</f>
        <v/>
      </c>
      <c r="H66" s="14" t="inlineStr"/>
    </row>
    <row r="67">
      <c r="A67" s="7">
        <f>'02 价格(主口径)'!A66</f>
        <v/>
      </c>
      <c r="C67" s="8" t="inlineStr">
        <is>
          <t>SD</t>
        </is>
      </c>
      <c r="D67" s="8" t="inlineStr">
        <is>
          <t>HB</t>
        </is>
      </c>
      <c r="E67" s="16">
        <f>'02 价格(主口径)'!B66</f>
        <v/>
      </c>
      <c r="F67" s="16">
        <f>'02 价格(主口径)'!C66</f>
        <v/>
      </c>
      <c r="G67" s="17">
        <f>IF(OR(E67="",F67=""),"",E67-F67)</f>
        <v/>
      </c>
      <c r="H67" s="14" t="inlineStr"/>
    </row>
    <row r="68">
      <c r="A68" s="7">
        <f>'02 价格(主口径)'!A67</f>
        <v/>
      </c>
      <c r="C68" s="8" t="inlineStr">
        <is>
          <t>SD</t>
        </is>
      </c>
      <c r="D68" s="8" t="inlineStr">
        <is>
          <t>HB</t>
        </is>
      </c>
      <c r="E68" s="16">
        <f>'02 价格(主口径)'!B67</f>
        <v/>
      </c>
      <c r="F68" s="16">
        <f>'02 价格(主口径)'!C67</f>
        <v/>
      </c>
      <c r="G68" s="17">
        <f>IF(OR(E68="",F68=""),"",E68-F68)</f>
        <v/>
      </c>
      <c r="H68" s="14" t="inlineStr"/>
    </row>
    <row r="69">
      <c r="A69" s="7">
        <f>'02 价格(主口径)'!A68</f>
        <v/>
      </c>
      <c r="C69" s="8" t="inlineStr">
        <is>
          <t>SD</t>
        </is>
      </c>
      <c r="D69" s="8" t="inlineStr">
        <is>
          <t>HB</t>
        </is>
      </c>
      <c r="E69" s="16">
        <f>'02 价格(主口径)'!B68</f>
        <v/>
      </c>
      <c r="F69" s="16">
        <f>'02 价格(主口径)'!C68</f>
        <v/>
      </c>
      <c r="G69" s="17">
        <f>IF(OR(E69="",F69=""),"",E69-F69)</f>
        <v/>
      </c>
      <c r="H69" s="14" t="inlineStr"/>
    </row>
    <row r="70">
      <c r="A70" s="7">
        <f>'02 价格(主口径)'!A69</f>
        <v/>
      </c>
      <c r="C70" s="8" t="inlineStr">
        <is>
          <t>SD</t>
        </is>
      </c>
      <c r="D70" s="8" t="inlineStr">
        <is>
          <t>HB</t>
        </is>
      </c>
      <c r="E70" s="16">
        <f>'02 价格(主口径)'!B69</f>
        <v/>
      </c>
      <c r="F70" s="16">
        <f>'02 价格(主口径)'!C69</f>
        <v/>
      </c>
      <c r="G70" s="17">
        <f>IF(OR(E70="",F70=""),"",E70-F70)</f>
        <v/>
      </c>
      <c r="H70" s="14" t="inlineStr"/>
    </row>
    <row r="71">
      <c r="A71" s="7">
        <f>'02 价格(主口径)'!A70</f>
        <v/>
      </c>
      <c r="C71" s="8" t="inlineStr">
        <is>
          <t>SD</t>
        </is>
      </c>
      <c r="D71" s="8" t="inlineStr">
        <is>
          <t>HB</t>
        </is>
      </c>
      <c r="E71" s="16">
        <f>'02 价格(主口径)'!B70</f>
        <v/>
      </c>
      <c r="F71" s="16">
        <f>'02 价格(主口径)'!C70</f>
        <v/>
      </c>
      <c r="G71" s="17">
        <f>IF(OR(E71="",F71=""),"",E71-F71)</f>
        <v/>
      </c>
      <c r="H71" s="14" t="inlineStr"/>
    </row>
    <row r="72">
      <c r="A72" s="7">
        <f>'02 价格(主口径)'!A71</f>
        <v/>
      </c>
      <c r="C72" s="8" t="inlineStr">
        <is>
          <t>SD</t>
        </is>
      </c>
      <c r="D72" s="8" t="inlineStr">
        <is>
          <t>HB</t>
        </is>
      </c>
      <c r="E72" s="16">
        <f>'02 价格(主口径)'!B71</f>
        <v/>
      </c>
      <c r="F72" s="16">
        <f>'02 价格(主口径)'!C71</f>
        <v/>
      </c>
      <c r="G72" s="17">
        <f>IF(OR(E72="",F72=""),"",E72-F72)</f>
        <v/>
      </c>
      <c r="H72" s="14" t="inlineStr"/>
    </row>
    <row r="73">
      <c r="A73" s="7">
        <f>'02 价格(主口径)'!A72</f>
        <v/>
      </c>
      <c r="C73" s="8" t="inlineStr">
        <is>
          <t>SD</t>
        </is>
      </c>
      <c r="D73" s="8" t="inlineStr">
        <is>
          <t>HB</t>
        </is>
      </c>
      <c r="E73" s="16">
        <f>'02 价格(主口径)'!B72</f>
        <v/>
      </c>
      <c r="F73" s="16">
        <f>'02 价格(主口径)'!C72</f>
        <v/>
      </c>
      <c r="G73" s="17">
        <f>IF(OR(E73="",F73=""),"",E73-F73)</f>
        <v/>
      </c>
      <c r="H73" s="14" t="inlineStr"/>
    </row>
    <row r="74">
      <c r="A74" s="7">
        <f>'02 价格(主口径)'!A73</f>
        <v/>
      </c>
      <c r="C74" s="8" t="inlineStr">
        <is>
          <t>SD</t>
        </is>
      </c>
      <c r="D74" s="8" t="inlineStr">
        <is>
          <t>HB</t>
        </is>
      </c>
      <c r="E74" s="16">
        <f>'02 价格(主口径)'!B73</f>
        <v/>
      </c>
      <c r="F74" s="16">
        <f>'02 价格(主口径)'!C73</f>
        <v/>
      </c>
      <c r="G74" s="17">
        <f>IF(OR(E74="",F74=""),"",E74-F74)</f>
        <v/>
      </c>
      <c r="H74" s="14" t="inlineStr"/>
    </row>
    <row r="75">
      <c r="A75" s="7">
        <f>'02 价格(主口径)'!A74</f>
        <v/>
      </c>
      <c r="C75" s="8" t="inlineStr">
        <is>
          <t>SD</t>
        </is>
      </c>
      <c r="D75" s="8" t="inlineStr">
        <is>
          <t>HB</t>
        </is>
      </c>
      <c r="E75" s="16">
        <f>'02 价格(主口径)'!B74</f>
        <v/>
      </c>
      <c r="F75" s="16">
        <f>'02 价格(主口径)'!C74</f>
        <v/>
      </c>
      <c r="G75" s="17">
        <f>IF(OR(E75="",F75=""),"",E75-F75)</f>
        <v/>
      </c>
      <c r="H75" s="14" t="inlineStr"/>
    </row>
    <row r="76">
      <c r="A76" s="7">
        <f>'02 价格(主口径)'!A75</f>
        <v/>
      </c>
      <c r="C76" s="8" t="inlineStr">
        <is>
          <t>SD</t>
        </is>
      </c>
      <c r="D76" s="8" t="inlineStr">
        <is>
          <t>HB</t>
        </is>
      </c>
      <c r="E76" s="16">
        <f>'02 价格(主口径)'!B75</f>
        <v/>
      </c>
      <c r="F76" s="16">
        <f>'02 价格(主口径)'!C75</f>
        <v/>
      </c>
      <c r="G76" s="17">
        <f>IF(OR(E76="",F76=""),"",E76-F76)</f>
        <v/>
      </c>
      <c r="H76" s="14" t="inlineStr"/>
    </row>
    <row r="77">
      <c r="A77" s="7">
        <f>'02 价格(主口径)'!A76</f>
        <v/>
      </c>
      <c r="C77" s="8" t="inlineStr">
        <is>
          <t>SD</t>
        </is>
      </c>
      <c r="D77" s="8" t="inlineStr">
        <is>
          <t>HB</t>
        </is>
      </c>
      <c r="E77" s="16">
        <f>'02 价格(主口径)'!B76</f>
        <v/>
      </c>
      <c r="F77" s="16">
        <f>'02 价格(主口径)'!C76</f>
        <v/>
      </c>
      <c r="G77" s="17">
        <f>IF(OR(E77="",F77=""),"",E77-F77)</f>
        <v/>
      </c>
      <c r="H77" s="14" t="inlineStr"/>
    </row>
    <row r="78">
      <c r="A78" s="7">
        <f>'02 价格(主口径)'!A77</f>
        <v/>
      </c>
      <c r="C78" s="8" t="inlineStr">
        <is>
          <t>SD</t>
        </is>
      </c>
      <c r="D78" s="8" t="inlineStr">
        <is>
          <t>HB</t>
        </is>
      </c>
      <c r="E78" s="16">
        <f>'02 价格(主口径)'!B77</f>
        <v/>
      </c>
      <c r="F78" s="16">
        <f>'02 价格(主口径)'!C77</f>
        <v/>
      </c>
      <c r="G78" s="17">
        <f>IF(OR(E78="",F78=""),"",E78-F78)</f>
        <v/>
      </c>
      <c r="H78" s="14" t="inlineStr"/>
    </row>
    <row r="79">
      <c r="A79" s="7">
        <f>'02 价格(主口径)'!A78</f>
        <v/>
      </c>
      <c r="C79" s="8" t="inlineStr">
        <is>
          <t>SD</t>
        </is>
      </c>
      <c r="D79" s="8" t="inlineStr">
        <is>
          <t>HB</t>
        </is>
      </c>
      <c r="E79" s="16">
        <f>'02 价格(主口径)'!B78</f>
        <v/>
      </c>
      <c r="F79" s="16">
        <f>'02 价格(主口径)'!C78</f>
        <v/>
      </c>
      <c r="G79" s="17">
        <f>IF(OR(E79="",F79=""),"",E79-F79)</f>
        <v/>
      </c>
      <c r="H79" s="14" t="inlineStr"/>
    </row>
    <row r="80">
      <c r="A80" s="7">
        <f>'02 价格(主口径)'!A79</f>
        <v/>
      </c>
      <c r="C80" s="8" t="inlineStr">
        <is>
          <t>SD</t>
        </is>
      </c>
      <c r="D80" s="8" t="inlineStr">
        <is>
          <t>HB</t>
        </is>
      </c>
      <c r="E80" s="16">
        <f>'02 价格(主口径)'!B79</f>
        <v/>
      </c>
      <c r="F80" s="16">
        <f>'02 价格(主口径)'!C79</f>
        <v/>
      </c>
      <c r="G80" s="17">
        <f>IF(OR(E80="",F80=""),"",E80-F80)</f>
        <v/>
      </c>
      <c r="H80" s="14" t="inlineStr"/>
    </row>
    <row r="81">
      <c r="A81" s="7">
        <f>'02 价格(主口径)'!A80</f>
        <v/>
      </c>
      <c r="C81" s="8" t="inlineStr">
        <is>
          <t>SD</t>
        </is>
      </c>
      <c r="D81" s="8" t="inlineStr">
        <is>
          <t>HB</t>
        </is>
      </c>
      <c r="E81" s="16">
        <f>'02 价格(主口径)'!B80</f>
        <v/>
      </c>
      <c r="F81" s="16">
        <f>'02 价格(主口径)'!C80</f>
        <v/>
      </c>
      <c r="G81" s="17">
        <f>IF(OR(E81="",F81=""),"",E81-F81)</f>
        <v/>
      </c>
      <c r="H81" s="14" t="inlineStr"/>
    </row>
    <row r="82">
      <c r="A82" s="7">
        <f>'02 价格(主口径)'!A81</f>
        <v/>
      </c>
      <c r="C82" s="8" t="inlineStr">
        <is>
          <t>SD</t>
        </is>
      </c>
      <c r="D82" s="8" t="inlineStr">
        <is>
          <t>HB</t>
        </is>
      </c>
      <c r="E82" s="16">
        <f>'02 价格(主口径)'!B81</f>
        <v/>
      </c>
      <c r="F82" s="16">
        <f>'02 价格(主口径)'!C81</f>
        <v/>
      </c>
      <c r="G82" s="17">
        <f>IF(OR(E82="",F82=""),"",E82-F82)</f>
        <v/>
      </c>
      <c r="H82" s="14" t="inlineStr"/>
    </row>
    <row r="83">
      <c r="A83" s="7">
        <f>'02 价格(主口径)'!A82</f>
        <v/>
      </c>
      <c r="C83" s="8" t="inlineStr">
        <is>
          <t>SD</t>
        </is>
      </c>
      <c r="D83" s="8" t="inlineStr">
        <is>
          <t>HB</t>
        </is>
      </c>
      <c r="E83" s="16">
        <f>'02 价格(主口径)'!B82</f>
        <v/>
      </c>
      <c r="F83" s="16">
        <f>'02 价格(主口径)'!C82</f>
        <v/>
      </c>
      <c r="G83" s="17">
        <f>IF(OR(E83="",F83=""),"",E83-F83)</f>
        <v/>
      </c>
      <c r="H83" s="14" t="inlineStr"/>
    </row>
    <row r="84">
      <c r="A84" s="7">
        <f>'02 价格(主口径)'!A83</f>
        <v/>
      </c>
      <c r="C84" s="8" t="inlineStr">
        <is>
          <t>SD</t>
        </is>
      </c>
      <c r="D84" s="8" t="inlineStr">
        <is>
          <t>HB</t>
        </is>
      </c>
      <c r="E84" s="16">
        <f>'02 价格(主口径)'!B83</f>
        <v/>
      </c>
      <c r="F84" s="16">
        <f>'02 价格(主口径)'!C83</f>
        <v/>
      </c>
      <c r="G84" s="17">
        <f>IF(OR(E84="",F84=""),"",E84-F84)</f>
        <v/>
      </c>
      <c r="H84" s="14" t="inlineStr"/>
    </row>
    <row r="85">
      <c r="A85" s="7">
        <f>'02 价格(主口径)'!A84</f>
        <v/>
      </c>
      <c r="C85" s="8" t="inlineStr">
        <is>
          <t>SD</t>
        </is>
      </c>
      <c r="D85" s="8" t="inlineStr">
        <is>
          <t>HB</t>
        </is>
      </c>
      <c r="E85" s="16">
        <f>'02 价格(主口径)'!B84</f>
        <v/>
      </c>
      <c r="F85" s="16">
        <f>'02 价格(主口径)'!C84</f>
        <v/>
      </c>
      <c r="G85" s="17">
        <f>IF(OR(E85="",F85=""),"",E85-F85)</f>
        <v/>
      </c>
      <c r="H85" s="14" t="inlineStr"/>
    </row>
    <row r="86">
      <c r="A86" s="7">
        <f>'02 价格(主口径)'!A85</f>
        <v/>
      </c>
      <c r="C86" s="8" t="inlineStr">
        <is>
          <t>SD</t>
        </is>
      </c>
      <c r="D86" s="8" t="inlineStr">
        <is>
          <t>HB</t>
        </is>
      </c>
      <c r="E86" s="16">
        <f>'02 价格(主口径)'!B85</f>
        <v/>
      </c>
      <c r="F86" s="16">
        <f>'02 价格(主口径)'!C85</f>
        <v/>
      </c>
      <c r="G86" s="17">
        <f>IF(OR(E86="",F86=""),"",E86-F86)</f>
        <v/>
      </c>
      <c r="H86" s="14" t="inlineStr"/>
    </row>
    <row r="87">
      <c r="A87" s="7">
        <f>'02 价格(主口径)'!A86</f>
        <v/>
      </c>
      <c r="C87" s="8" t="inlineStr">
        <is>
          <t>SD</t>
        </is>
      </c>
      <c r="D87" s="8" t="inlineStr">
        <is>
          <t>HB</t>
        </is>
      </c>
      <c r="E87" s="16">
        <f>'02 价格(主口径)'!B86</f>
        <v/>
      </c>
      <c r="F87" s="16">
        <f>'02 价格(主口径)'!C86</f>
        <v/>
      </c>
      <c r="G87" s="17">
        <f>IF(OR(E87="",F87=""),"",E87-F87)</f>
        <v/>
      </c>
      <c r="H87" s="14" t="inlineStr"/>
    </row>
    <row r="88">
      <c r="A88" s="7">
        <f>'02 价格(主口径)'!A87</f>
        <v/>
      </c>
      <c r="C88" s="8" t="inlineStr">
        <is>
          <t>SD</t>
        </is>
      </c>
      <c r="D88" s="8" t="inlineStr">
        <is>
          <t>HB</t>
        </is>
      </c>
      <c r="E88" s="16">
        <f>'02 价格(主口径)'!B87</f>
        <v/>
      </c>
      <c r="F88" s="16">
        <f>'02 价格(主口径)'!C87</f>
        <v/>
      </c>
      <c r="G88" s="17">
        <f>IF(OR(E88="",F88=""),"",E88-F88)</f>
        <v/>
      </c>
      <c r="H88" s="14" t="inlineStr"/>
    </row>
    <row r="89">
      <c r="A89" s="7">
        <f>'02 价格(主口径)'!A88</f>
        <v/>
      </c>
      <c r="C89" s="8" t="inlineStr">
        <is>
          <t>SD</t>
        </is>
      </c>
      <c r="D89" s="8" t="inlineStr">
        <is>
          <t>HB</t>
        </is>
      </c>
      <c r="E89" s="16">
        <f>'02 价格(主口径)'!B88</f>
        <v/>
      </c>
      <c r="F89" s="16">
        <f>'02 价格(主口径)'!C88</f>
        <v/>
      </c>
      <c r="G89" s="17">
        <f>IF(OR(E89="",F89=""),"",E89-F89)</f>
        <v/>
      </c>
      <c r="H89" s="14" t="inlineStr"/>
    </row>
    <row r="90">
      <c r="A90" s="7">
        <f>'02 价格(主口径)'!A89</f>
        <v/>
      </c>
      <c r="C90" s="8" t="inlineStr">
        <is>
          <t>SD</t>
        </is>
      </c>
      <c r="D90" s="8" t="inlineStr">
        <is>
          <t>HB</t>
        </is>
      </c>
      <c r="E90" s="16">
        <f>'02 价格(主口径)'!B89</f>
        <v/>
      </c>
      <c r="F90" s="16">
        <f>'02 价格(主口径)'!C89</f>
        <v/>
      </c>
      <c r="G90" s="17">
        <f>IF(OR(E90="",F90=""),"",E90-F90)</f>
        <v/>
      </c>
      <c r="H90" s="14" t="inlineStr"/>
    </row>
    <row r="91">
      <c r="A91" s="7">
        <f>'02 价格(主口径)'!A90</f>
        <v/>
      </c>
      <c r="C91" s="8" t="inlineStr">
        <is>
          <t>SD</t>
        </is>
      </c>
      <c r="D91" s="8" t="inlineStr">
        <is>
          <t>HB</t>
        </is>
      </c>
      <c r="E91" s="16">
        <f>'02 价格(主口径)'!B90</f>
        <v/>
      </c>
      <c r="F91" s="16">
        <f>'02 价格(主口径)'!C90</f>
        <v/>
      </c>
      <c r="G91" s="17">
        <f>IF(OR(E91="",F91=""),"",E91-F91)</f>
        <v/>
      </c>
      <c r="H91" s="14" t="inlineStr"/>
    </row>
    <row r="92">
      <c r="A92" s="7">
        <f>'02 价格(主口径)'!A91</f>
        <v/>
      </c>
      <c r="C92" s="8" t="inlineStr">
        <is>
          <t>SD</t>
        </is>
      </c>
      <c r="D92" s="8" t="inlineStr">
        <is>
          <t>HB</t>
        </is>
      </c>
      <c r="E92" s="16">
        <f>'02 价格(主口径)'!B91</f>
        <v/>
      </c>
      <c r="F92" s="16">
        <f>'02 价格(主口径)'!C91</f>
        <v/>
      </c>
      <c r="G92" s="17">
        <f>IF(OR(E92="",F92=""),"",E92-F92)</f>
        <v/>
      </c>
      <c r="H92" s="14" t="inlineStr"/>
    </row>
    <row r="93">
      <c r="A93" s="7">
        <f>'02 价格(主口径)'!A92</f>
        <v/>
      </c>
      <c r="C93" s="8" t="inlineStr">
        <is>
          <t>SD</t>
        </is>
      </c>
      <c r="D93" s="8" t="inlineStr">
        <is>
          <t>HB</t>
        </is>
      </c>
      <c r="E93" s="16">
        <f>'02 价格(主口径)'!B92</f>
        <v/>
      </c>
      <c r="F93" s="16">
        <f>'02 价格(主口径)'!C92</f>
        <v/>
      </c>
      <c r="G93" s="17">
        <f>IF(OR(E93="",F93=""),"",E93-F93)</f>
        <v/>
      </c>
      <c r="H93" s="14" t="inlineStr"/>
    </row>
    <row r="94">
      <c r="A94" s="7">
        <f>'02 价格(主口径)'!A93</f>
        <v/>
      </c>
      <c r="C94" s="8" t="inlineStr">
        <is>
          <t>SD</t>
        </is>
      </c>
      <c r="D94" s="8" t="inlineStr">
        <is>
          <t>HB</t>
        </is>
      </c>
      <c r="E94" s="16">
        <f>'02 价格(主口径)'!B93</f>
        <v/>
      </c>
      <c r="F94" s="16">
        <f>'02 价格(主口径)'!C93</f>
        <v/>
      </c>
      <c r="G94" s="17">
        <f>IF(OR(E94="",F94=""),"",E94-F94)</f>
        <v/>
      </c>
      <c r="H94" s="14" t="inlineStr"/>
    </row>
    <row r="95">
      <c r="A95" s="7">
        <f>'02 价格(主口径)'!A94</f>
        <v/>
      </c>
      <c r="C95" s="8" t="inlineStr">
        <is>
          <t>SD</t>
        </is>
      </c>
      <c r="D95" s="8" t="inlineStr">
        <is>
          <t>HB</t>
        </is>
      </c>
      <c r="E95" s="16">
        <f>'02 价格(主口径)'!B94</f>
        <v/>
      </c>
      <c r="F95" s="16">
        <f>'02 价格(主口径)'!C94</f>
        <v/>
      </c>
      <c r="G95" s="17">
        <f>IF(OR(E95="",F95=""),"",E95-F95)</f>
        <v/>
      </c>
      <c r="H95" s="14" t="inlineStr"/>
    </row>
    <row r="96">
      <c r="A96" s="7">
        <f>'02 价格(主口径)'!A95</f>
        <v/>
      </c>
      <c r="C96" s="8" t="inlineStr">
        <is>
          <t>SD</t>
        </is>
      </c>
      <c r="D96" s="8" t="inlineStr">
        <is>
          <t>HB</t>
        </is>
      </c>
      <c r="E96" s="16">
        <f>'02 价格(主口径)'!B95</f>
        <v/>
      </c>
      <c r="F96" s="16">
        <f>'02 价格(主口径)'!C95</f>
        <v/>
      </c>
      <c r="G96" s="17">
        <f>IF(OR(E96="",F96=""),"",E96-F96)</f>
        <v/>
      </c>
      <c r="H96" s="14" t="inlineStr"/>
    </row>
    <row r="97">
      <c r="A97" s="7">
        <f>'02 价格(主口径)'!A96</f>
        <v/>
      </c>
      <c r="C97" s="8" t="inlineStr">
        <is>
          <t>SD</t>
        </is>
      </c>
      <c r="D97" s="8" t="inlineStr">
        <is>
          <t>HB</t>
        </is>
      </c>
      <c r="E97" s="16">
        <f>'02 价格(主口径)'!B96</f>
        <v/>
      </c>
      <c r="F97" s="16">
        <f>'02 价格(主口径)'!C96</f>
        <v/>
      </c>
      <c r="G97" s="17">
        <f>IF(OR(E97="",F97=""),"",E97-F97)</f>
        <v/>
      </c>
      <c r="H97" s="14" t="inlineStr"/>
    </row>
    <row r="98">
      <c r="A98" s="7">
        <f>'02 价格(主口径)'!A97</f>
        <v/>
      </c>
      <c r="C98" s="8" t="inlineStr">
        <is>
          <t>SD</t>
        </is>
      </c>
      <c r="D98" s="8" t="inlineStr">
        <is>
          <t>HB</t>
        </is>
      </c>
      <c r="E98" s="16">
        <f>'02 价格(主口径)'!B97</f>
        <v/>
      </c>
      <c r="F98" s="16">
        <f>'02 价格(主口径)'!C97</f>
        <v/>
      </c>
      <c r="G98" s="17">
        <f>IF(OR(E98="",F98=""),"",E98-F98)</f>
        <v/>
      </c>
      <c r="H98" s="14" t="inlineStr"/>
    </row>
    <row r="99">
      <c r="A99" s="7">
        <f>'02 价格(主口径)'!A98</f>
        <v/>
      </c>
      <c r="C99" s="8" t="inlineStr">
        <is>
          <t>SD</t>
        </is>
      </c>
      <c r="D99" s="8" t="inlineStr">
        <is>
          <t>HB</t>
        </is>
      </c>
      <c r="E99" s="16">
        <f>'02 价格(主口径)'!B98</f>
        <v/>
      </c>
      <c r="F99" s="16">
        <f>'02 价格(主口径)'!C98</f>
        <v/>
      </c>
      <c r="G99" s="17">
        <f>IF(OR(E99="",F99=""),"",E99-F99)</f>
        <v/>
      </c>
      <c r="H99" s="14" t="inlineStr"/>
    </row>
    <row r="100">
      <c r="A100" s="7">
        <f>'02 价格(主口径)'!A99</f>
        <v/>
      </c>
      <c r="C100" s="8" t="inlineStr">
        <is>
          <t>SD</t>
        </is>
      </c>
      <c r="D100" s="8" t="inlineStr">
        <is>
          <t>HB</t>
        </is>
      </c>
      <c r="E100" s="16">
        <f>'02 价格(主口径)'!B99</f>
        <v/>
      </c>
      <c r="F100" s="16">
        <f>'02 价格(主口径)'!C99</f>
        <v/>
      </c>
      <c r="G100" s="17">
        <f>IF(OR(E100="",F100=""),"",E100-F100)</f>
        <v/>
      </c>
      <c r="H100" s="14" t="inlineStr"/>
    </row>
    <row r="101">
      <c r="A101" s="7">
        <f>'02 价格(主口径)'!A100</f>
        <v/>
      </c>
      <c r="C101" s="8" t="inlineStr">
        <is>
          <t>SD</t>
        </is>
      </c>
      <c r="D101" s="8" t="inlineStr">
        <is>
          <t>HB</t>
        </is>
      </c>
      <c r="E101" s="16">
        <f>'02 价格(主口径)'!B100</f>
        <v/>
      </c>
      <c r="F101" s="16">
        <f>'02 价格(主口径)'!C100</f>
        <v/>
      </c>
      <c r="G101" s="17">
        <f>IF(OR(E101="",F101=""),"",E101-F101)</f>
        <v/>
      </c>
      <c r="H101" s="14" t="inlineStr"/>
    </row>
    <row r="102">
      <c r="A102" s="7">
        <f>'02 价格(主口径)'!A101</f>
        <v/>
      </c>
      <c r="C102" s="8" t="inlineStr">
        <is>
          <t>SD</t>
        </is>
      </c>
      <c r="D102" s="8" t="inlineStr">
        <is>
          <t>HB</t>
        </is>
      </c>
      <c r="E102" s="16">
        <f>'02 价格(主口径)'!B101</f>
        <v/>
      </c>
      <c r="F102" s="16">
        <f>'02 价格(主口径)'!C101</f>
        <v/>
      </c>
      <c r="G102" s="17">
        <f>IF(OR(E102="",F102=""),"",E102-F102)</f>
        <v/>
      </c>
      <c r="H102" s="14" t="inlineStr"/>
    </row>
    <row r="103">
      <c r="A103" s="7">
        <f>'02 价格(主口径)'!A102</f>
        <v/>
      </c>
      <c r="C103" s="8" t="inlineStr">
        <is>
          <t>SD</t>
        </is>
      </c>
      <c r="D103" s="8" t="inlineStr">
        <is>
          <t>HB</t>
        </is>
      </c>
      <c r="E103" s="16">
        <f>'02 价格(主口径)'!B102</f>
        <v/>
      </c>
      <c r="F103" s="16">
        <f>'02 价格(主口径)'!C102</f>
        <v/>
      </c>
      <c r="G103" s="17">
        <f>IF(OR(E103="",F103=""),"",E103-F103)</f>
        <v/>
      </c>
      <c r="H103" s="14" t="inlineStr"/>
    </row>
    <row r="104">
      <c r="A104" s="7">
        <f>'02 价格(主口径)'!A103</f>
        <v/>
      </c>
      <c r="C104" s="8" t="inlineStr">
        <is>
          <t>SD</t>
        </is>
      </c>
      <c r="D104" s="8" t="inlineStr">
        <is>
          <t>HB</t>
        </is>
      </c>
      <c r="E104" s="16">
        <f>'02 价格(主口径)'!B103</f>
        <v/>
      </c>
      <c r="F104" s="16">
        <f>'02 价格(主口径)'!C103</f>
        <v/>
      </c>
      <c r="G104" s="17">
        <f>IF(OR(E104="",F104=""),"",E104-F104)</f>
        <v/>
      </c>
      <c r="H104" s="14" t="inlineStr"/>
    </row>
    <row r="105">
      <c r="A105" s="7">
        <f>'02 价格(主口径)'!A104</f>
        <v/>
      </c>
      <c r="C105" s="8" t="inlineStr">
        <is>
          <t>SD</t>
        </is>
      </c>
      <c r="D105" s="8" t="inlineStr">
        <is>
          <t>HB</t>
        </is>
      </c>
      <c r="E105" s="16">
        <f>'02 价格(主口径)'!B104</f>
        <v/>
      </c>
      <c r="F105" s="16">
        <f>'02 价格(主口径)'!C104</f>
        <v/>
      </c>
      <c r="G105" s="17">
        <f>IF(OR(E105="",F105=""),"",E105-F105)</f>
        <v/>
      </c>
      <c r="H105" s="14" t="inlineStr"/>
    </row>
    <row r="106">
      <c r="A106" s="7">
        <f>'02 价格(主口径)'!A105</f>
        <v/>
      </c>
      <c r="C106" s="8" t="inlineStr">
        <is>
          <t>SD</t>
        </is>
      </c>
      <c r="D106" s="8" t="inlineStr">
        <is>
          <t>HB</t>
        </is>
      </c>
      <c r="E106" s="16">
        <f>'02 价格(主口径)'!B105</f>
        <v/>
      </c>
      <c r="F106" s="16">
        <f>'02 价格(主口径)'!C105</f>
        <v/>
      </c>
      <c r="G106" s="17">
        <f>IF(OR(E106="",F106=""),"",E106-F106)</f>
        <v/>
      </c>
      <c r="H106" s="14" t="inlineStr"/>
    </row>
    <row r="107">
      <c r="A107" s="7">
        <f>'02 价格(主口径)'!A106</f>
        <v/>
      </c>
      <c r="C107" s="8" t="inlineStr">
        <is>
          <t>SD</t>
        </is>
      </c>
      <c r="D107" s="8" t="inlineStr">
        <is>
          <t>HB</t>
        </is>
      </c>
      <c r="E107" s="16">
        <f>'02 价格(主口径)'!B106</f>
        <v/>
      </c>
      <c r="F107" s="16">
        <f>'02 价格(主口径)'!C106</f>
        <v/>
      </c>
      <c r="G107" s="17">
        <f>IF(OR(E107="",F107=""),"",E107-F107)</f>
        <v/>
      </c>
      <c r="H107" s="14" t="inlineStr"/>
    </row>
    <row r="108">
      <c r="A108" s="7">
        <f>'02 价格(主口径)'!A107</f>
        <v/>
      </c>
      <c r="C108" s="8" t="inlineStr">
        <is>
          <t>SD</t>
        </is>
      </c>
      <c r="D108" s="8" t="inlineStr">
        <is>
          <t>HB</t>
        </is>
      </c>
      <c r="E108" s="16">
        <f>'02 价格(主口径)'!B107</f>
        <v/>
      </c>
      <c r="F108" s="16">
        <f>'02 价格(主口径)'!C107</f>
        <v/>
      </c>
      <c r="G108" s="17">
        <f>IF(OR(E108="",F108=""),"",E108-F108)</f>
        <v/>
      </c>
      <c r="H108" s="14" t="inlineStr"/>
    </row>
    <row r="109">
      <c r="A109" s="7">
        <f>'02 价格(主口径)'!A108</f>
        <v/>
      </c>
      <c r="C109" s="8" t="inlineStr">
        <is>
          <t>SD</t>
        </is>
      </c>
      <c r="D109" s="8" t="inlineStr">
        <is>
          <t>HB</t>
        </is>
      </c>
      <c r="E109" s="16">
        <f>'02 价格(主口径)'!B108</f>
        <v/>
      </c>
      <c r="F109" s="16">
        <f>'02 价格(主口径)'!C108</f>
        <v/>
      </c>
      <c r="G109" s="17">
        <f>IF(OR(E109="",F109=""),"",E109-F109)</f>
        <v/>
      </c>
      <c r="H109" s="14" t="inlineStr"/>
    </row>
    <row r="110">
      <c r="A110" s="7">
        <f>'02 价格(主口径)'!A109</f>
        <v/>
      </c>
      <c r="C110" s="8" t="inlineStr">
        <is>
          <t>SD</t>
        </is>
      </c>
      <c r="D110" s="8" t="inlineStr">
        <is>
          <t>HB</t>
        </is>
      </c>
      <c r="E110" s="16">
        <f>'02 价格(主口径)'!B109</f>
        <v/>
      </c>
      <c r="F110" s="16">
        <f>'02 价格(主口径)'!C109</f>
        <v/>
      </c>
      <c r="G110" s="17">
        <f>IF(OR(E110="",F110=""),"",E110-F110)</f>
        <v/>
      </c>
      <c r="H110" s="14" t="inlineStr"/>
    </row>
    <row r="111">
      <c r="A111" s="7">
        <f>'02 价格(主口径)'!A110</f>
        <v/>
      </c>
      <c r="C111" s="8" t="inlineStr">
        <is>
          <t>SD</t>
        </is>
      </c>
      <c r="D111" s="8" t="inlineStr">
        <is>
          <t>HB</t>
        </is>
      </c>
      <c r="E111" s="16">
        <f>'02 价格(主口径)'!B110</f>
        <v/>
      </c>
      <c r="F111" s="16">
        <f>'02 价格(主口径)'!C110</f>
        <v/>
      </c>
      <c r="G111" s="17">
        <f>IF(OR(E111="",F111=""),"",E111-F111)</f>
        <v/>
      </c>
      <c r="H111" s="14" t="inlineStr"/>
    </row>
    <row r="112">
      <c r="A112" s="7">
        <f>'02 价格(主口径)'!A111</f>
        <v/>
      </c>
      <c r="C112" s="8" t="inlineStr">
        <is>
          <t>SD</t>
        </is>
      </c>
      <c r="D112" s="8" t="inlineStr">
        <is>
          <t>HB</t>
        </is>
      </c>
      <c r="E112" s="16">
        <f>'02 价格(主口径)'!B111</f>
        <v/>
      </c>
      <c r="F112" s="16">
        <f>'02 价格(主口径)'!C111</f>
        <v/>
      </c>
      <c r="G112" s="17">
        <f>IF(OR(E112="",F112=""),"",E112-F112)</f>
        <v/>
      </c>
      <c r="H112" s="14" t="inlineStr"/>
    </row>
    <row r="113">
      <c r="A113" s="7">
        <f>'02 价格(主口径)'!A112</f>
        <v/>
      </c>
      <c r="C113" s="8" t="inlineStr">
        <is>
          <t>SD</t>
        </is>
      </c>
      <c r="D113" s="8" t="inlineStr">
        <is>
          <t>HB</t>
        </is>
      </c>
      <c r="E113" s="16">
        <f>'02 价格(主口径)'!B112</f>
        <v/>
      </c>
      <c r="F113" s="16">
        <f>'02 价格(主口径)'!C112</f>
        <v/>
      </c>
      <c r="G113" s="17">
        <f>IF(OR(E113="",F113=""),"",E113-F113)</f>
        <v/>
      </c>
      <c r="H113" s="14" t="inlineStr"/>
    </row>
    <row r="114">
      <c r="A114" s="7">
        <f>'02 价格(主口径)'!A113</f>
        <v/>
      </c>
      <c r="C114" s="8" t="inlineStr">
        <is>
          <t>SD</t>
        </is>
      </c>
      <c r="D114" s="8" t="inlineStr">
        <is>
          <t>HB</t>
        </is>
      </c>
      <c r="E114" s="16">
        <f>'02 价格(主口径)'!B113</f>
        <v/>
      </c>
      <c r="F114" s="16">
        <f>'02 价格(主口径)'!C113</f>
        <v/>
      </c>
      <c r="G114" s="17">
        <f>IF(OR(E114="",F114=""),"",E114-F114)</f>
        <v/>
      </c>
      <c r="H114" s="14" t="inlineStr"/>
    </row>
    <row r="115">
      <c r="A115" s="7">
        <f>'02 价格(主口径)'!A114</f>
        <v/>
      </c>
      <c r="C115" s="8" t="inlineStr">
        <is>
          <t>SD</t>
        </is>
      </c>
      <c r="D115" s="8" t="inlineStr">
        <is>
          <t>HB</t>
        </is>
      </c>
      <c r="E115" s="16">
        <f>'02 价格(主口径)'!B114</f>
        <v/>
      </c>
      <c r="F115" s="16">
        <f>'02 价格(主口径)'!C114</f>
        <v/>
      </c>
      <c r="G115" s="17">
        <f>IF(OR(E115="",F115=""),"",E115-F115)</f>
        <v/>
      </c>
      <c r="H115" s="14" t="inlineStr"/>
    </row>
    <row r="116">
      <c r="A116" s="7">
        <f>'02 价格(主口径)'!A115</f>
        <v/>
      </c>
      <c r="C116" s="8" t="inlineStr">
        <is>
          <t>SD</t>
        </is>
      </c>
      <c r="D116" s="8" t="inlineStr">
        <is>
          <t>HB</t>
        </is>
      </c>
      <c r="E116" s="16">
        <f>'02 价格(主口径)'!B115</f>
        <v/>
      </c>
      <c r="F116" s="16">
        <f>'02 价格(主口径)'!C115</f>
        <v/>
      </c>
      <c r="G116" s="17">
        <f>IF(OR(E116="",F116=""),"",E116-F116)</f>
        <v/>
      </c>
      <c r="H116" s="14" t="inlineStr"/>
    </row>
    <row r="117">
      <c r="A117" s="7">
        <f>'02 价格(主口径)'!A116</f>
        <v/>
      </c>
      <c r="C117" s="8" t="inlineStr">
        <is>
          <t>SD</t>
        </is>
      </c>
      <c r="D117" s="8" t="inlineStr">
        <is>
          <t>HB</t>
        </is>
      </c>
      <c r="E117" s="16">
        <f>'02 价格(主口径)'!B116</f>
        <v/>
      </c>
      <c r="F117" s="16">
        <f>'02 价格(主口径)'!C116</f>
        <v/>
      </c>
      <c r="G117" s="17">
        <f>IF(OR(E117="",F117=""),"",E117-F117)</f>
        <v/>
      </c>
      <c r="H117" s="14" t="inlineStr"/>
    </row>
    <row r="118">
      <c r="A118" s="7">
        <f>'02 价格(主口径)'!A117</f>
        <v/>
      </c>
      <c r="C118" s="8" t="inlineStr">
        <is>
          <t>SD</t>
        </is>
      </c>
      <c r="D118" s="8" t="inlineStr">
        <is>
          <t>HB</t>
        </is>
      </c>
      <c r="E118" s="16">
        <f>'02 价格(主口径)'!B117</f>
        <v/>
      </c>
      <c r="F118" s="16">
        <f>'02 价格(主口径)'!C117</f>
        <v/>
      </c>
      <c r="G118" s="17">
        <f>IF(OR(E118="",F118=""),"",E118-F118)</f>
        <v/>
      </c>
      <c r="H118" s="14" t="inlineStr"/>
    </row>
    <row r="119">
      <c r="A119" s="7">
        <f>'02 价格(主口径)'!A118</f>
        <v/>
      </c>
      <c r="C119" s="8" t="inlineStr">
        <is>
          <t>SD</t>
        </is>
      </c>
      <c r="D119" s="8" t="inlineStr">
        <is>
          <t>HB</t>
        </is>
      </c>
      <c r="E119" s="16">
        <f>'02 价格(主口径)'!B118</f>
        <v/>
      </c>
      <c r="F119" s="16">
        <f>'02 价格(主口径)'!C118</f>
        <v/>
      </c>
      <c r="G119" s="17">
        <f>IF(OR(E119="",F119=""),"",E119-F119)</f>
        <v/>
      </c>
      <c r="H119" s="14" t="inlineStr"/>
    </row>
    <row r="120">
      <c r="A120" s="7">
        <f>'02 价格(主口径)'!A119</f>
        <v/>
      </c>
      <c r="C120" s="8" t="inlineStr">
        <is>
          <t>SD</t>
        </is>
      </c>
      <c r="D120" s="8" t="inlineStr">
        <is>
          <t>HB</t>
        </is>
      </c>
      <c r="E120" s="16">
        <f>'02 价格(主口径)'!B119</f>
        <v/>
      </c>
      <c r="F120" s="16">
        <f>'02 价格(主口径)'!C119</f>
        <v/>
      </c>
      <c r="G120" s="17">
        <f>IF(OR(E120="",F120=""),"",E120-F120)</f>
        <v/>
      </c>
      <c r="H120" s="14" t="inlineStr"/>
    </row>
    <row r="121">
      <c r="A121" s="7">
        <f>'02 价格(主口径)'!A120</f>
        <v/>
      </c>
      <c r="C121" s="8" t="inlineStr">
        <is>
          <t>SD</t>
        </is>
      </c>
      <c r="D121" s="8" t="inlineStr">
        <is>
          <t>HB</t>
        </is>
      </c>
      <c r="E121" s="16">
        <f>'02 价格(主口径)'!B120</f>
        <v/>
      </c>
      <c r="F121" s="16">
        <f>'02 价格(主口径)'!C120</f>
        <v/>
      </c>
      <c r="G121" s="17">
        <f>IF(OR(E121="",F121=""),"",E121-F121)</f>
        <v/>
      </c>
      <c r="H121" s="14" t="inlineStr"/>
    </row>
    <row r="122">
      <c r="A122" s="7">
        <f>'02 价格(主口径)'!A121</f>
        <v/>
      </c>
      <c r="C122" s="8" t="inlineStr">
        <is>
          <t>SD</t>
        </is>
      </c>
      <c r="D122" s="8" t="inlineStr">
        <is>
          <t>HB</t>
        </is>
      </c>
      <c r="E122" s="16">
        <f>'02 价格(主口径)'!B121</f>
        <v/>
      </c>
      <c r="F122" s="16">
        <f>'02 价格(主口径)'!C121</f>
        <v/>
      </c>
      <c r="G122" s="17">
        <f>IF(OR(E122="",F122=""),"",E122-F122)</f>
        <v/>
      </c>
      <c r="H122" s="14" t="inlineStr"/>
    </row>
    <row r="123">
      <c r="A123" s="7">
        <f>'02 价格(主口径)'!A122</f>
        <v/>
      </c>
      <c r="C123" s="8" t="inlineStr">
        <is>
          <t>SD</t>
        </is>
      </c>
      <c r="D123" s="8" t="inlineStr">
        <is>
          <t>HB</t>
        </is>
      </c>
      <c r="E123" s="16">
        <f>'02 价格(主口径)'!B122</f>
        <v/>
      </c>
      <c r="F123" s="16">
        <f>'02 价格(主口径)'!C122</f>
        <v/>
      </c>
      <c r="G123" s="17">
        <f>IF(OR(E123="",F123=""),"",E123-F123)</f>
        <v/>
      </c>
      <c r="H123" s="14" t="inlineStr"/>
    </row>
    <row r="124">
      <c r="A124" s="7">
        <f>'02 价格(主口径)'!A123</f>
        <v/>
      </c>
      <c r="C124" s="8" t="inlineStr">
        <is>
          <t>SD</t>
        </is>
      </c>
      <c r="D124" s="8" t="inlineStr">
        <is>
          <t>HB</t>
        </is>
      </c>
      <c r="E124" s="16">
        <f>'02 价格(主口径)'!B123</f>
        <v/>
      </c>
      <c r="F124" s="16">
        <f>'02 价格(主口径)'!C123</f>
        <v/>
      </c>
      <c r="G124" s="17">
        <f>IF(OR(E124="",F124=""),"",E124-F124)</f>
        <v/>
      </c>
      <c r="H124" s="14" t="inlineStr"/>
    </row>
    <row r="125">
      <c r="A125" s="7">
        <f>'02 价格(主口径)'!A124</f>
        <v/>
      </c>
      <c r="C125" s="8" t="inlineStr">
        <is>
          <t>SD</t>
        </is>
      </c>
      <c r="D125" s="8" t="inlineStr">
        <is>
          <t>HB</t>
        </is>
      </c>
      <c r="E125" s="16">
        <f>'02 价格(主口径)'!B124</f>
        <v/>
      </c>
      <c r="F125" s="16">
        <f>'02 价格(主口径)'!C124</f>
        <v/>
      </c>
      <c r="G125" s="17">
        <f>IF(OR(E125="",F125=""),"",E125-F125)</f>
        <v/>
      </c>
      <c r="H125" s="14" t="inlineStr"/>
    </row>
    <row r="126">
      <c r="A126" s="7">
        <f>'02 价格(主口径)'!A125</f>
        <v/>
      </c>
      <c r="C126" s="8" t="inlineStr">
        <is>
          <t>SD</t>
        </is>
      </c>
      <c r="D126" s="8" t="inlineStr">
        <is>
          <t>HB</t>
        </is>
      </c>
      <c r="E126" s="16">
        <f>'02 价格(主口径)'!B125</f>
        <v/>
      </c>
      <c r="F126" s="16">
        <f>'02 价格(主口径)'!C125</f>
        <v/>
      </c>
      <c r="G126" s="17">
        <f>IF(OR(E126="",F126=""),"",E126-F126)</f>
        <v/>
      </c>
      <c r="H126" s="14" t="inlineStr"/>
    </row>
    <row r="127">
      <c r="A127" s="7">
        <f>'02 价格(主口径)'!A126</f>
        <v/>
      </c>
      <c r="C127" s="8" t="inlineStr">
        <is>
          <t>SD</t>
        </is>
      </c>
      <c r="D127" s="8" t="inlineStr">
        <is>
          <t>HB</t>
        </is>
      </c>
      <c r="E127" s="16">
        <f>'02 价格(主口径)'!B126</f>
        <v/>
      </c>
      <c r="F127" s="16">
        <f>'02 价格(主口径)'!C126</f>
        <v/>
      </c>
      <c r="G127" s="17">
        <f>IF(OR(E127="",F127=""),"",E127-F127)</f>
        <v/>
      </c>
      <c r="H127" s="14" t="inlineStr"/>
    </row>
    <row r="128">
      <c r="A128" s="7">
        <f>'02 价格(主口径)'!A127</f>
        <v/>
      </c>
      <c r="C128" s="8" t="inlineStr">
        <is>
          <t>SD</t>
        </is>
      </c>
      <c r="D128" s="8" t="inlineStr">
        <is>
          <t>HB</t>
        </is>
      </c>
      <c r="E128" s="16">
        <f>'02 价格(主口径)'!B127</f>
        <v/>
      </c>
      <c r="F128" s="16">
        <f>'02 价格(主口径)'!C127</f>
        <v/>
      </c>
      <c r="G128" s="17">
        <f>IF(OR(E128="",F128=""),"",E128-F128)</f>
        <v/>
      </c>
      <c r="H128" s="14" t="inlineStr"/>
    </row>
    <row r="129">
      <c r="A129" s="7">
        <f>'02 价格(主口径)'!A128</f>
        <v/>
      </c>
      <c r="C129" s="8" t="inlineStr">
        <is>
          <t>SD</t>
        </is>
      </c>
      <c r="D129" s="8" t="inlineStr">
        <is>
          <t>HB</t>
        </is>
      </c>
      <c r="E129" s="16">
        <f>'02 价格(主口径)'!B128</f>
        <v/>
      </c>
      <c r="F129" s="16">
        <f>'02 价格(主口径)'!C128</f>
        <v/>
      </c>
      <c r="G129" s="17">
        <f>IF(OR(E129="",F129=""),"",E129-F129)</f>
        <v/>
      </c>
      <c r="H129" s="14" t="inlineStr"/>
    </row>
    <row r="130">
      <c r="A130" s="7">
        <f>'02 价格(主口径)'!A129</f>
        <v/>
      </c>
      <c r="C130" s="8" t="inlineStr">
        <is>
          <t>SD</t>
        </is>
      </c>
      <c r="D130" s="8" t="inlineStr">
        <is>
          <t>HB</t>
        </is>
      </c>
      <c r="E130" s="16">
        <f>'02 价格(主口径)'!B129</f>
        <v/>
      </c>
      <c r="F130" s="16">
        <f>'02 价格(主口径)'!C129</f>
        <v/>
      </c>
      <c r="G130" s="17">
        <f>IF(OR(E130="",F130=""),"",E130-F130)</f>
        <v/>
      </c>
      <c r="H130" s="14" t="inlineStr"/>
    </row>
    <row r="131">
      <c r="A131" s="7">
        <f>'02 价格(主口径)'!A130</f>
        <v/>
      </c>
      <c r="C131" s="8" t="inlineStr">
        <is>
          <t>SD</t>
        </is>
      </c>
      <c r="D131" s="8" t="inlineStr">
        <is>
          <t>HB</t>
        </is>
      </c>
      <c r="E131" s="16">
        <f>'02 价格(主口径)'!B130</f>
        <v/>
      </c>
      <c r="F131" s="16">
        <f>'02 价格(主口径)'!C130</f>
        <v/>
      </c>
      <c r="G131" s="17">
        <f>IF(OR(E131="",F131=""),"",E131-F131)</f>
        <v/>
      </c>
      <c r="H131" s="14" t="inlineStr"/>
    </row>
    <row r="132">
      <c r="A132" s="7">
        <f>'02 价格(主口径)'!A131</f>
        <v/>
      </c>
      <c r="C132" s="8" t="inlineStr">
        <is>
          <t>SD</t>
        </is>
      </c>
      <c r="D132" s="8" t="inlineStr">
        <is>
          <t>HB</t>
        </is>
      </c>
      <c r="E132" s="16">
        <f>'02 价格(主口径)'!B131</f>
        <v/>
      </c>
      <c r="F132" s="16">
        <f>'02 价格(主口径)'!C131</f>
        <v/>
      </c>
      <c r="G132" s="17">
        <f>IF(OR(E132="",F132=""),"",E132-F132)</f>
        <v/>
      </c>
      <c r="H132" s="14" t="inlineStr"/>
    </row>
    <row r="133">
      <c r="A133" s="7">
        <f>'02 价格(主口径)'!A132</f>
        <v/>
      </c>
      <c r="C133" s="8" t="inlineStr">
        <is>
          <t>SD</t>
        </is>
      </c>
      <c r="D133" s="8" t="inlineStr">
        <is>
          <t>HB</t>
        </is>
      </c>
      <c r="E133" s="16">
        <f>'02 价格(主口径)'!B132</f>
        <v/>
      </c>
      <c r="F133" s="16">
        <f>'02 价格(主口径)'!C132</f>
        <v/>
      </c>
      <c r="G133" s="17">
        <f>IF(OR(E133="",F133=""),"",E133-F133)</f>
        <v/>
      </c>
      <c r="H133" s="14" t="inlineStr"/>
    </row>
    <row r="134">
      <c r="A134" s="7">
        <f>'02 价格(主口径)'!A133</f>
        <v/>
      </c>
      <c r="C134" s="8" t="inlineStr">
        <is>
          <t>SD</t>
        </is>
      </c>
      <c r="D134" s="8" t="inlineStr">
        <is>
          <t>HB</t>
        </is>
      </c>
      <c r="E134" s="16">
        <f>'02 价格(主口径)'!B133</f>
        <v/>
      </c>
      <c r="F134" s="16">
        <f>'02 价格(主口径)'!C133</f>
        <v/>
      </c>
      <c r="G134" s="17">
        <f>IF(OR(E134="",F134=""),"",E134-F134)</f>
        <v/>
      </c>
      <c r="H134" s="14" t="inlineStr"/>
    </row>
    <row r="135">
      <c r="A135" s="7">
        <f>'02 价格(主口径)'!A134</f>
        <v/>
      </c>
      <c r="C135" s="8" t="inlineStr">
        <is>
          <t>SD</t>
        </is>
      </c>
      <c r="D135" s="8" t="inlineStr">
        <is>
          <t>HB</t>
        </is>
      </c>
      <c r="E135" s="16">
        <f>'02 价格(主口径)'!B134</f>
        <v/>
      </c>
      <c r="F135" s="16">
        <f>'02 价格(主口径)'!C134</f>
        <v/>
      </c>
      <c r="G135" s="17">
        <f>IF(OR(E135="",F135=""),"",E135-F135)</f>
        <v/>
      </c>
      <c r="H135" s="14" t="inlineStr"/>
    </row>
    <row r="136">
      <c r="A136" s="7">
        <f>'02 价格(主口径)'!A135</f>
        <v/>
      </c>
      <c r="C136" s="8" t="inlineStr">
        <is>
          <t>SD</t>
        </is>
      </c>
      <c r="D136" s="8" t="inlineStr">
        <is>
          <t>HB</t>
        </is>
      </c>
      <c r="E136" s="16">
        <f>'02 价格(主口径)'!B135</f>
        <v/>
      </c>
      <c r="F136" s="16">
        <f>'02 价格(主口径)'!C135</f>
        <v/>
      </c>
      <c r="G136" s="17">
        <f>IF(OR(E136="",F136=""),"",E136-F136)</f>
        <v/>
      </c>
      <c r="H136" s="14" t="inlineStr"/>
    </row>
    <row r="137">
      <c r="A137" s="7">
        <f>'02 价格(主口径)'!A136</f>
        <v/>
      </c>
      <c r="C137" s="8" t="inlineStr">
        <is>
          <t>SD</t>
        </is>
      </c>
      <c r="D137" s="8" t="inlineStr">
        <is>
          <t>HB</t>
        </is>
      </c>
      <c r="E137" s="16">
        <f>'02 价格(主口径)'!B136</f>
        <v/>
      </c>
      <c r="F137" s="16">
        <f>'02 价格(主口径)'!C136</f>
        <v/>
      </c>
      <c r="G137" s="17">
        <f>IF(OR(E137="",F137=""),"",E137-F137)</f>
        <v/>
      </c>
      <c r="H137" s="14" t="inlineStr"/>
    </row>
    <row r="138">
      <c r="A138" s="7">
        <f>'02 价格(主口径)'!A137</f>
        <v/>
      </c>
      <c r="C138" s="8" t="inlineStr">
        <is>
          <t>SD</t>
        </is>
      </c>
      <c r="D138" s="8" t="inlineStr">
        <is>
          <t>HB</t>
        </is>
      </c>
      <c r="E138" s="16">
        <f>'02 价格(主口径)'!B137</f>
        <v/>
      </c>
      <c r="F138" s="16">
        <f>'02 价格(主口径)'!C137</f>
        <v/>
      </c>
      <c r="G138" s="17">
        <f>IF(OR(E138="",F138=""),"",E138-F138)</f>
        <v/>
      </c>
      <c r="H138" s="14" t="inlineStr"/>
    </row>
    <row r="139">
      <c r="A139" s="7">
        <f>'02 价格(主口径)'!A138</f>
        <v/>
      </c>
      <c r="C139" s="8" t="inlineStr">
        <is>
          <t>SD</t>
        </is>
      </c>
      <c r="D139" s="8" t="inlineStr">
        <is>
          <t>HB</t>
        </is>
      </c>
      <c r="E139" s="16">
        <f>'02 价格(主口径)'!B138</f>
        <v/>
      </c>
      <c r="F139" s="16">
        <f>'02 价格(主口径)'!C138</f>
        <v/>
      </c>
      <c r="G139" s="17">
        <f>IF(OR(E139="",F139=""),"",E139-F139)</f>
        <v/>
      </c>
      <c r="H139" s="14" t="inlineStr"/>
    </row>
    <row r="140">
      <c r="A140" s="7">
        <f>'02 价格(主口径)'!A139</f>
        <v/>
      </c>
      <c r="C140" s="8" t="inlineStr">
        <is>
          <t>SD</t>
        </is>
      </c>
      <c r="D140" s="8" t="inlineStr">
        <is>
          <t>HB</t>
        </is>
      </c>
      <c r="E140" s="16">
        <f>'02 价格(主口径)'!B139</f>
        <v/>
      </c>
      <c r="F140" s="16">
        <f>'02 价格(主口径)'!C139</f>
        <v/>
      </c>
      <c r="G140" s="17">
        <f>IF(OR(E140="",F140=""),"",E140-F140)</f>
        <v/>
      </c>
      <c r="H140" s="14" t="inlineStr"/>
    </row>
    <row r="141">
      <c r="A141" s="7">
        <f>'02 价格(主口径)'!A140</f>
        <v/>
      </c>
      <c r="C141" s="8" t="inlineStr">
        <is>
          <t>SD</t>
        </is>
      </c>
      <c r="D141" s="8" t="inlineStr">
        <is>
          <t>HB</t>
        </is>
      </c>
      <c r="E141" s="16">
        <f>'02 价格(主口径)'!B140</f>
        <v/>
      </c>
      <c r="F141" s="16">
        <f>'02 价格(主口径)'!C140</f>
        <v/>
      </c>
      <c r="G141" s="17">
        <f>IF(OR(E141="",F141=""),"",E141-F141)</f>
        <v/>
      </c>
      <c r="H141" s="14" t="inlineStr"/>
    </row>
    <row r="142">
      <c r="A142" s="7">
        <f>'02 价格(主口径)'!A141</f>
        <v/>
      </c>
      <c r="C142" s="8" t="inlineStr">
        <is>
          <t>SD</t>
        </is>
      </c>
      <c r="D142" s="8" t="inlineStr">
        <is>
          <t>HB</t>
        </is>
      </c>
      <c r="E142" s="16">
        <f>'02 价格(主口径)'!B141</f>
        <v/>
      </c>
      <c r="F142" s="16">
        <f>'02 价格(主口径)'!C141</f>
        <v/>
      </c>
      <c r="G142" s="17">
        <f>IF(OR(E142="",F142=""),"",E142-F142)</f>
        <v/>
      </c>
      <c r="H142" s="14" t="inlineStr"/>
    </row>
    <row r="143">
      <c r="A143" s="7">
        <f>'02 价格(主口径)'!A142</f>
        <v/>
      </c>
      <c r="C143" s="8" t="inlineStr">
        <is>
          <t>SD</t>
        </is>
      </c>
      <c r="D143" s="8" t="inlineStr">
        <is>
          <t>HB</t>
        </is>
      </c>
      <c r="E143" s="16">
        <f>'02 价格(主口径)'!B142</f>
        <v/>
      </c>
      <c r="F143" s="16">
        <f>'02 价格(主口径)'!C142</f>
        <v/>
      </c>
      <c r="G143" s="17">
        <f>IF(OR(E143="",F143=""),"",E143-F143)</f>
        <v/>
      </c>
      <c r="H143" s="14" t="inlineStr"/>
    </row>
    <row r="144">
      <c r="A144" s="7">
        <f>'02 价格(主口径)'!A143</f>
        <v/>
      </c>
      <c r="C144" s="8" t="inlineStr">
        <is>
          <t>SD</t>
        </is>
      </c>
      <c r="D144" s="8" t="inlineStr">
        <is>
          <t>HB</t>
        </is>
      </c>
      <c r="E144" s="16">
        <f>'02 价格(主口径)'!B143</f>
        <v/>
      </c>
      <c r="F144" s="16">
        <f>'02 价格(主口径)'!C143</f>
        <v/>
      </c>
      <c r="G144" s="17">
        <f>IF(OR(E144="",F144=""),"",E144-F144)</f>
        <v/>
      </c>
      <c r="H144" s="14" t="inlineStr"/>
    </row>
    <row r="145">
      <c r="A145" s="7">
        <f>'02 价格(主口径)'!A144</f>
        <v/>
      </c>
      <c r="C145" s="8" t="inlineStr">
        <is>
          <t>SD</t>
        </is>
      </c>
      <c r="D145" s="8" t="inlineStr">
        <is>
          <t>HB</t>
        </is>
      </c>
      <c r="E145" s="16">
        <f>'02 价格(主口径)'!B144</f>
        <v/>
      </c>
      <c r="F145" s="16">
        <f>'02 价格(主口径)'!C144</f>
        <v/>
      </c>
      <c r="G145" s="17">
        <f>IF(OR(E145="",F145=""),"",E145-F145)</f>
        <v/>
      </c>
      <c r="H145" s="14" t="inlineStr"/>
    </row>
    <row r="146">
      <c r="A146" s="7">
        <f>'02 价格(主口径)'!A145</f>
        <v/>
      </c>
      <c r="C146" s="8" t="inlineStr">
        <is>
          <t>SD</t>
        </is>
      </c>
      <c r="D146" s="8" t="inlineStr">
        <is>
          <t>HB</t>
        </is>
      </c>
      <c r="E146" s="16">
        <f>'02 价格(主口径)'!B145</f>
        <v/>
      </c>
      <c r="F146" s="16">
        <f>'02 价格(主口径)'!C145</f>
        <v/>
      </c>
      <c r="G146" s="17">
        <f>IF(OR(E146="",F146=""),"",E146-F146)</f>
        <v/>
      </c>
      <c r="H146" s="14" t="inlineStr"/>
    </row>
    <row r="147">
      <c r="A147" s="7">
        <f>'02 价格(主口径)'!A146</f>
        <v/>
      </c>
      <c r="C147" s="8" t="inlineStr">
        <is>
          <t>SD</t>
        </is>
      </c>
      <c r="D147" s="8" t="inlineStr">
        <is>
          <t>HB</t>
        </is>
      </c>
      <c r="E147" s="16">
        <f>'02 价格(主口径)'!B146</f>
        <v/>
      </c>
      <c r="F147" s="16">
        <f>'02 价格(主口径)'!C146</f>
        <v/>
      </c>
      <c r="G147" s="17">
        <f>IF(OR(E147="",F147=""),"",E147-F147)</f>
        <v/>
      </c>
      <c r="H147" s="14" t="inlineStr"/>
    </row>
    <row r="148">
      <c r="A148" s="7">
        <f>'02 价格(主口径)'!A147</f>
        <v/>
      </c>
      <c r="C148" s="8" t="inlineStr">
        <is>
          <t>SD</t>
        </is>
      </c>
      <c r="D148" s="8" t="inlineStr">
        <is>
          <t>HB</t>
        </is>
      </c>
      <c r="E148" s="16">
        <f>'02 价格(主口径)'!B147</f>
        <v/>
      </c>
      <c r="F148" s="16">
        <f>'02 价格(主口径)'!C147</f>
        <v/>
      </c>
      <c r="G148" s="17">
        <f>IF(OR(E148="",F148=""),"",E148-F148)</f>
        <v/>
      </c>
      <c r="H148" s="14" t="inlineStr"/>
    </row>
    <row r="149">
      <c r="A149" s="7">
        <f>'02 价格(主口径)'!A148</f>
        <v/>
      </c>
      <c r="C149" s="8" t="inlineStr">
        <is>
          <t>SD</t>
        </is>
      </c>
      <c r="D149" s="8" t="inlineStr">
        <is>
          <t>HB</t>
        </is>
      </c>
      <c r="E149" s="16">
        <f>'02 价格(主口径)'!B148</f>
        <v/>
      </c>
      <c r="F149" s="16">
        <f>'02 价格(主口径)'!C148</f>
        <v/>
      </c>
      <c r="G149" s="17">
        <f>IF(OR(E149="",F149=""),"",E149-F149)</f>
        <v/>
      </c>
      <c r="H149" s="14" t="inlineStr"/>
    </row>
    <row r="150">
      <c r="A150" s="7">
        <f>'02 价格(主口径)'!A149</f>
        <v/>
      </c>
      <c r="C150" s="8" t="inlineStr">
        <is>
          <t>SD</t>
        </is>
      </c>
      <c r="D150" s="8" t="inlineStr">
        <is>
          <t>HB</t>
        </is>
      </c>
      <c r="E150" s="16">
        <f>'02 价格(主口径)'!B149</f>
        <v/>
      </c>
      <c r="F150" s="16">
        <f>'02 价格(主口径)'!C149</f>
        <v/>
      </c>
      <c r="G150" s="17">
        <f>IF(OR(E150="",F150=""),"",E150-F150)</f>
        <v/>
      </c>
      <c r="H150" s="14" t="inlineStr"/>
    </row>
    <row r="151">
      <c r="A151" s="7">
        <f>'02 价格(主口径)'!A150</f>
        <v/>
      </c>
      <c r="C151" s="8" t="inlineStr">
        <is>
          <t>SD</t>
        </is>
      </c>
      <c r="D151" s="8" t="inlineStr">
        <is>
          <t>HB</t>
        </is>
      </c>
      <c r="E151" s="16">
        <f>'02 价格(主口径)'!B150</f>
        <v/>
      </c>
      <c r="F151" s="16">
        <f>'02 价格(主口径)'!C150</f>
        <v/>
      </c>
      <c r="G151" s="17">
        <f>IF(OR(E151="",F151=""),"",E151-F151)</f>
        <v/>
      </c>
      <c r="H151" s="14" t="inlineStr"/>
    </row>
    <row r="152">
      <c r="A152" s="7">
        <f>'02 价格(主口径)'!A151</f>
        <v/>
      </c>
      <c r="C152" s="8" t="inlineStr">
        <is>
          <t>SD</t>
        </is>
      </c>
      <c r="D152" s="8" t="inlineStr">
        <is>
          <t>HB</t>
        </is>
      </c>
      <c r="E152" s="16">
        <f>'02 价格(主口径)'!B151</f>
        <v/>
      </c>
      <c r="F152" s="16">
        <f>'02 价格(主口径)'!C151</f>
        <v/>
      </c>
      <c r="G152" s="17">
        <f>IF(OR(E152="",F152=""),"",E152-F152)</f>
        <v/>
      </c>
      <c r="H152" s="14" t="inlineStr"/>
    </row>
    <row r="153">
      <c r="A153" s="7">
        <f>'02 价格(主口径)'!A152</f>
        <v/>
      </c>
      <c r="C153" s="8" t="inlineStr">
        <is>
          <t>SD</t>
        </is>
      </c>
      <c r="D153" s="8" t="inlineStr">
        <is>
          <t>HB</t>
        </is>
      </c>
      <c r="E153" s="16">
        <f>'02 价格(主口径)'!B152</f>
        <v/>
      </c>
      <c r="F153" s="16">
        <f>'02 价格(主口径)'!C152</f>
        <v/>
      </c>
      <c r="G153" s="17">
        <f>IF(OR(E153="",F153=""),"",E153-F153)</f>
        <v/>
      </c>
      <c r="H153" s="14" t="inlineStr"/>
    </row>
    <row r="154">
      <c r="A154" s="7">
        <f>'02 价格(主口径)'!A153</f>
        <v/>
      </c>
      <c r="C154" s="8" t="inlineStr">
        <is>
          <t>SD</t>
        </is>
      </c>
      <c r="D154" s="8" t="inlineStr">
        <is>
          <t>HB</t>
        </is>
      </c>
      <c r="E154" s="16">
        <f>'02 价格(主口径)'!B153</f>
        <v/>
      </c>
      <c r="F154" s="16">
        <f>'02 价格(主口径)'!C153</f>
        <v/>
      </c>
      <c r="G154" s="17">
        <f>IF(OR(E154="",F154=""),"",E154-F154)</f>
        <v/>
      </c>
      <c r="H154" s="14" t="inlineStr"/>
    </row>
    <row r="155">
      <c r="A155" s="7">
        <f>'02 价格(主口径)'!A154</f>
        <v/>
      </c>
      <c r="C155" s="8" t="inlineStr">
        <is>
          <t>SD</t>
        </is>
      </c>
      <c r="D155" s="8" t="inlineStr">
        <is>
          <t>HB</t>
        </is>
      </c>
      <c r="E155" s="16">
        <f>'02 价格(主口径)'!B154</f>
        <v/>
      </c>
      <c r="F155" s="16">
        <f>'02 价格(主口径)'!C154</f>
        <v/>
      </c>
      <c r="G155" s="17">
        <f>IF(OR(E155="",F155=""),"",E155-F155)</f>
        <v/>
      </c>
      <c r="H155" s="14" t="inlineStr"/>
    </row>
    <row r="156">
      <c r="A156" s="7">
        <f>'02 价格(主口径)'!A155</f>
        <v/>
      </c>
      <c r="C156" s="8" t="inlineStr">
        <is>
          <t>SD</t>
        </is>
      </c>
      <c r="D156" s="8" t="inlineStr">
        <is>
          <t>HB</t>
        </is>
      </c>
      <c r="E156" s="16">
        <f>'02 价格(主口径)'!B155</f>
        <v/>
      </c>
      <c r="F156" s="16">
        <f>'02 价格(主口径)'!C155</f>
        <v/>
      </c>
      <c r="G156" s="17">
        <f>IF(OR(E156="",F156=""),"",E156-F156)</f>
        <v/>
      </c>
      <c r="H156" s="14" t="inlineStr"/>
    </row>
    <row r="157">
      <c r="A157" s="7">
        <f>'02 价格(主口径)'!A156</f>
        <v/>
      </c>
      <c r="C157" s="8" t="inlineStr">
        <is>
          <t>SD</t>
        </is>
      </c>
      <c r="D157" s="8" t="inlineStr">
        <is>
          <t>HB</t>
        </is>
      </c>
      <c r="E157" s="16">
        <f>'02 价格(主口径)'!B156</f>
        <v/>
      </c>
      <c r="F157" s="16">
        <f>'02 价格(主口径)'!C156</f>
        <v/>
      </c>
      <c r="G157" s="17">
        <f>IF(OR(E157="",F157=""),"",E157-F157)</f>
        <v/>
      </c>
      <c r="H157" s="14" t="inlineStr"/>
    </row>
    <row r="158">
      <c r="A158" s="18" t="inlineStr">
        <is>
          <t>统计</t>
        </is>
      </c>
      <c r="B158" s="19" t="inlineStr">
        <is>
          <t>N（有效配对）</t>
        </is>
      </c>
      <c r="E158" s="20">
        <f>COUNT(G6:G157)</f>
        <v/>
      </c>
      <c r="F158" s="18" t="inlineStr">
        <is>
          <t>均值</t>
        </is>
      </c>
      <c r="G158" s="21">
        <f>IFERROR(AVERAGE(G6:G157),"")</f>
        <v/>
      </c>
      <c r="H158" s="22" t="inlineStr">
        <is>
          <t>价差方向：正值=山东更贵</t>
        </is>
      </c>
    </row>
    <row r="159">
      <c r="A159" s="23" t="inlineStr">
        <is>
          <t>校验</t>
        </is>
      </c>
      <c r="B159" s="23" t="inlineStr">
        <is>
          <t>标准差</t>
        </is>
      </c>
      <c r="C159" s="24">
        <f>IFERROR(STDEV(G6:G157),"")</f>
        <v/>
      </c>
      <c r="D159" s="23" t="inlineStr">
        <is>
          <t>最小</t>
        </is>
      </c>
      <c r="E159" s="25">
        <f>IFERROR(MIN(G6:G157),"")</f>
        <v/>
      </c>
      <c r="F159" s="23" t="inlineStr">
        <is>
          <t>最大</t>
        </is>
      </c>
      <c r="G159" s="25">
        <f>IFERROR(MAX(G6:G157),"")</f>
        <v/>
      </c>
    </row>
    <row r="162">
      <c r="A162" s="5" t="inlineStr">
        <is>
          <t>山东 − 江苏</t>
        </is>
      </c>
    </row>
    <row r="163" ht="30" customHeight="1">
      <c r="A163" s="6" t="inlineStr">
        <is>
          <t>日期</t>
        </is>
      </c>
      <c r="B163" s="6" t="inlineStr">
        <is>
          <t>价差(甲−乙)</t>
        </is>
      </c>
      <c r="C163" s="6" t="inlineStr">
        <is>
          <t>甲</t>
        </is>
      </c>
      <c r="D163" s="6" t="inlineStr">
        <is>
          <t>乙</t>
        </is>
      </c>
      <c r="E163" s="6" t="inlineStr">
        <is>
          <t>甲价</t>
        </is>
      </c>
      <c r="F163" s="6" t="inlineStr">
        <is>
          <t>乙价</t>
        </is>
      </c>
      <c r="G163" s="6" t="inlineStr">
        <is>
          <t>价差</t>
        </is>
      </c>
      <c r="H163" s="6" t="inlineStr">
        <is>
          <t>方向说明</t>
        </is>
      </c>
    </row>
    <row r="164">
      <c r="A164" s="7">
        <f>'02 价格(主口径)'!A5</f>
        <v/>
      </c>
      <c r="C164" s="8" t="inlineStr">
        <is>
          <t>SD</t>
        </is>
      </c>
      <c r="D164" s="8" t="inlineStr">
        <is>
          <t>JS</t>
        </is>
      </c>
      <c r="E164" s="16">
        <f>'02 价格(主口径)'!B5</f>
        <v/>
      </c>
      <c r="F164" s="16">
        <f>'02 价格(主口径)'!D5</f>
        <v/>
      </c>
      <c r="G164" s="17">
        <f>IF(OR(E164="",F164=""),"",E164-F164)</f>
        <v/>
      </c>
      <c r="H164" s="14" t="inlineStr"/>
    </row>
    <row r="165">
      <c r="A165" s="7">
        <f>'02 价格(主口径)'!A6</f>
        <v/>
      </c>
      <c r="C165" s="8" t="inlineStr">
        <is>
          <t>SD</t>
        </is>
      </c>
      <c r="D165" s="8" t="inlineStr">
        <is>
          <t>JS</t>
        </is>
      </c>
      <c r="E165" s="16">
        <f>'02 价格(主口径)'!B6</f>
        <v/>
      </c>
      <c r="F165" s="16">
        <f>'02 价格(主口径)'!D6</f>
        <v/>
      </c>
      <c r="G165" s="17">
        <f>IF(OR(E165="",F165=""),"",E165-F165)</f>
        <v/>
      </c>
      <c r="H165" s="14" t="inlineStr"/>
    </row>
    <row r="166">
      <c r="A166" s="7">
        <f>'02 价格(主口径)'!A7</f>
        <v/>
      </c>
      <c r="C166" s="8" t="inlineStr">
        <is>
          <t>SD</t>
        </is>
      </c>
      <c r="D166" s="8" t="inlineStr">
        <is>
          <t>JS</t>
        </is>
      </c>
      <c r="E166" s="16">
        <f>'02 价格(主口径)'!B7</f>
        <v/>
      </c>
      <c r="F166" s="16">
        <f>'02 价格(主口径)'!D7</f>
        <v/>
      </c>
      <c r="G166" s="17">
        <f>IF(OR(E166="",F166=""),"",E166-F166)</f>
        <v/>
      </c>
      <c r="H166" s="14" t="inlineStr"/>
    </row>
    <row r="167">
      <c r="A167" s="7">
        <f>'02 价格(主口径)'!A8</f>
        <v/>
      </c>
      <c r="C167" s="8" t="inlineStr">
        <is>
          <t>SD</t>
        </is>
      </c>
      <c r="D167" s="8" t="inlineStr">
        <is>
          <t>JS</t>
        </is>
      </c>
      <c r="E167" s="16">
        <f>'02 价格(主口径)'!B8</f>
        <v/>
      </c>
      <c r="F167" s="16">
        <f>'02 价格(主口径)'!D8</f>
        <v/>
      </c>
      <c r="G167" s="17">
        <f>IF(OR(E167="",F167=""),"",E167-F167)</f>
        <v/>
      </c>
      <c r="H167" s="14" t="inlineStr"/>
    </row>
    <row r="168">
      <c r="A168" s="7">
        <f>'02 价格(主口径)'!A9</f>
        <v/>
      </c>
      <c r="C168" s="8" t="inlineStr">
        <is>
          <t>SD</t>
        </is>
      </c>
      <c r="D168" s="8" t="inlineStr">
        <is>
          <t>JS</t>
        </is>
      </c>
      <c r="E168" s="16">
        <f>'02 价格(主口径)'!B9</f>
        <v/>
      </c>
      <c r="F168" s="16">
        <f>'02 价格(主口径)'!D9</f>
        <v/>
      </c>
      <c r="G168" s="17">
        <f>IF(OR(E168="",F168=""),"",E168-F168)</f>
        <v/>
      </c>
      <c r="H168" s="14" t="inlineStr"/>
    </row>
    <row r="169">
      <c r="A169" s="7">
        <f>'02 价格(主口径)'!A10</f>
        <v/>
      </c>
      <c r="C169" s="8" t="inlineStr">
        <is>
          <t>SD</t>
        </is>
      </c>
      <c r="D169" s="8" t="inlineStr">
        <is>
          <t>JS</t>
        </is>
      </c>
      <c r="E169" s="16">
        <f>'02 价格(主口径)'!B10</f>
        <v/>
      </c>
      <c r="F169" s="16">
        <f>'02 价格(主口径)'!D10</f>
        <v/>
      </c>
      <c r="G169" s="17">
        <f>IF(OR(E169="",F169=""),"",E169-F169)</f>
        <v/>
      </c>
      <c r="H169" s="14" t="inlineStr"/>
    </row>
    <row r="170">
      <c r="A170" s="7">
        <f>'02 价格(主口径)'!A11</f>
        <v/>
      </c>
      <c r="C170" s="8" t="inlineStr">
        <is>
          <t>SD</t>
        </is>
      </c>
      <c r="D170" s="8" t="inlineStr">
        <is>
          <t>JS</t>
        </is>
      </c>
      <c r="E170" s="16">
        <f>'02 价格(主口径)'!B11</f>
        <v/>
      </c>
      <c r="F170" s="16">
        <f>'02 价格(主口径)'!D11</f>
        <v/>
      </c>
      <c r="G170" s="17">
        <f>IF(OR(E170="",F170=""),"",E170-F170)</f>
        <v/>
      </c>
      <c r="H170" s="14" t="inlineStr"/>
    </row>
    <row r="171">
      <c r="A171" s="7">
        <f>'02 价格(主口径)'!A12</f>
        <v/>
      </c>
      <c r="C171" s="8" t="inlineStr">
        <is>
          <t>SD</t>
        </is>
      </c>
      <c r="D171" s="8" t="inlineStr">
        <is>
          <t>JS</t>
        </is>
      </c>
      <c r="E171" s="16">
        <f>'02 价格(主口径)'!B12</f>
        <v/>
      </c>
      <c r="F171" s="16">
        <f>'02 价格(主口径)'!D12</f>
        <v/>
      </c>
      <c r="G171" s="17">
        <f>IF(OR(E171="",F171=""),"",E171-F171)</f>
        <v/>
      </c>
      <c r="H171" s="14" t="inlineStr"/>
    </row>
    <row r="172">
      <c r="A172" s="7">
        <f>'02 价格(主口径)'!A13</f>
        <v/>
      </c>
      <c r="C172" s="8" t="inlineStr">
        <is>
          <t>SD</t>
        </is>
      </c>
      <c r="D172" s="8" t="inlineStr">
        <is>
          <t>JS</t>
        </is>
      </c>
      <c r="E172" s="16">
        <f>'02 价格(主口径)'!B13</f>
        <v/>
      </c>
      <c r="F172" s="16">
        <f>'02 价格(主口径)'!D13</f>
        <v/>
      </c>
      <c r="G172" s="17">
        <f>IF(OR(E172="",F172=""),"",E172-F172)</f>
        <v/>
      </c>
      <c r="H172" s="14" t="inlineStr"/>
    </row>
    <row r="173">
      <c r="A173" s="7">
        <f>'02 价格(主口径)'!A14</f>
        <v/>
      </c>
      <c r="C173" s="8" t="inlineStr">
        <is>
          <t>SD</t>
        </is>
      </c>
      <c r="D173" s="8" t="inlineStr">
        <is>
          <t>JS</t>
        </is>
      </c>
      <c r="E173" s="16">
        <f>'02 价格(主口径)'!B14</f>
        <v/>
      </c>
      <c r="F173" s="16">
        <f>'02 价格(主口径)'!D14</f>
        <v/>
      </c>
      <c r="G173" s="17">
        <f>IF(OR(E173="",F173=""),"",E173-F173)</f>
        <v/>
      </c>
      <c r="H173" s="14" t="inlineStr"/>
    </row>
    <row r="174">
      <c r="A174" s="7">
        <f>'02 价格(主口径)'!A15</f>
        <v/>
      </c>
      <c r="C174" s="8" t="inlineStr">
        <is>
          <t>SD</t>
        </is>
      </c>
      <c r="D174" s="8" t="inlineStr">
        <is>
          <t>JS</t>
        </is>
      </c>
      <c r="E174" s="16">
        <f>'02 价格(主口径)'!B15</f>
        <v/>
      </c>
      <c r="F174" s="16">
        <f>'02 价格(主口径)'!D15</f>
        <v/>
      </c>
      <c r="G174" s="17">
        <f>IF(OR(E174="",F174=""),"",E174-F174)</f>
        <v/>
      </c>
      <c r="H174" s="14" t="inlineStr"/>
    </row>
    <row r="175">
      <c r="A175" s="7">
        <f>'02 价格(主口径)'!A16</f>
        <v/>
      </c>
      <c r="C175" s="8" t="inlineStr">
        <is>
          <t>SD</t>
        </is>
      </c>
      <c r="D175" s="8" t="inlineStr">
        <is>
          <t>JS</t>
        </is>
      </c>
      <c r="E175" s="16">
        <f>'02 价格(主口径)'!B16</f>
        <v/>
      </c>
      <c r="F175" s="16">
        <f>'02 价格(主口径)'!D16</f>
        <v/>
      </c>
      <c r="G175" s="17">
        <f>IF(OR(E175="",F175=""),"",E175-F175)</f>
        <v/>
      </c>
      <c r="H175" s="14" t="inlineStr"/>
    </row>
    <row r="176">
      <c r="A176" s="7">
        <f>'02 价格(主口径)'!A17</f>
        <v/>
      </c>
      <c r="C176" s="8" t="inlineStr">
        <is>
          <t>SD</t>
        </is>
      </c>
      <c r="D176" s="8" t="inlineStr">
        <is>
          <t>JS</t>
        </is>
      </c>
      <c r="E176" s="16">
        <f>'02 价格(主口径)'!B17</f>
        <v/>
      </c>
      <c r="F176" s="16">
        <f>'02 价格(主口径)'!D17</f>
        <v/>
      </c>
      <c r="G176" s="17">
        <f>IF(OR(E176="",F176=""),"",E176-F176)</f>
        <v/>
      </c>
      <c r="H176" s="14" t="inlineStr"/>
    </row>
    <row r="177">
      <c r="A177" s="7">
        <f>'02 价格(主口径)'!A18</f>
        <v/>
      </c>
      <c r="C177" s="8" t="inlineStr">
        <is>
          <t>SD</t>
        </is>
      </c>
      <c r="D177" s="8" t="inlineStr">
        <is>
          <t>JS</t>
        </is>
      </c>
      <c r="E177" s="16">
        <f>'02 价格(主口径)'!B18</f>
        <v/>
      </c>
      <c r="F177" s="16">
        <f>'02 价格(主口径)'!D18</f>
        <v/>
      </c>
      <c r="G177" s="17">
        <f>IF(OR(E177="",F177=""),"",E177-F177)</f>
        <v/>
      </c>
      <c r="H177" s="14" t="inlineStr"/>
    </row>
    <row r="178">
      <c r="A178" s="7">
        <f>'02 价格(主口径)'!A19</f>
        <v/>
      </c>
      <c r="C178" s="8" t="inlineStr">
        <is>
          <t>SD</t>
        </is>
      </c>
      <c r="D178" s="8" t="inlineStr">
        <is>
          <t>JS</t>
        </is>
      </c>
      <c r="E178" s="16">
        <f>'02 价格(主口径)'!B19</f>
        <v/>
      </c>
      <c r="F178" s="16">
        <f>'02 价格(主口径)'!D19</f>
        <v/>
      </c>
      <c r="G178" s="17">
        <f>IF(OR(E178="",F178=""),"",E178-F178)</f>
        <v/>
      </c>
      <c r="H178" s="14" t="inlineStr"/>
    </row>
    <row r="179">
      <c r="A179" s="7">
        <f>'02 价格(主口径)'!A20</f>
        <v/>
      </c>
      <c r="C179" s="8" t="inlineStr">
        <is>
          <t>SD</t>
        </is>
      </c>
      <c r="D179" s="8" t="inlineStr">
        <is>
          <t>JS</t>
        </is>
      </c>
      <c r="E179" s="16">
        <f>'02 价格(主口径)'!B20</f>
        <v/>
      </c>
      <c r="F179" s="16">
        <f>'02 价格(主口径)'!D20</f>
        <v/>
      </c>
      <c r="G179" s="17">
        <f>IF(OR(E179="",F179=""),"",E179-F179)</f>
        <v/>
      </c>
      <c r="H179" s="14" t="inlineStr"/>
    </row>
    <row r="180">
      <c r="A180" s="7">
        <f>'02 价格(主口径)'!A21</f>
        <v/>
      </c>
      <c r="C180" s="8" t="inlineStr">
        <is>
          <t>SD</t>
        </is>
      </c>
      <c r="D180" s="8" t="inlineStr">
        <is>
          <t>JS</t>
        </is>
      </c>
      <c r="E180" s="16">
        <f>'02 价格(主口径)'!B21</f>
        <v/>
      </c>
      <c r="F180" s="16">
        <f>'02 价格(主口径)'!D21</f>
        <v/>
      </c>
      <c r="G180" s="17">
        <f>IF(OR(E180="",F180=""),"",E180-F180)</f>
        <v/>
      </c>
      <c r="H180" s="14" t="inlineStr"/>
    </row>
    <row r="181">
      <c r="A181" s="7">
        <f>'02 价格(主口径)'!A22</f>
        <v/>
      </c>
      <c r="C181" s="8" t="inlineStr">
        <is>
          <t>SD</t>
        </is>
      </c>
      <c r="D181" s="8" t="inlineStr">
        <is>
          <t>JS</t>
        </is>
      </c>
      <c r="E181" s="16">
        <f>'02 价格(主口径)'!B22</f>
        <v/>
      </c>
      <c r="F181" s="16">
        <f>'02 价格(主口径)'!D22</f>
        <v/>
      </c>
      <c r="G181" s="17">
        <f>IF(OR(E181="",F181=""),"",E181-F181)</f>
        <v/>
      </c>
      <c r="H181" s="14" t="inlineStr"/>
    </row>
    <row r="182">
      <c r="A182" s="7">
        <f>'02 价格(主口径)'!A23</f>
        <v/>
      </c>
      <c r="C182" s="8" t="inlineStr">
        <is>
          <t>SD</t>
        </is>
      </c>
      <c r="D182" s="8" t="inlineStr">
        <is>
          <t>JS</t>
        </is>
      </c>
      <c r="E182" s="16">
        <f>'02 价格(主口径)'!B23</f>
        <v/>
      </c>
      <c r="F182" s="16">
        <f>'02 价格(主口径)'!D23</f>
        <v/>
      </c>
      <c r="G182" s="17">
        <f>IF(OR(E182="",F182=""),"",E182-F182)</f>
        <v/>
      </c>
      <c r="H182" s="14" t="inlineStr"/>
    </row>
    <row r="183">
      <c r="A183" s="7">
        <f>'02 价格(主口径)'!A24</f>
        <v/>
      </c>
      <c r="C183" s="8" t="inlineStr">
        <is>
          <t>SD</t>
        </is>
      </c>
      <c r="D183" s="8" t="inlineStr">
        <is>
          <t>JS</t>
        </is>
      </c>
      <c r="E183" s="16">
        <f>'02 价格(主口径)'!B24</f>
        <v/>
      </c>
      <c r="F183" s="16">
        <f>'02 价格(主口径)'!D24</f>
        <v/>
      </c>
      <c r="G183" s="17">
        <f>IF(OR(E183="",F183=""),"",E183-F183)</f>
        <v/>
      </c>
      <c r="H183" s="14" t="inlineStr"/>
    </row>
    <row r="184">
      <c r="A184" s="7">
        <f>'02 价格(主口径)'!A25</f>
        <v/>
      </c>
      <c r="C184" s="8" t="inlineStr">
        <is>
          <t>SD</t>
        </is>
      </c>
      <c r="D184" s="8" t="inlineStr">
        <is>
          <t>JS</t>
        </is>
      </c>
      <c r="E184" s="16">
        <f>'02 价格(主口径)'!B25</f>
        <v/>
      </c>
      <c r="F184" s="16">
        <f>'02 价格(主口径)'!D25</f>
        <v/>
      </c>
      <c r="G184" s="17">
        <f>IF(OR(E184="",F184=""),"",E184-F184)</f>
        <v/>
      </c>
      <c r="H184" s="14" t="inlineStr"/>
    </row>
    <row r="185">
      <c r="A185" s="7">
        <f>'02 价格(主口径)'!A26</f>
        <v/>
      </c>
      <c r="C185" s="8" t="inlineStr">
        <is>
          <t>SD</t>
        </is>
      </c>
      <c r="D185" s="8" t="inlineStr">
        <is>
          <t>JS</t>
        </is>
      </c>
      <c r="E185" s="16">
        <f>'02 价格(主口径)'!B26</f>
        <v/>
      </c>
      <c r="F185" s="16">
        <f>'02 价格(主口径)'!D26</f>
        <v/>
      </c>
      <c r="G185" s="17">
        <f>IF(OR(E185="",F185=""),"",E185-F185)</f>
        <v/>
      </c>
      <c r="H185" s="14" t="inlineStr"/>
    </row>
    <row r="186">
      <c r="A186" s="7">
        <f>'02 价格(主口径)'!A27</f>
        <v/>
      </c>
      <c r="C186" s="8" t="inlineStr">
        <is>
          <t>SD</t>
        </is>
      </c>
      <c r="D186" s="8" t="inlineStr">
        <is>
          <t>JS</t>
        </is>
      </c>
      <c r="E186" s="16">
        <f>'02 价格(主口径)'!B27</f>
        <v/>
      </c>
      <c r="F186" s="16">
        <f>'02 价格(主口径)'!D27</f>
        <v/>
      </c>
      <c r="G186" s="17">
        <f>IF(OR(E186="",F186=""),"",E186-F186)</f>
        <v/>
      </c>
      <c r="H186" s="14" t="inlineStr"/>
    </row>
    <row r="187">
      <c r="A187" s="7">
        <f>'02 价格(主口径)'!A28</f>
        <v/>
      </c>
      <c r="C187" s="8" t="inlineStr">
        <is>
          <t>SD</t>
        </is>
      </c>
      <c r="D187" s="8" t="inlineStr">
        <is>
          <t>JS</t>
        </is>
      </c>
      <c r="E187" s="16">
        <f>'02 价格(主口径)'!B28</f>
        <v/>
      </c>
      <c r="F187" s="16">
        <f>'02 价格(主口径)'!D28</f>
        <v/>
      </c>
      <c r="G187" s="17">
        <f>IF(OR(E187="",F187=""),"",E187-F187)</f>
        <v/>
      </c>
      <c r="H187" s="14" t="inlineStr"/>
    </row>
    <row r="188">
      <c r="A188" s="7">
        <f>'02 价格(主口径)'!A29</f>
        <v/>
      </c>
      <c r="C188" s="8" t="inlineStr">
        <is>
          <t>SD</t>
        </is>
      </c>
      <c r="D188" s="8" t="inlineStr">
        <is>
          <t>JS</t>
        </is>
      </c>
      <c r="E188" s="16">
        <f>'02 价格(主口径)'!B29</f>
        <v/>
      </c>
      <c r="F188" s="16">
        <f>'02 价格(主口径)'!D29</f>
        <v/>
      </c>
      <c r="G188" s="17">
        <f>IF(OR(E188="",F188=""),"",E188-F188)</f>
        <v/>
      </c>
      <c r="H188" s="14" t="inlineStr"/>
    </row>
    <row r="189">
      <c r="A189" s="7">
        <f>'02 价格(主口径)'!A30</f>
        <v/>
      </c>
      <c r="C189" s="8" t="inlineStr">
        <is>
          <t>SD</t>
        </is>
      </c>
      <c r="D189" s="8" t="inlineStr">
        <is>
          <t>JS</t>
        </is>
      </c>
      <c r="E189" s="16">
        <f>'02 价格(主口径)'!B30</f>
        <v/>
      </c>
      <c r="F189" s="16">
        <f>'02 价格(主口径)'!D30</f>
        <v/>
      </c>
      <c r="G189" s="17">
        <f>IF(OR(E189="",F189=""),"",E189-F189)</f>
        <v/>
      </c>
      <c r="H189" s="14" t="inlineStr"/>
    </row>
    <row r="190">
      <c r="A190" s="7">
        <f>'02 价格(主口径)'!A31</f>
        <v/>
      </c>
      <c r="C190" s="8" t="inlineStr">
        <is>
          <t>SD</t>
        </is>
      </c>
      <c r="D190" s="8" t="inlineStr">
        <is>
          <t>JS</t>
        </is>
      </c>
      <c r="E190" s="16">
        <f>'02 价格(主口径)'!B31</f>
        <v/>
      </c>
      <c r="F190" s="16">
        <f>'02 价格(主口径)'!D31</f>
        <v/>
      </c>
      <c r="G190" s="17">
        <f>IF(OR(E190="",F190=""),"",E190-F190)</f>
        <v/>
      </c>
      <c r="H190" s="14" t="inlineStr"/>
    </row>
    <row r="191">
      <c r="A191" s="7">
        <f>'02 价格(主口径)'!A32</f>
        <v/>
      </c>
      <c r="C191" s="8" t="inlineStr">
        <is>
          <t>SD</t>
        </is>
      </c>
      <c r="D191" s="8" t="inlineStr">
        <is>
          <t>JS</t>
        </is>
      </c>
      <c r="E191" s="16">
        <f>'02 价格(主口径)'!B32</f>
        <v/>
      </c>
      <c r="F191" s="16">
        <f>'02 价格(主口径)'!D32</f>
        <v/>
      </c>
      <c r="G191" s="17">
        <f>IF(OR(E191="",F191=""),"",E191-F191)</f>
        <v/>
      </c>
      <c r="H191" s="14" t="inlineStr"/>
    </row>
    <row r="192">
      <c r="A192" s="7">
        <f>'02 价格(主口径)'!A33</f>
        <v/>
      </c>
      <c r="C192" s="8" t="inlineStr">
        <is>
          <t>SD</t>
        </is>
      </c>
      <c r="D192" s="8" t="inlineStr">
        <is>
          <t>JS</t>
        </is>
      </c>
      <c r="E192" s="16">
        <f>'02 价格(主口径)'!B33</f>
        <v/>
      </c>
      <c r="F192" s="16">
        <f>'02 价格(主口径)'!D33</f>
        <v/>
      </c>
      <c r="G192" s="17">
        <f>IF(OR(E192="",F192=""),"",E192-F192)</f>
        <v/>
      </c>
      <c r="H192" s="14" t="inlineStr"/>
    </row>
    <row r="193">
      <c r="A193" s="7">
        <f>'02 价格(主口径)'!A34</f>
        <v/>
      </c>
      <c r="C193" s="8" t="inlineStr">
        <is>
          <t>SD</t>
        </is>
      </c>
      <c r="D193" s="8" t="inlineStr">
        <is>
          <t>JS</t>
        </is>
      </c>
      <c r="E193" s="16">
        <f>'02 价格(主口径)'!B34</f>
        <v/>
      </c>
      <c r="F193" s="16">
        <f>'02 价格(主口径)'!D34</f>
        <v/>
      </c>
      <c r="G193" s="17">
        <f>IF(OR(E193="",F193=""),"",E193-F193)</f>
        <v/>
      </c>
      <c r="H193" s="14" t="inlineStr"/>
    </row>
    <row r="194">
      <c r="A194" s="7">
        <f>'02 价格(主口径)'!A35</f>
        <v/>
      </c>
      <c r="C194" s="8" t="inlineStr">
        <is>
          <t>SD</t>
        </is>
      </c>
      <c r="D194" s="8" t="inlineStr">
        <is>
          <t>JS</t>
        </is>
      </c>
      <c r="E194" s="16">
        <f>'02 价格(主口径)'!B35</f>
        <v/>
      </c>
      <c r="F194" s="16">
        <f>'02 价格(主口径)'!D35</f>
        <v/>
      </c>
      <c r="G194" s="17">
        <f>IF(OR(E194="",F194=""),"",E194-F194)</f>
        <v/>
      </c>
      <c r="H194" s="14" t="inlineStr"/>
    </row>
    <row r="195">
      <c r="A195" s="7">
        <f>'02 价格(主口径)'!A36</f>
        <v/>
      </c>
      <c r="C195" s="8" t="inlineStr">
        <is>
          <t>SD</t>
        </is>
      </c>
      <c r="D195" s="8" t="inlineStr">
        <is>
          <t>JS</t>
        </is>
      </c>
      <c r="E195" s="16">
        <f>'02 价格(主口径)'!B36</f>
        <v/>
      </c>
      <c r="F195" s="16">
        <f>'02 价格(主口径)'!D36</f>
        <v/>
      </c>
      <c r="G195" s="17">
        <f>IF(OR(E195="",F195=""),"",E195-F195)</f>
        <v/>
      </c>
      <c r="H195" s="14" t="inlineStr"/>
    </row>
    <row r="196">
      <c r="A196" s="7">
        <f>'02 价格(主口径)'!A37</f>
        <v/>
      </c>
      <c r="C196" s="8" t="inlineStr">
        <is>
          <t>SD</t>
        </is>
      </c>
      <c r="D196" s="8" t="inlineStr">
        <is>
          <t>JS</t>
        </is>
      </c>
      <c r="E196" s="16">
        <f>'02 价格(主口径)'!B37</f>
        <v/>
      </c>
      <c r="F196" s="16">
        <f>'02 价格(主口径)'!D37</f>
        <v/>
      </c>
      <c r="G196" s="17">
        <f>IF(OR(E196="",F196=""),"",E196-F196)</f>
        <v/>
      </c>
      <c r="H196" s="14" t="inlineStr"/>
    </row>
    <row r="197">
      <c r="A197" s="7">
        <f>'02 价格(主口径)'!A38</f>
        <v/>
      </c>
      <c r="C197" s="8" t="inlineStr">
        <is>
          <t>SD</t>
        </is>
      </c>
      <c r="D197" s="8" t="inlineStr">
        <is>
          <t>JS</t>
        </is>
      </c>
      <c r="E197" s="16">
        <f>'02 价格(主口径)'!B38</f>
        <v/>
      </c>
      <c r="F197" s="16">
        <f>'02 价格(主口径)'!D38</f>
        <v/>
      </c>
      <c r="G197" s="17">
        <f>IF(OR(E197="",F197=""),"",E197-F197)</f>
        <v/>
      </c>
      <c r="H197" s="14" t="inlineStr"/>
    </row>
    <row r="198">
      <c r="A198" s="7">
        <f>'02 价格(主口径)'!A39</f>
        <v/>
      </c>
      <c r="C198" s="8" t="inlineStr">
        <is>
          <t>SD</t>
        </is>
      </c>
      <c r="D198" s="8" t="inlineStr">
        <is>
          <t>JS</t>
        </is>
      </c>
      <c r="E198" s="16">
        <f>'02 价格(主口径)'!B39</f>
        <v/>
      </c>
      <c r="F198" s="16">
        <f>'02 价格(主口径)'!D39</f>
        <v/>
      </c>
      <c r="G198" s="17">
        <f>IF(OR(E198="",F198=""),"",E198-F198)</f>
        <v/>
      </c>
      <c r="H198" s="14" t="inlineStr"/>
    </row>
    <row r="199">
      <c r="A199" s="7">
        <f>'02 价格(主口径)'!A40</f>
        <v/>
      </c>
      <c r="C199" s="8" t="inlineStr">
        <is>
          <t>SD</t>
        </is>
      </c>
      <c r="D199" s="8" t="inlineStr">
        <is>
          <t>JS</t>
        </is>
      </c>
      <c r="E199" s="16">
        <f>'02 价格(主口径)'!B40</f>
        <v/>
      </c>
      <c r="F199" s="16">
        <f>'02 价格(主口径)'!D40</f>
        <v/>
      </c>
      <c r="G199" s="17">
        <f>IF(OR(E199="",F199=""),"",E199-F199)</f>
        <v/>
      </c>
      <c r="H199" s="14" t="inlineStr"/>
    </row>
    <row r="200">
      <c r="A200" s="7">
        <f>'02 价格(主口径)'!A41</f>
        <v/>
      </c>
      <c r="C200" s="8" t="inlineStr">
        <is>
          <t>SD</t>
        </is>
      </c>
      <c r="D200" s="8" t="inlineStr">
        <is>
          <t>JS</t>
        </is>
      </c>
      <c r="E200" s="16">
        <f>'02 价格(主口径)'!B41</f>
        <v/>
      </c>
      <c r="F200" s="16">
        <f>'02 价格(主口径)'!D41</f>
        <v/>
      </c>
      <c r="G200" s="17">
        <f>IF(OR(E200="",F200=""),"",E200-F200)</f>
        <v/>
      </c>
      <c r="H200" s="14" t="inlineStr"/>
    </row>
    <row r="201">
      <c r="A201" s="7">
        <f>'02 价格(主口径)'!A42</f>
        <v/>
      </c>
      <c r="C201" s="8" t="inlineStr">
        <is>
          <t>SD</t>
        </is>
      </c>
      <c r="D201" s="8" t="inlineStr">
        <is>
          <t>JS</t>
        </is>
      </c>
      <c r="E201" s="16">
        <f>'02 价格(主口径)'!B42</f>
        <v/>
      </c>
      <c r="F201" s="16">
        <f>'02 价格(主口径)'!D42</f>
        <v/>
      </c>
      <c r="G201" s="17">
        <f>IF(OR(E201="",F201=""),"",E201-F201)</f>
        <v/>
      </c>
      <c r="H201" s="14" t="inlineStr"/>
    </row>
    <row r="202">
      <c r="A202" s="7">
        <f>'02 价格(主口径)'!A43</f>
        <v/>
      </c>
      <c r="C202" s="8" t="inlineStr">
        <is>
          <t>SD</t>
        </is>
      </c>
      <c r="D202" s="8" t="inlineStr">
        <is>
          <t>JS</t>
        </is>
      </c>
      <c r="E202" s="16">
        <f>'02 价格(主口径)'!B43</f>
        <v/>
      </c>
      <c r="F202" s="16">
        <f>'02 价格(主口径)'!D43</f>
        <v/>
      </c>
      <c r="G202" s="17">
        <f>IF(OR(E202="",F202=""),"",E202-F202)</f>
        <v/>
      </c>
      <c r="H202" s="14" t="inlineStr"/>
    </row>
    <row r="203">
      <c r="A203" s="7">
        <f>'02 价格(主口径)'!A44</f>
        <v/>
      </c>
      <c r="C203" s="8" t="inlineStr">
        <is>
          <t>SD</t>
        </is>
      </c>
      <c r="D203" s="8" t="inlineStr">
        <is>
          <t>JS</t>
        </is>
      </c>
      <c r="E203" s="16">
        <f>'02 价格(主口径)'!B44</f>
        <v/>
      </c>
      <c r="F203" s="16">
        <f>'02 价格(主口径)'!D44</f>
        <v/>
      </c>
      <c r="G203" s="17">
        <f>IF(OR(E203="",F203=""),"",E203-F203)</f>
        <v/>
      </c>
      <c r="H203" s="14" t="inlineStr"/>
    </row>
    <row r="204">
      <c r="A204" s="7">
        <f>'02 价格(主口径)'!A45</f>
        <v/>
      </c>
      <c r="C204" s="8" t="inlineStr">
        <is>
          <t>SD</t>
        </is>
      </c>
      <c r="D204" s="8" t="inlineStr">
        <is>
          <t>JS</t>
        </is>
      </c>
      <c r="E204" s="16">
        <f>'02 价格(主口径)'!B45</f>
        <v/>
      </c>
      <c r="F204" s="16">
        <f>'02 价格(主口径)'!D45</f>
        <v/>
      </c>
      <c r="G204" s="17">
        <f>IF(OR(E204="",F204=""),"",E204-F204)</f>
        <v/>
      </c>
      <c r="H204" s="14" t="inlineStr"/>
    </row>
    <row r="205">
      <c r="A205" s="7">
        <f>'02 价格(主口径)'!A46</f>
        <v/>
      </c>
      <c r="C205" s="8" t="inlineStr">
        <is>
          <t>SD</t>
        </is>
      </c>
      <c r="D205" s="8" t="inlineStr">
        <is>
          <t>JS</t>
        </is>
      </c>
      <c r="E205" s="16">
        <f>'02 价格(主口径)'!B46</f>
        <v/>
      </c>
      <c r="F205" s="16">
        <f>'02 价格(主口径)'!D46</f>
        <v/>
      </c>
      <c r="G205" s="17">
        <f>IF(OR(E205="",F205=""),"",E205-F205)</f>
        <v/>
      </c>
      <c r="H205" s="14" t="inlineStr"/>
    </row>
    <row r="206">
      <c r="A206" s="7">
        <f>'02 价格(主口径)'!A47</f>
        <v/>
      </c>
      <c r="C206" s="8" t="inlineStr">
        <is>
          <t>SD</t>
        </is>
      </c>
      <c r="D206" s="8" t="inlineStr">
        <is>
          <t>JS</t>
        </is>
      </c>
      <c r="E206" s="16">
        <f>'02 价格(主口径)'!B47</f>
        <v/>
      </c>
      <c r="F206" s="16">
        <f>'02 价格(主口径)'!D47</f>
        <v/>
      </c>
      <c r="G206" s="17">
        <f>IF(OR(E206="",F206=""),"",E206-F206)</f>
        <v/>
      </c>
      <c r="H206" s="14" t="inlineStr"/>
    </row>
    <row r="207">
      <c r="A207" s="7">
        <f>'02 价格(主口径)'!A48</f>
        <v/>
      </c>
      <c r="C207" s="8" t="inlineStr">
        <is>
          <t>SD</t>
        </is>
      </c>
      <c r="D207" s="8" t="inlineStr">
        <is>
          <t>JS</t>
        </is>
      </c>
      <c r="E207" s="16">
        <f>'02 价格(主口径)'!B48</f>
        <v/>
      </c>
      <c r="F207" s="16">
        <f>'02 价格(主口径)'!D48</f>
        <v/>
      </c>
      <c r="G207" s="17">
        <f>IF(OR(E207="",F207=""),"",E207-F207)</f>
        <v/>
      </c>
      <c r="H207" s="14" t="inlineStr"/>
    </row>
    <row r="208">
      <c r="A208" s="7">
        <f>'02 价格(主口径)'!A49</f>
        <v/>
      </c>
      <c r="C208" s="8" t="inlineStr">
        <is>
          <t>SD</t>
        </is>
      </c>
      <c r="D208" s="8" t="inlineStr">
        <is>
          <t>JS</t>
        </is>
      </c>
      <c r="E208" s="16">
        <f>'02 价格(主口径)'!B49</f>
        <v/>
      </c>
      <c r="F208" s="16">
        <f>'02 价格(主口径)'!D49</f>
        <v/>
      </c>
      <c r="G208" s="17">
        <f>IF(OR(E208="",F208=""),"",E208-F208)</f>
        <v/>
      </c>
      <c r="H208" s="14" t="inlineStr"/>
    </row>
    <row r="209">
      <c r="A209" s="7">
        <f>'02 价格(主口径)'!A50</f>
        <v/>
      </c>
      <c r="C209" s="8" t="inlineStr">
        <is>
          <t>SD</t>
        </is>
      </c>
      <c r="D209" s="8" t="inlineStr">
        <is>
          <t>JS</t>
        </is>
      </c>
      <c r="E209" s="16">
        <f>'02 价格(主口径)'!B50</f>
        <v/>
      </c>
      <c r="F209" s="16">
        <f>'02 价格(主口径)'!D50</f>
        <v/>
      </c>
      <c r="G209" s="17">
        <f>IF(OR(E209="",F209=""),"",E209-F209)</f>
        <v/>
      </c>
      <c r="H209" s="14" t="inlineStr"/>
    </row>
    <row r="210">
      <c r="A210" s="7">
        <f>'02 价格(主口径)'!A51</f>
        <v/>
      </c>
      <c r="C210" s="8" t="inlineStr">
        <is>
          <t>SD</t>
        </is>
      </c>
      <c r="D210" s="8" t="inlineStr">
        <is>
          <t>JS</t>
        </is>
      </c>
      <c r="E210" s="16">
        <f>'02 价格(主口径)'!B51</f>
        <v/>
      </c>
      <c r="F210" s="16">
        <f>'02 价格(主口径)'!D51</f>
        <v/>
      </c>
      <c r="G210" s="17">
        <f>IF(OR(E210="",F210=""),"",E210-F210)</f>
        <v/>
      </c>
      <c r="H210" s="14" t="inlineStr"/>
    </row>
    <row r="211">
      <c r="A211" s="7">
        <f>'02 价格(主口径)'!A52</f>
        <v/>
      </c>
      <c r="C211" s="8" t="inlineStr">
        <is>
          <t>SD</t>
        </is>
      </c>
      <c r="D211" s="8" t="inlineStr">
        <is>
          <t>JS</t>
        </is>
      </c>
      <c r="E211" s="16">
        <f>'02 价格(主口径)'!B52</f>
        <v/>
      </c>
      <c r="F211" s="16">
        <f>'02 价格(主口径)'!D52</f>
        <v/>
      </c>
      <c r="G211" s="17">
        <f>IF(OR(E211="",F211=""),"",E211-F211)</f>
        <v/>
      </c>
      <c r="H211" s="14" t="inlineStr"/>
    </row>
    <row r="212">
      <c r="A212" s="7">
        <f>'02 价格(主口径)'!A53</f>
        <v/>
      </c>
      <c r="C212" s="8" t="inlineStr">
        <is>
          <t>SD</t>
        </is>
      </c>
      <c r="D212" s="8" t="inlineStr">
        <is>
          <t>JS</t>
        </is>
      </c>
      <c r="E212" s="16">
        <f>'02 价格(主口径)'!B53</f>
        <v/>
      </c>
      <c r="F212" s="16">
        <f>'02 价格(主口径)'!D53</f>
        <v/>
      </c>
      <c r="G212" s="17">
        <f>IF(OR(E212="",F212=""),"",E212-F212)</f>
        <v/>
      </c>
      <c r="H212" s="14" t="inlineStr"/>
    </row>
    <row r="213">
      <c r="A213" s="7">
        <f>'02 价格(主口径)'!A54</f>
        <v/>
      </c>
      <c r="C213" s="8" t="inlineStr">
        <is>
          <t>SD</t>
        </is>
      </c>
      <c r="D213" s="8" t="inlineStr">
        <is>
          <t>JS</t>
        </is>
      </c>
      <c r="E213" s="16">
        <f>'02 价格(主口径)'!B54</f>
        <v/>
      </c>
      <c r="F213" s="16">
        <f>'02 价格(主口径)'!D54</f>
        <v/>
      </c>
      <c r="G213" s="17">
        <f>IF(OR(E213="",F213=""),"",E213-F213)</f>
        <v/>
      </c>
      <c r="H213" s="14" t="inlineStr"/>
    </row>
    <row r="214">
      <c r="A214" s="7">
        <f>'02 价格(主口径)'!A55</f>
        <v/>
      </c>
      <c r="C214" s="8" t="inlineStr">
        <is>
          <t>SD</t>
        </is>
      </c>
      <c r="D214" s="8" t="inlineStr">
        <is>
          <t>JS</t>
        </is>
      </c>
      <c r="E214" s="16">
        <f>'02 价格(主口径)'!B55</f>
        <v/>
      </c>
      <c r="F214" s="16">
        <f>'02 价格(主口径)'!D55</f>
        <v/>
      </c>
      <c r="G214" s="17">
        <f>IF(OR(E214="",F214=""),"",E214-F214)</f>
        <v/>
      </c>
      <c r="H214" s="14" t="inlineStr"/>
    </row>
    <row r="215">
      <c r="A215" s="7">
        <f>'02 价格(主口径)'!A56</f>
        <v/>
      </c>
      <c r="C215" s="8" t="inlineStr">
        <is>
          <t>SD</t>
        </is>
      </c>
      <c r="D215" s="8" t="inlineStr">
        <is>
          <t>JS</t>
        </is>
      </c>
      <c r="E215" s="16">
        <f>'02 价格(主口径)'!B56</f>
        <v/>
      </c>
      <c r="F215" s="16">
        <f>'02 价格(主口径)'!D56</f>
        <v/>
      </c>
      <c r="G215" s="17">
        <f>IF(OR(E215="",F215=""),"",E215-F215)</f>
        <v/>
      </c>
      <c r="H215" s="14" t="inlineStr"/>
    </row>
    <row r="216">
      <c r="A216" s="7">
        <f>'02 价格(主口径)'!A57</f>
        <v/>
      </c>
      <c r="C216" s="8" t="inlineStr">
        <is>
          <t>SD</t>
        </is>
      </c>
      <c r="D216" s="8" t="inlineStr">
        <is>
          <t>JS</t>
        </is>
      </c>
      <c r="E216" s="16">
        <f>'02 价格(主口径)'!B57</f>
        <v/>
      </c>
      <c r="F216" s="16">
        <f>'02 价格(主口径)'!D57</f>
        <v/>
      </c>
      <c r="G216" s="17">
        <f>IF(OR(E216="",F216=""),"",E216-F216)</f>
        <v/>
      </c>
      <c r="H216" s="14" t="inlineStr"/>
    </row>
    <row r="217">
      <c r="A217" s="7">
        <f>'02 价格(主口径)'!A58</f>
        <v/>
      </c>
      <c r="C217" s="8" t="inlineStr">
        <is>
          <t>SD</t>
        </is>
      </c>
      <c r="D217" s="8" t="inlineStr">
        <is>
          <t>JS</t>
        </is>
      </c>
      <c r="E217" s="16">
        <f>'02 价格(主口径)'!B58</f>
        <v/>
      </c>
      <c r="F217" s="16">
        <f>'02 价格(主口径)'!D58</f>
        <v/>
      </c>
      <c r="G217" s="17">
        <f>IF(OR(E217="",F217=""),"",E217-F217)</f>
        <v/>
      </c>
      <c r="H217" s="14" t="inlineStr"/>
    </row>
    <row r="218">
      <c r="A218" s="7">
        <f>'02 价格(主口径)'!A59</f>
        <v/>
      </c>
      <c r="C218" s="8" t="inlineStr">
        <is>
          <t>SD</t>
        </is>
      </c>
      <c r="D218" s="8" t="inlineStr">
        <is>
          <t>JS</t>
        </is>
      </c>
      <c r="E218" s="16">
        <f>'02 价格(主口径)'!B59</f>
        <v/>
      </c>
      <c r="F218" s="16">
        <f>'02 价格(主口径)'!D59</f>
        <v/>
      </c>
      <c r="G218" s="17">
        <f>IF(OR(E218="",F218=""),"",E218-F218)</f>
        <v/>
      </c>
      <c r="H218" s="14" t="inlineStr"/>
    </row>
    <row r="219">
      <c r="A219" s="7">
        <f>'02 价格(主口径)'!A60</f>
        <v/>
      </c>
      <c r="C219" s="8" t="inlineStr">
        <is>
          <t>SD</t>
        </is>
      </c>
      <c r="D219" s="8" t="inlineStr">
        <is>
          <t>JS</t>
        </is>
      </c>
      <c r="E219" s="16">
        <f>'02 价格(主口径)'!B60</f>
        <v/>
      </c>
      <c r="F219" s="16">
        <f>'02 价格(主口径)'!D60</f>
        <v/>
      </c>
      <c r="G219" s="17">
        <f>IF(OR(E219="",F219=""),"",E219-F219)</f>
        <v/>
      </c>
      <c r="H219" s="14" t="inlineStr"/>
    </row>
    <row r="220">
      <c r="A220" s="7">
        <f>'02 价格(主口径)'!A61</f>
        <v/>
      </c>
      <c r="C220" s="8" t="inlineStr">
        <is>
          <t>SD</t>
        </is>
      </c>
      <c r="D220" s="8" t="inlineStr">
        <is>
          <t>JS</t>
        </is>
      </c>
      <c r="E220" s="16">
        <f>'02 价格(主口径)'!B61</f>
        <v/>
      </c>
      <c r="F220" s="16">
        <f>'02 价格(主口径)'!D61</f>
        <v/>
      </c>
      <c r="G220" s="17">
        <f>IF(OR(E220="",F220=""),"",E220-F220)</f>
        <v/>
      </c>
      <c r="H220" s="14" t="inlineStr"/>
    </row>
    <row r="221">
      <c r="A221" s="7">
        <f>'02 价格(主口径)'!A62</f>
        <v/>
      </c>
      <c r="C221" s="8" t="inlineStr">
        <is>
          <t>SD</t>
        </is>
      </c>
      <c r="D221" s="8" t="inlineStr">
        <is>
          <t>JS</t>
        </is>
      </c>
      <c r="E221" s="16">
        <f>'02 价格(主口径)'!B62</f>
        <v/>
      </c>
      <c r="F221" s="16">
        <f>'02 价格(主口径)'!D62</f>
        <v/>
      </c>
      <c r="G221" s="17">
        <f>IF(OR(E221="",F221=""),"",E221-F221)</f>
        <v/>
      </c>
      <c r="H221" s="14" t="inlineStr"/>
    </row>
    <row r="222">
      <c r="A222" s="7">
        <f>'02 价格(主口径)'!A63</f>
        <v/>
      </c>
      <c r="C222" s="8" t="inlineStr">
        <is>
          <t>SD</t>
        </is>
      </c>
      <c r="D222" s="8" t="inlineStr">
        <is>
          <t>JS</t>
        </is>
      </c>
      <c r="E222" s="16">
        <f>'02 价格(主口径)'!B63</f>
        <v/>
      </c>
      <c r="F222" s="16">
        <f>'02 价格(主口径)'!D63</f>
        <v/>
      </c>
      <c r="G222" s="17">
        <f>IF(OR(E222="",F222=""),"",E222-F222)</f>
        <v/>
      </c>
      <c r="H222" s="14" t="inlineStr"/>
    </row>
    <row r="223">
      <c r="A223" s="7">
        <f>'02 价格(主口径)'!A64</f>
        <v/>
      </c>
      <c r="C223" s="8" t="inlineStr">
        <is>
          <t>SD</t>
        </is>
      </c>
      <c r="D223" s="8" t="inlineStr">
        <is>
          <t>JS</t>
        </is>
      </c>
      <c r="E223" s="16">
        <f>'02 价格(主口径)'!B64</f>
        <v/>
      </c>
      <c r="F223" s="16">
        <f>'02 价格(主口径)'!D64</f>
        <v/>
      </c>
      <c r="G223" s="17">
        <f>IF(OR(E223="",F223=""),"",E223-F223)</f>
        <v/>
      </c>
      <c r="H223" s="14" t="inlineStr"/>
    </row>
    <row r="224">
      <c r="A224" s="7">
        <f>'02 价格(主口径)'!A65</f>
        <v/>
      </c>
      <c r="C224" s="8" t="inlineStr">
        <is>
          <t>SD</t>
        </is>
      </c>
      <c r="D224" s="8" t="inlineStr">
        <is>
          <t>JS</t>
        </is>
      </c>
      <c r="E224" s="16">
        <f>'02 价格(主口径)'!B65</f>
        <v/>
      </c>
      <c r="F224" s="16">
        <f>'02 价格(主口径)'!D65</f>
        <v/>
      </c>
      <c r="G224" s="17">
        <f>IF(OR(E224="",F224=""),"",E224-F224)</f>
        <v/>
      </c>
      <c r="H224" s="14" t="inlineStr"/>
    </row>
    <row r="225">
      <c r="A225" s="7">
        <f>'02 价格(主口径)'!A66</f>
        <v/>
      </c>
      <c r="C225" s="8" t="inlineStr">
        <is>
          <t>SD</t>
        </is>
      </c>
      <c r="D225" s="8" t="inlineStr">
        <is>
          <t>JS</t>
        </is>
      </c>
      <c r="E225" s="16">
        <f>'02 价格(主口径)'!B66</f>
        <v/>
      </c>
      <c r="F225" s="16">
        <f>'02 价格(主口径)'!D66</f>
        <v/>
      </c>
      <c r="G225" s="17">
        <f>IF(OR(E225="",F225=""),"",E225-F225)</f>
        <v/>
      </c>
      <c r="H225" s="14" t="inlineStr"/>
    </row>
    <row r="226">
      <c r="A226" s="7">
        <f>'02 价格(主口径)'!A67</f>
        <v/>
      </c>
      <c r="C226" s="8" t="inlineStr">
        <is>
          <t>SD</t>
        </is>
      </c>
      <c r="D226" s="8" t="inlineStr">
        <is>
          <t>JS</t>
        </is>
      </c>
      <c r="E226" s="16">
        <f>'02 价格(主口径)'!B67</f>
        <v/>
      </c>
      <c r="F226" s="16">
        <f>'02 价格(主口径)'!D67</f>
        <v/>
      </c>
      <c r="G226" s="17">
        <f>IF(OR(E226="",F226=""),"",E226-F226)</f>
        <v/>
      </c>
      <c r="H226" s="14" t="inlineStr"/>
    </row>
    <row r="227">
      <c r="A227" s="7">
        <f>'02 价格(主口径)'!A68</f>
        <v/>
      </c>
      <c r="C227" s="8" t="inlineStr">
        <is>
          <t>SD</t>
        </is>
      </c>
      <c r="D227" s="8" t="inlineStr">
        <is>
          <t>JS</t>
        </is>
      </c>
      <c r="E227" s="16">
        <f>'02 价格(主口径)'!B68</f>
        <v/>
      </c>
      <c r="F227" s="16">
        <f>'02 价格(主口径)'!D68</f>
        <v/>
      </c>
      <c r="G227" s="17">
        <f>IF(OR(E227="",F227=""),"",E227-F227)</f>
        <v/>
      </c>
      <c r="H227" s="14" t="inlineStr"/>
    </row>
    <row r="228">
      <c r="A228" s="7">
        <f>'02 价格(主口径)'!A69</f>
        <v/>
      </c>
      <c r="C228" s="8" t="inlineStr">
        <is>
          <t>SD</t>
        </is>
      </c>
      <c r="D228" s="8" t="inlineStr">
        <is>
          <t>JS</t>
        </is>
      </c>
      <c r="E228" s="16">
        <f>'02 价格(主口径)'!B69</f>
        <v/>
      </c>
      <c r="F228" s="16">
        <f>'02 价格(主口径)'!D69</f>
        <v/>
      </c>
      <c r="G228" s="17">
        <f>IF(OR(E228="",F228=""),"",E228-F228)</f>
        <v/>
      </c>
      <c r="H228" s="14" t="inlineStr"/>
    </row>
    <row r="229">
      <c r="A229" s="7">
        <f>'02 价格(主口径)'!A70</f>
        <v/>
      </c>
      <c r="C229" s="8" t="inlineStr">
        <is>
          <t>SD</t>
        </is>
      </c>
      <c r="D229" s="8" t="inlineStr">
        <is>
          <t>JS</t>
        </is>
      </c>
      <c r="E229" s="16">
        <f>'02 价格(主口径)'!B70</f>
        <v/>
      </c>
      <c r="F229" s="16">
        <f>'02 价格(主口径)'!D70</f>
        <v/>
      </c>
      <c r="G229" s="17">
        <f>IF(OR(E229="",F229=""),"",E229-F229)</f>
        <v/>
      </c>
      <c r="H229" s="14" t="inlineStr"/>
    </row>
    <row r="230">
      <c r="A230" s="7">
        <f>'02 价格(主口径)'!A71</f>
        <v/>
      </c>
      <c r="C230" s="8" t="inlineStr">
        <is>
          <t>SD</t>
        </is>
      </c>
      <c r="D230" s="8" t="inlineStr">
        <is>
          <t>JS</t>
        </is>
      </c>
      <c r="E230" s="16">
        <f>'02 价格(主口径)'!B71</f>
        <v/>
      </c>
      <c r="F230" s="16">
        <f>'02 价格(主口径)'!D71</f>
        <v/>
      </c>
      <c r="G230" s="17">
        <f>IF(OR(E230="",F230=""),"",E230-F230)</f>
        <v/>
      </c>
      <c r="H230" s="14" t="inlineStr"/>
    </row>
    <row r="231">
      <c r="A231" s="7">
        <f>'02 价格(主口径)'!A72</f>
        <v/>
      </c>
      <c r="C231" s="8" t="inlineStr">
        <is>
          <t>SD</t>
        </is>
      </c>
      <c r="D231" s="8" t="inlineStr">
        <is>
          <t>JS</t>
        </is>
      </c>
      <c r="E231" s="16">
        <f>'02 价格(主口径)'!B72</f>
        <v/>
      </c>
      <c r="F231" s="16">
        <f>'02 价格(主口径)'!D72</f>
        <v/>
      </c>
      <c r="G231" s="17">
        <f>IF(OR(E231="",F231=""),"",E231-F231)</f>
        <v/>
      </c>
      <c r="H231" s="14" t="inlineStr"/>
    </row>
    <row r="232">
      <c r="A232" s="7">
        <f>'02 价格(主口径)'!A73</f>
        <v/>
      </c>
      <c r="C232" s="8" t="inlineStr">
        <is>
          <t>SD</t>
        </is>
      </c>
      <c r="D232" s="8" t="inlineStr">
        <is>
          <t>JS</t>
        </is>
      </c>
      <c r="E232" s="16">
        <f>'02 价格(主口径)'!B73</f>
        <v/>
      </c>
      <c r="F232" s="16">
        <f>'02 价格(主口径)'!D73</f>
        <v/>
      </c>
      <c r="G232" s="17">
        <f>IF(OR(E232="",F232=""),"",E232-F232)</f>
        <v/>
      </c>
      <c r="H232" s="14" t="inlineStr"/>
    </row>
    <row r="233">
      <c r="A233" s="7">
        <f>'02 价格(主口径)'!A74</f>
        <v/>
      </c>
      <c r="C233" s="8" t="inlineStr">
        <is>
          <t>SD</t>
        </is>
      </c>
      <c r="D233" s="8" t="inlineStr">
        <is>
          <t>JS</t>
        </is>
      </c>
      <c r="E233" s="16">
        <f>'02 价格(主口径)'!B74</f>
        <v/>
      </c>
      <c r="F233" s="16">
        <f>'02 价格(主口径)'!D74</f>
        <v/>
      </c>
      <c r="G233" s="17">
        <f>IF(OR(E233="",F233=""),"",E233-F233)</f>
        <v/>
      </c>
      <c r="H233" s="14" t="inlineStr"/>
    </row>
    <row r="234">
      <c r="A234" s="7">
        <f>'02 价格(主口径)'!A75</f>
        <v/>
      </c>
      <c r="C234" s="8" t="inlineStr">
        <is>
          <t>SD</t>
        </is>
      </c>
      <c r="D234" s="8" t="inlineStr">
        <is>
          <t>JS</t>
        </is>
      </c>
      <c r="E234" s="16">
        <f>'02 价格(主口径)'!B75</f>
        <v/>
      </c>
      <c r="F234" s="16">
        <f>'02 价格(主口径)'!D75</f>
        <v/>
      </c>
      <c r="G234" s="17">
        <f>IF(OR(E234="",F234=""),"",E234-F234)</f>
        <v/>
      </c>
      <c r="H234" s="14" t="inlineStr"/>
    </row>
    <row r="235">
      <c r="A235" s="7">
        <f>'02 价格(主口径)'!A76</f>
        <v/>
      </c>
      <c r="C235" s="8" t="inlineStr">
        <is>
          <t>SD</t>
        </is>
      </c>
      <c r="D235" s="8" t="inlineStr">
        <is>
          <t>JS</t>
        </is>
      </c>
      <c r="E235" s="16">
        <f>'02 价格(主口径)'!B76</f>
        <v/>
      </c>
      <c r="F235" s="16">
        <f>'02 价格(主口径)'!D76</f>
        <v/>
      </c>
      <c r="G235" s="17">
        <f>IF(OR(E235="",F235=""),"",E235-F235)</f>
        <v/>
      </c>
      <c r="H235" s="14" t="inlineStr"/>
    </row>
    <row r="236">
      <c r="A236" s="7">
        <f>'02 价格(主口径)'!A77</f>
        <v/>
      </c>
      <c r="C236" s="8" t="inlineStr">
        <is>
          <t>SD</t>
        </is>
      </c>
      <c r="D236" s="8" t="inlineStr">
        <is>
          <t>JS</t>
        </is>
      </c>
      <c r="E236" s="16">
        <f>'02 价格(主口径)'!B77</f>
        <v/>
      </c>
      <c r="F236" s="16">
        <f>'02 价格(主口径)'!D77</f>
        <v/>
      </c>
      <c r="G236" s="17">
        <f>IF(OR(E236="",F236=""),"",E236-F236)</f>
        <v/>
      </c>
      <c r="H236" s="14" t="inlineStr"/>
    </row>
    <row r="237">
      <c r="A237" s="7">
        <f>'02 价格(主口径)'!A78</f>
        <v/>
      </c>
      <c r="C237" s="8" t="inlineStr">
        <is>
          <t>SD</t>
        </is>
      </c>
      <c r="D237" s="8" t="inlineStr">
        <is>
          <t>JS</t>
        </is>
      </c>
      <c r="E237" s="16">
        <f>'02 价格(主口径)'!B78</f>
        <v/>
      </c>
      <c r="F237" s="16">
        <f>'02 价格(主口径)'!D78</f>
        <v/>
      </c>
      <c r="G237" s="17">
        <f>IF(OR(E237="",F237=""),"",E237-F237)</f>
        <v/>
      </c>
      <c r="H237" s="14" t="inlineStr"/>
    </row>
    <row r="238">
      <c r="A238" s="7">
        <f>'02 价格(主口径)'!A79</f>
        <v/>
      </c>
      <c r="C238" s="8" t="inlineStr">
        <is>
          <t>SD</t>
        </is>
      </c>
      <c r="D238" s="8" t="inlineStr">
        <is>
          <t>JS</t>
        </is>
      </c>
      <c r="E238" s="16">
        <f>'02 价格(主口径)'!B79</f>
        <v/>
      </c>
      <c r="F238" s="16">
        <f>'02 价格(主口径)'!D79</f>
        <v/>
      </c>
      <c r="G238" s="17">
        <f>IF(OR(E238="",F238=""),"",E238-F238)</f>
        <v/>
      </c>
      <c r="H238" s="14" t="inlineStr"/>
    </row>
    <row r="239">
      <c r="A239" s="7">
        <f>'02 价格(主口径)'!A80</f>
        <v/>
      </c>
      <c r="C239" s="8" t="inlineStr">
        <is>
          <t>SD</t>
        </is>
      </c>
      <c r="D239" s="8" t="inlineStr">
        <is>
          <t>JS</t>
        </is>
      </c>
      <c r="E239" s="16">
        <f>'02 价格(主口径)'!B80</f>
        <v/>
      </c>
      <c r="F239" s="16">
        <f>'02 价格(主口径)'!D80</f>
        <v/>
      </c>
      <c r="G239" s="17">
        <f>IF(OR(E239="",F239=""),"",E239-F239)</f>
        <v/>
      </c>
      <c r="H239" s="14" t="inlineStr"/>
    </row>
    <row r="240">
      <c r="A240" s="7">
        <f>'02 价格(主口径)'!A81</f>
        <v/>
      </c>
      <c r="C240" s="8" t="inlineStr">
        <is>
          <t>SD</t>
        </is>
      </c>
      <c r="D240" s="8" t="inlineStr">
        <is>
          <t>JS</t>
        </is>
      </c>
      <c r="E240" s="16">
        <f>'02 价格(主口径)'!B81</f>
        <v/>
      </c>
      <c r="F240" s="16">
        <f>'02 价格(主口径)'!D81</f>
        <v/>
      </c>
      <c r="G240" s="17">
        <f>IF(OR(E240="",F240=""),"",E240-F240)</f>
        <v/>
      </c>
      <c r="H240" s="14" t="inlineStr"/>
    </row>
    <row r="241">
      <c r="A241" s="7">
        <f>'02 价格(主口径)'!A82</f>
        <v/>
      </c>
      <c r="C241" s="8" t="inlineStr">
        <is>
          <t>SD</t>
        </is>
      </c>
      <c r="D241" s="8" t="inlineStr">
        <is>
          <t>JS</t>
        </is>
      </c>
      <c r="E241" s="16">
        <f>'02 价格(主口径)'!B82</f>
        <v/>
      </c>
      <c r="F241" s="16">
        <f>'02 价格(主口径)'!D82</f>
        <v/>
      </c>
      <c r="G241" s="17">
        <f>IF(OR(E241="",F241=""),"",E241-F241)</f>
        <v/>
      </c>
      <c r="H241" s="14" t="inlineStr"/>
    </row>
    <row r="242">
      <c r="A242" s="7">
        <f>'02 价格(主口径)'!A83</f>
        <v/>
      </c>
      <c r="C242" s="8" t="inlineStr">
        <is>
          <t>SD</t>
        </is>
      </c>
      <c r="D242" s="8" t="inlineStr">
        <is>
          <t>JS</t>
        </is>
      </c>
      <c r="E242" s="16">
        <f>'02 价格(主口径)'!B83</f>
        <v/>
      </c>
      <c r="F242" s="16">
        <f>'02 价格(主口径)'!D83</f>
        <v/>
      </c>
      <c r="G242" s="17">
        <f>IF(OR(E242="",F242=""),"",E242-F242)</f>
        <v/>
      </c>
      <c r="H242" s="14" t="inlineStr"/>
    </row>
    <row r="243">
      <c r="A243" s="7">
        <f>'02 价格(主口径)'!A84</f>
        <v/>
      </c>
      <c r="C243" s="8" t="inlineStr">
        <is>
          <t>SD</t>
        </is>
      </c>
      <c r="D243" s="8" t="inlineStr">
        <is>
          <t>JS</t>
        </is>
      </c>
      <c r="E243" s="16">
        <f>'02 价格(主口径)'!B84</f>
        <v/>
      </c>
      <c r="F243" s="16">
        <f>'02 价格(主口径)'!D84</f>
        <v/>
      </c>
      <c r="G243" s="17">
        <f>IF(OR(E243="",F243=""),"",E243-F243)</f>
        <v/>
      </c>
      <c r="H243" s="14" t="inlineStr"/>
    </row>
    <row r="244">
      <c r="A244" s="7">
        <f>'02 价格(主口径)'!A85</f>
        <v/>
      </c>
      <c r="C244" s="8" t="inlineStr">
        <is>
          <t>SD</t>
        </is>
      </c>
      <c r="D244" s="8" t="inlineStr">
        <is>
          <t>JS</t>
        </is>
      </c>
      <c r="E244" s="16">
        <f>'02 价格(主口径)'!B85</f>
        <v/>
      </c>
      <c r="F244" s="16">
        <f>'02 价格(主口径)'!D85</f>
        <v/>
      </c>
      <c r="G244" s="17">
        <f>IF(OR(E244="",F244=""),"",E244-F244)</f>
        <v/>
      </c>
      <c r="H244" s="14" t="inlineStr"/>
    </row>
    <row r="245">
      <c r="A245" s="7">
        <f>'02 价格(主口径)'!A86</f>
        <v/>
      </c>
      <c r="C245" s="8" t="inlineStr">
        <is>
          <t>SD</t>
        </is>
      </c>
      <c r="D245" s="8" t="inlineStr">
        <is>
          <t>JS</t>
        </is>
      </c>
      <c r="E245" s="16">
        <f>'02 价格(主口径)'!B86</f>
        <v/>
      </c>
      <c r="F245" s="16">
        <f>'02 价格(主口径)'!D86</f>
        <v/>
      </c>
      <c r="G245" s="17">
        <f>IF(OR(E245="",F245=""),"",E245-F245)</f>
        <v/>
      </c>
      <c r="H245" s="14" t="inlineStr"/>
    </row>
    <row r="246">
      <c r="A246" s="7">
        <f>'02 价格(主口径)'!A87</f>
        <v/>
      </c>
      <c r="C246" s="8" t="inlineStr">
        <is>
          <t>SD</t>
        </is>
      </c>
      <c r="D246" s="8" t="inlineStr">
        <is>
          <t>JS</t>
        </is>
      </c>
      <c r="E246" s="16">
        <f>'02 价格(主口径)'!B87</f>
        <v/>
      </c>
      <c r="F246" s="16">
        <f>'02 价格(主口径)'!D87</f>
        <v/>
      </c>
      <c r="G246" s="17">
        <f>IF(OR(E246="",F246=""),"",E246-F246)</f>
        <v/>
      </c>
      <c r="H246" s="14" t="inlineStr"/>
    </row>
    <row r="247">
      <c r="A247" s="7">
        <f>'02 价格(主口径)'!A88</f>
        <v/>
      </c>
      <c r="C247" s="8" t="inlineStr">
        <is>
          <t>SD</t>
        </is>
      </c>
      <c r="D247" s="8" t="inlineStr">
        <is>
          <t>JS</t>
        </is>
      </c>
      <c r="E247" s="16">
        <f>'02 价格(主口径)'!B88</f>
        <v/>
      </c>
      <c r="F247" s="16">
        <f>'02 价格(主口径)'!D88</f>
        <v/>
      </c>
      <c r="G247" s="17">
        <f>IF(OR(E247="",F247=""),"",E247-F247)</f>
        <v/>
      </c>
      <c r="H247" s="14" t="inlineStr"/>
    </row>
    <row r="248">
      <c r="A248" s="7">
        <f>'02 价格(主口径)'!A89</f>
        <v/>
      </c>
      <c r="C248" s="8" t="inlineStr">
        <is>
          <t>SD</t>
        </is>
      </c>
      <c r="D248" s="8" t="inlineStr">
        <is>
          <t>JS</t>
        </is>
      </c>
      <c r="E248" s="16">
        <f>'02 价格(主口径)'!B89</f>
        <v/>
      </c>
      <c r="F248" s="16">
        <f>'02 价格(主口径)'!D89</f>
        <v/>
      </c>
      <c r="G248" s="17">
        <f>IF(OR(E248="",F248=""),"",E248-F248)</f>
        <v/>
      </c>
      <c r="H248" s="14" t="inlineStr"/>
    </row>
    <row r="249">
      <c r="A249" s="7">
        <f>'02 价格(主口径)'!A90</f>
        <v/>
      </c>
      <c r="C249" s="8" t="inlineStr">
        <is>
          <t>SD</t>
        </is>
      </c>
      <c r="D249" s="8" t="inlineStr">
        <is>
          <t>JS</t>
        </is>
      </c>
      <c r="E249" s="16">
        <f>'02 价格(主口径)'!B90</f>
        <v/>
      </c>
      <c r="F249" s="16">
        <f>'02 价格(主口径)'!D90</f>
        <v/>
      </c>
      <c r="G249" s="17">
        <f>IF(OR(E249="",F249=""),"",E249-F249)</f>
        <v/>
      </c>
      <c r="H249" s="14" t="inlineStr"/>
    </row>
    <row r="250">
      <c r="A250" s="7">
        <f>'02 价格(主口径)'!A91</f>
        <v/>
      </c>
      <c r="C250" s="8" t="inlineStr">
        <is>
          <t>SD</t>
        </is>
      </c>
      <c r="D250" s="8" t="inlineStr">
        <is>
          <t>JS</t>
        </is>
      </c>
      <c r="E250" s="16">
        <f>'02 价格(主口径)'!B91</f>
        <v/>
      </c>
      <c r="F250" s="16">
        <f>'02 价格(主口径)'!D91</f>
        <v/>
      </c>
      <c r="G250" s="17">
        <f>IF(OR(E250="",F250=""),"",E250-F250)</f>
        <v/>
      </c>
      <c r="H250" s="14" t="inlineStr"/>
    </row>
    <row r="251">
      <c r="A251" s="7">
        <f>'02 价格(主口径)'!A92</f>
        <v/>
      </c>
      <c r="C251" s="8" t="inlineStr">
        <is>
          <t>SD</t>
        </is>
      </c>
      <c r="D251" s="8" t="inlineStr">
        <is>
          <t>JS</t>
        </is>
      </c>
      <c r="E251" s="16">
        <f>'02 价格(主口径)'!B92</f>
        <v/>
      </c>
      <c r="F251" s="16">
        <f>'02 价格(主口径)'!D92</f>
        <v/>
      </c>
      <c r="G251" s="17">
        <f>IF(OR(E251="",F251=""),"",E251-F251)</f>
        <v/>
      </c>
      <c r="H251" s="14" t="inlineStr"/>
    </row>
    <row r="252">
      <c r="A252" s="7">
        <f>'02 价格(主口径)'!A93</f>
        <v/>
      </c>
      <c r="C252" s="8" t="inlineStr">
        <is>
          <t>SD</t>
        </is>
      </c>
      <c r="D252" s="8" t="inlineStr">
        <is>
          <t>JS</t>
        </is>
      </c>
      <c r="E252" s="16">
        <f>'02 价格(主口径)'!B93</f>
        <v/>
      </c>
      <c r="F252" s="16">
        <f>'02 价格(主口径)'!D93</f>
        <v/>
      </c>
      <c r="G252" s="17">
        <f>IF(OR(E252="",F252=""),"",E252-F252)</f>
        <v/>
      </c>
      <c r="H252" s="14" t="inlineStr"/>
    </row>
    <row r="253">
      <c r="A253" s="7">
        <f>'02 价格(主口径)'!A94</f>
        <v/>
      </c>
      <c r="C253" s="8" t="inlineStr">
        <is>
          <t>SD</t>
        </is>
      </c>
      <c r="D253" s="8" t="inlineStr">
        <is>
          <t>JS</t>
        </is>
      </c>
      <c r="E253" s="16">
        <f>'02 价格(主口径)'!B94</f>
        <v/>
      </c>
      <c r="F253" s="16">
        <f>'02 价格(主口径)'!D94</f>
        <v/>
      </c>
      <c r="G253" s="17">
        <f>IF(OR(E253="",F253=""),"",E253-F253)</f>
        <v/>
      </c>
      <c r="H253" s="14" t="inlineStr"/>
    </row>
    <row r="254">
      <c r="A254" s="7">
        <f>'02 价格(主口径)'!A95</f>
        <v/>
      </c>
      <c r="C254" s="8" t="inlineStr">
        <is>
          <t>SD</t>
        </is>
      </c>
      <c r="D254" s="8" t="inlineStr">
        <is>
          <t>JS</t>
        </is>
      </c>
      <c r="E254" s="16">
        <f>'02 价格(主口径)'!B95</f>
        <v/>
      </c>
      <c r="F254" s="16">
        <f>'02 价格(主口径)'!D95</f>
        <v/>
      </c>
      <c r="G254" s="17">
        <f>IF(OR(E254="",F254=""),"",E254-F254)</f>
        <v/>
      </c>
      <c r="H254" s="14" t="inlineStr"/>
    </row>
    <row r="255">
      <c r="A255" s="7">
        <f>'02 价格(主口径)'!A96</f>
        <v/>
      </c>
      <c r="C255" s="8" t="inlineStr">
        <is>
          <t>SD</t>
        </is>
      </c>
      <c r="D255" s="8" t="inlineStr">
        <is>
          <t>JS</t>
        </is>
      </c>
      <c r="E255" s="16">
        <f>'02 价格(主口径)'!B96</f>
        <v/>
      </c>
      <c r="F255" s="16">
        <f>'02 价格(主口径)'!D96</f>
        <v/>
      </c>
      <c r="G255" s="17">
        <f>IF(OR(E255="",F255=""),"",E255-F255)</f>
        <v/>
      </c>
      <c r="H255" s="14" t="inlineStr"/>
    </row>
    <row r="256">
      <c r="A256" s="7">
        <f>'02 价格(主口径)'!A97</f>
        <v/>
      </c>
      <c r="C256" s="8" t="inlineStr">
        <is>
          <t>SD</t>
        </is>
      </c>
      <c r="D256" s="8" t="inlineStr">
        <is>
          <t>JS</t>
        </is>
      </c>
      <c r="E256" s="16">
        <f>'02 价格(主口径)'!B97</f>
        <v/>
      </c>
      <c r="F256" s="16">
        <f>'02 价格(主口径)'!D97</f>
        <v/>
      </c>
      <c r="G256" s="17">
        <f>IF(OR(E256="",F256=""),"",E256-F256)</f>
        <v/>
      </c>
      <c r="H256" s="14" t="inlineStr"/>
    </row>
    <row r="257">
      <c r="A257" s="7">
        <f>'02 价格(主口径)'!A98</f>
        <v/>
      </c>
      <c r="C257" s="8" t="inlineStr">
        <is>
          <t>SD</t>
        </is>
      </c>
      <c r="D257" s="8" t="inlineStr">
        <is>
          <t>JS</t>
        </is>
      </c>
      <c r="E257" s="16">
        <f>'02 价格(主口径)'!B98</f>
        <v/>
      </c>
      <c r="F257" s="16">
        <f>'02 价格(主口径)'!D98</f>
        <v/>
      </c>
      <c r="G257" s="17">
        <f>IF(OR(E257="",F257=""),"",E257-F257)</f>
        <v/>
      </c>
      <c r="H257" s="14" t="inlineStr"/>
    </row>
    <row r="258">
      <c r="A258" s="7">
        <f>'02 价格(主口径)'!A99</f>
        <v/>
      </c>
      <c r="C258" s="8" t="inlineStr">
        <is>
          <t>SD</t>
        </is>
      </c>
      <c r="D258" s="8" t="inlineStr">
        <is>
          <t>JS</t>
        </is>
      </c>
      <c r="E258" s="16">
        <f>'02 价格(主口径)'!B99</f>
        <v/>
      </c>
      <c r="F258" s="16">
        <f>'02 价格(主口径)'!D99</f>
        <v/>
      </c>
      <c r="G258" s="17">
        <f>IF(OR(E258="",F258=""),"",E258-F258)</f>
        <v/>
      </c>
      <c r="H258" s="14" t="inlineStr"/>
    </row>
    <row r="259">
      <c r="A259" s="7">
        <f>'02 价格(主口径)'!A100</f>
        <v/>
      </c>
      <c r="C259" s="8" t="inlineStr">
        <is>
          <t>SD</t>
        </is>
      </c>
      <c r="D259" s="8" t="inlineStr">
        <is>
          <t>JS</t>
        </is>
      </c>
      <c r="E259" s="16">
        <f>'02 价格(主口径)'!B100</f>
        <v/>
      </c>
      <c r="F259" s="16">
        <f>'02 价格(主口径)'!D100</f>
        <v/>
      </c>
      <c r="G259" s="17">
        <f>IF(OR(E259="",F259=""),"",E259-F259)</f>
        <v/>
      </c>
      <c r="H259" s="14" t="inlineStr"/>
    </row>
    <row r="260">
      <c r="A260" s="7">
        <f>'02 价格(主口径)'!A101</f>
        <v/>
      </c>
      <c r="C260" s="8" t="inlineStr">
        <is>
          <t>SD</t>
        </is>
      </c>
      <c r="D260" s="8" t="inlineStr">
        <is>
          <t>JS</t>
        </is>
      </c>
      <c r="E260" s="16">
        <f>'02 价格(主口径)'!B101</f>
        <v/>
      </c>
      <c r="F260" s="16">
        <f>'02 价格(主口径)'!D101</f>
        <v/>
      </c>
      <c r="G260" s="17">
        <f>IF(OR(E260="",F260=""),"",E260-F260)</f>
        <v/>
      </c>
      <c r="H260" s="14" t="inlineStr"/>
    </row>
    <row r="261">
      <c r="A261" s="7">
        <f>'02 价格(主口径)'!A102</f>
        <v/>
      </c>
      <c r="C261" s="8" t="inlineStr">
        <is>
          <t>SD</t>
        </is>
      </c>
      <c r="D261" s="8" t="inlineStr">
        <is>
          <t>JS</t>
        </is>
      </c>
      <c r="E261" s="16">
        <f>'02 价格(主口径)'!B102</f>
        <v/>
      </c>
      <c r="F261" s="16">
        <f>'02 价格(主口径)'!D102</f>
        <v/>
      </c>
      <c r="G261" s="17">
        <f>IF(OR(E261="",F261=""),"",E261-F261)</f>
        <v/>
      </c>
      <c r="H261" s="14" t="inlineStr"/>
    </row>
    <row r="262">
      <c r="A262" s="7">
        <f>'02 价格(主口径)'!A103</f>
        <v/>
      </c>
      <c r="C262" s="8" t="inlineStr">
        <is>
          <t>SD</t>
        </is>
      </c>
      <c r="D262" s="8" t="inlineStr">
        <is>
          <t>JS</t>
        </is>
      </c>
      <c r="E262" s="16">
        <f>'02 价格(主口径)'!B103</f>
        <v/>
      </c>
      <c r="F262" s="16">
        <f>'02 价格(主口径)'!D103</f>
        <v/>
      </c>
      <c r="G262" s="17">
        <f>IF(OR(E262="",F262=""),"",E262-F262)</f>
        <v/>
      </c>
      <c r="H262" s="14" t="inlineStr"/>
    </row>
    <row r="263">
      <c r="A263" s="7">
        <f>'02 价格(主口径)'!A104</f>
        <v/>
      </c>
      <c r="C263" s="8" t="inlineStr">
        <is>
          <t>SD</t>
        </is>
      </c>
      <c r="D263" s="8" t="inlineStr">
        <is>
          <t>JS</t>
        </is>
      </c>
      <c r="E263" s="16">
        <f>'02 价格(主口径)'!B104</f>
        <v/>
      </c>
      <c r="F263" s="16">
        <f>'02 价格(主口径)'!D104</f>
        <v/>
      </c>
      <c r="G263" s="17">
        <f>IF(OR(E263="",F263=""),"",E263-F263)</f>
        <v/>
      </c>
      <c r="H263" s="14" t="inlineStr"/>
    </row>
    <row r="264">
      <c r="A264" s="7">
        <f>'02 价格(主口径)'!A105</f>
        <v/>
      </c>
      <c r="C264" s="8" t="inlineStr">
        <is>
          <t>SD</t>
        </is>
      </c>
      <c r="D264" s="8" t="inlineStr">
        <is>
          <t>JS</t>
        </is>
      </c>
      <c r="E264" s="16">
        <f>'02 价格(主口径)'!B105</f>
        <v/>
      </c>
      <c r="F264" s="16">
        <f>'02 价格(主口径)'!D105</f>
        <v/>
      </c>
      <c r="G264" s="17">
        <f>IF(OR(E264="",F264=""),"",E264-F264)</f>
        <v/>
      </c>
      <c r="H264" s="14" t="inlineStr"/>
    </row>
    <row r="265">
      <c r="A265" s="7">
        <f>'02 价格(主口径)'!A106</f>
        <v/>
      </c>
      <c r="C265" s="8" t="inlineStr">
        <is>
          <t>SD</t>
        </is>
      </c>
      <c r="D265" s="8" t="inlineStr">
        <is>
          <t>JS</t>
        </is>
      </c>
      <c r="E265" s="16">
        <f>'02 价格(主口径)'!B106</f>
        <v/>
      </c>
      <c r="F265" s="16">
        <f>'02 价格(主口径)'!D106</f>
        <v/>
      </c>
      <c r="G265" s="17">
        <f>IF(OR(E265="",F265=""),"",E265-F265)</f>
        <v/>
      </c>
      <c r="H265" s="14" t="inlineStr"/>
    </row>
    <row r="266">
      <c r="A266" s="7">
        <f>'02 价格(主口径)'!A107</f>
        <v/>
      </c>
      <c r="C266" s="8" t="inlineStr">
        <is>
          <t>SD</t>
        </is>
      </c>
      <c r="D266" s="8" t="inlineStr">
        <is>
          <t>JS</t>
        </is>
      </c>
      <c r="E266" s="16">
        <f>'02 价格(主口径)'!B107</f>
        <v/>
      </c>
      <c r="F266" s="16">
        <f>'02 价格(主口径)'!D107</f>
        <v/>
      </c>
      <c r="G266" s="17">
        <f>IF(OR(E266="",F266=""),"",E266-F266)</f>
        <v/>
      </c>
      <c r="H266" s="14" t="inlineStr"/>
    </row>
    <row r="267">
      <c r="A267" s="7">
        <f>'02 价格(主口径)'!A108</f>
        <v/>
      </c>
      <c r="C267" s="8" t="inlineStr">
        <is>
          <t>SD</t>
        </is>
      </c>
      <c r="D267" s="8" t="inlineStr">
        <is>
          <t>JS</t>
        </is>
      </c>
      <c r="E267" s="16">
        <f>'02 价格(主口径)'!B108</f>
        <v/>
      </c>
      <c r="F267" s="16">
        <f>'02 价格(主口径)'!D108</f>
        <v/>
      </c>
      <c r="G267" s="17">
        <f>IF(OR(E267="",F267=""),"",E267-F267)</f>
        <v/>
      </c>
      <c r="H267" s="14" t="inlineStr"/>
    </row>
    <row r="268">
      <c r="A268" s="7">
        <f>'02 价格(主口径)'!A109</f>
        <v/>
      </c>
      <c r="C268" s="8" t="inlineStr">
        <is>
          <t>SD</t>
        </is>
      </c>
      <c r="D268" s="8" t="inlineStr">
        <is>
          <t>JS</t>
        </is>
      </c>
      <c r="E268" s="16">
        <f>'02 价格(主口径)'!B109</f>
        <v/>
      </c>
      <c r="F268" s="16">
        <f>'02 价格(主口径)'!D109</f>
        <v/>
      </c>
      <c r="G268" s="17">
        <f>IF(OR(E268="",F268=""),"",E268-F268)</f>
        <v/>
      </c>
      <c r="H268" s="14" t="inlineStr"/>
    </row>
    <row r="269">
      <c r="A269" s="7">
        <f>'02 价格(主口径)'!A110</f>
        <v/>
      </c>
      <c r="C269" s="8" t="inlineStr">
        <is>
          <t>SD</t>
        </is>
      </c>
      <c r="D269" s="8" t="inlineStr">
        <is>
          <t>JS</t>
        </is>
      </c>
      <c r="E269" s="16">
        <f>'02 价格(主口径)'!B110</f>
        <v/>
      </c>
      <c r="F269" s="16">
        <f>'02 价格(主口径)'!D110</f>
        <v/>
      </c>
      <c r="G269" s="17">
        <f>IF(OR(E269="",F269=""),"",E269-F269)</f>
        <v/>
      </c>
      <c r="H269" s="14" t="inlineStr"/>
    </row>
    <row r="270">
      <c r="A270" s="7">
        <f>'02 价格(主口径)'!A111</f>
        <v/>
      </c>
      <c r="C270" s="8" t="inlineStr">
        <is>
          <t>SD</t>
        </is>
      </c>
      <c r="D270" s="8" t="inlineStr">
        <is>
          <t>JS</t>
        </is>
      </c>
      <c r="E270" s="16">
        <f>'02 价格(主口径)'!B111</f>
        <v/>
      </c>
      <c r="F270" s="16">
        <f>'02 价格(主口径)'!D111</f>
        <v/>
      </c>
      <c r="G270" s="17">
        <f>IF(OR(E270="",F270=""),"",E270-F270)</f>
        <v/>
      </c>
      <c r="H270" s="14" t="inlineStr"/>
    </row>
    <row r="271">
      <c r="A271" s="7">
        <f>'02 价格(主口径)'!A112</f>
        <v/>
      </c>
      <c r="C271" s="8" t="inlineStr">
        <is>
          <t>SD</t>
        </is>
      </c>
      <c r="D271" s="8" t="inlineStr">
        <is>
          <t>JS</t>
        </is>
      </c>
      <c r="E271" s="16">
        <f>'02 价格(主口径)'!B112</f>
        <v/>
      </c>
      <c r="F271" s="16">
        <f>'02 价格(主口径)'!D112</f>
        <v/>
      </c>
      <c r="G271" s="17">
        <f>IF(OR(E271="",F271=""),"",E271-F271)</f>
        <v/>
      </c>
      <c r="H271" s="14" t="inlineStr"/>
    </row>
    <row r="272">
      <c r="A272" s="7">
        <f>'02 价格(主口径)'!A113</f>
        <v/>
      </c>
      <c r="C272" s="8" t="inlineStr">
        <is>
          <t>SD</t>
        </is>
      </c>
      <c r="D272" s="8" t="inlineStr">
        <is>
          <t>JS</t>
        </is>
      </c>
      <c r="E272" s="16">
        <f>'02 价格(主口径)'!B113</f>
        <v/>
      </c>
      <c r="F272" s="16">
        <f>'02 价格(主口径)'!D113</f>
        <v/>
      </c>
      <c r="G272" s="17">
        <f>IF(OR(E272="",F272=""),"",E272-F272)</f>
        <v/>
      </c>
      <c r="H272" s="14" t="inlineStr"/>
    </row>
    <row r="273">
      <c r="A273" s="7">
        <f>'02 价格(主口径)'!A114</f>
        <v/>
      </c>
      <c r="C273" s="8" t="inlineStr">
        <is>
          <t>SD</t>
        </is>
      </c>
      <c r="D273" s="8" t="inlineStr">
        <is>
          <t>JS</t>
        </is>
      </c>
      <c r="E273" s="16">
        <f>'02 价格(主口径)'!B114</f>
        <v/>
      </c>
      <c r="F273" s="16">
        <f>'02 价格(主口径)'!D114</f>
        <v/>
      </c>
      <c r="G273" s="17">
        <f>IF(OR(E273="",F273=""),"",E273-F273)</f>
        <v/>
      </c>
      <c r="H273" s="14" t="inlineStr"/>
    </row>
    <row r="274">
      <c r="A274" s="7">
        <f>'02 价格(主口径)'!A115</f>
        <v/>
      </c>
      <c r="C274" s="8" t="inlineStr">
        <is>
          <t>SD</t>
        </is>
      </c>
      <c r="D274" s="8" t="inlineStr">
        <is>
          <t>JS</t>
        </is>
      </c>
      <c r="E274" s="16">
        <f>'02 价格(主口径)'!B115</f>
        <v/>
      </c>
      <c r="F274" s="16">
        <f>'02 价格(主口径)'!D115</f>
        <v/>
      </c>
      <c r="G274" s="17">
        <f>IF(OR(E274="",F274=""),"",E274-F274)</f>
        <v/>
      </c>
      <c r="H274" s="14" t="inlineStr"/>
    </row>
    <row r="275">
      <c r="A275" s="7">
        <f>'02 价格(主口径)'!A116</f>
        <v/>
      </c>
      <c r="C275" s="8" t="inlineStr">
        <is>
          <t>SD</t>
        </is>
      </c>
      <c r="D275" s="8" t="inlineStr">
        <is>
          <t>JS</t>
        </is>
      </c>
      <c r="E275" s="16">
        <f>'02 价格(主口径)'!B116</f>
        <v/>
      </c>
      <c r="F275" s="16">
        <f>'02 价格(主口径)'!D116</f>
        <v/>
      </c>
      <c r="G275" s="17">
        <f>IF(OR(E275="",F275=""),"",E275-F275)</f>
        <v/>
      </c>
      <c r="H275" s="14" t="inlineStr"/>
    </row>
    <row r="276">
      <c r="A276" s="7">
        <f>'02 价格(主口径)'!A117</f>
        <v/>
      </c>
      <c r="C276" s="8" t="inlineStr">
        <is>
          <t>SD</t>
        </is>
      </c>
      <c r="D276" s="8" t="inlineStr">
        <is>
          <t>JS</t>
        </is>
      </c>
      <c r="E276" s="16">
        <f>'02 价格(主口径)'!B117</f>
        <v/>
      </c>
      <c r="F276" s="16">
        <f>'02 价格(主口径)'!D117</f>
        <v/>
      </c>
      <c r="G276" s="17">
        <f>IF(OR(E276="",F276=""),"",E276-F276)</f>
        <v/>
      </c>
      <c r="H276" s="14" t="inlineStr"/>
    </row>
    <row r="277">
      <c r="A277" s="7">
        <f>'02 价格(主口径)'!A118</f>
        <v/>
      </c>
      <c r="C277" s="8" t="inlineStr">
        <is>
          <t>SD</t>
        </is>
      </c>
      <c r="D277" s="8" t="inlineStr">
        <is>
          <t>JS</t>
        </is>
      </c>
      <c r="E277" s="16">
        <f>'02 价格(主口径)'!B118</f>
        <v/>
      </c>
      <c r="F277" s="16">
        <f>'02 价格(主口径)'!D118</f>
        <v/>
      </c>
      <c r="G277" s="17">
        <f>IF(OR(E277="",F277=""),"",E277-F277)</f>
        <v/>
      </c>
      <c r="H277" s="14" t="inlineStr"/>
    </row>
    <row r="278">
      <c r="A278" s="7">
        <f>'02 价格(主口径)'!A119</f>
        <v/>
      </c>
      <c r="C278" s="8" t="inlineStr">
        <is>
          <t>SD</t>
        </is>
      </c>
      <c r="D278" s="8" t="inlineStr">
        <is>
          <t>JS</t>
        </is>
      </c>
      <c r="E278" s="16">
        <f>'02 价格(主口径)'!B119</f>
        <v/>
      </c>
      <c r="F278" s="16">
        <f>'02 价格(主口径)'!D119</f>
        <v/>
      </c>
      <c r="G278" s="17">
        <f>IF(OR(E278="",F278=""),"",E278-F278)</f>
        <v/>
      </c>
      <c r="H278" s="14" t="inlineStr"/>
    </row>
    <row r="279">
      <c r="A279" s="7">
        <f>'02 价格(主口径)'!A120</f>
        <v/>
      </c>
      <c r="C279" s="8" t="inlineStr">
        <is>
          <t>SD</t>
        </is>
      </c>
      <c r="D279" s="8" t="inlineStr">
        <is>
          <t>JS</t>
        </is>
      </c>
      <c r="E279" s="16">
        <f>'02 价格(主口径)'!B120</f>
        <v/>
      </c>
      <c r="F279" s="16">
        <f>'02 价格(主口径)'!D120</f>
        <v/>
      </c>
      <c r="G279" s="17">
        <f>IF(OR(E279="",F279=""),"",E279-F279)</f>
        <v/>
      </c>
      <c r="H279" s="14" t="inlineStr"/>
    </row>
    <row r="280">
      <c r="A280" s="7">
        <f>'02 价格(主口径)'!A121</f>
        <v/>
      </c>
      <c r="C280" s="8" t="inlineStr">
        <is>
          <t>SD</t>
        </is>
      </c>
      <c r="D280" s="8" t="inlineStr">
        <is>
          <t>JS</t>
        </is>
      </c>
      <c r="E280" s="16">
        <f>'02 价格(主口径)'!B121</f>
        <v/>
      </c>
      <c r="F280" s="16">
        <f>'02 价格(主口径)'!D121</f>
        <v/>
      </c>
      <c r="G280" s="17">
        <f>IF(OR(E280="",F280=""),"",E280-F280)</f>
        <v/>
      </c>
      <c r="H280" s="14" t="inlineStr"/>
    </row>
    <row r="281">
      <c r="A281" s="7">
        <f>'02 价格(主口径)'!A122</f>
        <v/>
      </c>
      <c r="C281" s="8" t="inlineStr">
        <is>
          <t>SD</t>
        </is>
      </c>
      <c r="D281" s="8" t="inlineStr">
        <is>
          <t>JS</t>
        </is>
      </c>
      <c r="E281" s="16">
        <f>'02 价格(主口径)'!B122</f>
        <v/>
      </c>
      <c r="F281" s="16">
        <f>'02 价格(主口径)'!D122</f>
        <v/>
      </c>
      <c r="G281" s="17">
        <f>IF(OR(E281="",F281=""),"",E281-F281)</f>
        <v/>
      </c>
      <c r="H281" s="14" t="inlineStr"/>
    </row>
    <row r="282">
      <c r="A282" s="7">
        <f>'02 价格(主口径)'!A123</f>
        <v/>
      </c>
      <c r="C282" s="8" t="inlineStr">
        <is>
          <t>SD</t>
        </is>
      </c>
      <c r="D282" s="8" t="inlineStr">
        <is>
          <t>JS</t>
        </is>
      </c>
      <c r="E282" s="16">
        <f>'02 价格(主口径)'!B123</f>
        <v/>
      </c>
      <c r="F282" s="16">
        <f>'02 价格(主口径)'!D123</f>
        <v/>
      </c>
      <c r="G282" s="17">
        <f>IF(OR(E282="",F282=""),"",E282-F282)</f>
        <v/>
      </c>
      <c r="H282" s="14" t="inlineStr"/>
    </row>
    <row r="283">
      <c r="A283" s="7">
        <f>'02 价格(主口径)'!A124</f>
        <v/>
      </c>
      <c r="C283" s="8" t="inlineStr">
        <is>
          <t>SD</t>
        </is>
      </c>
      <c r="D283" s="8" t="inlineStr">
        <is>
          <t>JS</t>
        </is>
      </c>
      <c r="E283" s="16">
        <f>'02 价格(主口径)'!B124</f>
        <v/>
      </c>
      <c r="F283" s="16">
        <f>'02 价格(主口径)'!D124</f>
        <v/>
      </c>
      <c r="G283" s="17">
        <f>IF(OR(E283="",F283=""),"",E283-F283)</f>
        <v/>
      </c>
      <c r="H283" s="14" t="inlineStr"/>
    </row>
    <row r="284">
      <c r="A284" s="7">
        <f>'02 价格(主口径)'!A125</f>
        <v/>
      </c>
      <c r="C284" s="8" t="inlineStr">
        <is>
          <t>SD</t>
        </is>
      </c>
      <c r="D284" s="8" t="inlineStr">
        <is>
          <t>JS</t>
        </is>
      </c>
      <c r="E284" s="16">
        <f>'02 价格(主口径)'!B125</f>
        <v/>
      </c>
      <c r="F284" s="16">
        <f>'02 价格(主口径)'!D125</f>
        <v/>
      </c>
      <c r="G284" s="17">
        <f>IF(OR(E284="",F284=""),"",E284-F284)</f>
        <v/>
      </c>
      <c r="H284" s="14" t="inlineStr"/>
    </row>
    <row r="285">
      <c r="A285" s="7">
        <f>'02 价格(主口径)'!A126</f>
        <v/>
      </c>
      <c r="C285" s="8" t="inlineStr">
        <is>
          <t>SD</t>
        </is>
      </c>
      <c r="D285" s="8" t="inlineStr">
        <is>
          <t>JS</t>
        </is>
      </c>
      <c r="E285" s="16">
        <f>'02 价格(主口径)'!B126</f>
        <v/>
      </c>
      <c r="F285" s="16">
        <f>'02 价格(主口径)'!D126</f>
        <v/>
      </c>
      <c r="G285" s="17">
        <f>IF(OR(E285="",F285=""),"",E285-F285)</f>
        <v/>
      </c>
      <c r="H285" s="14" t="inlineStr"/>
    </row>
    <row r="286">
      <c r="A286" s="7">
        <f>'02 价格(主口径)'!A127</f>
        <v/>
      </c>
      <c r="C286" s="8" t="inlineStr">
        <is>
          <t>SD</t>
        </is>
      </c>
      <c r="D286" s="8" t="inlineStr">
        <is>
          <t>JS</t>
        </is>
      </c>
      <c r="E286" s="16">
        <f>'02 价格(主口径)'!B127</f>
        <v/>
      </c>
      <c r="F286" s="16">
        <f>'02 价格(主口径)'!D127</f>
        <v/>
      </c>
      <c r="G286" s="17">
        <f>IF(OR(E286="",F286=""),"",E286-F286)</f>
        <v/>
      </c>
      <c r="H286" s="14" t="inlineStr"/>
    </row>
    <row r="287">
      <c r="A287" s="7">
        <f>'02 价格(主口径)'!A128</f>
        <v/>
      </c>
      <c r="C287" s="8" t="inlineStr">
        <is>
          <t>SD</t>
        </is>
      </c>
      <c r="D287" s="8" t="inlineStr">
        <is>
          <t>JS</t>
        </is>
      </c>
      <c r="E287" s="16">
        <f>'02 价格(主口径)'!B128</f>
        <v/>
      </c>
      <c r="F287" s="16">
        <f>'02 价格(主口径)'!D128</f>
        <v/>
      </c>
      <c r="G287" s="17">
        <f>IF(OR(E287="",F287=""),"",E287-F287)</f>
        <v/>
      </c>
      <c r="H287" s="14" t="inlineStr"/>
    </row>
    <row r="288">
      <c r="A288" s="7">
        <f>'02 价格(主口径)'!A129</f>
        <v/>
      </c>
      <c r="C288" s="8" t="inlineStr">
        <is>
          <t>SD</t>
        </is>
      </c>
      <c r="D288" s="8" t="inlineStr">
        <is>
          <t>JS</t>
        </is>
      </c>
      <c r="E288" s="16">
        <f>'02 价格(主口径)'!B129</f>
        <v/>
      </c>
      <c r="F288" s="16">
        <f>'02 价格(主口径)'!D129</f>
        <v/>
      </c>
      <c r="G288" s="17">
        <f>IF(OR(E288="",F288=""),"",E288-F288)</f>
        <v/>
      </c>
      <c r="H288" s="14" t="inlineStr"/>
    </row>
    <row r="289">
      <c r="A289" s="7">
        <f>'02 价格(主口径)'!A130</f>
        <v/>
      </c>
      <c r="C289" s="8" t="inlineStr">
        <is>
          <t>SD</t>
        </is>
      </c>
      <c r="D289" s="8" t="inlineStr">
        <is>
          <t>JS</t>
        </is>
      </c>
      <c r="E289" s="16">
        <f>'02 价格(主口径)'!B130</f>
        <v/>
      </c>
      <c r="F289" s="16">
        <f>'02 价格(主口径)'!D130</f>
        <v/>
      </c>
      <c r="G289" s="17">
        <f>IF(OR(E289="",F289=""),"",E289-F289)</f>
        <v/>
      </c>
      <c r="H289" s="14" t="inlineStr"/>
    </row>
    <row r="290">
      <c r="A290" s="7">
        <f>'02 价格(主口径)'!A131</f>
        <v/>
      </c>
      <c r="C290" s="8" t="inlineStr">
        <is>
          <t>SD</t>
        </is>
      </c>
      <c r="D290" s="8" t="inlineStr">
        <is>
          <t>JS</t>
        </is>
      </c>
      <c r="E290" s="16">
        <f>'02 价格(主口径)'!B131</f>
        <v/>
      </c>
      <c r="F290" s="16">
        <f>'02 价格(主口径)'!D131</f>
        <v/>
      </c>
      <c r="G290" s="17">
        <f>IF(OR(E290="",F290=""),"",E290-F290)</f>
        <v/>
      </c>
      <c r="H290" s="14" t="inlineStr"/>
    </row>
    <row r="291">
      <c r="A291" s="7">
        <f>'02 价格(主口径)'!A132</f>
        <v/>
      </c>
      <c r="C291" s="8" t="inlineStr">
        <is>
          <t>SD</t>
        </is>
      </c>
      <c r="D291" s="8" t="inlineStr">
        <is>
          <t>JS</t>
        </is>
      </c>
      <c r="E291" s="16">
        <f>'02 价格(主口径)'!B132</f>
        <v/>
      </c>
      <c r="F291" s="16">
        <f>'02 价格(主口径)'!D132</f>
        <v/>
      </c>
      <c r="G291" s="17">
        <f>IF(OR(E291="",F291=""),"",E291-F291)</f>
        <v/>
      </c>
      <c r="H291" s="14" t="inlineStr"/>
    </row>
    <row r="292">
      <c r="A292" s="7">
        <f>'02 价格(主口径)'!A133</f>
        <v/>
      </c>
      <c r="C292" s="8" t="inlineStr">
        <is>
          <t>SD</t>
        </is>
      </c>
      <c r="D292" s="8" t="inlineStr">
        <is>
          <t>JS</t>
        </is>
      </c>
      <c r="E292" s="16">
        <f>'02 价格(主口径)'!B133</f>
        <v/>
      </c>
      <c r="F292" s="16">
        <f>'02 价格(主口径)'!D133</f>
        <v/>
      </c>
      <c r="G292" s="17">
        <f>IF(OR(E292="",F292=""),"",E292-F292)</f>
        <v/>
      </c>
      <c r="H292" s="14" t="inlineStr"/>
    </row>
    <row r="293">
      <c r="A293" s="7">
        <f>'02 价格(主口径)'!A134</f>
        <v/>
      </c>
      <c r="C293" s="8" t="inlineStr">
        <is>
          <t>SD</t>
        </is>
      </c>
      <c r="D293" s="8" t="inlineStr">
        <is>
          <t>JS</t>
        </is>
      </c>
      <c r="E293" s="16">
        <f>'02 价格(主口径)'!B134</f>
        <v/>
      </c>
      <c r="F293" s="16">
        <f>'02 价格(主口径)'!D134</f>
        <v/>
      </c>
      <c r="G293" s="17">
        <f>IF(OR(E293="",F293=""),"",E293-F293)</f>
        <v/>
      </c>
      <c r="H293" s="14" t="inlineStr"/>
    </row>
    <row r="294">
      <c r="A294" s="7">
        <f>'02 价格(主口径)'!A135</f>
        <v/>
      </c>
      <c r="C294" s="8" t="inlineStr">
        <is>
          <t>SD</t>
        </is>
      </c>
      <c r="D294" s="8" t="inlineStr">
        <is>
          <t>JS</t>
        </is>
      </c>
      <c r="E294" s="16">
        <f>'02 价格(主口径)'!B135</f>
        <v/>
      </c>
      <c r="F294" s="16">
        <f>'02 价格(主口径)'!D135</f>
        <v/>
      </c>
      <c r="G294" s="17">
        <f>IF(OR(E294="",F294=""),"",E294-F294)</f>
        <v/>
      </c>
      <c r="H294" s="14" t="inlineStr"/>
    </row>
    <row r="295">
      <c r="A295" s="7">
        <f>'02 价格(主口径)'!A136</f>
        <v/>
      </c>
      <c r="C295" s="8" t="inlineStr">
        <is>
          <t>SD</t>
        </is>
      </c>
      <c r="D295" s="8" t="inlineStr">
        <is>
          <t>JS</t>
        </is>
      </c>
      <c r="E295" s="16">
        <f>'02 价格(主口径)'!B136</f>
        <v/>
      </c>
      <c r="F295" s="16">
        <f>'02 价格(主口径)'!D136</f>
        <v/>
      </c>
      <c r="G295" s="17">
        <f>IF(OR(E295="",F295=""),"",E295-F295)</f>
        <v/>
      </c>
      <c r="H295" s="14" t="inlineStr"/>
    </row>
    <row r="296">
      <c r="A296" s="7">
        <f>'02 价格(主口径)'!A137</f>
        <v/>
      </c>
      <c r="C296" s="8" t="inlineStr">
        <is>
          <t>SD</t>
        </is>
      </c>
      <c r="D296" s="8" t="inlineStr">
        <is>
          <t>JS</t>
        </is>
      </c>
      <c r="E296" s="16">
        <f>'02 价格(主口径)'!B137</f>
        <v/>
      </c>
      <c r="F296" s="16">
        <f>'02 价格(主口径)'!D137</f>
        <v/>
      </c>
      <c r="G296" s="17">
        <f>IF(OR(E296="",F296=""),"",E296-F296)</f>
        <v/>
      </c>
      <c r="H296" s="14" t="inlineStr"/>
    </row>
    <row r="297">
      <c r="A297" s="7">
        <f>'02 价格(主口径)'!A138</f>
        <v/>
      </c>
      <c r="C297" s="8" t="inlineStr">
        <is>
          <t>SD</t>
        </is>
      </c>
      <c r="D297" s="8" t="inlineStr">
        <is>
          <t>JS</t>
        </is>
      </c>
      <c r="E297" s="16">
        <f>'02 价格(主口径)'!B138</f>
        <v/>
      </c>
      <c r="F297" s="16">
        <f>'02 价格(主口径)'!D138</f>
        <v/>
      </c>
      <c r="G297" s="17">
        <f>IF(OR(E297="",F297=""),"",E297-F297)</f>
        <v/>
      </c>
      <c r="H297" s="14" t="inlineStr"/>
    </row>
    <row r="298">
      <c r="A298" s="7">
        <f>'02 价格(主口径)'!A139</f>
        <v/>
      </c>
      <c r="C298" s="8" t="inlineStr">
        <is>
          <t>SD</t>
        </is>
      </c>
      <c r="D298" s="8" t="inlineStr">
        <is>
          <t>JS</t>
        </is>
      </c>
      <c r="E298" s="16">
        <f>'02 价格(主口径)'!B139</f>
        <v/>
      </c>
      <c r="F298" s="16">
        <f>'02 价格(主口径)'!D139</f>
        <v/>
      </c>
      <c r="G298" s="17">
        <f>IF(OR(E298="",F298=""),"",E298-F298)</f>
        <v/>
      </c>
      <c r="H298" s="14" t="inlineStr"/>
    </row>
    <row r="299">
      <c r="A299" s="7">
        <f>'02 价格(主口径)'!A140</f>
        <v/>
      </c>
      <c r="C299" s="8" t="inlineStr">
        <is>
          <t>SD</t>
        </is>
      </c>
      <c r="D299" s="8" t="inlineStr">
        <is>
          <t>JS</t>
        </is>
      </c>
      <c r="E299" s="16">
        <f>'02 价格(主口径)'!B140</f>
        <v/>
      </c>
      <c r="F299" s="16">
        <f>'02 价格(主口径)'!D140</f>
        <v/>
      </c>
      <c r="G299" s="17">
        <f>IF(OR(E299="",F299=""),"",E299-F299)</f>
        <v/>
      </c>
      <c r="H299" s="14" t="inlineStr"/>
    </row>
    <row r="300">
      <c r="A300" s="7">
        <f>'02 价格(主口径)'!A141</f>
        <v/>
      </c>
      <c r="C300" s="8" t="inlineStr">
        <is>
          <t>SD</t>
        </is>
      </c>
      <c r="D300" s="8" t="inlineStr">
        <is>
          <t>JS</t>
        </is>
      </c>
      <c r="E300" s="16">
        <f>'02 价格(主口径)'!B141</f>
        <v/>
      </c>
      <c r="F300" s="16">
        <f>'02 价格(主口径)'!D141</f>
        <v/>
      </c>
      <c r="G300" s="17">
        <f>IF(OR(E300="",F300=""),"",E300-F300)</f>
        <v/>
      </c>
      <c r="H300" s="14" t="inlineStr"/>
    </row>
    <row r="301">
      <c r="A301" s="7">
        <f>'02 价格(主口径)'!A142</f>
        <v/>
      </c>
      <c r="C301" s="8" t="inlineStr">
        <is>
          <t>SD</t>
        </is>
      </c>
      <c r="D301" s="8" t="inlineStr">
        <is>
          <t>JS</t>
        </is>
      </c>
      <c r="E301" s="16">
        <f>'02 价格(主口径)'!B142</f>
        <v/>
      </c>
      <c r="F301" s="16">
        <f>'02 价格(主口径)'!D142</f>
        <v/>
      </c>
      <c r="G301" s="17">
        <f>IF(OR(E301="",F301=""),"",E301-F301)</f>
        <v/>
      </c>
      <c r="H301" s="14" t="inlineStr"/>
    </row>
    <row r="302">
      <c r="A302" s="7">
        <f>'02 价格(主口径)'!A143</f>
        <v/>
      </c>
      <c r="C302" s="8" t="inlineStr">
        <is>
          <t>SD</t>
        </is>
      </c>
      <c r="D302" s="8" t="inlineStr">
        <is>
          <t>JS</t>
        </is>
      </c>
      <c r="E302" s="16">
        <f>'02 价格(主口径)'!B143</f>
        <v/>
      </c>
      <c r="F302" s="16">
        <f>'02 价格(主口径)'!D143</f>
        <v/>
      </c>
      <c r="G302" s="17">
        <f>IF(OR(E302="",F302=""),"",E302-F302)</f>
        <v/>
      </c>
      <c r="H302" s="14" t="inlineStr"/>
    </row>
    <row r="303">
      <c r="A303" s="7">
        <f>'02 价格(主口径)'!A144</f>
        <v/>
      </c>
      <c r="C303" s="8" t="inlineStr">
        <is>
          <t>SD</t>
        </is>
      </c>
      <c r="D303" s="8" t="inlineStr">
        <is>
          <t>JS</t>
        </is>
      </c>
      <c r="E303" s="16">
        <f>'02 价格(主口径)'!B144</f>
        <v/>
      </c>
      <c r="F303" s="16">
        <f>'02 价格(主口径)'!D144</f>
        <v/>
      </c>
      <c r="G303" s="17">
        <f>IF(OR(E303="",F303=""),"",E303-F303)</f>
        <v/>
      </c>
      <c r="H303" s="14" t="inlineStr"/>
    </row>
    <row r="304">
      <c r="A304" s="7">
        <f>'02 价格(主口径)'!A145</f>
        <v/>
      </c>
      <c r="C304" s="8" t="inlineStr">
        <is>
          <t>SD</t>
        </is>
      </c>
      <c r="D304" s="8" t="inlineStr">
        <is>
          <t>JS</t>
        </is>
      </c>
      <c r="E304" s="16">
        <f>'02 价格(主口径)'!B145</f>
        <v/>
      </c>
      <c r="F304" s="16">
        <f>'02 价格(主口径)'!D145</f>
        <v/>
      </c>
      <c r="G304" s="17">
        <f>IF(OR(E304="",F304=""),"",E304-F304)</f>
        <v/>
      </c>
      <c r="H304" s="14" t="inlineStr"/>
    </row>
    <row r="305">
      <c r="A305" s="7">
        <f>'02 价格(主口径)'!A146</f>
        <v/>
      </c>
      <c r="C305" s="8" t="inlineStr">
        <is>
          <t>SD</t>
        </is>
      </c>
      <c r="D305" s="8" t="inlineStr">
        <is>
          <t>JS</t>
        </is>
      </c>
      <c r="E305" s="16">
        <f>'02 价格(主口径)'!B146</f>
        <v/>
      </c>
      <c r="F305" s="16">
        <f>'02 价格(主口径)'!D146</f>
        <v/>
      </c>
      <c r="G305" s="17">
        <f>IF(OR(E305="",F305=""),"",E305-F305)</f>
        <v/>
      </c>
      <c r="H305" s="14" t="inlineStr"/>
    </row>
    <row r="306">
      <c r="A306" s="7">
        <f>'02 价格(主口径)'!A147</f>
        <v/>
      </c>
      <c r="C306" s="8" t="inlineStr">
        <is>
          <t>SD</t>
        </is>
      </c>
      <c r="D306" s="8" t="inlineStr">
        <is>
          <t>JS</t>
        </is>
      </c>
      <c r="E306" s="16">
        <f>'02 价格(主口径)'!B147</f>
        <v/>
      </c>
      <c r="F306" s="16">
        <f>'02 价格(主口径)'!D147</f>
        <v/>
      </c>
      <c r="G306" s="17">
        <f>IF(OR(E306="",F306=""),"",E306-F306)</f>
        <v/>
      </c>
      <c r="H306" s="14" t="inlineStr"/>
    </row>
    <row r="307">
      <c r="A307" s="7">
        <f>'02 价格(主口径)'!A148</f>
        <v/>
      </c>
      <c r="C307" s="8" t="inlineStr">
        <is>
          <t>SD</t>
        </is>
      </c>
      <c r="D307" s="8" t="inlineStr">
        <is>
          <t>JS</t>
        </is>
      </c>
      <c r="E307" s="16">
        <f>'02 价格(主口径)'!B148</f>
        <v/>
      </c>
      <c r="F307" s="16">
        <f>'02 价格(主口径)'!D148</f>
        <v/>
      </c>
      <c r="G307" s="17">
        <f>IF(OR(E307="",F307=""),"",E307-F307)</f>
        <v/>
      </c>
      <c r="H307" s="14" t="inlineStr"/>
    </row>
    <row r="308">
      <c r="A308" s="7">
        <f>'02 价格(主口径)'!A149</f>
        <v/>
      </c>
      <c r="C308" s="8" t="inlineStr">
        <is>
          <t>SD</t>
        </is>
      </c>
      <c r="D308" s="8" t="inlineStr">
        <is>
          <t>JS</t>
        </is>
      </c>
      <c r="E308" s="16">
        <f>'02 价格(主口径)'!B149</f>
        <v/>
      </c>
      <c r="F308" s="16">
        <f>'02 价格(主口径)'!D149</f>
        <v/>
      </c>
      <c r="G308" s="17">
        <f>IF(OR(E308="",F308=""),"",E308-F308)</f>
        <v/>
      </c>
      <c r="H308" s="14" t="inlineStr"/>
    </row>
    <row r="309">
      <c r="A309" s="7">
        <f>'02 价格(主口径)'!A150</f>
        <v/>
      </c>
      <c r="C309" s="8" t="inlineStr">
        <is>
          <t>SD</t>
        </is>
      </c>
      <c r="D309" s="8" t="inlineStr">
        <is>
          <t>JS</t>
        </is>
      </c>
      <c r="E309" s="16">
        <f>'02 价格(主口径)'!B150</f>
        <v/>
      </c>
      <c r="F309" s="16">
        <f>'02 价格(主口径)'!D150</f>
        <v/>
      </c>
      <c r="G309" s="17">
        <f>IF(OR(E309="",F309=""),"",E309-F309)</f>
        <v/>
      </c>
      <c r="H309" s="14" t="inlineStr"/>
    </row>
    <row r="310">
      <c r="A310" s="7">
        <f>'02 价格(主口径)'!A151</f>
        <v/>
      </c>
      <c r="C310" s="8" t="inlineStr">
        <is>
          <t>SD</t>
        </is>
      </c>
      <c r="D310" s="8" t="inlineStr">
        <is>
          <t>JS</t>
        </is>
      </c>
      <c r="E310" s="16">
        <f>'02 价格(主口径)'!B151</f>
        <v/>
      </c>
      <c r="F310" s="16">
        <f>'02 价格(主口径)'!D151</f>
        <v/>
      </c>
      <c r="G310" s="17">
        <f>IF(OR(E310="",F310=""),"",E310-F310)</f>
        <v/>
      </c>
      <c r="H310" s="14" t="inlineStr"/>
    </row>
    <row r="311">
      <c r="A311" s="7">
        <f>'02 价格(主口径)'!A152</f>
        <v/>
      </c>
      <c r="C311" s="8" t="inlineStr">
        <is>
          <t>SD</t>
        </is>
      </c>
      <c r="D311" s="8" t="inlineStr">
        <is>
          <t>JS</t>
        </is>
      </c>
      <c r="E311" s="16">
        <f>'02 价格(主口径)'!B152</f>
        <v/>
      </c>
      <c r="F311" s="16">
        <f>'02 价格(主口径)'!D152</f>
        <v/>
      </c>
      <c r="G311" s="17">
        <f>IF(OR(E311="",F311=""),"",E311-F311)</f>
        <v/>
      </c>
      <c r="H311" s="14" t="inlineStr"/>
    </row>
    <row r="312">
      <c r="A312" s="7">
        <f>'02 价格(主口径)'!A153</f>
        <v/>
      </c>
      <c r="C312" s="8" t="inlineStr">
        <is>
          <t>SD</t>
        </is>
      </c>
      <c r="D312" s="8" t="inlineStr">
        <is>
          <t>JS</t>
        </is>
      </c>
      <c r="E312" s="16">
        <f>'02 价格(主口径)'!B153</f>
        <v/>
      </c>
      <c r="F312" s="16">
        <f>'02 价格(主口径)'!D153</f>
        <v/>
      </c>
      <c r="G312" s="17">
        <f>IF(OR(E312="",F312=""),"",E312-F312)</f>
        <v/>
      </c>
      <c r="H312" s="14" t="inlineStr"/>
    </row>
    <row r="313">
      <c r="A313" s="7">
        <f>'02 价格(主口径)'!A154</f>
        <v/>
      </c>
      <c r="C313" s="8" t="inlineStr">
        <is>
          <t>SD</t>
        </is>
      </c>
      <c r="D313" s="8" t="inlineStr">
        <is>
          <t>JS</t>
        </is>
      </c>
      <c r="E313" s="16">
        <f>'02 价格(主口径)'!B154</f>
        <v/>
      </c>
      <c r="F313" s="16">
        <f>'02 价格(主口径)'!D154</f>
        <v/>
      </c>
      <c r="G313" s="17">
        <f>IF(OR(E313="",F313=""),"",E313-F313)</f>
        <v/>
      </c>
      <c r="H313" s="14" t="inlineStr"/>
    </row>
    <row r="314">
      <c r="A314" s="7">
        <f>'02 价格(主口径)'!A155</f>
        <v/>
      </c>
      <c r="C314" s="8" t="inlineStr">
        <is>
          <t>SD</t>
        </is>
      </c>
      <c r="D314" s="8" t="inlineStr">
        <is>
          <t>JS</t>
        </is>
      </c>
      <c r="E314" s="16">
        <f>'02 价格(主口径)'!B155</f>
        <v/>
      </c>
      <c r="F314" s="16">
        <f>'02 价格(主口径)'!D155</f>
        <v/>
      </c>
      <c r="G314" s="17">
        <f>IF(OR(E314="",F314=""),"",E314-F314)</f>
        <v/>
      </c>
      <c r="H314" s="14" t="inlineStr"/>
    </row>
    <row r="315">
      <c r="A315" s="7">
        <f>'02 价格(主口径)'!A156</f>
        <v/>
      </c>
      <c r="C315" s="8" t="inlineStr">
        <is>
          <t>SD</t>
        </is>
      </c>
      <c r="D315" s="8" t="inlineStr">
        <is>
          <t>JS</t>
        </is>
      </c>
      <c r="E315" s="16">
        <f>'02 价格(主口径)'!B156</f>
        <v/>
      </c>
      <c r="F315" s="16">
        <f>'02 价格(主口径)'!D156</f>
        <v/>
      </c>
      <c r="G315" s="17">
        <f>IF(OR(E315="",F315=""),"",E315-F315)</f>
        <v/>
      </c>
      <c r="H315" s="14" t="inlineStr"/>
    </row>
    <row r="316">
      <c r="A316" s="18" t="inlineStr">
        <is>
          <t>统计</t>
        </is>
      </c>
      <c r="B316" s="19" t="inlineStr">
        <is>
          <t>N（有效配对）</t>
        </is>
      </c>
      <c r="E316" s="20">
        <f>COUNT(G164:G315)</f>
        <v/>
      </c>
      <c r="F316" s="18" t="inlineStr">
        <is>
          <t>均值</t>
        </is>
      </c>
      <c r="G316" s="21">
        <f>IFERROR(AVERAGE(G164:G315),"")</f>
        <v/>
      </c>
      <c r="H316" s="22" t="inlineStr">
        <is>
          <t>价差方向：正值=山东更贵</t>
        </is>
      </c>
    </row>
    <row r="317">
      <c r="A317" s="23" t="inlineStr">
        <is>
          <t>校验</t>
        </is>
      </c>
      <c r="B317" s="23" t="inlineStr">
        <is>
          <t>标准差</t>
        </is>
      </c>
      <c r="C317" s="24">
        <f>IFERROR(STDEV(G164:G315),"")</f>
        <v/>
      </c>
      <c r="D317" s="23" t="inlineStr">
        <is>
          <t>最小</t>
        </is>
      </c>
      <c r="E317" s="25">
        <f>IFERROR(MIN(G164:G315),"")</f>
        <v/>
      </c>
      <c r="F317" s="23" t="inlineStr">
        <is>
          <t>最大</t>
        </is>
      </c>
      <c r="G317" s="25">
        <f>IFERROR(MAX(G164:G315),"")</f>
        <v/>
      </c>
    </row>
    <row r="320">
      <c r="A320" s="5" t="inlineStr">
        <is>
          <t>河北 − 山东</t>
        </is>
      </c>
    </row>
    <row r="321" ht="30" customHeight="1">
      <c r="A321" s="6" t="inlineStr">
        <is>
          <t>日期</t>
        </is>
      </c>
      <c r="B321" s="6" t="inlineStr">
        <is>
          <t>价差(甲−乙)</t>
        </is>
      </c>
      <c r="C321" s="6" t="inlineStr">
        <is>
          <t>甲</t>
        </is>
      </c>
      <c r="D321" s="6" t="inlineStr">
        <is>
          <t>乙</t>
        </is>
      </c>
      <c r="E321" s="6" t="inlineStr">
        <is>
          <t>甲价</t>
        </is>
      </c>
      <c r="F321" s="6" t="inlineStr">
        <is>
          <t>乙价</t>
        </is>
      </c>
      <c r="G321" s="6" t="inlineStr">
        <is>
          <t>价差</t>
        </is>
      </c>
      <c r="H321" s="6" t="inlineStr">
        <is>
          <t>方向说明</t>
        </is>
      </c>
    </row>
    <row r="322">
      <c r="A322" s="7">
        <f>'02 价格(主口径)'!A5</f>
        <v/>
      </c>
      <c r="C322" s="8" t="inlineStr">
        <is>
          <t>HB</t>
        </is>
      </c>
      <c r="D322" s="8" t="inlineStr">
        <is>
          <t>SD</t>
        </is>
      </c>
      <c r="E322" s="16">
        <f>'02 价格(主口径)'!C5</f>
        <v/>
      </c>
      <c r="F322" s="16">
        <f>'02 价格(主口径)'!B5</f>
        <v/>
      </c>
      <c r="G322" s="17">
        <f>IF(OR(E322="",F322=""),"",E322-F322)</f>
        <v/>
      </c>
      <c r="H322" s="14" t="inlineStr"/>
    </row>
    <row r="323">
      <c r="A323" s="7">
        <f>'02 价格(主口径)'!A6</f>
        <v/>
      </c>
      <c r="C323" s="8" t="inlineStr">
        <is>
          <t>HB</t>
        </is>
      </c>
      <c r="D323" s="8" t="inlineStr">
        <is>
          <t>SD</t>
        </is>
      </c>
      <c r="E323" s="16">
        <f>'02 价格(主口径)'!C6</f>
        <v/>
      </c>
      <c r="F323" s="16">
        <f>'02 价格(主口径)'!B6</f>
        <v/>
      </c>
      <c r="G323" s="17">
        <f>IF(OR(E323="",F323=""),"",E323-F323)</f>
        <v/>
      </c>
      <c r="H323" s="14" t="inlineStr"/>
    </row>
    <row r="324">
      <c r="A324" s="7">
        <f>'02 价格(主口径)'!A7</f>
        <v/>
      </c>
      <c r="C324" s="8" t="inlineStr">
        <is>
          <t>HB</t>
        </is>
      </c>
      <c r="D324" s="8" t="inlineStr">
        <is>
          <t>SD</t>
        </is>
      </c>
      <c r="E324" s="16">
        <f>'02 价格(主口径)'!C7</f>
        <v/>
      </c>
      <c r="F324" s="16">
        <f>'02 价格(主口径)'!B7</f>
        <v/>
      </c>
      <c r="G324" s="17">
        <f>IF(OR(E324="",F324=""),"",E324-F324)</f>
        <v/>
      </c>
      <c r="H324" s="14" t="inlineStr"/>
    </row>
    <row r="325">
      <c r="A325" s="7">
        <f>'02 价格(主口径)'!A8</f>
        <v/>
      </c>
      <c r="C325" s="8" t="inlineStr">
        <is>
          <t>HB</t>
        </is>
      </c>
      <c r="D325" s="8" t="inlineStr">
        <is>
          <t>SD</t>
        </is>
      </c>
      <c r="E325" s="16">
        <f>'02 价格(主口径)'!C8</f>
        <v/>
      </c>
      <c r="F325" s="16">
        <f>'02 价格(主口径)'!B8</f>
        <v/>
      </c>
      <c r="G325" s="17">
        <f>IF(OR(E325="",F325=""),"",E325-F325)</f>
        <v/>
      </c>
      <c r="H325" s="14" t="inlineStr"/>
    </row>
    <row r="326">
      <c r="A326" s="7">
        <f>'02 价格(主口径)'!A9</f>
        <v/>
      </c>
      <c r="C326" s="8" t="inlineStr">
        <is>
          <t>HB</t>
        </is>
      </c>
      <c r="D326" s="8" t="inlineStr">
        <is>
          <t>SD</t>
        </is>
      </c>
      <c r="E326" s="16">
        <f>'02 价格(主口径)'!C9</f>
        <v/>
      </c>
      <c r="F326" s="16">
        <f>'02 价格(主口径)'!B9</f>
        <v/>
      </c>
      <c r="G326" s="17">
        <f>IF(OR(E326="",F326=""),"",E326-F326)</f>
        <v/>
      </c>
      <c r="H326" s="14" t="inlineStr"/>
    </row>
    <row r="327">
      <c r="A327" s="7">
        <f>'02 价格(主口径)'!A10</f>
        <v/>
      </c>
      <c r="C327" s="8" t="inlineStr">
        <is>
          <t>HB</t>
        </is>
      </c>
      <c r="D327" s="8" t="inlineStr">
        <is>
          <t>SD</t>
        </is>
      </c>
      <c r="E327" s="16">
        <f>'02 价格(主口径)'!C10</f>
        <v/>
      </c>
      <c r="F327" s="16">
        <f>'02 价格(主口径)'!B10</f>
        <v/>
      </c>
      <c r="G327" s="17">
        <f>IF(OR(E327="",F327=""),"",E327-F327)</f>
        <v/>
      </c>
      <c r="H327" s="14" t="inlineStr"/>
    </row>
    <row r="328">
      <c r="A328" s="7">
        <f>'02 价格(主口径)'!A11</f>
        <v/>
      </c>
      <c r="C328" s="8" t="inlineStr">
        <is>
          <t>HB</t>
        </is>
      </c>
      <c r="D328" s="8" t="inlineStr">
        <is>
          <t>SD</t>
        </is>
      </c>
      <c r="E328" s="16">
        <f>'02 价格(主口径)'!C11</f>
        <v/>
      </c>
      <c r="F328" s="16">
        <f>'02 价格(主口径)'!B11</f>
        <v/>
      </c>
      <c r="G328" s="17">
        <f>IF(OR(E328="",F328=""),"",E328-F328)</f>
        <v/>
      </c>
      <c r="H328" s="14" t="inlineStr"/>
    </row>
    <row r="329">
      <c r="A329" s="7">
        <f>'02 价格(主口径)'!A12</f>
        <v/>
      </c>
      <c r="C329" s="8" t="inlineStr">
        <is>
          <t>HB</t>
        </is>
      </c>
      <c r="D329" s="8" t="inlineStr">
        <is>
          <t>SD</t>
        </is>
      </c>
      <c r="E329" s="16">
        <f>'02 价格(主口径)'!C12</f>
        <v/>
      </c>
      <c r="F329" s="16">
        <f>'02 价格(主口径)'!B12</f>
        <v/>
      </c>
      <c r="G329" s="17">
        <f>IF(OR(E329="",F329=""),"",E329-F329)</f>
        <v/>
      </c>
      <c r="H329" s="14" t="inlineStr"/>
    </row>
    <row r="330">
      <c r="A330" s="7">
        <f>'02 价格(主口径)'!A13</f>
        <v/>
      </c>
      <c r="C330" s="8" t="inlineStr">
        <is>
          <t>HB</t>
        </is>
      </c>
      <c r="D330" s="8" t="inlineStr">
        <is>
          <t>SD</t>
        </is>
      </c>
      <c r="E330" s="16">
        <f>'02 价格(主口径)'!C13</f>
        <v/>
      </c>
      <c r="F330" s="16">
        <f>'02 价格(主口径)'!B13</f>
        <v/>
      </c>
      <c r="G330" s="17">
        <f>IF(OR(E330="",F330=""),"",E330-F330)</f>
        <v/>
      </c>
      <c r="H330" s="14" t="inlineStr"/>
    </row>
    <row r="331">
      <c r="A331" s="7">
        <f>'02 价格(主口径)'!A14</f>
        <v/>
      </c>
      <c r="C331" s="8" t="inlineStr">
        <is>
          <t>HB</t>
        </is>
      </c>
      <c r="D331" s="8" t="inlineStr">
        <is>
          <t>SD</t>
        </is>
      </c>
      <c r="E331" s="16">
        <f>'02 价格(主口径)'!C14</f>
        <v/>
      </c>
      <c r="F331" s="16">
        <f>'02 价格(主口径)'!B14</f>
        <v/>
      </c>
      <c r="G331" s="17">
        <f>IF(OR(E331="",F331=""),"",E331-F331)</f>
        <v/>
      </c>
      <c r="H331" s="14" t="inlineStr"/>
    </row>
    <row r="332">
      <c r="A332" s="7">
        <f>'02 价格(主口径)'!A15</f>
        <v/>
      </c>
      <c r="C332" s="8" t="inlineStr">
        <is>
          <t>HB</t>
        </is>
      </c>
      <c r="D332" s="8" t="inlineStr">
        <is>
          <t>SD</t>
        </is>
      </c>
      <c r="E332" s="16">
        <f>'02 价格(主口径)'!C15</f>
        <v/>
      </c>
      <c r="F332" s="16">
        <f>'02 价格(主口径)'!B15</f>
        <v/>
      </c>
      <c r="G332" s="17">
        <f>IF(OR(E332="",F332=""),"",E332-F332)</f>
        <v/>
      </c>
      <c r="H332" s="14" t="inlineStr"/>
    </row>
    <row r="333">
      <c r="A333" s="7">
        <f>'02 价格(主口径)'!A16</f>
        <v/>
      </c>
      <c r="C333" s="8" t="inlineStr">
        <is>
          <t>HB</t>
        </is>
      </c>
      <c r="D333" s="8" t="inlineStr">
        <is>
          <t>SD</t>
        </is>
      </c>
      <c r="E333" s="16">
        <f>'02 价格(主口径)'!C16</f>
        <v/>
      </c>
      <c r="F333" s="16">
        <f>'02 价格(主口径)'!B16</f>
        <v/>
      </c>
      <c r="G333" s="17">
        <f>IF(OR(E333="",F333=""),"",E333-F333)</f>
        <v/>
      </c>
      <c r="H333" s="14" t="inlineStr"/>
    </row>
    <row r="334">
      <c r="A334" s="7">
        <f>'02 价格(主口径)'!A17</f>
        <v/>
      </c>
      <c r="C334" s="8" t="inlineStr">
        <is>
          <t>HB</t>
        </is>
      </c>
      <c r="D334" s="8" t="inlineStr">
        <is>
          <t>SD</t>
        </is>
      </c>
      <c r="E334" s="16">
        <f>'02 价格(主口径)'!C17</f>
        <v/>
      </c>
      <c r="F334" s="16">
        <f>'02 价格(主口径)'!B17</f>
        <v/>
      </c>
      <c r="G334" s="17">
        <f>IF(OR(E334="",F334=""),"",E334-F334)</f>
        <v/>
      </c>
      <c r="H334" s="14" t="inlineStr"/>
    </row>
    <row r="335">
      <c r="A335" s="7">
        <f>'02 价格(主口径)'!A18</f>
        <v/>
      </c>
      <c r="C335" s="8" t="inlineStr">
        <is>
          <t>HB</t>
        </is>
      </c>
      <c r="D335" s="8" t="inlineStr">
        <is>
          <t>SD</t>
        </is>
      </c>
      <c r="E335" s="16">
        <f>'02 价格(主口径)'!C18</f>
        <v/>
      </c>
      <c r="F335" s="16">
        <f>'02 价格(主口径)'!B18</f>
        <v/>
      </c>
      <c r="G335" s="17">
        <f>IF(OR(E335="",F335=""),"",E335-F335)</f>
        <v/>
      </c>
      <c r="H335" s="14" t="inlineStr"/>
    </row>
    <row r="336">
      <c r="A336" s="7">
        <f>'02 价格(主口径)'!A19</f>
        <v/>
      </c>
      <c r="C336" s="8" t="inlineStr">
        <is>
          <t>HB</t>
        </is>
      </c>
      <c r="D336" s="8" t="inlineStr">
        <is>
          <t>SD</t>
        </is>
      </c>
      <c r="E336" s="16">
        <f>'02 价格(主口径)'!C19</f>
        <v/>
      </c>
      <c r="F336" s="16">
        <f>'02 价格(主口径)'!B19</f>
        <v/>
      </c>
      <c r="G336" s="17">
        <f>IF(OR(E336="",F336=""),"",E336-F336)</f>
        <v/>
      </c>
      <c r="H336" s="14" t="inlineStr"/>
    </row>
    <row r="337">
      <c r="A337" s="7">
        <f>'02 价格(主口径)'!A20</f>
        <v/>
      </c>
      <c r="C337" s="8" t="inlineStr">
        <is>
          <t>HB</t>
        </is>
      </c>
      <c r="D337" s="8" t="inlineStr">
        <is>
          <t>SD</t>
        </is>
      </c>
      <c r="E337" s="16">
        <f>'02 价格(主口径)'!C20</f>
        <v/>
      </c>
      <c r="F337" s="16">
        <f>'02 价格(主口径)'!B20</f>
        <v/>
      </c>
      <c r="G337" s="17">
        <f>IF(OR(E337="",F337=""),"",E337-F337)</f>
        <v/>
      </c>
      <c r="H337" s="14" t="inlineStr"/>
    </row>
    <row r="338">
      <c r="A338" s="7">
        <f>'02 价格(主口径)'!A21</f>
        <v/>
      </c>
      <c r="C338" s="8" t="inlineStr">
        <is>
          <t>HB</t>
        </is>
      </c>
      <c r="D338" s="8" t="inlineStr">
        <is>
          <t>SD</t>
        </is>
      </c>
      <c r="E338" s="16">
        <f>'02 价格(主口径)'!C21</f>
        <v/>
      </c>
      <c r="F338" s="16">
        <f>'02 价格(主口径)'!B21</f>
        <v/>
      </c>
      <c r="G338" s="17">
        <f>IF(OR(E338="",F338=""),"",E338-F338)</f>
        <v/>
      </c>
      <c r="H338" s="14" t="inlineStr"/>
    </row>
    <row r="339">
      <c r="A339" s="7">
        <f>'02 价格(主口径)'!A22</f>
        <v/>
      </c>
      <c r="C339" s="8" t="inlineStr">
        <is>
          <t>HB</t>
        </is>
      </c>
      <c r="D339" s="8" t="inlineStr">
        <is>
          <t>SD</t>
        </is>
      </c>
      <c r="E339" s="16">
        <f>'02 价格(主口径)'!C22</f>
        <v/>
      </c>
      <c r="F339" s="16">
        <f>'02 价格(主口径)'!B22</f>
        <v/>
      </c>
      <c r="G339" s="17">
        <f>IF(OR(E339="",F339=""),"",E339-F339)</f>
        <v/>
      </c>
      <c r="H339" s="14" t="inlineStr"/>
    </row>
    <row r="340">
      <c r="A340" s="7">
        <f>'02 价格(主口径)'!A23</f>
        <v/>
      </c>
      <c r="C340" s="8" t="inlineStr">
        <is>
          <t>HB</t>
        </is>
      </c>
      <c r="D340" s="8" t="inlineStr">
        <is>
          <t>SD</t>
        </is>
      </c>
      <c r="E340" s="16">
        <f>'02 价格(主口径)'!C23</f>
        <v/>
      </c>
      <c r="F340" s="16">
        <f>'02 价格(主口径)'!B23</f>
        <v/>
      </c>
      <c r="G340" s="17">
        <f>IF(OR(E340="",F340=""),"",E340-F340)</f>
        <v/>
      </c>
      <c r="H340" s="14" t="inlineStr"/>
    </row>
    <row r="341">
      <c r="A341" s="7">
        <f>'02 价格(主口径)'!A24</f>
        <v/>
      </c>
      <c r="C341" s="8" t="inlineStr">
        <is>
          <t>HB</t>
        </is>
      </c>
      <c r="D341" s="8" t="inlineStr">
        <is>
          <t>SD</t>
        </is>
      </c>
      <c r="E341" s="16">
        <f>'02 价格(主口径)'!C24</f>
        <v/>
      </c>
      <c r="F341" s="16">
        <f>'02 价格(主口径)'!B24</f>
        <v/>
      </c>
      <c r="G341" s="17">
        <f>IF(OR(E341="",F341=""),"",E341-F341)</f>
        <v/>
      </c>
      <c r="H341" s="14" t="inlineStr"/>
    </row>
    <row r="342">
      <c r="A342" s="7">
        <f>'02 价格(主口径)'!A25</f>
        <v/>
      </c>
      <c r="C342" s="8" t="inlineStr">
        <is>
          <t>HB</t>
        </is>
      </c>
      <c r="D342" s="8" t="inlineStr">
        <is>
          <t>SD</t>
        </is>
      </c>
      <c r="E342" s="16">
        <f>'02 价格(主口径)'!C25</f>
        <v/>
      </c>
      <c r="F342" s="16">
        <f>'02 价格(主口径)'!B25</f>
        <v/>
      </c>
      <c r="G342" s="17">
        <f>IF(OR(E342="",F342=""),"",E342-F342)</f>
        <v/>
      </c>
      <c r="H342" s="14" t="inlineStr"/>
    </row>
    <row r="343">
      <c r="A343" s="7">
        <f>'02 价格(主口径)'!A26</f>
        <v/>
      </c>
      <c r="C343" s="8" t="inlineStr">
        <is>
          <t>HB</t>
        </is>
      </c>
      <c r="D343" s="8" t="inlineStr">
        <is>
          <t>SD</t>
        </is>
      </c>
      <c r="E343" s="16">
        <f>'02 价格(主口径)'!C26</f>
        <v/>
      </c>
      <c r="F343" s="16">
        <f>'02 价格(主口径)'!B26</f>
        <v/>
      </c>
      <c r="G343" s="17">
        <f>IF(OR(E343="",F343=""),"",E343-F343)</f>
        <v/>
      </c>
      <c r="H343" s="14" t="inlineStr"/>
    </row>
    <row r="344">
      <c r="A344" s="7">
        <f>'02 价格(主口径)'!A27</f>
        <v/>
      </c>
      <c r="C344" s="8" t="inlineStr">
        <is>
          <t>HB</t>
        </is>
      </c>
      <c r="D344" s="8" t="inlineStr">
        <is>
          <t>SD</t>
        </is>
      </c>
      <c r="E344" s="16">
        <f>'02 价格(主口径)'!C27</f>
        <v/>
      </c>
      <c r="F344" s="16">
        <f>'02 价格(主口径)'!B27</f>
        <v/>
      </c>
      <c r="G344" s="17">
        <f>IF(OR(E344="",F344=""),"",E344-F344)</f>
        <v/>
      </c>
      <c r="H344" s="14" t="inlineStr"/>
    </row>
    <row r="345">
      <c r="A345" s="7">
        <f>'02 价格(主口径)'!A28</f>
        <v/>
      </c>
      <c r="C345" s="8" t="inlineStr">
        <is>
          <t>HB</t>
        </is>
      </c>
      <c r="D345" s="8" t="inlineStr">
        <is>
          <t>SD</t>
        </is>
      </c>
      <c r="E345" s="16">
        <f>'02 价格(主口径)'!C28</f>
        <v/>
      </c>
      <c r="F345" s="16">
        <f>'02 价格(主口径)'!B28</f>
        <v/>
      </c>
      <c r="G345" s="17">
        <f>IF(OR(E345="",F345=""),"",E345-F345)</f>
        <v/>
      </c>
      <c r="H345" s="14" t="inlineStr"/>
    </row>
    <row r="346">
      <c r="A346" s="7">
        <f>'02 价格(主口径)'!A29</f>
        <v/>
      </c>
      <c r="C346" s="8" t="inlineStr">
        <is>
          <t>HB</t>
        </is>
      </c>
      <c r="D346" s="8" t="inlineStr">
        <is>
          <t>SD</t>
        </is>
      </c>
      <c r="E346" s="16">
        <f>'02 价格(主口径)'!C29</f>
        <v/>
      </c>
      <c r="F346" s="16">
        <f>'02 价格(主口径)'!B29</f>
        <v/>
      </c>
      <c r="G346" s="17">
        <f>IF(OR(E346="",F346=""),"",E346-F346)</f>
        <v/>
      </c>
      <c r="H346" s="14" t="inlineStr"/>
    </row>
    <row r="347">
      <c r="A347" s="7">
        <f>'02 价格(主口径)'!A30</f>
        <v/>
      </c>
      <c r="C347" s="8" t="inlineStr">
        <is>
          <t>HB</t>
        </is>
      </c>
      <c r="D347" s="8" t="inlineStr">
        <is>
          <t>SD</t>
        </is>
      </c>
      <c r="E347" s="16">
        <f>'02 价格(主口径)'!C30</f>
        <v/>
      </c>
      <c r="F347" s="16">
        <f>'02 价格(主口径)'!B30</f>
        <v/>
      </c>
      <c r="G347" s="17">
        <f>IF(OR(E347="",F347=""),"",E347-F347)</f>
        <v/>
      </c>
      <c r="H347" s="14" t="inlineStr"/>
    </row>
    <row r="348">
      <c r="A348" s="7">
        <f>'02 价格(主口径)'!A31</f>
        <v/>
      </c>
      <c r="C348" s="8" t="inlineStr">
        <is>
          <t>HB</t>
        </is>
      </c>
      <c r="D348" s="8" t="inlineStr">
        <is>
          <t>SD</t>
        </is>
      </c>
      <c r="E348" s="16">
        <f>'02 价格(主口径)'!C31</f>
        <v/>
      </c>
      <c r="F348" s="16">
        <f>'02 价格(主口径)'!B31</f>
        <v/>
      </c>
      <c r="G348" s="17">
        <f>IF(OR(E348="",F348=""),"",E348-F348)</f>
        <v/>
      </c>
      <c r="H348" s="14" t="inlineStr"/>
    </row>
    <row r="349">
      <c r="A349" s="7">
        <f>'02 价格(主口径)'!A32</f>
        <v/>
      </c>
      <c r="C349" s="8" t="inlineStr">
        <is>
          <t>HB</t>
        </is>
      </c>
      <c r="D349" s="8" t="inlineStr">
        <is>
          <t>SD</t>
        </is>
      </c>
      <c r="E349" s="16">
        <f>'02 价格(主口径)'!C32</f>
        <v/>
      </c>
      <c r="F349" s="16">
        <f>'02 价格(主口径)'!B32</f>
        <v/>
      </c>
      <c r="G349" s="17">
        <f>IF(OR(E349="",F349=""),"",E349-F349)</f>
        <v/>
      </c>
      <c r="H349" s="14" t="inlineStr"/>
    </row>
    <row r="350">
      <c r="A350" s="7">
        <f>'02 价格(主口径)'!A33</f>
        <v/>
      </c>
      <c r="C350" s="8" t="inlineStr">
        <is>
          <t>HB</t>
        </is>
      </c>
      <c r="D350" s="8" t="inlineStr">
        <is>
          <t>SD</t>
        </is>
      </c>
      <c r="E350" s="16">
        <f>'02 价格(主口径)'!C33</f>
        <v/>
      </c>
      <c r="F350" s="16">
        <f>'02 价格(主口径)'!B33</f>
        <v/>
      </c>
      <c r="G350" s="17">
        <f>IF(OR(E350="",F350=""),"",E350-F350)</f>
        <v/>
      </c>
      <c r="H350" s="14" t="inlineStr"/>
    </row>
    <row r="351">
      <c r="A351" s="7">
        <f>'02 价格(主口径)'!A34</f>
        <v/>
      </c>
      <c r="C351" s="8" t="inlineStr">
        <is>
          <t>HB</t>
        </is>
      </c>
      <c r="D351" s="8" t="inlineStr">
        <is>
          <t>SD</t>
        </is>
      </c>
      <c r="E351" s="16">
        <f>'02 价格(主口径)'!C34</f>
        <v/>
      </c>
      <c r="F351" s="16">
        <f>'02 价格(主口径)'!B34</f>
        <v/>
      </c>
      <c r="G351" s="17">
        <f>IF(OR(E351="",F351=""),"",E351-F351)</f>
        <v/>
      </c>
      <c r="H351" s="14" t="inlineStr"/>
    </row>
    <row r="352">
      <c r="A352" s="7">
        <f>'02 价格(主口径)'!A35</f>
        <v/>
      </c>
      <c r="C352" s="8" t="inlineStr">
        <is>
          <t>HB</t>
        </is>
      </c>
      <c r="D352" s="8" t="inlineStr">
        <is>
          <t>SD</t>
        </is>
      </c>
      <c r="E352" s="16">
        <f>'02 价格(主口径)'!C35</f>
        <v/>
      </c>
      <c r="F352" s="16">
        <f>'02 价格(主口径)'!B35</f>
        <v/>
      </c>
      <c r="G352" s="17">
        <f>IF(OR(E352="",F352=""),"",E352-F352)</f>
        <v/>
      </c>
      <c r="H352" s="14" t="inlineStr"/>
    </row>
    <row r="353">
      <c r="A353" s="7">
        <f>'02 价格(主口径)'!A36</f>
        <v/>
      </c>
      <c r="C353" s="8" t="inlineStr">
        <is>
          <t>HB</t>
        </is>
      </c>
      <c r="D353" s="8" t="inlineStr">
        <is>
          <t>SD</t>
        </is>
      </c>
      <c r="E353" s="16">
        <f>'02 价格(主口径)'!C36</f>
        <v/>
      </c>
      <c r="F353" s="16">
        <f>'02 价格(主口径)'!B36</f>
        <v/>
      </c>
      <c r="G353" s="17">
        <f>IF(OR(E353="",F353=""),"",E353-F353)</f>
        <v/>
      </c>
      <c r="H353" s="14" t="inlineStr"/>
    </row>
    <row r="354">
      <c r="A354" s="7">
        <f>'02 价格(主口径)'!A37</f>
        <v/>
      </c>
      <c r="C354" s="8" t="inlineStr">
        <is>
          <t>HB</t>
        </is>
      </c>
      <c r="D354" s="8" t="inlineStr">
        <is>
          <t>SD</t>
        </is>
      </c>
      <c r="E354" s="16">
        <f>'02 价格(主口径)'!C37</f>
        <v/>
      </c>
      <c r="F354" s="16">
        <f>'02 价格(主口径)'!B37</f>
        <v/>
      </c>
      <c r="G354" s="17">
        <f>IF(OR(E354="",F354=""),"",E354-F354)</f>
        <v/>
      </c>
      <c r="H354" s="14" t="inlineStr"/>
    </row>
    <row r="355">
      <c r="A355" s="7">
        <f>'02 价格(主口径)'!A38</f>
        <v/>
      </c>
      <c r="C355" s="8" t="inlineStr">
        <is>
          <t>HB</t>
        </is>
      </c>
      <c r="D355" s="8" t="inlineStr">
        <is>
          <t>SD</t>
        </is>
      </c>
      <c r="E355" s="16">
        <f>'02 价格(主口径)'!C38</f>
        <v/>
      </c>
      <c r="F355" s="16">
        <f>'02 价格(主口径)'!B38</f>
        <v/>
      </c>
      <c r="G355" s="17">
        <f>IF(OR(E355="",F355=""),"",E355-F355)</f>
        <v/>
      </c>
      <c r="H355" s="14" t="inlineStr"/>
    </row>
    <row r="356">
      <c r="A356" s="7">
        <f>'02 价格(主口径)'!A39</f>
        <v/>
      </c>
      <c r="C356" s="8" t="inlineStr">
        <is>
          <t>HB</t>
        </is>
      </c>
      <c r="D356" s="8" t="inlineStr">
        <is>
          <t>SD</t>
        </is>
      </c>
      <c r="E356" s="16">
        <f>'02 价格(主口径)'!C39</f>
        <v/>
      </c>
      <c r="F356" s="16">
        <f>'02 价格(主口径)'!B39</f>
        <v/>
      </c>
      <c r="G356" s="17">
        <f>IF(OR(E356="",F356=""),"",E356-F356)</f>
        <v/>
      </c>
      <c r="H356" s="14" t="inlineStr"/>
    </row>
    <row r="357">
      <c r="A357" s="7">
        <f>'02 价格(主口径)'!A40</f>
        <v/>
      </c>
      <c r="C357" s="8" t="inlineStr">
        <is>
          <t>HB</t>
        </is>
      </c>
      <c r="D357" s="8" t="inlineStr">
        <is>
          <t>SD</t>
        </is>
      </c>
      <c r="E357" s="16">
        <f>'02 价格(主口径)'!C40</f>
        <v/>
      </c>
      <c r="F357" s="16">
        <f>'02 价格(主口径)'!B40</f>
        <v/>
      </c>
      <c r="G357" s="17">
        <f>IF(OR(E357="",F357=""),"",E357-F357)</f>
        <v/>
      </c>
      <c r="H357" s="14" t="inlineStr"/>
    </row>
    <row r="358">
      <c r="A358" s="7">
        <f>'02 价格(主口径)'!A41</f>
        <v/>
      </c>
      <c r="C358" s="8" t="inlineStr">
        <is>
          <t>HB</t>
        </is>
      </c>
      <c r="D358" s="8" t="inlineStr">
        <is>
          <t>SD</t>
        </is>
      </c>
      <c r="E358" s="16">
        <f>'02 价格(主口径)'!C41</f>
        <v/>
      </c>
      <c r="F358" s="16">
        <f>'02 价格(主口径)'!B41</f>
        <v/>
      </c>
      <c r="G358" s="17">
        <f>IF(OR(E358="",F358=""),"",E358-F358)</f>
        <v/>
      </c>
      <c r="H358" s="14" t="inlineStr"/>
    </row>
    <row r="359">
      <c r="A359" s="7">
        <f>'02 价格(主口径)'!A42</f>
        <v/>
      </c>
      <c r="C359" s="8" t="inlineStr">
        <is>
          <t>HB</t>
        </is>
      </c>
      <c r="D359" s="8" t="inlineStr">
        <is>
          <t>SD</t>
        </is>
      </c>
      <c r="E359" s="16">
        <f>'02 价格(主口径)'!C42</f>
        <v/>
      </c>
      <c r="F359" s="16">
        <f>'02 价格(主口径)'!B42</f>
        <v/>
      </c>
      <c r="G359" s="17">
        <f>IF(OR(E359="",F359=""),"",E359-F359)</f>
        <v/>
      </c>
      <c r="H359" s="14" t="inlineStr"/>
    </row>
    <row r="360">
      <c r="A360" s="7">
        <f>'02 价格(主口径)'!A43</f>
        <v/>
      </c>
      <c r="C360" s="8" t="inlineStr">
        <is>
          <t>HB</t>
        </is>
      </c>
      <c r="D360" s="8" t="inlineStr">
        <is>
          <t>SD</t>
        </is>
      </c>
      <c r="E360" s="16">
        <f>'02 价格(主口径)'!C43</f>
        <v/>
      </c>
      <c r="F360" s="16">
        <f>'02 价格(主口径)'!B43</f>
        <v/>
      </c>
      <c r="G360" s="17">
        <f>IF(OR(E360="",F360=""),"",E360-F360)</f>
        <v/>
      </c>
      <c r="H360" s="14" t="inlineStr"/>
    </row>
    <row r="361">
      <c r="A361" s="7">
        <f>'02 价格(主口径)'!A44</f>
        <v/>
      </c>
      <c r="C361" s="8" t="inlineStr">
        <is>
          <t>HB</t>
        </is>
      </c>
      <c r="D361" s="8" t="inlineStr">
        <is>
          <t>SD</t>
        </is>
      </c>
      <c r="E361" s="16">
        <f>'02 价格(主口径)'!C44</f>
        <v/>
      </c>
      <c r="F361" s="16">
        <f>'02 价格(主口径)'!B44</f>
        <v/>
      </c>
      <c r="G361" s="17">
        <f>IF(OR(E361="",F361=""),"",E361-F361)</f>
        <v/>
      </c>
      <c r="H361" s="14" t="inlineStr"/>
    </row>
    <row r="362">
      <c r="A362" s="7">
        <f>'02 价格(主口径)'!A45</f>
        <v/>
      </c>
      <c r="C362" s="8" t="inlineStr">
        <is>
          <t>HB</t>
        </is>
      </c>
      <c r="D362" s="8" t="inlineStr">
        <is>
          <t>SD</t>
        </is>
      </c>
      <c r="E362" s="16">
        <f>'02 价格(主口径)'!C45</f>
        <v/>
      </c>
      <c r="F362" s="16">
        <f>'02 价格(主口径)'!B45</f>
        <v/>
      </c>
      <c r="G362" s="17">
        <f>IF(OR(E362="",F362=""),"",E362-F362)</f>
        <v/>
      </c>
      <c r="H362" s="14" t="inlineStr"/>
    </row>
    <row r="363">
      <c r="A363" s="7">
        <f>'02 价格(主口径)'!A46</f>
        <v/>
      </c>
      <c r="C363" s="8" t="inlineStr">
        <is>
          <t>HB</t>
        </is>
      </c>
      <c r="D363" s="8" t="inlineStr">
        <is>
          <t>SD</t>
        </is>
      </c>
      <c r="E363" s="16">
        <f>'02 价格(主口径)'!C46</f>
        <v/>
      </c>
      <c r="F363" s="16">
        <f>'02 价格(主口径)'!B46</f>
        <v/>
      </c>
      <c r="G363" s="17">
        <f>IF(OR(E363="",F363=""),"",E363-F363)</f>
        <v/>
      </c>
      <c r="H363" s="14" t="inlineStr"/>
    </row>
    <row r="364">
      <c r="A364" s="7">
        <f>'02 价格(主口径)'!A47</f>
        <v/>
      </c>
      <c r="C364" s="8" t="inlineStr">
        <is>
          <t>HB</t>
        </is>
      </c>
      <c r="D364" s="8" t="inlineStr">
        <is>
          <t>SD</t>
        </is>
      </c>
      <c r="E364" s="16">
        <f>'02 价格(主口径)'!C47</f>
        <v/>
      </c>
      <c r="F364" s="16">
        <f>'02 价格(主口径)'!B47</f>
        <v/>
      </c>
      <c r="G364" s="17">
        <f>IF(OR(E364="",F364=""),"",E364-F364)</f>
        <v/>
      </c>
      <c r="H364" s="14" t="inlineStr"/>
    </row>
    <row r="365">
      <c r="A365" s="7">
        <f>'02 价格(主口径)'!A48</f>
        <v/>
      </c>
      <c r="C365" s="8" t="inlineStr">
        <is>
          <t>HB</t>
        </is>
      </c>
      <c r="D365" s="8" t="inlineStr">
        <is>
          <t>SD</t>
        </is>
      </c>
      <c r="E365" s="16">
        <f>'02 价格(主口径)'!C48</f>
        <v/>
      </c>
      <c r="F365" s="16">
        <f>'02 价格(主口径)'!B48</f>
        <v/>
      </c>
      <c r="G365" s="17">
        <f>IF(OR(E365="",F365=""),"",E365-F365)</f>
        <v/>
      </c>
      <c r="H365" s="14" t="inlineStr"/>
    </row>
    <row r="366">
      <c r="A366" s="7">
        <f>'02 价格(主口径)'!A49</f>
        <v/>
      </c>
      <c r="C366" s="8" t="inlineStr">
        <is>
          <t>HB</t>
        </is>
      </c>
      <c r="D366" s="8" t="inlineStr">
        <is>
          <t>SD</t>
        </is>
      </c>
      <c r="E366" s="16">
        <f>'02 价格(主口径)'!C49</f>
        <v/>
      </c>
      <c r="F366" s="16">
        <f>'02 价格(主口径)'!B49</f>
        <v/>
      </c>
      <c r="G366" s="17">
        <f>IF(OR(E366="",F366=""),"",E366-F366)</f>
        <v/>
      </c>
      <c r="H366" s="14" t="inlineStr"/>
    </row>
    <row r="367">
      <c r="A367" s="7">
        <f>'02 价格(主口径)'!A50</f>
        <v/>
      </c>
      <c r="C367" s="8" t="inlineStr">
        <is>
          <t>HB</t>
        </is>
      </c>
      <c r="D367" s="8" t="inlineStr">
        <is>
          <t>SD</t>
        </is>
      </c>
      <c r="E367" s="16">
        <f>'02 价格(主口径)'!C50</f>
        <v/>
      </c>
      <c r="F367" s="16">
        <f>'02 价格(主口径)'!B50</f>
        <v/>
      </c>
      <c r="G367" s="17">
        <f>IF(OR(E367="",F367=""),"",E367-F367)</f>
        <v/>
      </c>
      <c r="H367" s="14" t="inlineStr"/>
    </row>
    <row r="368">
      <c r="A368" s="7">
        <f>'02 价格(主口径)'!A51</f>
        <v/>
      </c>
      <c r="C368" s="8" t="inlineStr">
        <is>
          <t>HB</t>
        </is>
      </c>
      <c r="D368" s="8" t="inlineStr">
        <is>
          <t>SD</t>
        </is>
      </c>
      <c r="E368" s="16">
        <f>'02 价格(主口径)'!C51</f>
        <v/>
      </c>
      <c r="F368" s="16">
        <f>'02 价格(主口径)'!B51</f>
        <v/>
      </c>
      <c r="G368" s="17">
        <f>IF(OR(E368="",F368=""),"",E368-F368)</f>
        <v/>
      </c>
      <c r="H368" s="14" t="inlineStr"/>
    </row>
    <row r="369">
      <c r="A369" s="7">
        <f>'02 价格(主口径)'!A52</f>
        <v/>
      </c>
      <c r="C369" s="8" t="inlineStr">
        <is>
          <t>HB</t>
        </is>
      </c>
      <c r="D369" s="8" t="inlineStr">
        <is>
          <t>SD</t>
        </is>
      </c>
      <c r="E369" s="16">
        <f>'02 价格(主口径)'!C52</f>
        <v/>
      </c>
      <c r="F369" s="16">
        <f>'02 价格(主口径)'!B52</f>
        <v/>
      </c>
      <c r="G369" s="17">
        <f>IF(OR(E369="",F369=""),"",E369-F369)</f>
        <v/>
      </c>
      <c r="H369" s="14" t="inlineStr"/>
    </row>
    <row r="370">
      <c r="A370" s="7">
        <f>'02 价格(主口径)'!A53</f>
        <v/>
      </c>
      <c r="C370" s="8" t="inlineStr">
        <is>
          <t>HB</t>
        </is>
      </c>
      <c r="D370" s="8" t="inlineStr">
        <is>
          <t>SD</t>
        </is>
      </c>
      <c r="E370" s="16">
        <f>'02 价格(主口径)'!C53</f>
        <v/>
      </c>
      <c r="F370" s="16">
        <f>'02 价格(主口径)'!B53</f>
        <v/>
      </c>
      <c r="G370" s="17">
        <f>IF(OR(E370="",F370=""),"",E370-F370)</f>
        <v/>
      </c>
      <c r="H370" s="14" t="inlineStr"/>
    </row>
    <row r="371">
      <c r="A371" s="7">
        <f>'02 价格(主口径)'!A54</f>
        <v/>
      </c>
      <c r="C371" s="8" t="inlineStr">
        <is>
          <t>HB</t>
        </is>
      </c>
      <c r="D371" s="8" t="inlineStr">
        <is>
          <t>SD</t>
        </is>
      </c>
      <c r="E371" s="16">
        <f>'02 价格(主口径)'!C54</f>
        <v/>
      </c>
      <c r="F371" s="16">
        <f>'02 价格(主口径)'!B54</f>
        <v/>
      </c>
      <c r="G371" s="17">
        <f>IF(OR(E371="",F371=""),"",E371-F371)</f>
        <v/>
      </c>
      <c r="H371" s="14" t="inlineStr"/>
    </row>
    <row r="372">
      <c r="A372" s="7">
        <f>'02 价格(主口径)'!A55</f>
        <v/>
      </c>
      <c r="C372" s="8" t="inlineStr">
        <is>
          <t>HB</t>
        </is>
      </c>
      <c r="D372" s="8" t="inlineStr">
        <is>
          <t>SD</t>
        </is>
      </c>
      <c r="E372" s="16">
        <f>'02 价格(主口径)'!C55</f>
        <v/>
      </c>
      <c r="F372" s="16">
        <f>'02 价格(主口径)'!B55</f>
        <v/>
      </c>
      <c r="G372" s="17">
        <f>IF(OR(E372="",F372=""),"",E372-F372)</f>
        <v/>
      </c>
      <c r="H372" s="14" t="inlineStr"/>
    </row>
    <row r="373">
      <c r="A373" s="7">
        <f>'02 价格(主口径)'!A56</f>
        <v/>
      </c>
      <c r="C373" s="8" t="inlineStr">
        <is>
          <t>HB</t>
        </is>
      </c>
      <c r="D373" s="8" t="inlineStr">
        <is>
          <t>SD</t>
        </is>
      </c>
      <c r="E373" s="16">
        <f>'02 价格(主口径)'!C56</f>
        <v/>
      </c>
      <c r="F373" s="16">
        <f>'02 价格(主口径)'!B56</f>
        <v/>
      </c>
      <c r="G373" s="17">
        <f>IF(OR(E373="",F373=""),"",E373-F373)</f>
        <v/>
      </c>
      <c r="H373" s="14" t="inlineStr"/>
    </row>
    <row r="374">
      <c r="A374" s="7">
        <f>'02 价格(主口径)'!A57</f>
        <v/>
      </c>
      <c r="C374" s="8" t="inlineStr">
        <is>
          <t>HB</t>
        </is>
      </c>
      <c r="D374" s="8" t="inlineStr">
        <is>
          <t>SD</t>
        </is>
      </c>
      <c r="E374" s="16">
        <f>'02 价格(主口径)'!C57</f>
        <v/>
      </c>
      <c r="F374" s="16">
        <f>'02 价格(主口径)'!B57</f>
        <v/>
      </c>
      <c r="G374" s="17">
        <f>IF(OR(E374="",F374=""),"",E374-F374)</f>
        <v/>
      </c>
      <c r="H374" s="14" t="inlineStr"/>
    </row>
    <row r="375">
      <c r="A375" s="7">
        <f>'02 价格(主口径)'!A58</f>
        <v/>
      </c>
      <c r="C375" s="8" t="inlineStr">
        <is>
          <t>HB</t>
        </is>
      </c>
      <c r="D375" s="8" t="inlineStr">
        <is>
          <t>SD</t>
        </is>
      </c>
      <c r="E375" s="16">
        <f>'02 价格(主口径)'!C58</f>
        <v/>
      </c>
      <c r="F375" s="16">
        <f>'02 价格(主口径)'!B58</f>
        <v/>
      </c>
      <c r="G375" s="17">
        <f>IF(OR(E375="",F375=""),"",E375-F375)</f>
        <v/>
      </c>
      <c r="H375" s="14" t="inlineStr"/>
    </row>
    <row r="376">
      <c r="A376" s="7">
        <f>'02 价格(主口径)'!A59</f>
        <v/>
      </c>
      <c r="C376" s="8" t="inlineStr">
        <is>
          <t>HB</t>
        </is>
      </c>
      <c r="D376" s="8" t="inlineStr">
        <is>
          <t>SD</t>
        </is>
      </c>
      <c r="E376" s="16">
        <f>'02 价格(主口径)'!C59</f>
        <v/>
      </c>
      <c r="F376" s="16">
        <f>'02 价格(主口径)'!B59</f>
        <v/>
      </c>
      <c r="G376" s="17">
        <f>IF(OR(E376="",F376=""),"",E376-F376)</f>
        <v/>
      </c>
      <c r="H376" s="14" t="inlineStr"/>
    </row>
    <row r="377">
      <c r="A377" s="7">
        <f>'02 价格(主口径)'!A60</f>
        <v/>
      </c>
      <c r="C377" s="8" t="inlineStr">
        <is>
          <t>HB</t>
        </is>
      </c>
      <c r="D377" s="8" t="inlineStr">
        <is>
          <t>SD</t>
        </is>
      </c>
      <c r="E377" s="16">
        <f>'02 价格(主口径)'!C60</f>
        <v/>
      </c>
      <c r="F377" s="16">
        <f>'02 价格(主口径)'!B60</f>
        <v/>
      </c>
      <c r="G377" s="17">
        <f>IF(OR(E377="",F377=""),"",E377-F377)</f>
        <v/>
      </c>
      <c r="H377" s="14" t="inlineStr"/>
    </row>
    <row r="378">
      <c r="A378" s="7">
        <f>'02 价格(主口径)'!A61</f>
        <v/>
      </c>
      <c r="C378" s="8" t="inlineStr">
        <is>
          <t>HB</t>
        </is>
      </c>
      <c r="D378" s="8" t="inlineStr">
        <is>
          <t>SD</t>
        </is>
      </c>
      <c r="E378" s="16">
        <f>'02 价格(主口径)'!C61</f>
        <v/>
      </c>
      <c r="F378" s="16">
        <f>'02 价格(主口径)'!B61</f>
        <v/>
      </c>
      <c r="G378" s="17">
        <f>IF(OR(E378="",F378=""),"",E378-F378)</f>
        <v/>
      </c>
      <c r="H378" s="14" t="inlineStr"/>
    </row>
    <row r="379">
      <c r="A379" s="7">
        <f>'02 价格(主口径)'!A62</f>
        <v/>
      </c>
      <c r="C379" s="8" t="inlineStr">
        <is>
          <t>HB</t>
        </is>
      </c>
      <c r="D379" s="8" t="inlineStr">
        <is>
          <t>SD</t>
        </is>
      </c>
      <c r="E379" s="16">
        <f>'02 价格(主口径)'!C62</f>
        <v/>
      </c>
      <c r="F379" s="16">
        <f>'02 价格(主口径)'!B62</f>
        <v/>
      </c>
      <c r="G379" s="17">
        <f>IF(OR(E379="",F379=""),"",E379-F379)</f>
        <v/>
      </c>
      <c r="H379" s="14" t="inlineStr"/>
    </row>
    <row r="380">
      <c r="A380" s="7">
        <f>'02 价格(主口径)'!A63</f>
        <v/>
      </c>
      <c r="C380" s="8" t="inlineStr">
        <is>
          <t>HB</t>
        </is>
      </c>
      <c r="D380" s="8" t="inlineStr">
        <is>
          <t>SD</t>
        </is>
      </c>
      <c r="E380" s="16">
        <f>'02 价格(主口径)'!C63</f>
        <v/>
      </c>
      <c r="F380" s="16">
        <f>'02 价格(主口径)'!B63</f>
        <v/>
      </c>
      <c r="G380" s="17">
        <f>IF(OR(E380="",F380=""),"",E380-F380)</f>
        <v/>
      </c>
      <c r="H380" s="14" t="inlineStr"/>
    </row>
    <row r="381">
      <c r="A381" s="7">
        <f>'02 价格(主口径)'!A64</f>
        <v/>
      </c>
      <c r="C381" s="8" t="inlineStr">
        <is>
          <t>HB</t>
        </is>
      </c>
      <c r="D381" s="8" t="inlineStr">
        <is>
          <t>SD</t>
        </is>
      </c>
      <c r="E381" s="16">
        <f>'02 价格(主口径)'!C64</f>
        <v/>
      </c>
      <c r="F381" s="16">
        <f>'02 价格(主口径)'!B64</f>
        <v/>
      </c>
      <c r="G381" s="17">
        <f>IF(OR(E381="",F381=""),"",E381-F381)</f>
        <v/>
      </c>
      <c r="H381" s="14" t="inlineStr"/>
    </row>
    <row r="382">
      <c r="A382" s="7">
        <f>'02 价格(主口径)'!A65</f>
        <v/>
      </c>
      <c r="C382" s="8" t="inlineStr">
        <is>
          <t>HB</t>
        </is>
      </c>
      <c r="D382" s="8" t="inlineStr">
        <is>
          <t>SD</t>
        </is>
      </c>
      <c r="E382" s="16">
        <f>'02 价格(主口径)'!C65</f>
        <v/>
      </c>
      <c r="F382" s="16">
        <f>'02 价格(主口径)'!B65</f>
        <v/>
      </c>
      <c r="G382" s="17">
        <f>IF(OR(E382="",F382=""),"",E382-F382)</f>
        <v/>
      </c>
      <c r="H382" s="14" t="inlineStr"/>
    </row>
    <row r="383">
      <c r="A383" s="7">
        <f>'02 价格(主口径)'!A66</f>
        <v/>
      </c>
      <c r="C383" s="8" t="inlineStr">
        <is>
          <t>HB</t>
        </is>
      </c>
      <c r="D383" s="8" t="inlineStr">
        <is>
          <t>SD</t>
        </is>
      </c>
      <c r="E383" s="16">
        <f>'02 价格(主口径)'!C66</f>
        <v/>
      </c>
      <c r="F383" s="16">
        <f>'02 价格(主口径)'!B66</f>
        <v/>
      </c>
      <c r="G383" s="17">
        <f>IF(OR(E383="",F383=""),"",E383-F383)</f>
        <v/>
      </c>
      <c r="H383" s="14" t="inlineStr"/>
    </row>
    <row r="384">
      <c r="A384" s="7">
        <f>'02 价格(主口径)'!A67</f>
        <v/>
      </c>
      <c r="C384" s="8" t="inlineStr">
        <is>
          <t>HB</t>
        </is>
      </c>
      <c r="D384" s="8" t="inlineStr">
        <is>
          <t>SD</t>
        </is>
      </c>
      <c r="E384" s="16">
        <f>'02 价格(主口径)'!C67</f>
        <v/>
      </c>
      <c r="F384" s="16">
        <f>'02 价格(主口径)'!B67</f>
        <v/>
      </c>
      <c r="G384" s="17">
        <f>IF(OR(E384="",F384=""),"",E384-F384)</f>
        <v/>
      </c>
      <c r="H384" s="14" t="inlineStr"/>
    </row>
    <row r="385">
      <c r="A385" s="7">
        <f>'02 价格(主口径)'!A68</f>
        <v/>
      </c>
      <c r="C385" s="8" t="inlineStr">
        <is>
          <t>HB</t>
        </is>
      </c>
      <c r="D385" s="8" t="inlineStr">
        <is>
          <t>SD</t>
        </is>
      </c>
      <c r="E385" s="16">
        <f>'02 价格(主口径)'!C68</f>
        <v/>
      </c>
      <c r="F385" s="16">
        <f>'02 价格(主口径)'!B68</f>
        <v/>
      </c>
      <c r="G385" s="17">
        <f>IF(OR(E385="",F385=""),"",E385-F385)</f>
        <v/>
      </c>
      <c r="H385" s="14" t="inlineStr"/>
    </row>
    <row r="386">
      <c r="A386" s="7">
        <f>'02 价格(主口径)'!A69</f>
        <v/>
      </c>
      <c r="C386" s="8" t="inlineStr">
        <is>
          <t>HB</t>
        </is>
      </c>
      <c r="D386" s="8" t="inlineStr">
        <is>
          <t>SD</t>
        </is>
      </c>
      <c r="E386" s="16">
        <f>'02 价格(主口径)'!C69</f>
        <v/>
      </c>
      <c r="F386" s="16">
        <f>'02 价格(主口径)'!B69</f>
        <v/>
      </c>
      <c r="G386" s="17">
        <f>IF(OR(E386="",F386=""),"",E386-F386)</f>
        <v/>
      </c>
      <c r="H386" s="14" t="inlineStr"/>
    </row>
    <row r="387">
      <c r="A387" s="7">
        <f>'02 价格(主口径)'!A70</f>
        <v/>
      </c>
      <c r="C387" s="8" t="inlineStr">
        <is>
          <t>HB</t>
        </is>
      </c>
      <c r="D387" s="8" t="inlineStr">
        <is>
          <t>SD</t>
        </is>
      </c>
      <c r="E387" s="16">
        <f>'02 价格(主口径)'!C70</f>
        <v/>
      </c>
      <c r="F387" s="16">
        <f>'02 价格(主口径)'!B70</f>
        <v/>
      </c>
      <c r="G387" s="17">
        <f>IF(OR(E387="",F387=""),"",E387-F387)</f>
        <v/>
      </c>
      <c r="H387" s="14" t="inlineStr"/>
    </row>
    <row r="388">
      <c r="A388" s="7">
        <f>'02 价格(主口径)'!A71</f>
        <v/>
      </c>
      <c r="C388" s="8" t="inlineStr">
        <is>
          <t>HB</t>
        </is>
      </c>
      <c r="D388" s="8" t="inlineStr">
        <is>
          <t>SD</t>
        </is>
      </c>
      <c r="E388" s="16">
        <f>'02 价格(主口径)'!C71</f>
        <v/>
      </c>
      <c r="F388" s="16">
        <f>'02 价格(主口径)'!B71</f>
        <v/>
      </c>
      <c r="G388" s="17">
        <f>IF(OR(E388="",F388=""),"",E388-F388)</f>
        <v/>
      </c>
      <c r="H388" s="14" t="inlineStr"/>
    </row>
    <row r="389">
      <c r="A389" s="7">
        <f>'02 价格(主口径)'!A72</f>
        <v/>
      </c>
      <c r="C389" s="8" t="inlineStr">
        <is>
          <t>HB</t>
        </is>
      </c>
      <c r="D389" s="8" t="inlineStr">
        <is>
          <t>SD</t>
        </is>
      </c>
      <c r="E389" s="16">
        <f>'02 价格(主口径)'!C72</f>
        <v/>
      </c>
      <c r="F389" s="16">
        <f>'02 价格(主口径)'!B72</f>
        <v/>
      </c>
      <c r="G389" s="17">
        <f>IF(OR(E389="",F389=""),"",E389-F389)</f>
        <v/>
      </c>
      <c r="H389" s="14" t="inlineStr"/>
    </row>
    <row r="390">
      <c r="A390" s="7">
        <f>'02 价格(主口径)'!A73</f>
        <v/>
      </c>
      <c r="C390" s="8" t="inlineStr">
        <is>
          <t>HB</t>
        </is>
      </c>
      <c r="D390" s="8" t="inlineStr">
        <is>
          <t>SD</t>
        </is>
      </c>
      <c r="E390" s="16">
        <f>'02 价格(主口径)'!C73</f>
        <v/>
      </c>
      <c r="F390" s="16">
        <f>'02 价格(主口径)'!B73</f>
        <v/>
      </c>
      <c r="G390" s="17">
        <f>IF(OR(E390="",F390=""),"",E390-F390)</f>
        <v/>
      </c>
      <c r="H390" s="14" t="inlineStr"/>
    </row>
    <row r="391">
      <c r="A391" s="7">
        <f>'02 价格(主口径)'!A74</f>
        <v/>
      </c>
      <c r="C391" s="8" t="inlineStr">
        <is>
          <t>HB</t>
        </is>
      </c>
      <c r="D391" s="8" t="inlineStr">
        <is>
          <t>SD</t>
        </is>
      </c>
      <c r="E391" s="16">
        <f>'02 价格(主口径)'!C74</f>
        <v/>
      </c>
      <c r="F391" s="16">
        <f>'02 价格(主口径)'!B74</f>
        <v/>
      </c>
      <c r="G391" s="17">
        <f>IF(OR(E391="",F391=""),"",E391-F391)</f>
        <v/>
      </c>
      <c r="H391" s="14" t="inlineStr"/>
    </row>
    <row r="392">
      <c r="A392" s="7">
        <f>'02 价格(主口径)'!A75</f>
        <v/>
      </c>
      <c r="C392" s="8" t="inlineStr">
        <is>
          <t>HB</t>
        </is>
      </c>
      <c r="D392" s="8" t="inlineStr">
        <is>
          <t>SD</t>
        </is>
      </c>
      <c r="E392" s="16">
        <f>'02 价格(主口径)'!C75</f>
        <v/>
      </c>
      <c r="F392" s="16">
        <f>'02 价格(主口径)'!B75</f>
        <v/>
      </c>
      <c r="G392" s="17">
        <f>IF(OR(E392="",F392=""),"",E392-F392)</f>
        <v/>
      </c>
      <c r="H392" s="14" t="inlineStr"/>
    </row>
    <row r="393">
      <c r="A393" s="7">
        <f>'02 价格(主口径)'!A76</f>
        <v/>
      </c>
      <c r="C393" s="8" t="inlineStr">
        <is>
          <t>HB</t>
        </is>
      </c>
      <c r="D393" s="8" t="inlineStr">
        <is>
          <t>SD</t>
        </is>
      </c>
      <c r="E393" s="16">
        <f>'02 价格(主口径)'!C76</f>
        <v/>
      </c>
      <c r="F393" s="16">
        <f>'02 价格(主口径)'!B76</f>
        <v/>
      </c>
      <c r="G393" s="17">
        <f>IF(OR(E393="",F393=""),"",E393-F393)</f>
        <v/>
      </c>
      <c r="H393" s="14" t="inlineStr"/>
    </row>
    <row r="394">
      <c r="A394" s="7">
        <f>'02 价格(主口径)'!A77</f>
        <v/>
      </c>
      <c r="C394" s="8" t="inlineStr">
        <is>
          <t>HB</t>
        </is>
      </c>
      <c r="D394" s="8" t="inlineStr">
        <is>
          <t>SD</t>
        </is>
      </c>
      <c r="E394" s="16">
        <f>'02 价格(主口径)'!C77</f>
        <v/>
      </c>
      <c r="F394" s="16">
        <f>'02 价格(主口径)'!B77</f>
        <v/>
      </c>
      <c r="G394" s="17">
        <f>IF(OR(E394="",F394=""),"",E394-F394)</f>
        <v/>
      </c>
      <c r="H394" s="14" t="inlineStr"/>
    </row>
    <row r="395">
      <c r="A395" s="7">
        <f>'02 价格(主口径)'!A78</f>
        <v/>
      </c>
      <c r="C395" s="8" t="inlineStr">
        <is>
          <t>HB</t>
        </is>
      </c>
      <c r="D395" s="8" t="inlineStr">
        <is>
          <t>SD</t>
        </is>
      </c>
      <c r="E395" s="16">
        <f>'02 价格(主口径)'!C78</f>
        <v/>
      </c>
      <c r="F395" s="16">
        <f>'02 价格(主口径)'!B78</f>
        <v/>
      </c>
      <c r="G395" s="17">
        <f>IF(OR(E395="",F395=""),"",E395-F395)</f>
        <v/>
      </c>
      <c r="H395" s="14" t="inlineStr"/>
    </row>
    <row r="396">
      <c r="A396" s="7">
        <f>'02 价格(主口径)'!A79</f>
        <v/>
      </c>
      <c r="C396" s="8" t="inlineStr">
        <is>
          <t>HB</t>
        </is>
      </c>
      <c r="D396" s="8" t="inlineStr">
        <is>
          <t>SD</t>
        </is>
      </c>
      <c r="E396" s="16">
        <f>'02 价格(主口径)'!C79</f>
        <v/>
      </c>
      <c r="F396" s="16">
        <f>'02 价格(主口径)'!B79</f>
        <v/>
      </c>
      <c r="G396" s="17">
        <f>IF(OR(E396="",F396=""),"",E396-F396)</f>
        <v/>
      </c>
      <c r="H396" s="14" t="inlineStr"/>
    </row>
    <row r="397">
      <c r="A397" s="7">
        <f>'02 价格(主口径)'!A80</f>
        <v/>
      </c>
      <c r="C397" s="8" t="inlineStr">
        <is>
          <t>HB</t>
        </is>
      </c>
      <c r="D397" s="8" t="inlineStr">
        <is>
          <t>SD</t>
        </is>
      </c>
      <c r="E397" s="16">
        <f>'02 价格(主口径)'!C80</f>
        <v/>
      </c>
      <c r="F397" s="16">
        <f>'02 价格(主口径)'!B80</f>
        <v/>
      </c>
      <c r="G397" s="17">
        <f>IF(OR(E397="",F397=""),"",E397-F397)</f>
        <v/>
      </c>
      <c r="H397" s="14" t="inlineStr"/>
    </row>
    <row r="398">
      <c r="A398" s="7">
        <f>'02 价格(主口径)'!A81</f>
        <v/>
      </c>
      <c r="C398" s="8" t="inlineStr">
        <is>
          <t>HB</t>
        </is>
      </c>
      <c r="D398" s="8" t="inlineStr">
        <is>
          <t>SD</t>
        </is>
      </c>
      <c r="E398" s="16">
        <f>'02 价格(主口径)'!C81</f>
        <v/>
      </c>
      <c r="F398" s="16">
        <f>'02 价格(主口径)'!B81</f>
        <v/>
      </c>
      <c r="G398" s="17">
        <f>IF(OR(E398="",F398=""),"",E398-F398)</f>
        <v/>
      </c>
      <c r="H398" s="14" t="inlineStr"/>
    </row>
    <row r="399">
      <c r="A399" s="7">
        <f>'02 价格(主口径)'!A82</f>
        <v/>
      </c>
      <c r="C399" s="8" t="inlineStr">
        <is>
          <t>HB</t>
        </is>
      </c>
      <c r="D399" s="8" t="inlineStr">
        <is>
          <t>SD</t>
        </is>
      </c>
      <c r="E399" s="16">
        <f>'02 价格(主口径)'!C82</f>
        <v/>
      </c>
      <c r="F399" s="16">
        <f>'02 价格(主口径)'!B82</f>
        <v/>
      </c>
      <c r="G399" s="17">
        <f>IF(OR(E399="",F399=""),"",E399-F399)</f>
        <v/>
      </c>
      <c r="H399" s="14" t="inlineStr"/>
    </row>
    <row r="400">
      <c r="A400" s="7">
        <f>'02 价格(主口径)'!A83</f>
        <v/>
      </c>
      <c r="C400" s="8" t="inlineStr">
        <is>
          <t>HB</t>
        </is>
      </c>
      <c r="D400" s="8" t="inlineStr">
        <is>
          <t>SD</t>
        </is>
      </c>
      <c r="E400" s="16">
        <f>'02 价格(主口径)'!C83</f>
        <v/>
      </c>
      <c r="F400" s="16">
        <f>'02 价格(主口径)'!B83</f>
        <v/>
      </c>
      <c r="G400" s="17">
        <f>IF(OR(E400="",F400=""),"",E400-F400)</f>
        <v/>
      </c>
      <c r="H400" s="14" t="inlineStr"/>
    </row>
    <row r="401">
      <c r="A401" s="7">
        <f>'02 价格(主口径)'!A84</f>
        <v/>
      </c>
      <c r="C401" s="8" t="inlineStr">
        <is>
          <t>HB</t>
        </is>
      </c>
      <c r="D401" s="8" t="inlineStr">
        <is>
          <t>SD</t>
        </is>
      </c>
      <c r="E401" s="16">
        <f>'02 价格(主口径)'!C84</f>
        <v/>
      </c>
      <c r="F401" s="16">
        <f>'02 价格(主口径)'!B84</f>
        <v/>
      </c>
      <c r="G401" s="17">
        <f>IF(OR(E401="",F401=""),"",E401-F401)</f>
        <v/>
      </c>
      <c r="H401" s="14" t="inlineStr"/>
    </row>
    <row r="402">
      <c r="A402" s="7">
        <f>'02 价格(主口径)'!A85</f>
        <v/>
      </c>
      <c r="C402" s="8" t="inlineStr">
        <is>
          <t>HB</t>
        </is>
      </c>
      <c r="D402" s="8" t="inlineStr">
        <is>
          <t>SD</t>
        </is>
      </c>
      <c r="E402" s="16">
        <f>'02 价格(主口径)'!C85</f>
        <v/>
      </c>
      <c r="F402" s="16">
        <f>'02 价格(主口径)'!B85</f>
        <v/>
      </c>
      <c r="G402" s="17">
        <f>IF(OR(E402="",F402=""),"",E402-F402)</f>
        <v/>
      </c>
      <c r="H402" s="14" t="inlineStr"/>
    </row>
    <row r="403">
      <c r="A403" s="7">
        <f>'02 价格(主口径)'!A86</f>
        <v/>
      </c>
      <c r="C403" s="8" t="inlineStr">
        <is>
          <t>HB</t>
        </is>
      </c>
      <c r="D403" s="8" t="inlineStr">
        <is>
          <t>SD</t>
        </is>
      </c>
      <c r="E403" s="16">
        <f>'02 价格(主口径)'!C86</f>
        <v/>
      </c>
      <c r="F403" s="16">
        <f>'02 价格(主口径)'!B86</f>
        <v/>
      </c>
      <c r="G403" s="17">
        <f>IF(OR(E403="",F403=""),"",E403-F403)</f>
        <v/>
      </c>
      <c r="H403" s="14" t="inlineStr"/>
    </row>
    <row r="404">
      <c r="A404" s="7">
        <f>'02 价格(主口径)'!A87</f>
        <v/>
      </c>
      <c r="C404" s="8" t="inlineStr">
        <is>
          <t>HB</t>
        </is>
      </c>
      <c r="D404" s="8" t="inlineStr">
        <is>
          <t>SD</t>
        </is>
      </c>
      <c r="E404" s="16">
        <f>'02 价格(主口径)'!C87</f>
        <v/>
      </c>
      <c r="F404" s="16">
        <f>'02 价格(主口径)'!B87</f>
        <v/>
      </c>
      <c r="G404" s="17">
        <f>IF(OR(E404="",F404=""),"",E404-F404)</f>
        <v/>
      </c>
      <c r="H404" s="14" t="inlineStr"/>
    </row>
    <row r="405">
      <c r="A405" s="7">
        <f>'02 价格(主口径)'!A88</f>
        <v/>
      </c>
      <c r="C405" s="8" t="inlineStr">
        <is>
          <t>HB</t>
        </is>
      </c>
      <c r="D405" s="8" t="inlineStr">
        <is>
          <t>SD</t>
        </is>
      </c>
      <c r="E405" s="16">
        <f>'02 价格(主口径)'!C88</f>
        <v/>
      </c>
      <c r="F405" s="16">
        <f>'02 价格(主口径)'!B88</f>
        <v/>
      </c>
      <c r="G405" s="17">
        <f>IF(OR(E405="",F405=""),"",E405-F405)</f>
        <v/>
      </c>
      <c r="H405" s="14" t="inlineStr"/>
    </row>
    <row r="406">
      <c r="A406" s="7">
        <f>'02 价格(主口径)'!A89</f>
        <v/>
      </c>
      <c r="C406" s="8" t="inlineStr">
        <is>
          <t>HB</t>
        </is>
      </c>
      <c r="D406" s="8" t="inlineStr">
        <is>
          <t>SD</t>
        </is>
      </c>
      <c r="E406" s="16">
        <f>'02 价格(主口径)'!C89</f>
        <v/>
      </c>
      <c r="F406" s="16">
        <f>'02 价格(主口径)'!B89</f>
        <v/>
      </c>
      <c r="G406" s="17">
        <f>IF(OR(E406="",F406=""),"",E406-F406)</f>
        <v/>
      </c>
      <c r="H406" s="14" t="inlineStr"/>
    </row>
    <row r="407">
      <c r="A407" s="7">
        <f>'02 价格(主口径)'!A90</f>
        <v/>
      </c>
      <c r="C407" s="8" t="inlineStr">
        <is>
          <t>HB</t>
        </is>
      </c>
      <c r="D407" s="8" t="inlineStr">
        <is>
          <t>SD</t>
        </is>
      </c>
      <c r="E407" s="16">
        <f>'02 价格(主口径)'!C90</f>
        <v/>
      </c>
      <c r="F407" s="16">
        <f>'02 价格(主口径)'!B90</f>
        <v/>
      </c>
      <c r="G407" s="17">
        <f>IF(OR(E407="",F407=""),"",E407-F407)</f>
        <v/>
      </c>
      <c r="H407" s="14" t="inlineStr"/>
    </row>
    <row r="408">
      <c r="A408" s="7">
        <f>'02 价格(主口径)'!A91</f>
        <v/>
      </c>
      <c r="C408" s="8" t="inlineStr">
        <is>
          <t>HB</t>
        </is>
      </c>
      <c r="D408" s="8" t="inlineStr">
        <is>
          <t>SD</t>
        </is>
      </c>
      <c r="E408" s="16">
        <f>'02 价格(主口径)'!C91</f>
        <v/>
      </c>
      <c r="F408" s="16">
        <f>'02 价格(主口径)'!B91</f>
        <v/>
      </c>
      <c r="G408" s="17">
        <f>IF(OR(E408="",F408=""),"",E408-F408)</f>
        <v/>
      </c>
      <c r="H408" s="14" t="inlineStr"/>
    </row>
    <row r="409">
      <c r="A409" s="7">
        <f>'02 价格(主口径)'!A92</f>
        <v/>
      </c>
      <c r="C409" s="8" t="inlineStr">
        <is>
          <t>HB</t>
        </is>
      </c>
      <c r="D409" s="8" t="inlineStr">
        <is>
          <t>SD</t>
        </is>
      </c>
      <c r="E409" s="16">
        <f>'02 价格(主口径)'!C92</f>
        <v/>
      </c>
      <c r="F409" s="16">
        <f>'02 价格(主口径)'!B92</f>
        <v/>
      </c>
      <c r="G409" s="17">
        <f>IF(OR(E409="",F409=""),"",E409-F409)</f>
        <v/>
      </c>
      <c r="H409" s="14" t="inlineStr"/>
    </row>
    <row r="410">
      <c r="A410" s="7">
        <f>'02 价格(主口径)'!A93</f>
        <v/>
      </c>
      <c r="C410" s="8" t="inlineStr">
        <is>
          <t>HB</t>
        </is>
      </c>
      <c r="D410" s="8" t="inlineStr">
        <is>
          <t>SD</t>
        </is>
      </c>
      <c r="E410" s="16">
        <f>'02 价格(主口径)'!C93</f>
        <v/>
      </c>
      <c r="F410" s="16">
        <f>'02 价格(主口径)'!B93</f>
        <v/>
      </c>
      <c r="G410" s="17">
        <f>IF(OR(E410="",F410=""),"",E410-F410)</f>
        <v/>
      </c>
      <c r="H410" s="14" t="inlineStr"/>
    </row>
    <row r="411">
      <c r="A411" s="7">
        <f>'02 价格(主口径)'!A94</f>
        <v/>
      </c>
      <c r="C411" s="8" t="inlineStr">
        <is>
          <t>HB</t>
        </is>
      </c>
      <c r="D411" s="8" t="inlineStr">
        <is>
          <t>SD</t>
        </is>
      </c>
      <c r="E411" s="16">
        <f>'02 价格(主口径)'!C94</f>
        <v/>
      </c>
      <c r="F411" s="16">
        <f>'02 价格(主口径)'!B94</f>
        <v/>
      </c>
      <c r="G411" s="17">
        <f>IF(OR(E411="",F411=""),"",E411-F411)</f>
        <v/>
      </c>
      <c r="H411" s="14" t="inlineStr"/>
    </row>
    <row r="412">
      <c r="A412" s="7">
        <f>'02 价格(主口径)'!A95</f>
        <v/>
      </c>
      <c r="C412" s="8" t="inlineStr">
        <is>
          <t>HB</t>
        </is>
      </c>
      <c r="D412" s="8" t="inlineStr">
        <is>
          <t>SD</t>
        </is>
      </c>
      <c r="E412" s="16">
        <f>'02 价格(主口径)'!C95</f>
        <v/>
      </c>
      <c r="F412" s="16">
        <f>'02 价格(主口径)'!B95</f>
        <v/>
      </c>
      <c r="G412" s="17">
        <f>IF(OR(E412="",F412=""),"",E412-F412)</f>
        <v/>
      </c>
      <c r="H412" s="14" t="inlineStr"/>
    </row>
    <row r="413">
      <c r="A413" s="7">
        <f>'02 价格(主口径)'!A96</f>
        <v/>
      </c>
      <c r="C413" s="8" t="inlineStr">
        <is>
          <t>HB</t>
        </is>
      </c>
      <c r="D413" s="8" t="inlineStr">
        <is>
          <t>SD</t>
        </is>
      </c>
      <c r="E413" s="16">
        <f>'02 价格(主口径)'!C96</f>
        <v/>
      </c>
      <c r="F413" s="16">
        <f>'02 价格(主口径)'!B96</f>
        <v/>
      </c>
      <c r="G413" s="17">
        <f>IF(OR(E413="",F413=""),"",E413-F413)</f>
        <v/>
      </c>
      <c r="H413" s="14" t="inlineStr"/>
    </row>
    <row r="414">
      <c r="A414" s="7">
        <f>'02 价格(主口径)'!A97</f>
        <v/>
      </c>
      <c r="C414" s="8" t="inlineStr">
        <is>
          <t>HB</t>
        </is>
      </c>
      <c r="D414" s="8" t="inlineStr">
        <is>
          <t>SD</t>
        </is>
      </c>
      <c r="E414" s="16">
        <f>'02 价格(主口径)'!C97</f>
        <v/>
      </c>
      <c r="F414" s="16">
        <f>'02 价格(主口径)'!B97</f>
        <v/>
      </c>
      <c r="G414" s="17">
        <f>IF(OR(E414="",F414=""),"",E414-F414)</f>
        <v/>
      </c>
      <c r="H414" s="14" t="inlineStr"/>
    </row>
    <row r="415">
      <c r="A415" s="7">
        <f>'02 价格(主口径)'!A98</f>
        <v/>
      </c>
      <c r="C415" s="8" t="inlineStr">
        <is>
          <t>HB</t>
        </is>
      </c>
      <c r="D415" s="8" t="inlineStr">
        <is>
          <t>SD</t>
        </is>
      </c>
      <c r="E415" s="16">
        <f>'02 价格(主口径)'!C98</f>
        <v/>
      </c>
      <c r="F415" s="16">
        <f>'02 价格(主口径)'!B98</f>
        <v/>
      </c>
      <c r="G415" s="17">
        <f>IF(OR(E415="",F415=""),"",E415-F415)</f>
        <v/>
      </c>
      <c r="H415" s="14" t="inlineStr"/>
    </row>
    <row r="416">
      <c r="A416" s="7">
        <f>'02 价格(主口径)'!A99</f>
        <v/>
      </c>
      <c r="C416" s="8" t="inlineStr">
        <is>
          <t>HB</t>
        </is>
      </c>
      <c r="D416" s="8" t="inlineStr">
        <is>
          <t>SD</t>
        </is>
      </c>
      <c r="E416" s="16">
        <f>'02 价格(主口径)'!C99</f>
        <v/>
      </c>
      <c r="F416" s="16">
        <f>'02 价格(主口径)'!B99</f>
        <v/>
      </c>
      <c r="G416" s="17">
        <f>IF(OR(E416="",F416=""),"",E416-F416)</f>
        <v/>
      </c>
      <c r="H416" s="14" t="inlineStr"/>
    </row>
    <row r="417">
      <c r="A417" s="7">
        <f>'02 价格(主口径)'!A100</f>
        <v/>
      </c>
      <c r="C417" s="8" t="inlineStr">
        <is>
          <t>HB</t>
        </is>
      </c>
      <c r="D417" s="8" t="inlineStr">
        <is>
          <t>SD</t>
        </is>
      </c>
      <c r="E417" s="16">
        <f>'02 价格(主口径)'!C100</f>
        <v/>
      </c>
      <c r="F417" s="16">
        <f>'02 价格(主口径)'!B100</f>
        <v/>
      </c>
      <c r="G417" s="17">
        <f>IF(OR(E417="",F417=""),"",E417-F417)</f>
        <v/>
      </c>
      <c r="H417" s="14" t="inlineStr"/>
    </row>
    <row r="418">
      <c r="A418" s="7">
        <f>'02 价格(主口径)'!A101</f>
        <v/>
      </c>
      <c r="C418" s="8" t="inlineStr">
        <is>
          <t>HB</t>
        </is>
      </c>
      <c r="D418" s="8" t="inlineStr">
        <is>
          <t>SD</t>
        </is>
      </c>
      <c r="E418" s="16">
        <f>'02 价格(主口径)'!C101</f>
        <v/>
      </c>
      <c r="F418" s="16">
        <f>'02 价格(主口径)'!B101</f>
        <v/>
      </c>
      <c r="G418" s="17">
        <f>IF(OR(E418="",F418=""),"",E418-F418)</f>
        <v/>
      </c>
      <c r="H418" s="14" t="inlineStr"/>
    </row>
    <row r="419">
      <c r="A419" s="7">
        <f>'02 价格(主口径)'!A102</f>
        <v/>
      </c>
      <c r="C419" s="8" t="inlineStr">
        <is>
          <t>HB</t>
        </is>
      </c>
      <c r="D419" s="8" t="inlineStr">
        <is>
          <t>SD</t>
        </is>
      </c>
      <c r="E419" s="16">
        <f>'02 价格(主口径)'!C102</f>
        <v/>
      </c>
      <c r="F419" s="16">
        <f>'02 价格(主口径)'!B102</f>
        <v/>
      </c>
      <c r="G419" s="17">
        <f>IF(OR(E419="",F419=""),"",E419-F419)</f>
        <v/>
      </c>
      <c r="H419" s="14" t="inlineStr"/>
    </row>
    <row r="420">
      <c r="A420" s="7">
        <f>'02 价格(主口径)'!A103</f>
        <v/>
      </c>
      <c r="C420" s="8" t="inlineStr">
        <is>
          <t>HB</t>
        </is>
      </c>
      <c r="D420" s="8" t="inlineStr">
        <is>
          <t>SD</t>
        </is>
      </c>
      <c r="E420" s="16">
        <f>'02 价格(主口径)'!C103</f>
        <v/>
      </c>
      <c r="F420" s="16">
        <f>'02 价格(主口径)'!B103</f>
        <v/>
      </c>
      <c r="G420" s="17">
        <f>IF(OR(E420="",F420=""),"",E420-F420)</f>
        <v/>
      </c>
      <c r="H420" s="14" t="inlineStr"/>
    </row>
    <row r="421">
      <c r="A421" s="7">
        <f>'02 价格(主口径)'!A104</f>
        <v/>
      </c>
      <c r="C421" s="8" t="inlineStr">
        <is>
          <t>HB</t>
        </is>
      </c>
      <c r="D421" s="8" t="inlineStr">
        <is>
          <t>SD</t>
        </is>
      </c>
      <c r="E421" s="16">
        <f>'02 价格(主口径)'!C104</f>
        <v/>
      </c>
      <c r="F421" s="16">
        <f>'02 价格(主口径)'!B104</f>
        <v/>
      </c>
      <c r="G421" s="17">
        <f>IF(OR(E421="",F421=""),"",E421-F421)</f>
        <v/>
      </c>
      <c r="H421" s="14" t="inlineStr"/>
    </row>
    <row r="422">
      <c r="A422" s="7">
        <f>'02 价格(主口径)'!A105</f>
        <v/>
      </c>
      <c r="C422" s="8" t="inlineStr">
        <is>
          <t>HB</t>
        </is>
      </c>
      <c r="D422" s="8" t="inlineStr">
        <is>
          <t>SD</t>
        </is>
      </c>
      <c r="E422" s="16">
        <f>'02 价格(主口径)'!C105</f>
        <v/>
      </c>
      <c r="F422" s="16">
        <f>'02 价格(主口径)'!B105</f>
        <v/>
      </c>
      <c r="G422" s="17">
        <f>IF(OR(E422="",F422=""),"",E422-F422)</f>
        <v/>
      </c>
      <c r="H422" s="14" t="inlineStr"/>
    </row>
    <row r="423">
      <c r="A423" s="7">
        <f>'02 价格(主口径)'!A106</f>
        <v/>
      </c>
      <c r="C423" s="8" t="inlineStr">
        <is>
          <t>HB</t>
        </is>
      </c>
      <c r="D423" s="8" t="inlineStr">
        <is>
          <t>SD</t>
        </is>
      </c>
      <c r="E423" s="16">
        <f>'02 价格(主口径)'!C106</f>
        <v/>
      </c>
      <c r="F423" s="16">
        <f>'02 价格(主口径)'!B106</f>
        <v/>
      </c>
      <c r="G423" s="17">
        <f>IF(OR(E423="",F423=""),"",E423-F423)</f>
        <v/>
      </c>
      <c r="H423" s="14" t="inlineStr"/>
    </row>
    <row r="424">
      <c r="A424" s="7">
        <f>'02 价格(主口径)'!A107</f>
        <v/>
      </c>
      <c r="C424" s="8" t="inlineStr">
        <is>
          <t>HB</t>
        </is>
      </c>
      <c r="D424" s="8" t="inlineStr">
        <is>
          <t>SD</t>
        </is>
      </c>
      <c r="E424" s="16">
        <f>'02 价格(主口径)'!C107</f>
        <v/>
      </c>
      <c r="F424" s="16">
        <f>'02 价格(主口径)'!B107</f>
        <v/>
      </c>
      <c r="G424" s="17">
        <f>IF(OR(E424="",F424=""),"",E424-F424)</f>
        <v/>
      </c>
      <c r="H424" s="14" t="inlineStr"/>
    </row>
    <row r="425">
      <c r="A425" s="7">
        <f>'02 价格(主口径)'!A108</f>
        <v/>
      </c>
      <c r="C425" s="8" t="inlineStr">
        <is>
          <t>HB</t>
        </is>
      </c>
      <c r="D425" s="8" t="inlineStr">
        <is>
          <t>SD</t>
        </is>
      </c>
      <c r="E425" s="16">
        <f>'02 价格(主口径)'!C108</f>
        <v/>
      </c>
      <c r="F425" s="16">
        <f>'02 价格(主口径)'!B108</f>
        <v/>
      </c>
      <c r="G425" s="17">
        <f>IF(OR(E425="",F425=""),"",E425-F425)</f>
        <v/>
      </c>
      <c r="H425" s="14" t="inlineStr"/>
    </row>
    <row r="426">
      <c r="A426" s="7">
        <f>'02 价格(主口径)'!A109</f>
        <v/>
      </c>
      <c r="C426" s="8" t="inlineStr">
        <is>
          <t>HB</t>
        </is>
      </c>
      <c r="D426" s="8" t="inlineStr">
        <is>
          <t>SD</t>
        </is>
      </c>
      <c r="E426" s="16">
        <f>'02 价格(主口径)'!C109</f>
        <v/>
      </c>
      <c r="F426" s="16">
        <f>'02 价格(主口径)'!B109</f>
        <v/>
      </c>
      <c r="G426" s="17">
        <f>IF(OR(E426="",F426=""),"",E426-F426)</f>
        <v/>
      </c>
      <c r="H426" s="14" t="inlineStr"/>
    </row>
    <row r="427">
      <c r="A427" s="7">
        <f>'02 价格(主口径)'!A110</f>
        <v/>
      </c>
      <c r="C427" s="8" t="inlineStr">
        <is>
          <t>HB</t>
        </is>
      </c>
      <c r="D427" s="8" t="inlineStr">
        <is>
          <t>SD</t>
        </is>
      </c>
      <c r="E427" s="16">
        <f>'02 价格(主口径)'!C110</f>
        <v/>
      </c>
      <c r="F427" s="16">
        <f>'02 价格(主口径)'!B110</f>
        <v/>
      </c>
      <c r="G427" s="17">
        <f>IF(OR(E427="",F427=""),"",E427-F427)</f>
        <v/>
      </c>
      <c r="H427" s="14" t="inlineStr"/>
    </row>
    <row r="428">
      <c r="A428" s="7">
        <f>'02 价格(主口径)'!A111</f>
        <v/>
      </c>
      <c r="C428" s="8" t="inlineStr">
        <is>
          <t>HB</t>
        </is>
      </c>
      <c r="D428" s="8" t="inlineStr">
        <is>
          <t>SD</t>
        </is>
      </c>
      <c r="E428" s="16">
        <f>'02 价格(主口径)'!C111</f>
        <v/>
      </c>
      <c r="F428" s="16">
        <f>'02 价格(主口径)'!B111</f>
        <v/>
      </c>
      <c r="G428" s="17">
        <f>IF(OR(E428="",F428=""),"",E428-F428)</f>
        <v/>
      </c>
      <c r="H428" s="14" t="inlineStr"/>
    </row>
    <row r="429">
      <c r="A429" s="7">
        <f>'02 价格(主口径)'!A112</f>
        <v/>
      </c>
      <c r="C429" s="8" t="inlineStr">
        <is>
          <t>HB</t>
        </is>
      </c>
      <c r="D429" s="8" t="inlineStr">
        <is>
          <t>SD</t>
        </is>
      </c>
      <c r="E429" s="16">
        <f>'02 价格(主口径)'!C112</f>
        <v/>
      </c>
      <c r="F429" s="16">
        <f>'02 价格(主口径)'!B112</f>
        <v/>
      </c>
      <c r="G429" s="17">
        <f>IF(OR(E429="",F429=""),"",E429-F429)</f>
        <v/>
      </c>
      <c r="H429" s="14" t="inlineStr"/>
    </row>
    <row r="430">
      <c r="A430" s="7">
        <f>'02 价格(主口径)'!A113</f>
        <v/>
      </c>
      <c r="C430" s="8" t="inlineStr">
        <is>
          <t>HB</t>
        </is>
      </c>
      <c r="D430" s="8" t="inlineStr">
        <is>
          <t>SD</t>
        </is>
      </c>
      <c r="E430" s="16">
        <f>'02 价格(主口径)'!C113</f>
        <v/>
      </c>
      <c r="F430" s="16">
        <f>'02 价格(主口径)'!B113</f>
        <v/>
      </c>
      <c r="G430" s="17">
        <f>IF(OR(E430="",F430=""),"",E430-F430)</f>
        <v/>
      </c>
      <c r="H430" s="14" t="inlineStr"/>
    </row>
    <row r="431">
      <c r="A431" s="7">
        <f>'02 价格(主口径)'!A114</f>
        <v/>
      </c>
      <c r="C431" s="8" t="inlineStr">
        <is>
          <t>HB</t>
        </is>
      </c>
      <c r="D431" s="8" t="inlineStr">
        <is>
          <t>SD</t>
        </is>
      </c>
      <c r="E431" s="16">
        <f>'02 价格(主口径)'!C114</f>
        <v/>
      </c>
      <c r="F431" s="16">
        <f>'02 价格(主口径)'!B114</f>
        <v/>
      </c>
      <c r="G431" s="17">
        <f>IF(OR(E431="",F431=""),"",E431-F431)</f>
        <v/>
      </c>
      <c r="H431" s="14" t="inlineStr"/>
    </row>
    <row r="432">
      <c r="A432" s="7">
        <f>'02 价格(主口径)'!A115</f>
        <v/>
      </c>
      <c r="C432" s="8" t="inlineStr">
        <is>
          <t>HB</t>
        </is>
      </c>
      <c r="D432" s="8" t="inlineStr">
        <is>
          <t>SD</t>
        </is>
      </c>
      <c r="E432" s="16">
        <f>'02 价格(主口径)'!C115</f>
        <v/>
      </c>
      <c r="F432" s="16">
        <f>'02 价格(主口径)'!B115</f>
        <v/>
      </c>
      <c r="G432" s="17">
        <f>IF(OR(E432="",F432=""),"",E432-F432)</f>
        <v/>
      </c>
      <c r="H432" s="14" t="inlineStr"/>
    </row>
    <row r="433">
      <c r="A433" s="7">
        <f>'02 价格(主口径)'!A116</f>
        <v/>
      </c>
      <c r="C433" s="8" t="inlineStr">
        <is>
          <t>HB</t>
        </is>
      </c>
      <c r="D433" s="8" t="inlineStr">
        <is>
          <t>SD</t>
        </is>
      </c>
      <c r="E433" s="16">
        <f>'02 价格(主口径)'!C116</f>
        <v/>
      </c>
      <c r="F433" s="16">
        <f>'02 价格(主口径)'!B116</f>
        <v/>
      </c>
      <c r="G433" s="17">
        <f>IF(OR(E433="",F433=""),"",E433-F433)</f>
        <v/>
      </c>
      <c r="H433" s="14" t="inlineStr"/>
    </row>
    <row r="434">
      <c r="A434" s="7">
        <f>'02 价格(主口径)'!A117</f>
        <v/>
      </c>
      <c r="C434" s="8" t="inlineStr">
        <is>
          <t>HB</t>
        </is>
      </c>
      <c r="D434" s="8" t="inlineStr">
        <is>
          <t>SD</t>
        </is>
      </c>
      <c r="E434" s="16">
        <f>'02 价格(主口径)'!C117</f>
        <v/>
      </c>
      <c r="F434" s="16">
        <f>'02 价格(主口径)'!B117</f>
        <v/>
      </c>
      <c r="G434" s="17">
        <f>IF(OR(E434="",F434=""),"",E434-F434)</f>
        <v/>
      </c>
      <c r="H434" s="14" t="inlineStr"/>
    </row>
    <row r="435">
      <c r="A435" s="7">
        <f>'02 价格(主口径)'!A118</f>
        <v/>
      </c>
      <c r="C435" s="8" t="inlineStr">
        <is>
          <t>HB</t>
        </is>
      </c>
      <c r="D435" s="8" t="inlineStr">
        <is>
          <t>SD</t>
        </is>
      </c>
      <c r="E435" s="16">
        <f>'02 价格(主口径)'!C118</f>
        <v/>
      </c>
      <c r="F435" s="16">
        <f>'02 价格(主口径)'!B118</f>
        <v/>
      </c>
      <c r="G435" s="17">
        <f>IF(OR(E435="",F435=""),"",E435-F435)</f>
        <v/>
      </c>
      <c r="H435" s="14" t="inlineStr"/>
    </row>
    <row r="436">
      <c r="A436" s="7">
        <f>'02 价格(主口径)'!A119</f>
        <v/>
      </c>
      <c r="C436" s="8" t="inlineStr">
        <is>
          <t>HB</t>
        </is>
      </c>
      <c r="D436" s="8" t="inlineStr">
        <is>
          <t>SD</t>
        </is>
      </c>
      <c r="E436" s="16">
        <f>'02 价格(主口径)'!C119</f>
        <v/>
      </c>
      <c r="F436" s="16">
        <f>'02 价格(主口径)'!B119</f>
        <v/>
      </c>
      <c r="G436" s="17">
        <f>IF(OR(E436="",F436=""),"",E436-F436)</f>
        <v/>
      </c>
      <c r="H436" s="14" t="inlineStr"/>
    </row>
    <row r="437">
      <c r="A437" s="7">
        <f>'02 价格(主口径)'!A120</f>
        <v/>
      </c>
      <c r="C437" s="8" t="inlineStr">
        <is>
          <t>HB</t>
        </is>
      </c>
      <c r="D437" s="8" t="inlineStr">
        <is>
          <t>SD</t>
        </is>
      </c>
      <c r="E437" s="16">
        <f>'02 价格(主口径)'!C120</f>
        <v/>
      </c>
      <c r="F437" s="16">
        <f>'02 价格(主口径)'!B120</f>
        <v/>
      </c>
      <c r="G437" s="17">
        <f>IF(OR(E437="",F437=""),"",E437-F437)</f>
        <v/>
      </c>
      <c r="H437" s="14" t="inlineStr"/>
    </row>
    <row r="438">
      <c r="A438" s="7">
        <f>'02 价格(主口径)'!A121</f>
        <v/>
      </c>
      <c r="C438" s="8" t="inlineStr">
        <is>
          <t>HB</t>
        </is>
      </c>
      <c r="D438" s="8" t="inlineStr">
        <is>
          <t>SD</t>
        </is>
      </c>
      <c r="E438" s="16">
        <f>'02 价格(主口径)'!C121</f>
        <v/>
      </c>
      <c r="F438" s="16">
        <f>'02 价格(主口径)'!B121</f>
        <v/>
      </c>
      <c r="G438" s="17">
        <f>IF(OR(E438="",F438=""),"",E438-F438)</f>
        <v/>
      </c>
      <c r="H438" s="14" t="inlineStr"/>
    </row>
    <row r="439">
      <c r="A439" s="7">
        <f>'02 价格(主口径)'!A122</f>
        <v/>
      </c>
      <c r="C439" s="8" t="inlineStr">
        <is>
          <t>HB</t>
        </is>
      </c>
      <c r="D439" s="8" t="inlineStr">
        <is>
          <t>SD</t>
        </is>
      </c>
      <c r="E439" s="16">
        <f>'02 价格(主口径)'!C122</f>
        <v/>
      </c>
      <c r="F439" s="16">
        <f>'02 价格(主口径)'!B122</f>
        <v/>
      </c>
      <c r="G439" s="17">
        <f>IF(OR(E439="",F439=""),"",E439-F439)</f>
        <v/>
      </c>
      <c r="H439" s="14" t="inlineStr"/>
    </row>
    <row r="440">
      <c r="A440" s="7">
        <f>'02 价格(主口径)'!A123</f>
        <v/>
      </c>
      <c r="C440" s="8" t="inlineStr">
        <is>
          <t>HB</t>
        </is>
      </c>
      <c r="D440" s="8" t="inlineStr">
        <is>
          <t>SD</t>
        </is>
      </c>
      <c r="E440" s="16">
        <f>'02 价格(主口径)'!C123</f>
        <v/>
      </c>
      <c r="F440" s="16">
        <f>'02 价格(主口径)'!B123</f>
        <v/>
      </c>
      <c r="G440" s="17">
        <f>IF(OR(E440="",F440=""),"",E440-F440)</f>
        <v/>
      </c>
      <c r="H440" s="14" t="inlineStr"/>
    </row>
    <row r="441">
      <c r="A441" s="7">
        <f>'02 价格(主口径)'!A124</f>
        <v/>
      </c>
      <c r="C441" s="8" t="inlineStr">
        <is>
          <t>HB</t>
        </is>
      </c>
      <c r="D441" s="8" t="inlineStr">
        <is>
          <t>SD</t>
        </is>
      </c>
      <c r="E441" s="16">
        <f>'02 价格(主口径)'!C124</f>
        <v/>
      </c>
      <c r="F441" s="16">
        <f>'02 价格(主口径)'!B124</f>
        <v/>
      </c>
      <c r="G441" s="17">
        <f>IF(OR(E441="",F441=""),"",E441-F441)</f>
        <v/>
      </c>
      <c r="H441" s="14" t="inlineStr"/>
    </row>
    <row r="442">
      <c r="A442" s="7">
        <f>'02 价格(主口径)'!A125</f>
        <v/>
      </c>
      <c r="C442" s="8" t="inlineStr">
        <is>
          <t>HB</t>
        </is>
      </c>
      <c r="D442" s="8" t="inlineStr">
        <is>
          <t>SD</t>
        </is>
      </c>
      <c r="E442" s="16">
        <f>'02 价格(主口径)'!C125</f>
        <v/>
      </c>
      <c r="F442" s="16">
        <f>'02 价格(主口径)'!B125</f>
        <v/>
      </c>
      <c r="G442" s="17">
        <f>IF(OR(E442="",F442=""),"",E442-F442)</f>
        <v/>
      </c>
      <c r="H442" s="14" t="inlineStr"/>
    </row>
    <row r="443">
      <c r="A443" s="7">
        <f>'02 价格(主口径)'!A126</f>
        <v/>
      </c>
      <c r="C443" s="8" t="inlineStr">
        <is>
          <t>HB</t>
        </is>
      </c>
      <c r="D443" s="8" t="inlineStr">
        <is>
          <t>SD</t>
        </is>
      </c>
      <c r="E443" s="16">
        <f>'02 价格(主口径)'!C126</f>
        <v/>
      </c>
      <c r="F443" s="16">
        <f>'02 价格(主口径)'!B126</f>
        <v/>
      </c>
      <c r="G443" s="17">
        <f>IF(OR(E443="",F443=""),"",E443-F443)</f>
        <v/>
      </c>
      <c r="H443" s="14" t="inlineStr"/>
    </row>
    <row r="444">
      <c r="A444" s="7">
        <f>'02 价格(主口径)'!A127</f>
        <v/>
      </c>
      <c r="C444" s="8" t="inlineStr">
        <is>
          <t>HB</t>
        </is>
      </c>
      <c r="D444" s="8" t="inlineStr">
        <is>
          <t>SD</t>
        </is>
      </c>
      <c r="E444" s="16">
        <f>'02 价格(主口径)'!C127</f>
        <v/>
      </c>
      <c r="F444" s="16">
        <f>'02 价格(主口径)'!B127</f>
        <v/>
      </c>
      <c r="G444" s="17">
        <f>IF(OR(E444="",F444=""),"",E444-F444)</f>
        <v/>
      </c>
      <c r="H444" s="14" t="inlineStr"/>
    </row>
    <row r="445">
      <c r="A445" s="7">
        <f>'02 价格(主口径)'!A128</f>
        <v/>
      </c>
      <c r="C445" s="8" t="inlineStr">
        <is>
          <t>HB</t>
        </is>
      </c>
      <c r="D445" s="8" t="inlineStr">
        <is>
          <t>SD</t>
        </is>
      </c>
      <c r="E445" s="16">
        <f>'02 价格(主口径)'!C128</f>
        <v/>
      </c>
      <c r="F445" s="16">
        <f>'02 价格(主口径)'!B128</f>
        <v/>
      </c>
      <c r="G445" s="17">
        <f>IF(OR(E445="",F445=""),"",E445-F445)</f>
        <v/>
      </c>
      <c r="H445" s="14" t="inlineStr"/>
    </row>
    <row r="446">
      <c r="A446" s="7">
        <f>'02 价格(主口径)'!A129</f>
        <v/>
      </c>
      <c r="C446" s="8" t="inlineStr">
        <is>
          <t>HB</t>
        </is>
      </c>
      <c r="D446" s="8" t="inlineStr">
        <is>
          <t>SD</t>
        </is>
      </c>
      <c r="E446" s="16">
        <f>'02 价格(主口径)'!C129</f>
        <v/>
      </c>
      <c r="F446" s="16">
        <f>'02 价格(主口径)'!B129</f>
        <v/>
      </c>
      <c r="G446" s="17">
        <f>IF(OR(E446="",F446=""),"",E446-F446)</f>
        <v/>
      </c>
      <c r="H446" s="14" t="inlineStr"/>
    </row>
    <row r="447">
      <c r="A447" s="7">
        <f>'02 价格(主口径)'!A130</f>
        <v/>
      </c>
      <c r="C447" s="8" t="inlineStr">
        <is>
          <t>HB</t>
        </is>
      </c>
      <c r="D447" s="8" t="inlineStr">
        <is>
          <t>SD</t>
        </is>
      </c>
      <c r="E447" s="16">
        <f>'02 价格(主口径)'!C130</f>
        <v/>
      </c>
      <c r="F447" s="16">
        <f>'02 价格(主口径)'!B130</f>
        <v/>
      </c>
      <c r="G447" s="17">
        <f>IF(OR(E447="",F447=""),"",E447-F447)</f>
        <v/>
      </c>
      <c r="H447" s="14" t="inlineStr"/>
    </row>
    <row r="448">
      <c r="A448" s="7">
        <f>'02 价格(主口径)'!A131</f>
        <v/>
      </c>
      <c r="C448" s="8" t="inlineStr">
        <is>
          <t>HB</t>
        </is>
      </c>
      <c r="D448" s="8" t="inlineStr">
        <is>
          <t>SD</t>
        </is>
      </c>
      <c r="E448" s="16">
        <f>'02 价格(主口径)'!C131</f>
        <v/>
      </c>
      <c r="F448" s="16">
        <f>'02 价格(主口径)'!B131</f>
        <v/>
      </c>
      <c r="G448" s="17">
        <f>IF(OR(E448="",F448=""),"",E448-F448)</f>
        <v/>
      </c>
      <c r="H448" s="14" t="inlineStr"/>
    </row>
    <row r="449">
      <c r="A449" s="7">
        <f>'02 价格(主口径)'!A132</f>
        <v/>
      </c>
      <c r="C449" s="8" t="inlineStr">
        <is>
          <t>HB</t>
        </is>
      </c>
      <c r="D449" s="8" t="inlineStr">
        <is>
          <t>SD</t>
        </is>
      </c>
      <c r="E449" s="16">
        <f>'02 价格(主口径)'!C132</f>
        <v/>
      </c>
      <c r="F449" s="16">
        <f>'02 价格(主口径)'!B132</f>
        <v/>
      </c>
      <c r="G449" s="17">
        <f>IF(OR(E449="",F449=""),"",E449-F449)</f>
        <v/>
      </c>
      <c r="H449" s="14" t="inlineStr"/>
    </row>
    <row r="450">
      <c r="A450" s="7">
        <f>'02 价格(主口径)'!A133</f>
        <v/>
      </c>
      <c r="C450" s="8" t="inlineStr">
        <is>
          <t>HB</t>
        </is>
      </c>
      <c r="D450" s="8" t="inlineStr">
        <is>
          <t>SD</t>
        </is>
      </c>
      <c r="E450" s="16">
        <f>'02 价格(主口径)'!C133</f>
        <v/>
      </c>
      <c r="F450" s="16">
        <f>'02 价格(主口径)'!B133</f>
        <v/>
      </c>
      <c r="G450" s="17">
        <f>IF(OR(E450="",F450=""),"",E450-F450)</f>
        <v/>
      </c>
      <c r="H450" s="14" t="inlineStr"/>
    </row>
    <row r="451">
      <c r="A451" s="7">
        <f>'02 价格(主口径)'!A134</f>
        <v/>
      </c>
      <c r="C451" s="8" t="inlineStr">
        <is>
          <t>HB</t>
        </is>
      </c>
      <c r="D451" s="8" t="inlineStr">
        <is>
          <t>SD</t>
        </is>
      </c>
      <c r="E451" s="16">
        <f>'02 价格(主口径)'!C134</f>
        <v/>
      </c>
      <c r="F451" s="16">
        <f>'02 价格(主口径)'!B134</f>
        <v/>
      </c>
      <c r="G451" s="17">
        <f>IF(OR(E451="",F451=""),"",E451-F451)</f>
        <v/>
      </c>
      <c r="H451" s="14" t="inlineStr"/>
    </row>
    <row r="452">
      <c r="A452" s="7">
        <f>'02 价格(主口径)'!A135</f>
        <v/>
      </c>
      <c r="C452" s="8" t="inlineStr">
        <is>
          <t>HB</t>
        </is>
      </c>
      <c r="D452" s="8" t="inlineStr">
        <is>
          <t>SD</t>
        </is>
      </c>
      <c r="E452" s="16">
        <f>'02 价格(主口径)'!C135</f>
        <v/>
      </c>
      <c r="F452" s="16">
        <f>'02 价格(主口径)'!B135</f>
        <v/>
      </c>
      <c r="G452" s="17">
        <f>IF(OR(E452="",F452=""),"",E452-F452)</f>
        <v/>
      </c>
      <c r="H452" s="14" t="inlineStr"/>
    </row>
    <row r="453">
      <c r="A453" s="7">
        <f>'02 价格(主口径)'!A136</f>
        <v/>
      </c>
      <c r="C453" s="8" t="inlineStr">
        <is>
          <t>HB</t>
        </is>
      </c>
      <c r="D453" s="8" t="inlineStr">
        <is>
          <t>SD</t>
        </is>
      </c>
      <c r="E453" s="16">
        <f>'02 价格(主口径)'!C136</f>
        <v/>
      </c>
      <c r="F453" s="16">
        <f>'02 价格(主口径)'!B136</f>
        <v/>
      </c>
      <c r="G453" s="17">
        <f>IF(OR(E453="",F453=""),"",E453-F453)</f>
        <v/>
      </c>
      <c r="H453" s="14" t="inlineStr"/>
    </row>
    <row r="454">
      <c r="A454" s="7">
        <f>'02 价格(主口径)'!A137</f>
        <v/>
      </c>
      <c r="C454" s="8" t="inlineStr">
        <is>
          <t>HB</t>
        </is>
      </c>
      <c r="D454" s="8" t="inlineStr">
        <is>
          <t>SD</t>
        </is>
      </c>
      <c r="E454" s="16">
        <f>'02 价格(主口径)'!C137</f>
        <v/>
      </c>
      <c r="F454" s="16">
        <f>'02 价格(主口径)'!B137</f>
        <v/>
      </c>
      <c r="G454" s="17">
        <f>IF(OR(E454="",F454=""),"",E454-F454)</f>
        <v/>
      </c>
      <c r="H454" s="14" t="inlineStr"/>
    </row>
    <row r="455">
      <c r="A455" s="7">
        <f>'02 价格(主口径)'!A138</f>
        <v/>
      </c>
      <c r="C455" s="8" t="inlineStr">
        <is>
          <t>HB</t>
        </is>
      </c>
      <c r="D455" s="8" t="inlineStr">
        <is>
          <t>SD</t>
        </is>
      </c>
      <c r="E455" s="16">
        <f>'02 价格(主口径)'!C138</f>
        <v/>
      </c>
      <c r="F455" s="16">
        <f>'02 价格(主口径)'!B138</f>
        <v/>
      </c>
      <c r="G455" s="17">
        <f>IF(OR(E455="",F455=""),"",E455-F455)</f>
        <v/>
      </c>
      <c r="H455" s="14" t="inlineStr"/>
    </row>
    <row r="456">
      <c r="A456" s="7">
        <f>'02 价格(主口径)'!A139</f>
        <v/>
      </c>
      <c r="C456" s="8" t="inlineStr">
        <is>
          <t>HB</t>
        </is>
      </c>
      <c r="D456" s="8" t="inlineStr">
        <is>
          <t>SD</t>
        </is>
      </c>
      <c r="E456" s="16">
        <f>'02 价格(主口径)'!C139</f>
        <v/>
      </c>
      <c r="F456" s="16">
        <f>'02 价格(主口径)'!B139</f>
        <v/>
      </c>
      <c r="G456" s="17">
        <f>IF(OR(E456="",F456=""),"",E456-F456)</f>
        <v/>
      </c>
      <c r="H456" s="14" t="inlineStr"/>
    </row>
    <row r="457">
      <c r="A457" s="7">
        <f>'02 价格(主口径)'!A140</f>
        <v/>
      </c>
      <c r="C457" s="8" t="inlineStr">
        <is>
          <t>HB</t>
        </is>
      </c>
      <c r="D457" s="8" t="inlineStr">
        <is>
          <t>SD</t>
        </is>
      </c>
      <c r="E457" s="16">
        <f>'02 价格(主口径)'!C140</f>
        <v/>
      </c>
      <c r="F457" s="16">
        <f>'02 价格(主口径)'!B140</f>
        <v/>
      </c>
      <c r="G457" s="17">
        <f>IF(OR(E457="",F457=""),"",E457-F457)</f>
        <v/>
      </c>
      <c r="H457" s="14" t="inlineStr"/>
    </row>
    <row r="458">
      <c r="A458" s="7">
        <f>'02 价格(主口径)'!A141</f>
        <v/>
      </c>
      <c r="C458" s="8" t="inlineStr">
        <is>
          <t>HB</t>
        </is>
      </c>
      <c r="D458" s="8" t="inlineStr">
        <is>
          <t>SD</t>
        </is>
      </c>
      <c r="E458" s="16">
        <f>'02 价格(主口径)'!C141</f>
        <v/>
      </c>
      <c r="F458" s="16">
        <f>'02 价格(主口径)'!B141</f>
        <v/>
      </c>
      <c r="G458" s="17">
        <f>IF(OR(E458="",F458=""),"",E458-F458)</f>
        <v/>
      </c>
      <c r="H458" s="14" t="inlineStr"/>
    </row>
    <row r="459">
      <c r="A459" s="7">
        <f>'02 价格(主口径)'!A142</f>
        <v/>
      </c>
      <c r="C459" s="8" t="inlineStr">
        <is>
          <t>HB</t>
        </is>
      </c>
      <c r="D459" s="8" t="inlineStr">
        <is>
          <t>SD</t>
        </is>
      </c>
      <c r="E459" s="16">
        <f>'02 价格(主口径)'!C142</f>
        <v/>
      </c>
      <c r="F459" s="16">
        <f>'02 价格(主口径)'!B142</f>
        <v/>
      </c>
      <c r="G459" s="17">
        <f>IF(OR(E459="",F459=""),"",E459-F459)</f>
        <v/>
      </c>
      <c r="H459" s="14" t="inlineStr"/>
    </row>
    <row r="460">
      <c r="A460" s="7">
        <f>'02 价格(主口径)'!A143</f>
        <v/>
      </c>
      <c r="C460" s="8" t="inlineStr">
        <is>
          <t>HB</t>
        </is>
      </c>
      <c r="D460" s="8" t="inlineStr">
        <is>
          <t>SD</t>
        </is>
      </c>
      <c r="E460" s="16">
        <f>'02 价格(主口径)'!C143</f>
        <v/>
      </c>
      <c r="F460" s="16">
        <f>'02 价格(主口径)'!B143</f>
        <v/>
      </c>
      <c r="G460" s="17">
        <f>IF(OR(E460="",F460=""),"",E460-F460)</f>
        <v/>
      </c>
      <c r="H460" s="14" t="inlineStr"/>
    </row>
    <row r="461">
      <c r="A461" s="7">
        <f>'02 价格(主口径)'!A144</f>
        <v/>
      </c>
      <c r="C461" s="8" t="inlineStr">
        <is>
          <t>HB</t>
        </is>
      </c>
      <c r="D461" s="8" t="inlineStr">
        <is>
          <t>SD</t>
        </is>
      </c>
      <c r="E461" s="16">
        <f>'02 价格(主口径)'!C144</f>
        <v/>
      </c>
      <c r="F461" s="16">
        <f>'02 价格(主口径)'!B144</f>
        <v/>
      </c>
      <c r="G461" s="17">
        <f>IF(OR(E461="",F461=""),"",E461-F461)</f>
        <v/>
      </c>
      <c r="H461" s="14" t="inlineStr"/>
    </row>
    <row r="462">
      <c r="A462" s="7">
        <f>'02 价格(主口径)'!A145</f>
        <v/>
      </c>
      <c r="C462" s="8" t="inlineStr">
        <is>
          <t>HB</t>
        </is>
      </c>
      <c r="D462" s="8" t="inlineStr">
        <is>
          <t>SD</t>
        </is>
      </c>
      <c r="E462" s="16">
        <f>'02 价格(主口径)'!C145</f>
        <v/>
      </c>
      <c r="F462" s="16">
        <f>'02 价格(主口径)'!B145</f>
        <v/>
      </c>
      <c r="G462" s="17">
        <f>IF(OR(E462="",F462=""),"",E462-F462)</f>
        <v/>
      </c>
      <c r="H462" s="14" t="inlineStr"/>
    </row>
    <row r="463">
      <c r="A463" s="7">
        <f>'02 价格(主口径)'!A146</f>
        <v/>
      </c>
      <c r="C463" s="8" t="inlineStr">
        <is>
          <t>HB</t>
        </is>
      </c>
      <c r="D463" s="8" t="inlineStr">
        <is>
          <t>SD</t>
        </is>
      </c>
      <c r="E463" s="16">
        <f>'02 价格(主口径)'!C146</f>
        <v/>
      </c>
      <c r="F463" s="16">
        <f>'02 价格(主口径)'!B146</f>
        <v/>
      </c>
      <c r="G463" s="17">
        <f>IF(OR(E463="",F463=""),"",E463-F463)</f>
        <v/>
      </c>
      <c r="H463" s="14" t="inlineStr"/>
    </row>
    <row r="464">
      <c r="A464" s="7">
        <f>'02 价格(主口径)'!A147</f>
        <v/>
      </c>
      <c r="C464" s="8" t="inlineStr">
        <is>
          <t>HB</t>
        </is>
      </c>
      <c r="D464" s="8" t="inlineStr">
        <is>
          <t>SD</t>
        </is>
      </c>
      <c r="E464" s="16">
        <f>'02 价格(主口径)'!C147</f>
        <v/>
      </c>
      <c r="F464" s="16">
        <f>'02 价格(主口径)'!B147</f>
        <v/>
      </c>
      <c r="G464" s="17">
        <f>IF(OR(E464="",F464=""),"",E464-F464)</f>
        <v/>
      </c>
      <c r="H464" s="14" t="inlineStr"/>
    </row>
    <row r="465">
      <c r="A465" s="7">
        <f>'02 价格(主口径)'!A148</f>
        <v/>
      </c>
      <c r="C465" s="8" t="inlineStr">
        <is>
          <t>HB</t>
        </is>
      </c>
      <c r="D465" s="8" t="inlineStr">
        <is>
          <t>SD</t>
        </is>
      </c>
      <c r="E465" s="16">
        <f>'02 价格(主口径)'!C148</f>
        <v/>
      </c>
      <c r="F465" s="16">
        <f>'02 价格(主口径)'!B148</f>
        <v/>
      </c>
      <c r="G465" s="17">
        <f>IF(OR(E465="",F465=""),"",E465-F465)</f>
        <v/>
      </c>
      <c r="H465" s="14" t="inlineStr"/>
    </row>
    <row r="466">
      <c r="A466" s="7">
        <f>'02 价格(主口径)'!A149</f>
        <v/>
      </c>
      <c r="C466" s="8" t="inlineStr">
        <is>
          <t>HB</t>
        </is>
      </c>
      <c r="D466" s="8" t="inlineStr">
        <is>
          <t>SD</t>
        </is>
      </c>
      <c r="E466" s="16">
        <f>'02 价格(主口径)'!C149</f>
        <v/>
      </c>
      <c r="F466" s="16">
        <f>'02 价格(主口径)'!B149</f>
        <v/>
      </c>
      <c r="G466" s="17">
        <f>IF(OR(E466="",F466=""),"",E466-F466)</f>
        <v/>
      </c>
      <c r="H466" s="14" t="inlineStr"/>
    </row>
    <row r="467">
      <c r="A467" s="7">
        <f>'02 价格(主口径)'!A150</f>
        <v/>
      </c>
      <c r="C467" s="8" t="inlineStr">
        <is>
          <t>HB</t>
        </is>
      </c>
      <c r="D467" s="8" t="inlineStr">
        <is>
          <t>SD</t>
        </is>
      </c>
      <c r="E467" s="16">
        <f>'02 价格(主口径)'!C150</f>
        <v/>
      </c>
      <c r="F467" s="16">
        <f>'02 价格(主口径)'!B150</f>
        <v/>
      </c>
      <c r="G467" s="17">
        <f>IF(OR(E467="",F467=""),"",E467-F467)</f>
        <v/>
      </c>
      <c r="H467" s="14" t="inlineStr"/>
    </row>
    <row r="468">
      <c r="A468" s="7">
        <f>'02 价格(主口径)'!A151</f>
        <v/>
      </c>
      <c r="C468" s="8" t="inlineStr">
        <is>
          <t>HB</t>
        </is>
      </c>
      <c r="D468" s="8" t="inlineStr">
        <is>
          <t>SD</t>
        </is>
      </c>
      <c r="E468" s="16">
        <f>'02 价格(主口径)'!C151</f>
        <v/>
      </c>
      <c r="F468" s="16">
        <f>'02 价格(主口径)'!B151</f>
        <v/>
      </c>
      <c r="G468" s="17">
        <f>IF(OR(E468="",F468=""),"",E468-F468)</f>
        <v/>
      </c>
      <c r="H468" s="14" t="inlineStr"/>
    </row>
    <row r="469">
      <c r="A469" s="7">
        <f>'02 价格(主口径)'!A152</f>
        <v/>
      </c>
      <c r="C469" s="8" t="inlineStr">
        <is>
          <t>HB</t>
        </is>
      </c>
      <c r="D469" s="8" t="inlineStr">
        <is>
          <t>SD</t>
        </is>
      </c>
      <c r="E469" s="16">
        <f>'02 价格(主口径)'!C152</f>
        <v/>
      </c>
      <c r="F469" s="16">
        <f>'02 价格(主口径)'!B152</f>
        <v/>
      </c>
      <c r="G469" s="17">
        <f>IF(OR(E469="",F469=""),"",E469-F469)</f>
        <v/>
      </c>
      <c r="H469" s="14" t="inlineStr"/>
    </row>
    <row r="470">
      <c r="A470" s="7">
        <f>'02 价格(主口径)'!A153</f>
        <v/>
      </c>
      <c r="C470" s="8" t="inlineStr">
        <is>
          <t>HB</t>
        </is>
      </c>
      <c r="D470" s="8" t="inlineStr">
        <is>
          <t>SD</t>
        </is>
      </c>
      <c r="E470" s="16">
        <f>'02 价格(主口径)'!C153</f>
        <v/>
      </c>
      <c r="F470" s="16">
        <f>'02 价格(主口径)'!B153</f>
        <v/>
      </c>
      <c r="G470" s="17">
        <f>IF(OR(E470="",F470=""),"",E470-F470)</f>
        <v/>
      </c>
      <c r="H470" s="14" t="inlineStr"/>
    </row>
    <row r="471">
      <c r="A471" s="7">
        <f>'02 价格(主口径)'!A154</f>
        <v/>
      </c>
      <c r="C471" s="8" t="inlineStr">
        <is>
          <t>HB</t>
        </is>
      </c>
      <c r="D471" s="8" t="inlineStr">
        <is>
          <t>SD</t>
        </is>
      </c>
      <c r="E471" s="16">
        <f>'02 价格(主口径)'!C154</f>
        <v/>
      </c>
      <c r="F471" s="16">
        <f>'02 价格(主口径)'!B154</f>
        <v/>
      </c>
      <c r="G471" s="17">
        <f>IF(OR(E471="",F471=""),"",E471-F471)</f>
        <v/>
      </c>
      <c r="H471" s="14" t="inlineStr"/>
    </row>
    <row r="472">
      <c r="A472" s="7">
        <f>'02 价格(主口径)'!A155</f>
        <v/>
      </c>
      <c r="C472" s="8" t="inlineStr">
        <is>
          <t>HB</t>
        </is>
      </c>
      <c r="D472" s="8" t="inlineStr">
        <is>
          <t>SD</t>
        </is>
      </c>
      <c r="E472" s="16">
        <f>'02 价格(主口径)'!C155</f>
        <v/>
      </c>
      <c r="F472" s="16">
        <f>'02 价格(主口径)'!B155</f>
        <v/>
      </c>
      <c r="G472" s="17">
        <f>IF(OR(E472="",F472=""),"",E472-F472)</f>
        <v/>
      </c>
      <c r="H472" s="14" t="inlineStr"/>
    </row>
    <row r="473">
      <c r="A473" s="7">
        <f>'02 价格(主口径)'!A156</f>
        <v/>
      </c>
      <c r="C473" s="8" t="inlineStr">
        <is>
          <t>HB</t>
        </is>
      </c>
      <c r="D473" s="8" t="inlineStr">
        <is>
          <t>SD</t>
        </is>
      </c>
      <c r="E473" s="16">
        <f>'02 价格(主口径)'!C156</f>
        <v/>
      </c>
      <c r="F473" s="16">
        <f>'02 价格(主口径)'!B156</f>
        <v/>
      </c>
      <c r="G473" s="17">
        <f>IF(OR(E473="",F473=""),"",E473-F473)</f>
        <v/>
      </c>
      <c r="H473" s="14" t="inlineStr"/>
    </row>
    <row r="474">
      <c r="A474" s="18" t="inlineStr">
        <is>
          <t>统计</t>
        </is>
      </c>
      <c r="B474" s="19" t="inlineStr">
        <is>
          <t>N（有效配对）</t>
        </is>
      </c>
      <c r="E474" s="20">
        <f>COUNT(G322:G473)</f>
        <v/>
      </c>
      <c r="F474" s="18" t="inlineStr">
        <is>
          <t>均值</t>
        </is>
      </c>
      <c r="G474" s="21">
        <f>IFERROR(AVERAGE(G322:G473),"")</f>
        <v/>
      </c>
      <c r="H474" s="22" t="inlineStr">
        <is>
          <t>价差方向：正值=河北更贵</t>
        </is>
      </c>
    </row>
    <row r="475">
      <c r="A475" s="23" t="inlineStr">
        <is>
          <t>校验</t>
        </is>
      </c>
      <c r="B475" s="23" t="inlineStr">
        <is>
          <t>标准差</t>
        </is>
      </c>
      <c r="C475" s="24">
        <f>IFERROR(STDEV(G322:G473),"")</f>
        <v/>
      </c>
      <c r="D475" s="23" t="inlineStr">
        <is>
          <t>最小</t>
        </is>
      </c>
      <c r="E475" s="25">
        <f>IFERROR(MIN(G322:G473),"")</f>
        <v/>
      </c>
      <c r="F475" s="23" t="inlineStr">
        <is>
          <t>最大</t>
        </is>
      </c>
      <c r="G475" s="25">
        <f>IFERROR(MAX(G322:G473),"")</f>
        <v/>
      </c>
    </row>
    <row r="478">
      <c r="A478" s="5" t="inlineStr">
        <is>
          <t>河北 − 江苏</t>
        </is>
      </c>
    </row>
    <row r="479" ht="30" customHeight="1">
      <c r="A479" s="6" t="inlineStr">
        <is>
          <t>日期</t>
        </is>
      </c>
      <c r="B479" s="6" t="inlineStr">
        <is>
          <t>价差(甲−乙)</t>
        </is>
      </c>
      <c r="C479" s="6" t="inlineStr">
        <is>
          <t>甲</t>
        </is>
      </c>
      <c r="D479" s="6" t="inlineStr">
        <is>
          <t>乙</t>
        </is>
      </c>
      <c r="E479" s="6" t="inlineStr">
        <is>
          <t>甲价</t>
        </is>
      </c>
      <c r="F479" s="6" t="inlineStr">
        <is>
          <t>乙价</t>
        </is>
      </c>
      <c r="G479" s="6" t="inlineStr">
        <is>
          <t>价差</t>
        </is>
      </c>
      <c r="H479" s="6" t="inlineStr">
        <is>
          <t>方向说明</t>
        </is>
      </c>
    </row>
    <row r="480">
      <c r="A480" s="7">
        <f>'02 价格(主口径)'!A5</f>
        <v/>
      </c>
      <c r="C480" s="8" t="inlineStr">
        <is>
          <t>HB</t>
        </is>
      </c>
      <c r="D480" s="8" t="inlineStr">
        <is>
          <t>JS</t>
        </is>
      </c>
      <c r="E480" s="16">
        <f>'02 价格(主口径)'!C5</f>
        <v/>
      </c>
      <c r="F480" s="16">
        <f>'02 价格(主口径)'!D5</f>
        <v/>
      </c>
      <c r="G480" s="17">
        <f>IF(OR(E480="",F480=""),"",E480-F480)</f>
        <v/>
      </c>
      <c r="H480" s="14" t="inlineStr"/>
    </row>
    <row r="481">
      <c r="A481" s="7">
        <f>'02 价格(主口径)'!A6</f>
        <v/>
      </c>
      <c r="C481" s="8" t="inlineStr">
        <is>
          <t>HB</t>
        </is>
      </c>
      <c r="D481" s="8" t="inlineStr">
        <is>
          <t>JS</t>
        </is>
      </c>
      <c r="E481" s="16">
        <f>'02 价格(主口径)'!C6</f>
        <v/>
      </c>
      <c r="F481" s="16">
        <f>'02 价格(主口径)'!D6</f>
        <v/>
      </c>
      <c r="G481" s="17">
        <f>IF(OR(E481="",F481=""),"",E481-F481)</f>
        <v/>
      </c>
      <c r="H481" s="14" t="inlineStr"/>
    </row>
    <row r="482">
      <c r="A482" s="7">
        <f>'02 价格(主口径)'!A7</f>
        <v/>
      </c>
      <c r="C482" s="8" t="inlineStr">
        <is>
          <t>HB</t>
        </is>
      </c>
      <c r="D482" s="8" t="inlineStr">
        <is>
          <t>JS</t>
        </is>
      </c>
      <c r="E482" s="16">
        <f>'02 价格(主口径)'!C7</f>
        <v/>
      </c>
      <c r="F482" s="16">
        <f>'02 价格(主口径)'!D7</f>
        <v/>
      </c>
      <c r="G482" s="17">
        <f>IF(OR(E482="",F482=""),"",E482-F482)</f>
        <v/>
      </c>
      <c r="H482" s="14" t="inlineStr"/>
    </row>
    <row r="483">
      <c r="A483" s="7">
        <f>'02 价格(主口径)'!A8</f>
        <v/>
      </c>
      <c r="C483" s="8" t="inlineStr">
        <is>
          <t>HB</t>
        </is>
      </c>
      <c r="D483" s="8" t="inlineStr">
        <is>
          <t>JS</t>
        </is>
      </c>
      <c r="E483" s="16">
        <f>'02 价格(主口径)'!C8</f>
        <v/>
      </c>
      <c r="F483" s="16">
        <f>'02 价格(主口径)'!D8</f>
        <v/>
      </c>
      <c r="G483" s="17">
        <f>IF(OR(E483="",F483=""),"",E483-F483)</f>
        <v/>
      </c>
      <c r="H483" s="14" t="inlineStr"/>
    </row>
    <row r="484">
      <c r="A484" s="7">
        <f>'02 价格(主口径)'!A9</f>
        <v/>
      </c>
      <c r="C484" s="8" t="inlineStr">
        <is>
          <t>HB</t>
        </is>
      </c>
      <c r="D484" s="8" t="inlineStr">
        <is>
          <t>JS</t>
        </is>
      </c>
      <c r="E484" s="16">
        <f>'02 价格(主口径)'!C9</f>
        <v/>
      </c>
      <c r="F484" s="16">
        <f>'02 价格(主口径)'!D9</f>
        <v/>
      </c>
      <c r="G484" s="17">
        <f>IF(OR(E484="",F484=""),"",E484-F484)</f>
        <v/>
      </c>
      <c r="H484" s="14" t="inlineStr"/>
    </row>
    <row r="485">
      <c r="A485" s="7">
        <f>'02 价格(主口径)'!A10</f>
        <v/>
      </c>
      <c r="C485" s="8" t="inlineStr">
        <is>
          <t>HB</t>
        </is>
      </c>
      <c r="D485" s="8" t="inlineStr">
        <is>
          <t>JS</t>
        </is>
      </c>
      <c r="E485" s="16">
        <f>'02 价格(主口径)'!C10</f>
        <v/>
      </c>
      <c r="F485" s="16">
        <f>'02 价格(主口径)'!D10</f>
        <v/>
      </c>
      <c r="G485" s="17">
        <f>IF(OR(E485="",F485=""),"",E485-F485)</f>
        <v/>
      </c>
      <c r="H485" s="14" t="inlineStr"/>
    </row>
    <row r="486">
      <c r="A486" s="7">
        <f>'02 价格(主口径)'!A11</f>
        <v/>
      </c>
      <c r="C486" s="8" t="inlineStr">
        <is>
          <t>HB</t>
        </is>
      </c>
      <c r="D486" s="8" t="inlineStr">
        <is>
          <t>JS</t>
        </is>
      </c>
      <c r="E486" s="16">
        <f>'02 价格(主口径)'!C11</f>
        <v/>
      </c>
      <c r="F486" s="16">
        <f>'02 价格(主口径)'!D11</f>
        <v/>
      </c>
      <c r="G486" s="17">
        <f>IF(OR(E486="",F486=""),"",E486-F486)</f>
        <v/>
      </c>
      <c r="H486" s="14" t="inlineStr"/>
    </row>
    <row r="487">
      <c r="A487" s="7">
        <f>'02 价格(主口径)'!A12</f>
        <v/>
      </c>
      <c r="C487" s="8" t="inlineStr">
        <is>
          <t>HB</t>
        </is>
      </c>
      <c r="D487" s="8" t="inlineStr">
        <is>
          <t>JS</t>
        </is>
      </c>
      <c r="E487" s="16">
        <f>'02 价格(主口径)'!C12</f>
        <v/>
      </c>
      <c r="F487" s="16">
        <f>'02 价格(主口径)'!D12</f>
        <v/>
      </c>
      <c r="G487" s="17">
        <f>IF(OR(E487="",F487=""),"",E487-F487)</f>
        <v/>
      </c>
      <c r="H487" s="14" t="inlineStr"/>
    </row>
    <row r="488">
      <c r="A488" s="7">
        <f>'02 价格(主口径)'!A13</f>
        <v/>
      </c>
      <c r="C488" s="8" t="inlineStr">
        <is>
          <t>HB</t>
        </is>
      </c>
      <c r="D488" s="8" t="inlineStr">
        <is>
          <t>JS</t>
        </is>
      </c>
      <c r="E488" s="16">
        <f>'02 价格(主口径)'!C13</f>
        <v/>
      </c>
      <c r="F488" s="16">
        <f>'02 价格(主口径)'!D13</f>
        <v/>
      </c>
      <c r="G488" s="17">
        <f>IF(OR(E488="",F488=""),"",E488-F488)</f>
        <v/>
      </c>
      <c r="H488" s="14" t="inlineStr"/>
    </row>
    <row r="489">
      <c r="A489" s="7">
        <f>'02 价格(主口径)'!A14</f>
        <v/>
      </c>
      <c r="C489" s="8" t="inlineStr">
        <is>
          <t>HB</t>
        </is>
      </c>
      <c r="D489" s="8" t="inlineStr">
        <is>
          <t>JS</t>
        </is>
      </c>
      <c r="E489" s="16">
        <f>'02 价格(主口径)'!C14</f>
        <v/>
      </c>
      <c r="F489" s="16">
        <f>'02 价格(主口径)'!D14</f>
        <v/>
      </c>
      <c r="G489" s="17">
        <f>IF(OR(E489="",F489=""),"",E489-F489)</f>
        <v/>
      </c>
      <c r="H489" s="14" t="inlineStr"/>
    </row>
    <row r="490">
      <c r="A490" s="7">
        <f>'02 价格(主口径)'!A15</f>
        <v/>
      </c>
      <c r="C490" s="8" t="inlineStr">
        <is>
          <t>HB</t>
        </is>
      </c>
      <c r="D490" s="8" t="inlineStr">
        <is>
          <t>JS</t>
        </is>
      </c>
      <c r="E490" s="16">
        <f>'02 价格(主口径)'!C15</f>
        <v/>
      </c>
      <c r="F490" s="16">
        <f>'02 价格(主口径)'!D15</f>
        <v/>
      </c>
      <c r="G490" s="17">
        <f>IF(OR(E490="",F490=""),"",E490-F490)</f>
        <v/>
      </c>
      <c r="H490" s="14" t="inlineStr"/>
    </row>
    <row r="491">
      <c r="A491" s="7">
        <f>'02 价格(主口径)'!A16</f>
        <v/>
      </c>
      <c r="C491" s="8" t="inlineStr">
        <is>
          <t>HB</t>
        </is>
      </c>
      <c r="D491" s="8" t="inlineStr">
        <is>
          <t>JS</t>
        </is>
      </c>
      <c r="E491" s="16">
        <f>'02 价格(主口径)'!C16</f>
        <v/>
      </c>
      <c r="F491" s="16">
        <f>'02 价格(主口径)'!D16</f>
        <v/>
      </c>
      <c r="G491" s="17">
        <f>IF(OR(E491="",F491=""),"",E491-F491)</f>
        <v/>
      </c>
      <c r="H491" s="14" t="inlineStr"/>
    </row>
    <row r="492">
      <c r="A492" s="7">
        <f>'02 价格(主口径)'!A17</f>
        <v/>
      </c>
      <c r="C492" s="8" t="inlineStr">
        <is>
          <t>HB</t>
        </is>
      </c>
      <c r="D492" s="8" t="inlineStr">
        <is>
          <t>JS</t>
        </is>
      </c>
      <c r="E492" s="16">
        <f>'02 价格(主口径)'!C17</f>
        <v/>
      </c>
      <c r="F492" s="16">
        <f>'02 价格(主口径)'!D17</f>
        <v/>
      </c>
      <c r="G492" s="17">
        <f>IF(OR(E492="",F492=""),"",E492-F492)</f>
        <v/>
      </c>
      <c r="H492" s="14" t="inlineStr"/>
    </row>
    <row r="493">
      <c r="A493" s="7">
        <f>'02 价格(主口径)'!A18</f>
        <v/>
      </c>
      <c r="C493" s="8" t="inlineStr">
        <is>
          <t>HB</t>
        </is>
      </c>
      <c r="D493" s="8" t="inlineStr">
        <is>
          <t>JS</t>
        </is>
      </c>
      <c r="E493" s="16">
        <f>'02 价格(主口径)'!C18</f>
        <v/>
      </c>
      <c r="F493" s="16">
        <f>'02 价格(主口径)'!D18</f>
        <v/>
      </c>
      <c r="G493" s="17">
        <f>IF(OR(E493="",F493=""),"",E493-F493)</f>
        <v/>
      </c>
      <c r="H493" s="14" t="inlineStr"/>
    </row>
    <row r="494">
      <c r="A494" s="7">
        <f>'02 价格(主口径)'!A19</f>
        <v/>
      </c>
      <c r="C494" s="8" t="inlineStr">
        <is>
          <t>HB</t>
        </is>
      </c>
      <c r="D494" s="8" t="inlineStr">
        <is>
          <t>JS</t>
        </is>
      </c>
      <c r="E494" s="16">
        <f>'02 价格(主口径)'!C19</f>
        <v/>
      </c>
      <c r="F494" s="16">
        <f>'02 价格(主口径)'!D19</f>
        <v/>
      </c>
      <c r="G494" s="17">
        <f>IF(OR(E494="",F494=""),"",E494-F494)</f>
        <v/>
      </c>
      <c r="H494" s="14" t="inlineStr"/>
    </row>
    <row r="495">
      <c r="A495" s="7">
        <f>'02 价格(主口径)'!A20</f>
        <v/>
      </c>
      <c r="C495" s="8" t="inlineStr">
        <is>
          <t>HB</t>
        </is>
      </c>
      <c r="D495" s="8" t="inlineStr">
        <is>
          <t>JS</t>
        </is>
      </c>
      <c r="E495" s="16">
        <f>'02 价格(主口径)'!C20</f>
        <v/>
      </c>
      <c r="F495" s="16">
        <f>'02 价格(主口径)'!D20</f>
        <v/>
      </c>
      <c r="G495" s="17">
        <f>IF(OR(E495="",F495=""),"",E495-F495)</f>
        <v/>
      </c>
      <c r="H495" s="14" t="inlineStr"/>
    </row>
    <row r="496">
      <c r="A496" s="7">
        <f>'02 价格(主口径)'!A21</f>
        <v/>
      </c>
      <c r="C496" s="8" t="inlineStr">
        <is>
          <t>HB</t>
        </is>
      </c>
      <c r="D496" s="8" t="inlineStr">
        <is>
          <t>JS</t>
        </is>
      </c>
      <c r="E496" s="16">
        <f>'02 价格(主口径)'!C21</f>
        <v/>
      </c>
      <c r="F496" s="16">
        <f>'02 价格(主口径)'!D21</f>
        <v/>
      </c>
      <c r="G496" s="17">
        <f>IF(OR(E496="",F496=""),"",E496-F496)</f>
        <v/>
      </c>
      <c r="H496" s="14" t="inlineStr"/>
    </row>
    <row r="497">
      <c r="A497" s="7">
        <f>'02 价格(主口径)'!A22</f>
        <v/>
      </c>
      <c r="C497" s="8" t="inlineStr">
        <is>
          <t>HB</t>
        </is>
      </c>
      <c r="D497" s="8" t="inlineStr">
        <is>
          <t>JS</t>
        </is>
      </c>
      <c r="E497" s="16">
        <f>'02 价格(主口径)'!C22</f>
        <v/>
      </c>
      <c r="F497" s="16">
        <f>'02 价格(主口径)'!D22</f>
        <v/>
      </c>
      <c r="G497" s="17">
        <f>IF(OR(E497="",F497=""),"",E497-F497)</f>
        <v/>
      </c>
      <c r="H497" s="14" t="inlineStr"/>
    </row>
    <row r="498">
      <c r="A498" s="7">
        <f>'02 价格(主口径)'!A23</f>
        <v/>
      </c>
      <c r="C498" s="8" t="inlineStr">
        <is>
          <t>HB</t>
        </is>
      </c>
      <c r="D498" s="8" t="inlineStr">
        <is>
          <t>JS</t>
        </is>
      </c>
      <c r="E498" s="16">
        <f>'02 价格(主口径)'!C23</f>
        <v/>
      </c>
      <c r="F498" s="16">
        <f>'02 价格(主口径)'!D23</f>
        <v/>
      </c>
      <c r="G498" s="17">
        <f>IF(OR(E498="",F498=""),"",E498-F498)</f>
        <v/>
      </c>
      <c r="H498" s="14" t="inlineStr"/>
    </row>
    <row r="499">
      <c r="A499" s="7">
        <f>'02 价格(主口径)'!A24</f>
        <v/>
      </c>
      <c r="C499" s="8" t="inlineStr">
        <is>
          <t>HB</t>
        </is>
      </c>
      <c r="D499" s="8" t="inlineStr">
        <is>
          <t>JS</t>
        </is>
      </c>
      <c r="E499" s="16">
        <f>'02 价格(主口径)'!C24</f>
        <v/>
      </c>
      <c r="F499" s="16">
        <f>'02 价格(主口径)'!D24</f>
        <v/>
      </c>
      <c r="G499" s="17">
        <f>IF(OR(E499="",F499=""),"",E499-F499)</f>
        <v/>
      </c>
      <c r="H499" s="14" t="inlineStr"/>
    </row>
    <row r="500">
      <c r="A500" s="7">
        <f>'02 价格(主口径)'!A25</f>
        <v/>
      </c>
      <c r="C500" s="8" t="inlineStr">
        <is>
          <t>HB</t>
        </is>
      </c>
      <c r="D500" s="8" t="inlineStr">
        <is>
          <t>JS</t>
        </is>
      </c>
      <c r="E500" s="16">
        <f>'02 价格(主口径)'!C25</f>
        <v/>
      </c>
      <c r="F500" s="16">
        <f>'02 价格(主口径)'!D25</f>
        <v/>
      </c>
      <c r="G500" s="17">
        <f>IF(OR(E500="",F500=""),"",E500-F500)</f>
        <v/>
      </c>
      <c r="H500" s="14" t="inlineStr"/>
    </row>
    <row r="501">
      <c r="A501" s="7">
        <f>'02 价格(主口径)'!A26</f>
        <v/>
      </c>
      <c r="C501" s="8" t="inlineStr">
        <is>
          <t>HB</t>
        </is>
      </c>
      <c r="D501" s="8" t="inlineStr">
        <is>
          <t>JS</t>
        </is>
      </c>
      <c r="E501" s="16">
        <f>'02 价格(主口径)'!C26</f>
        <v/>
      </c>
      <c r="F501" s="16">
        <f>'02 价格(主口径)'!D26</f>
        <v/>
      </c>
      <c r="G501" s="17">
        <f>IF(OR(E501="",F501=""),"",E501-F501)</f>
        <v/>
      </c>
      <c r="H501" s="14" t="inlineStr"/>
    </row>
    <row r="502">
      <c r="A502" s="7">
        <f>'02 价格(主口径)'!A27</f>
        <v/>
      </c>
      <c r="C502" s="8" t="inlineStr">
        <is>
          <t>HB</t>
        </is>
      </c>
      <c r="D502" s="8" t="inlineStr">
        <is>
          <t>JS</t>
        </is>
      </c>
      <c r="E502" s="16">
        <f>'02 价格(主口径)'!C27</f>
        <v/>
      </c>
      <c r="F502" s="16">
        <f>'02 价格(主口径)'!D27</f>
        <v/>
      </c>
      <c r="G502" s="17">
        <f>IF(OR(E502="",F502=""),"",E502-F502)</f>
        <v/>
      </c>
      <c r="H502" s="14" t="inlineStr"/>
    </row>
    <row r="503">
      <c r="A503" s="7">
        <f>'02 价格(主口径)'!A28</f>
        <v/>
      </c>
      <c r="C503" s="8" t="inlineStr">
        <is>
          <t>HB</t>
        </is>
      </c>
      <c r="D503" s="8" t="inlineStr">
        <is>
          <t>JS</t>
        </is>
      </c>
      <c r="E503" s="16">
        <f>'02 价格(主口径)'!C28</f>
        <v/>
      </c>
      <c r="F503" s="16">
        <f>'02 价格(主口径)'!D28</f>
        <v/>
      </c>
      <c r="G503" s="17">
        <f>IF(OR(E503="",F503=""),"",E503-F503)</f>
        <v/>
      </c>
      <c r="H503" s="14" t="inlineStr"/>
    </row>
    <row r="504">
      <c r="A504" s="7">
        <f>'02 价格(主口径)'!A29</f>
        <v/>
      </c>
      <c r="C504" s="8" t="inlineStr">
        <is>
          <t>HB</t>
        </is>
      </c>
      <c r="D504" s="8" t="inlineStr">
        <is>
          <t>JS</t>
        </is>
      </c>
      <c r="E504" s="16">
        <f>'02 价格(主口径)'!C29</f>
        <v/>
      </c>
      <c r="F504" s="16">
        <f>'02 价格(主口径)'!D29</f>
        <v/>
      </c>
      <c r="G504" s="17">
        <f>IF(OR(E504="",F504=""),"",E504-F504)</f>
        <v/>
      </c>
      <c r="H504" s="14" t="inlineStr"/>
    </row>
    <row r="505">
      <c r="A505" s="7">
        <f>'02 价格(主口径)'!A30</f>
        <v/>
      </c>
      <c r="C505" s="8" t="inlineStr">
        <is>
          <t>HB</t>
        </is>
      </c>
      <c r="D505" s="8" t="inlineStr">
        <is>
          <t>JS</t>
        </is>
      </c>
      <c r="E505" s="16">
        <f>'02 价格(主口径)'!C30</f>
        <v/>
      </c>
      <c r="F505" s="16">
        <f>'02 价格(主口径)'!D30</f>
        <v/>
      </c>
      <c r="G505" s="17">
        <f>IF(OR(E505="",F505=""),"",E505-F505)</f>
        <v/>
      </c>
      <c r="H505" s="14" t="inlineStr"/>
    </row>
    <row r="506">
      <c r="A506" s="7">
        <f>'02 价格(主口径)'!A31</f>
        <v/>
      </c>
      <c r="C506" s="8" t="inlineStr">
        <is>
          <t>HB</t>
        </is>
      </c>
      <c r="D506" s="8" t="inlineStr">
        <is>
          <t>JS</t>
        </is>
      </c>
      <c r="E506" s="16">
        <f>'02 价格(主口径)'!C31</f>
        <v/>
      </c>
      <c r="F506" s="16">
        <f>'02 价格(主口径)'!D31</f>
        <v/>
      </c>
      <c r="G506" s="17">
        <f>IF(OR(E506="",F506=""),"",E506-F506)</f>
        <v/>
      </c>
      <c r="H506" s="14" t="inlineStr"/>
    </row>
    <row r="507">
      <c r="A507" s="7">
        <f>'02 价格(主口径)'!A32</f>
        <v/>
      </c>
      <c r="C507" s="8" t="inlineStr">
        <is>
          <t>HB</t>
        </is>
      </c>
      <c r="D507" s="8" t="inlineStr">
        <is>
          <t>JS</t>
        </is>
      </c>
      <c r="E507" s="16">
        <f>'02 价格(主口径)'!C32</f>
        <v/>
      </c>
      <c r="F507" s="16">
        <f>'02 价格(主口径)'!D32</f>
        <v/>
      </c>
      <c r="G507" s="17">
        <f>IF(OR(E507="",F507=""),"",E507-F507)</f>
        <v/>
      </c>
      <c r="H507" s="14" t="inlineStr"/>
    </row>
    <row r="508">
      <c r="A508" s="7">
        <f>'02 价格(主口径)'!A33</f>
        <v/>
      </c>
      <c r="C508" s="8" t="inlineStr">
        <is>
          <t>HB</t>
        </is>
      </c>
      <c r="D508" s="8" t="inlineStr">
        <is>
          <t>JS</t>
        </is>
      </c>
      <c r="E508" s="16">
        <f>'02 价格(主口径)'!C33</f>
        <v/>
      </c>
      <c r="F508" s="16">
        <f>'02 价格(主口径)'!D33</f>
        <v/>
      </c>
      <c r="G508" s="17">
        <f>IF(OR(E508="",F508=""),"",E508-F508)</f>
        <v/>
      </c>
      <c r="H508" s="14" t="inlineStr"/>
    </row>
    <row r="509">
      <c r="A509" s="7">
        <f>'02 价格(主口径)'!A34</f>
        <v/>
      </c>
      <c r="C509" s="8" t="inlineStr">
        <is>
          <t>HB</t>
        </is>
      </c>
      <c r="D509" s="8" t="inlineStr">
        <is>
          <t>JS</t>
        </is>
      </c>
      <c r="E509" s="16">
        <f>'02 价格(主口径)'!C34</f>
        <v/>
      </c>
      <c r="F509" s="16">
        <f>'02 价格(主口径)'!D34</f>
        <v/>
      </c>
      <c r="G509" s="17">
        <f>IF(OR(E509="",F509=""),"",E509-F509)</f>
        <v/>
      </c>
      <c r="H509" s="14" t="inlineStr"/>
    </row>
    <row r="510">
      <c r="A510" s="7">
        <f>'02 价格(主口径)'!A35</f>
        <v/>
      </c>
      <c r="C510" s="8" t="inlineStr">
        <is>
          <t>HB</t>
        </is>
      </c>
      <c r="D510" s="8" t="inlineStr">
        <is>
          <t>JS</t>
        </is>
      </c>
      <c r="E510" s="16">
        <f>'02 价格(主口径)'!C35</f>
        <v/>
      </c>
      <c r="F510" s="16">
        <f>'02 价格(主口径)'!D35</f>
        <v/>
      </c>
      <c r="G510" s="17">
        <f>IF(OR(E510="",F510=""),"",E510-F510)</f>
        <v/>
      </c>
      <c r="H510" s="14" t="inlineStr"/>
    </row>
    <row r="511">
      <c r="A511" s="7">
        <f>'02 价格(主口径)'!A36</f>
        <v/>
      </c>
      <c r="C511" s="8" t="inlineStr">
        <is>
          <t>HB</t>
        </is>
      </c>
      <c r="D511" s="8" t="inlineStr">
        <is>
          <t>JS</t>
        </is>
      </c>
      <c r="E511" s="16">
        <f>'02 价格(主口径)'!C36</f>
        <v/>
      </c>
      <c r="F511" s="16">
        <f>'02 价格(主口径)'!D36</f>
        <v/>
      </c>
      <c r="G511" s="17">
        <f>IF(OR(E511="",F511=""),"",E511-F511)</f>
        <v/>
      </c>
      <c r="H511" s="14" t="inlineStr"/>
    </row>
    <row r="512">
      <c r="A512" s="7">
        <f>'02 价格(主口径)'!A37</f>
        <v/>
      </c>
      <c r="C512" s="8" t="inlineStr">
        <is>
          <t>HB</t>
        </is>
      </c>
      <c r="D512" s="8" t="inlineStr">
        <is>
          <t>JS</t>
        </is>
      </c>
      <c r="E512" s="16">
        <f>'02 价格(主口径)'!C37</f>
        <v/>
      </c>
      <c r="F512" s="16">
        <f>'02 价格(主口径)'!D37</f>
        <v/>
      </c>
      <c r="G512" s="17">
        <f>IF(OR(E512="",F512=""),"",E512-F512)</f>
        <v/>
      </c>
      <c r="H512" s="14" t="inlineStr"/>
    </row>
    <row r="513">
      <c r="A513" s="7">
        <f>'02 价格(主口径)'!A38</f>
        <v/>
      </c>
      <c r="C513" s="8" t="inlineStr">
        <is>
          <t>HB</t>
        </is>
      </c>
      <c r="D513" s="8" t="inlineStr">
        <is>
          <t>JS</t>
        </is>
      </c>
      <c r="E513" s="16">
        <f>'02 价格(主口径)'!C38</f>
        <v/>
      </c>
      <c r="F513" s="16">
        <f>'02 价格(主口径)'!D38</f>
        <v/>
      </c>
      <c r="G513" s="17">
        <f>IF(OR(E513="",F513=""),"",E513-F513)</f>
        <v/>
      </c>
      <c r="H513" s="14" t="inlineStr"/>
    </row>
    <row r="514">
      <c r="A514" s="7">
        <f>'02 价格(主口径)'!A39</f>
        <v/>
      </c>
      <c r="C514" s="8" t="inlineStr">
        <is>
          <t>HB</t>
        </is>
      </c>
      <c r="D514" s="8" t="inlineStr">
        <is>
          <t>JS</t>
        </is>
      </c>
      <c r="E514" s="16">
        <f>'02 价格(主口径)'!C39</f>
        <v/>
      </c>
      <c r="F514" s="16">
        <f>'02 价格(主口径)'!D39</f>
        <v/>
      </c>
      <c r="G514" s="17">
        <f>IF(OR(E514="",F514=""),"",E514-F514)</f>
        <v/>
      </c>
      <c r="H514" s="14" t="inlineStr"/>
    </row>
    <row r="515">
      <c r="A515" s="7">
        <f>'02 价格(主口径)'!A40</f>
        <v/>
      </c>
      <c r="C515" s="8" t="inlineStr">
        <is>
          <t>HB</t>
        </is>
      </c>
      <c r="D515" s="8" t="inlineStr">
        <is>
          <t>JS</t>
        </is>
      </c>
      <c r="E515" s="16">
        <f>'02 价格(主口径)'!C40</f>
        <v/>
      </c>
      <c r="F515" s="16">
        <f>'02 价格(主口径)'!D40</f>
        <v/>
      </c>
      <c r="G515" s="17">
        <f>IF(OR(E515="",F515=""),"",E515-F515)</f>
        <v/>
      </c>
      <c r="H515" s="14" t="inlineStr"/>
    </row>
    <row r="516">
      <c r="A516" s="7">
        <f>'02 价格(主口径)'!A41</f>
        <v/>
      </c>
      <c r="C516" s="8" t="inlineStr">
        <is>
          <t>HB</t>
        </is>
      </c>
      <c r="D516" s="8" t="inlineStr">
        <is>
          <t>JS</t>
        </is>
      </c>
      <c r="E516" s="16">
        <f>'02 价格(主口径)'!C41</f>
        <v/>
      </c>
      <c r="F516" s="16">
        <f>'02 价格(主口径)'!D41</f>
        <v/>
      </c>
      <c r="G516" s="17">
        <f>IF(OR(E516="",F516=""),"",E516-F516)</f>
        <v/>
      </c>
      <c r="H516" s="14" t="inlineStr"/>
    </row>
    <row r="517">
      <c r="A517" s="7">
        <f>'02 价格(主口径)'!A42</f>
        <v/>
      </c>
      <c r="C517" s="8" t="inlineStr">
        <is>
          <t>HB</t>
        </is>
      </c>
      <c r="D517" s="8" t="inlineStr">
        <is>
          <t>JS</t>
        </is>
      </c>
      <c r="E517" s="16">
        <f>'02 价格(主口径)'!C42</f>
        <v/>
      </c>
      <c r="F517" s="16">
        <f>'02 价格(主口径)'!D42</f>
        <v/>
      </c>
      <c r="G517" s="17">
        <f>IF(OR(E517="",F517=""),"",E517-F517)</f>
        <v/>
      </c>
      <c r="H517" s="14" t="inlineStr"/>
    </row>
    <row r="518">
      <c r="A518" s="7">
        <f>'02 价格(主口径)'!A43</f>
        <v/>
      </c>
      <c r="C518" s="8" t="inlineStr">
        <is>
          <t>HB</t>
        </is>
      </c>
      <c r="D518" s="8" t="inlineStr">
        <is>
          <t>JS</t>
        </is>
      </c>
      <c r="E518" s="16">
        <f>'02 价格(主口径)'!C43</f>
        <v/>
      </c>
      <c r="F518" s="16">
        <f>'02 价格(主口径)'!D43</f>
        <v/>
      </c>
      <c r="G518" s="17">
        <f>IF(OR(E518="",F518=""),"",E518-F518)</f>
        <v/>
      </c>
      <c r="H518" s="14" t="inlineStr"/>
    </row>
    <row r="519">
      <c r="A519" s="7">
        <f>'02 价格(主口径)'!A44</f>
        <v/>
      </c>
      <c r="C519" s="8" t="inlineStr">
        <is>
          <t>HB</t>
        </is>
      </c>
      <c r="D519" s="8" t="inlineStr">
        <is>
          <t>JS</t>
        </is>
      </c>
      <c r="E519" s="16">
        <f>'02 价格(主口径)'!C44</f>
        <v/>
      </c>
      <c r="F519" s="16">
        <f>'02 价格(主口径)'!D44</f>
        <v/>
      </c>
      <c r="G519" s="17">
        <f>IF(OR(E519="",F519=""),"",E519-F519)</f>
        <v/>
      </c>
      <c r="H519" s="14" t="inlineStr"/>
    </row>
    <row r="520">
      <c r="A520" s="7">
        <f>'02 价格(主口径)'!A45</f>
        <v/>
      </c>
      <c r="C520" s="8" t="inlineStr">
        <is>
          <t>HB</t>
        </is>
      </c>
      <c r="D520" s="8" t="inlineStr">
        <is>
          <t>JS</t>
        </is>
      </c>
      <c r="E520" s="16">
        <f>'02 价格(主口径)'!C45</f>
        <v/>
      </c>
      <c r="F520" s="16">
        <f>'02 价格(主口径)'!D45</f>
        <v/>
      </c>
      <c r="G520" s="17">
        <f>IF(OR(E520="",F520=""),"",E520-F520)</f>
        <v/>
      </c>
      <c r="H520" s="14" t="inlineStr"/>
    </row>
    <row r="521">
      <c r="A521" s="7">
        <f>'02 价格(主口径)'!A46</f>
        <v/>
      </c>
      <c r="C521" s="8" t="inlineStr">
        <is>
          <t>HB</t>
        </is>
      </c>
      <c r="D521" s="8" t="inlineStr">
        <is>
          <t>JS</t>
        </is>
      </c>
      <c r="E521" s="16">
        <f>'02 价格(主口径)'!C46</f>
        <v/>
      </c>
      <c r="F521" s="16">
        <f>'02 价格(主口径)'!D46</f>
        <v/>
      </c>
      <c r="G521" s="17">
        <f>IF(OR(E521="",F521=""),"",E521-F521)</f>
        <v/>
      </c>
      <c r="H521" s="14" t="inlineStr"/>
    </row>
    <row r="522">
      <c r="A522" s="7">
        <f>'02 价格(主口径)'!A47</f>
        <v/>
      </c>
      <c r="C522" s="8" t="inlineStr">
        <is>
          <t>HB</t>
        </is>
      </c>
      <c r="D522" s="8" t="inlineStr">
        <is>
          <t>JS</t>
        </is>
      </c>
      <c r="E522" s="16">
        <f>'02 价格(主口径)'!C47</f>
        <v/>
      </c>
      <c r="F522" s="16">
        <f>'02 价格(主口径)'!D47</f>
        <v/>
      </c>
      <c r="G522" s="17">
        <f>IF(OR(E522="",F522=""),"",E522-F522)</f>
        <v/>
      </c>
      <c r="H522" s="14" t="inlineStr"/>
    </row>
    <row r="523">
      <c r="A523" s="7">
        <f>'02 价格(主口径)'!A48</f>
        <v/>
      </c>
      <c r="C523" s="8" t="inlineStr">
        <is>
          <t>HB</t>
        </is>
      </c>
      <c r="D523" s="8" t="inlineStr">
        <is>
          <t>JS</t>
        </is>
      </c>
      <c r="E523" s="16">
        <f>'02 价格(主口径)'!C48</f>
        <v/>
      </c>
      <c r="F523" s="16">
        <f>'02 价格(主口径)'!D48</f>
        <v/>
      </c>
      <c r="G523" s="17">
        <f>IF(OR(E523="",F523=""),"",E523-F523)</f>
        <v/>
      </c>
      <c r="H523" s="14" t="inlineStr"/>
    </row>
    <row r="524">
      <c r="A524" s="7">
        <f>'02 价格(主口径)'!A49</f>
        <v/>
      </c>
      <c r="C524" s="8" t="inlineStr">
        <is>
          <t>HB</t>
        </is>
      </c>
      <c r="D524" s="8" t="inlineStr">
        <is>
          <t>JS</t>
        </is>
      </c>
      <c r="E524" s="16">
        <f>'02 价格(主口径)'!C49</f>
        <v/>
      </c>
      <c r="F524" s="16">
        <f>'02 价格(主口径)'!D49</f>
        <v/>
      </c>
      <c r="G524" s="17">
        <f>IF(OR(E524="",F524=""),"",E524-F524)</f>
        <v/>
      </c>
      <c r="H524" s="14" t="inlineStr"/>
    </row>
    <row r="525">
      <c r="A525" s="7">
        <f>'02 价格(主口径)'!A50</f>
        <v/>
      </c>
      <c r="C525" s="8" t="inlineStr">
        <is>
          <t>HB</t>
        </is>
      </c>
      <c r="D525" s="8" t="inlineStr">
        <is>
          <t>JS</t>
        </is>
      </c>
      <c r="E525" s="16">
        <f>'02 价格(主口径)'!C50</f>
        <v/>
      </c>
      <c r="F525" s="16">
        <f>'02 价格(主口径)'!D50</f>
        <v/>
      </c>
      <c r="G525" s="17">
        <f>IF(OR(E525="",F525=""),"",E525-F525)</f>
        <v/>
      </c>
      <c r="H525" s="14" t="inlineStr"/>
    </row>
    <row r="526">
      <c r="A526" s="7">
        <f>'02 价格(主口径)'!A51</f>
        <v/>
      </c>
      <c r="C526" s="8" t="inlineStr">
        <is>
          <t>HB</t>
        </is>
      </c>
      <c r="D526" s="8" t="inlineStr">
        <is>
          <t>JS</t>
        </is>
      </c>
      <c r="E526" s="16">
        <f>'02 价格(主口径)'!C51</f>
        <v/>
      </c>
      <c r="F526" s="16">
        <f>'02 价格(主口径)'!D51</f>
        <v/>
      </c>
      <c r="G526" s="17">
        <f>IF(OR(E526="",F526=""),"",E526-F526)</f>
        <v/>
      </c>
      <c r="H526" s="14" t="inlineStr"/>
    </row>
    <row r="527">
      <c r="A527" s="7">
        <f>'02 价格(主口径)'!A52</f>
        <v/>
      </c>
      <c r="C527" s="8" t="inlineStr">
        <is>
          <t>HB</t>
        </is>
      </c>
      <c r="D527" s="8" t="inlineStr">
        <is>
          <t>JS</t>
        </is>
      </c>
      <c r="E527" s="16">
        <f>'02 价格(主口径)'!C52</f>
        <v/>
      </c>
      <c r="F527" s="16">
        <f>'02 价格(主口径)'!D52</f>
        <v/>
      </c>
      <c r="G527" s="17">
        <f>IF(OR(E527="",F527=""),"",E527-F527)</f>
        <v/>
      </c>
      <c r="H527" s="14" t="inlineStr"/>
    </row>
    <row r="528">
      <c r="A528" s="7">
        <f>'02 价格(主口径)'!A53</f>
        <v/>
      </c>
      <c r="C528" s="8" t="inlineStr">
        <is>
          <t>HB</t>
        </is>
      </c>
      <c r="D528" s="8" t="inlineStr">
        <is>
          <t>JS</t>
        </is>
      </c>
      <c r="E528" s="16">
        <f>'02 价格(主口径)'!C53</f>
        <v/>
      </c>
      <c r="F528" s="16">
        <f>'02 价格(主口径)'!D53</f>
        <v/>
      </c>
      <c r="G528" s="17">
        <f>IF(OR(E528="",F528=""),"",E528-F528)</f>
        <v/>
      </c>
      <c r="H528" s="14" t="inlineStr"/>
    </row>
    <row r="529">
      <c r="A529" s="7">
        <f>'02 价格(主口径)'!A54</f>
        <v/>
      </c>
      <c r="C529" s="8" t="inlineStr">
        <is>
          <t>HB</t>
        </is>
      </c>
      <c r="D529" s="8" t="inlineStr">
        <is>
          <t>JS</t>
        </is>
      </c>
      <c r="E529" s="16">
        <f>'02 价格(主口径)'!C54</f>
        <v/>
      </c>
      <c r="F529" s="16">
        <f>'02 价格(主口径)'!D54</f>
        <v/>
      </c>
      <c r="G529" s="17">
        <f>IF(OR(E529="",F529=""),"",E529-F529)</f>
        <v/>
      </c>
      <c r="H529" s="14" t="inlineStr"/>
    </row>
    <row r="530">
      <c r="A530" s="7">
        <f>'02 价格(主口径)'!A55</f>
        <v/>
      </c>
      <c r="C530" s="8" t="inlineStr">
        <is>
          <t>HB</t>
        </is>
      </c>
      <c r="D530" s="8" t="inlineStr">
        <is>
          <t>JS</t>
        </is>
      </c>
      <c r="E530" s="16">
        <f>'02 价格(主口径)'!C55</f>
        <v/>
      </c>
      <c r="F530" s="16">
        <f>'02 价格(主口径)'!D55</f>
        <v/>
      </c>
      <c r="G530" s="17">
        <f>IF(OR(E530="",F530=""),"",E530-F530)</f>
        <v/>
      </c>
      <c r="H530" s="14" t="inlineStr"/>
    </row>
    <row r="531">
      <c r="A531" s="7">
        <f>'02 价格(主口径)'!A56</f>
        <v/>
      </c>
      <c r="C531" s="8" t="inlineStr">
        <is>
          <t>HB</t>
        </is>
      </c>
      <c r="D531" s="8" t="inlineStr">
        <is>
          <t>JS</t>
        </is>
      </c>
      <c r="E531" s="16">
        <f>'02 价格(主口径)'!C56</f>
        <v/>
      </c>
      <c r="F531" s="16">
        <f>'02 价格(主口径)'!D56</f>
        <v/>
      </c>
      <c r="G531" s="17">
        <f>IF(OR(E531="",F531=""),"",E531-F531)</f>
        <v/>
      </c>
      <c r="H531" s="14" t="inlineStr"/>
    </row>
    <row r="532">
      <c r="A532" s="7">
        <f>'02 价格(主口径)'!A57</f>
        <v/>
      </c>
      <c r="C532" s="8" t="inlineStr">
        <is>
          <t>HB</t>
        </is>
      </c>
      <c r="D532" s="8" t="inlineStr">
        <is>
          <t>JS</t>
        </is>
      </c>
      <c r="E532" s="16">
        <f>'02 价格(主口径)'!C57</f>
        <v/>
      </c>
      <c r="F532" s="16">
        <f>'02 价格(主口径)'!D57</f>
        <v/>
      </c>
      <c r="G532" s="17">
        <f>IF(OR(E532="",F532=""),"",E532-F532)</f>
        <v/>
      </c>
      <c r="H532" s="14" t="inlineStr"/>
    </row>
    <row r="533">
      <c r="A533" s="7">
        <f>'02 价格(主口径)'!A58</f>
        <v/>
      </c>
      <c r="C533" s="8" t="inlineStr">
        <is>
          <t>HB</t>
        </is>
      </c>
      <c r="D533" s="8" t="inlineStr">
        <is>
          <t>JS</t>
        </is>
      </c>
      <c r="E533" s="16">
        <f>'02 价格(主口径)'!C58</f>
        <v/>
      </c>
      <c r="F533" s="16">
        <f>'02 价格(主口径)'!D58</f>
        <v/>
      </c>
      <c r="G533" s="17">
        <f>IF(OR(E533="",F533=""),"",E533-F533)</f>
        <v/>
      </c>
      <c r="H533" s="14" t="inlineStr"/>
    </row>
    <row r="534">
      <c r="A534" s="7">
        <f>'02 价格(主口径)'!A59</f>
        <v/>
      </c>
      <c r="C534" s="8" t="inlineStr">
        <is>
          <t>HB</t>
        </is>
      </c>
      <c r="D534" s="8" t="inlineStr">
        <is>
          <t>JS</t>
        </is>
      </c>
      <c r="E534" s="16">
        <f>'02 价格(主口径)'!C59</f>
        <v/>
      </c>
      <c r="F534" s="16">
        <f>'02 价格(主口径)'!D59</f>
        <v/>
      </c>
      <c r="G534" s="17">
        <f>IF(OR(E534="",F534=""),"",E534-F534)</f>
        <v/>
      </c>
      <c r="H534" s="14" t="inlineStr"/>
    </row>
    <row r="535">
      <c r="A535" s="7">
        <f>'02 价格(主口径)'!A60</f>
        <v/>
      </c>
      <c r="C535" s="8" t="inlineStr">
        <is>
          <t>HB</t>
        </is>
      </c>
      <c r="D535" s="8" t="inlineStr">
        <is>
          <t>JS</t>
        </is>
      </c>
      <c r="E535" s="16">
        <f>'02 价格(主口径)'!C60</f>
        <v/>
      </c>
      <c r="F535" s="16">
        <f>'02 价格(主口径)'!D60</f>
        <v/>
      </c>
      <c r="G535" s="17">
        <f>IF(OR(E535="",F535=""),"",E535-F535)</f>
        <v/>
      </c>
      <c r="H535" s="14" t="inlineStr"/>
    </row>
    <row r="536">
      <c r="A536" s="7">
        <f>'02 价格(主口径)'!A61</f>
        <v/>
      </c>
      <c r="C536" s="8" t="inlineStr">
        <is>
          <t>HB</t>
        </is>
      </c>
      <c r="D536" s="8" t="inlineStr">
        <is>
          <t>JS</t>
        </is>
      </c>
      <c r="E536" s="16">
        <f>'02 价格(主口径)'!C61</f>
        <v/>
      </c>
      <c r="F536" s="16">
        <f>'02 价格(主口径)'!D61</f>
        <v/>
      </c>
      <c r="G536" s="17">
        <f>IF(OR(E536="",F536=""),"",E536-F536)</f>
        <v/>
      </c>
      <c r="H536" s="14" t="inlineStr"/>
    </row>
    <row r="537">
      <c r="A537" s="7">
        <f>'02 价格(主口径)'!A62</f>
        <v/>
      </c>
      <c r="C537" s="8" t="inlineStr">
        <is>
          <t>HB</t>
        </is>
      </c>
      <c r="D537" s="8" t="inlineStr">
        <is>
          <t>JS</t>
        </is>
      </c>
      <c r="E537" s="16">
        <f>'02 价格(主口径)'!C62</f>
        <v/>
      </c>
      <c r="F537" s="16">
        <f>'02 价格(主口径)'!D62</f>
        <v/>
      </c>
      <c r="G537" s="17">
        <f>IF(OR(E537="",F537=""),"",E537-F537)</f>
        <v/>
      </c>
      <c r="H537" s="14" t="inlineStr"/>
    </row>
    <row r="538">
      <c r="A538" s="7">
        <f>'02 价格(主口径)'!A63</f>
        <v/>
      </c>
      <c r="C538" s="8" t="inlineStr">
        <is>
          <t>HB</t>
        </is>
      </c>
      <c r="D538" s="8" t="inlineStr">
        <is>
          <t>JS</t>
        </is>
      </c>
      <c r="E538" s="16">
        <f>'02 价格(主口径)'!C63</f>
        <v/>
      </c>
      <c r="F538" s="16">
        <f>'02 价格(主口径)'!D63</f>
        <v/>
      </c>
      <c r="G538" s="17">
        <f>IF(OR(E538="",F538=""),"",E538-F538)</f>
        <v/>
      </c>
      <c r="H538" s="14" t="inlineStr"/>
    </row>
    <row r="539">
      <c r="A539" s="7">
        <f>'02 价格(主口径)'!A64</f>
        <v/>
      </c>
      <c r="C539" s="8" t="inlineStr">
        <is>
          <t>HB</t>
        </is>
      </c>
      <c r="D539" s="8" t="inlineStr">
        <is>
          <t>JS</t>
        </is>
      </c>
      <c r="E539" s="16">
        <f>'02 价格(主口径)'!C64</f>
        <v/>
      </c>
      <c r="F539" s="16">
        <f>'02 价格(主口径)'!D64</f>
        <v/>
      </c>
      <c r="G539" s="17">
        <f>IF(OR(E539="",F539=""),"",E539-F539)</f>
        <v/>
      </c>
      <c r="H539" s="14" t="inlineStr"/>
    </row>
    <row r="540">
      <c r="A540" s="7">
        <f>'02 价格(主口径)'!A65</f>
        <v/>
      </c>
      <c r="C540" s="8" t="inlineStr">
        <is>
          <t>HB</t>
        </is>
      </c>
      <c r="D540" s="8" t="inlineStr">
        <is>
          <t>JS</t>
        </is>
      </c>
      <c r="E540" s="16">
        <f>'02 价格(主口径)'!C65</f>
        <v/>
      </c>
      <c r="F540" s="16">
        <f>'02 价格(主口径)'!D65</f>
        <v/>
      </c>
      <c r="G540" s="17">
        <f>IF(OR(E540="",F540=""),"",E540-F540)</f>
        <v/>
      </c>
      <c r="H540" s="14" t="inlineStr"/>
    </row>
    <row r="541">
      <c r="A541" s="7">
        <f>'02 价格(主口径)'!A66</f>
        <v/>
      </c>
      <c r="C541" s="8" t="inlineStr">
        <is>
          <t>HB</t>
        </is>
      </c>
      <c r="D541" s="8" t="inlineStr">
        <is>
          <t>JS</t>
        </is>
      </c>
      <c r="E541" s="16">
        <f>'02 价格(主口径)'!C66</f>
        <v/>
      </c>
      <c r="F541" s="16">
        <f>'02 价格(主口径)'!D66</f>
        <v/>
      </c>
      <c r="G541" s="17">
        <f>IF(OR(E541="",F541=""),"",E541-F541)</f>
        <v/>
      </c>
      <c r="H541" s="14" t="inlineStr"/>
    </row>
    <row r="542">
      <c r="A542" s="7">
        <f>'02 价格(主口径)'!A67</f>
        <v/>
      </c>
      <c r="C542" s="8" t="inlineStr">
        <is>
          <t>HB</t>
        </is>
      </c>
      <c r="D542" s="8" t="inlineStr">
        <is>
          <t>JS</t>
        </is>
      </c>
      <c r="E542" s="16">
        <f>'02 价格(主口径)'!C67</f>
        <v/>
      </c>
      <c r="F542" s="16">
        <f>'02 价格(主口径)'!D67</f>
        <v/>
      </c>
      <c r="G542" s="17">
        <f>IF(OR(E542="",F542=""),"",E542-F542)</f>
        <v/>
      </c>
      <c r="H542" s="14" t="inlineStr"/>
    </row>
    <row r="543">
      <c r="A543" s="7">
        <f>'02 价格(主口径)'!A68</f>
        <v/>
      </c>
      <c r="C543" s="8" t="inlineStr">
        <is>
          <t>HB</t>
        </is>
      </c>
      <c r="D543" s="8" t="inlineStr">
        <is>
          <t>JS</t>
        </is>
      </c>
      <c r="E543" s="16">
        <f>'02 价格(主口径)'!C68</f>
        <v/>
      </c>
      <c r="F543" s="16">
        <f>'02 价格(主口径)'!D68</f>
        <v/>
      </c>
      <c r="G543" s="17">
        <f>IF(OR(E543="",F543=""),"",E543-F543)</f>
        <v/>
      </c>
      <c r="H543" s="14" t="inlineStr"/>
    </row>
    <row r="544">
      <c r="A544" s="7">
        <f>'02 价格(主口径)'!A69</f>
        <v/>
      </c>
      <c r="C544" s="8" t="inlineStr">
        <is>
          <t>HB</t>
        </is>
      </c>
      <c r="D544" s="8" t="inlineStr">
        <is>
          <t>JS</t>
        </is>
      </c>
      <c r="E544" s="16">
        <f>'02 价格(主口径)'!C69</f>
        <v/>
      </c>
      <c r="F544" s="16">
        <f>'02 价格(主口径)'!D69</f>
        <v/>
      </c>
      <c r="G544" s="17">
        <f>IF(OR(E544="",F544=""),"",E544-F544)</f>
        <v/>
      </c>
      <c r="H544" s="14" t="inlineStr"/>
    </row>
    <row r="545">
      <c r="A545" s="7">
        <f>'02 价格(主口径)'!A70</f>
        <v/>
      </c>
      <c r="C545" s="8" t="inlineStr">
        <is>
          <t>HB</t>
        </is>
      </c>
      <c r="D545" s="8" t="inlineStr">
        <is>
          <t>JS</t>
        </is>
      </c>
      <c r="E545" s="16">
        <f>'02 价格(主口径)'!C70</f>
        <v/>
      </c>
      <c r="F545" s="16">
        <f>'02 价格(主口径)'!D70</f>
        <v/>
      </c>
      <c r="G545" s="17">
        <f>IF(OR(E545="",F545=""),"",E545-F545)</f>
        <v/>
      </c>
      <c r="H545" s="14" t="inlineStr"/>
    </row>
    <row r="546">
      <c r="A546" s="7">
        <f>'02 价格(主口径)'!A71</f>
        <v/>
      </c>
      <c r="C546" s="8" t="inlineStr">
        <is>
          <t>HB</t>
        </is>
      </c>
      <c r="D546" s="8" t="inlineStr">
        <is>
          <t>JS</t>
        </is>
      </c>
      <c r="E546" s="16">
        <f>'02 价格(主口径)'!C71</f>
        <v/>
      </c>
      <c r="F546" s="16">
        <f>'02 价格(主口径)'!D71</f>
        <v/>
      </c>
      <c r="G546" s="17">
        <f>IF(OR(E546="",F546=""),"",E546-F546)</f>
        <v/>
      </c>
      <c r="H546" s="14" t="inlineStr"/>
    </row>
    <row r="547">
      <c r="A547" s="7">
        <f>'02 价格(主口径)'!A72</f>
        <v/>
      </c>
      <c r="C547" s="8" t="inlineStr">
        <is>
          <t>HB</t>
        </is>
      </c>
      <c r="D547" s="8" t="inlineStr">
        <is>
          <t>JS</t>
        </is>
      </c>
      <c r="E547" s="16">
        <f>'02 价格(主口径)'!C72</f>
        <v/>
      </c>
      <c r="F547" s="16">
        <f>'02 价格(主口径)'!D72</f>
        <v/>
      </c>
      <c r="G547" s="17">
        <f>IF(OR(E547="",F547=""),"",E547-F547)</f>
        <v/>
      </c>
      <c r="H547" s="14" t="inlineStr"/>
    </row>
    <row r="548">
      <c r="A548" s="7">
        <f>'02 价格(主口径)'!A73</f>
        <v/>
      </c>
      <c r="C548" s="8" t="inlineStr">
        <is>
          <t>HB</t>
        </is>
      </c>
      <c r="D548" s="8" t="inlineStr">
        <is>
          <t>JS</t>
        </is>
      </c>
      <c r="E548" s="16">
        <f>'02 价格(主口径)'!C73</f>
        <v/>
      </c>
      <c r="F548" s="16">
        <f>'02 价格(主口径)'!D73</f>
        <v/>
      </c>
      <c r="G548" s="17">
        <f>IF(OR(E548="",F548=""),"",E548-F548)</f>
        <v/>
      </c>
      <c r="H548" s="14" t="inlineStr"/>
    </row>
    <row r="549">
      <c r="A549" s="7">
        <f>'02 价格(主口径)'!A74</f>
        <v/>
      </c>
      <c r="C549" s="8" t="inlineStr">
        <is>
          <t>HB</t>
        </is>
      </c>
      <c r="D549" s="8" t="inlineStr">
        <is>
          <t>JS</t>
        </is>
      </c>
      <c r="E549" s="16">
        <f>'02 价格(主口径)'!C74</f>
        <v/>
      </c>
      <c r="F549" s="16">
        <f>'02 价格(主口径)'!D74</f>
        <v/>
      </c>
      <c r="G549" s="17">
        <f>IF(OR(E549="",F549=""),"",E549-F549)</f>
        <v/>
      </c>
      <c r="H549" s="14" t="inlineStr"/>
    </row>
    <row r="550">
      <c r="A550" s="7">
        <f>'02 价格(主口径)'!A75</f>
        <v/>
      </c>
      <c r="C550" s="8" t="inlineStr">
        <is>
          <t>HB</t>
        </is>
      </c>
      <c r="D550" s="8" t="inlineStr">
        <is>
          <t>JS</t>
        </is>
      </c>
      <c r="E550" s="16">
        <f>'02 价格(主口径)'!C75</f>
        <v/>
      </c>
      <c r="F550" s="16">
        <f>'02 价格(主口径)'!D75</f>
        <v/>
      </c>
      <c r="G550" s="17">
        <f>IF(OR(E550="",F550=""),"",E550-F550)</f>
        <v/>
      </c>
      <c r="H550" s="14" t="inlineStr"/>
    </row>
    <row r="551">
      <c r="A551" s="7">
        <f>'02 价格(主口径)'!A76</f>
        <v/>
      </c>
      <c r="C551" s="8" t="inlineStr">
        <is>
          <t>HB</t>
        </is>
      </c>
      <c r="D551" s="8" t="inlineStr">
        <is>
          <t>JS</t>
        </is>
      </c>
      <c r="E551" s="16">
        <f>'02 价格(主口径)'!C76</f>
        <v/>
      </c>
      <c r="F551" s="16">
        <f>'02 价格(主口径)'!D76</f>
        <v/>
      </c>
      <c r="G551" s="17">
        <f>IF(OR(E551="",F551=""),"",E551-F551)</f>
        <v/>
      </c>
      <c r="H551" s="14" t="inlineStr"/>
    </row>
    <row r="552">
      <c r="A552" s="7">
        <f>'02 价格(主口径)'!A77</f>
        <v/>
      </c>
      <c r="C552" s="8" t="inlineStr">
        <is>
          <t>HB</t>
        </is>
      </c>
      <c r="D552" s="8" t="inlineStr">
        <is>
          <t>JS</t>
        </is>
      </c>
      <c r="E552" s="16">
        <f>'02 价格(主口径)'!C77</f>
        <v/>
      </c>
      <c r="F552" s="16">
        <f>'02 价格(主口径)'!D77</f>
        <v/>
      </c>
      <c r="G552" s="17">
        <f>IF(OR(E552="",F552=""),"",E552-F552)</f>
        <v/>
      </c>
      <c r="H552" s="14" t="inlineStr"/>
    </row>
    <row r="553">
      <c r="A553" s="7">
        <f>'02 价格(主口径)'!A78</f>
        <v/>
      </c>
      <c r="C553" s="8" t="inlineStr">
        <is>
          <t>HB</t>
        </is>
      </c>
      <c r="D553" s="8" t="inlineStr">
        <is>
          <t>JS</t>
        </is>
      </c>
      <c r="E553" s="16">
        <f>'02 价格(主口径)'!C78</f>
        <v/>
      </c>
      <c r="F553" s="16">
        <f>'02 价格(主口径)'!D78</f>
        <v/>
      </c>
      <c r="G553" s="17">
        <f>IF(OR(E553="",F553=""),"",E553-F553)</f>
        <v/>
      </c>
      <c r="H553" s="14" t="inlineStr"/>
    </row>
    <row r="554">
      <c r="A554" s="7">
        <f>'02 价格(主口径)'!A79</f>
        <v/>
      </c>
      <c r="C554" s="8" t="inlineStr">
        <is>
          <t>HB</t>
        </is>
      </c>
      <c r="D554" s="8" t="inlineStr">
        <is>
          <t>JS</t>
        </is>
      </c>
      <c r="E554" s="16">
        <f>'02 价格(主口径)'!C79</f>
        <v/>
      </c>
      <c r="F554" s="16">
        <f>'02 价格(主口径)'!D79</f>
        <v/>
      </c>
      <c r="G554" s="17">
        <f>IF(OR(E554="",F554=""),"",E554-F554)</f>
        <v/>
      </c>
      <c r="H554" s="14" t="inlineStr"/>
    </row>
    <row r="555">
      <c r="A555" s="7">
        <f>'02 价格(主口径)'!A80</f>
        <v/>
      </c>
      <c r="C555" s="8" t="inlineStr">
        <is>
          <t>HB</t>
        </is>
      </c>
      <c r="D555" s="8" t="inlineStr">
        <is>
          <t>JS</t>
        </is>
      </c>
      <c r="E555" s="16">
        <f>'02 价格(主口径)'!C80</f>
        <v/>
      </c>
      <c r="F555" s="16">
        <f>'02 价格(主口径)'!D80</f>
        <v/>
      </c>
      <c r="G555" s="17">
        <f>IF(OR(E555="",F555=""),"",E555-F555)</f>
        <v/>
      </c>
      <c r="H555" s="14" t="inlineStr"/>
    </row>
    <row r="556">
      <c r="A556" s="7">
        <f>'02 价格(主口径)'!A81</f>
        <v/>
      </c>
      <c r="C556" s="8" t="inlineStr">
        <is>
          <t>HB</t>
        </is>
      </c>
      <c r="D556" s="8" t="inlineStr">
        <is>
          <t>JS</t>
        </is>
      </c>
      <c r="E556" s="16">
        <f>'02 价格(主口径)'!C81</f>
        <v/>
      </c>
      <c r="F556" s="16">
        <f>'02 价格(主口径)'!D81</f>
        <v/>
      </c>
      <c r="G556" s="17">
        <f>IF(OR(E556="",F556=""),"",E556-F556)</f>
        <v/>
      </c>
      <c r="H556" s="14" t="inlineStr"/>
    </row>
    <row r="557">
      <c r="A557" s="7">
        <f>'02 价格(主口径)'!A82</f>
        <v/>
      </c>
      <c r="C557" s="8" t="inlineStr">
        <is>
          <t>HB</t>
        </is>
      </c>
      <c r="D557" s="8" t="inlineStr">
        <is>
          <t>JS</t>
        </is>
      </c>
      <c r="E557" s="16">
        <f>'02 价格(主口径)'!C82</f>
        <v/>
      </c>
      <c r="F557" s="16">
        <f>'02 价格(主口径)'!D82</f>
        <v/>
      </c>
      <c r="G557" s="17">
        <f>IF(OR(E557="",F557=""),"",E557-F557)</f>
        <v/>
      </c>
      <c r="H557" s="14" t="inlineStr"/>
    </row>
    <row r="558">
      <c r="A558" s="7">
        <f>'02 价格(主口径)'!A83</f>
        <v/>
      </c>
      <c r="C558" s="8" t="inlineStr">
        <is>
          <t>HB</t>
        </is>
      </c>
      <c r="D558" s="8" t="inlineStr">
        <is>
          <t>JS</t>
        </is>
      </c>
      <c r="E558" s="16">
        <f>'02 价格(主口径)'!C83</f>
        <v/>
      </c>
      <c r="F558" s="16">
        <f>'02 价格(主口径)'!D83</f>
        <v/>
      </c>
      <c r="G558" s="17">
        <f>IF(OR(E558="",F558=""),"",E558-F558)</f>
        <v/>
      </c>
      <c r="H558" s="14" t="inlineStr"/>
    </row>
    <row r="559">
      <c r="A559" s="7">
        <f>'02 价格(主口径)'!A84</f>
        <v/>
      </c>
      <c r="C559" s="8" t="inlineStr">
        <is>
          <t>HB</t>
        </is>
      </c>
      <c r="D559" s="8" t="inlineStr">
        <is>
          <t>JS</t>
        </is>
      </c>
      <c r="E559" s="16">
        <f>'02 价格(主口径)'!C84</f>
        <v/>
      </c>
      <c r="F559" s="16">
        <f>'02 价格(主口径)'!D84</f>
        <v/>
      </c>
      <c r="G559" s="17">
        <f>IF(OR(E559="",F559=""),"",E559-F559)</f>
        <v/>
      </c>
      <c r="H559" s="14" t="inlineStr"/>
    </row>
    <row r="560">
      <c r="A560" s="7">
        <f>'02 价格(主口径)'!A85</f>
        <v/>
      </c>
      <c r="C560" s="8" t="inlineStr">
        <is>
          <t>HB</t>
        </is>
      </c>
      <c r="D560" s="8" t="inlineStr">
        <is>
          <t>JS</t>
        </is>
      </c>
      <c r="E560" s="16">
        <f>'02 价格(主口径)'!C85</f>
        <v/>
      </c>
      <c r="F560" s="16">
        <f>'02 价格(主口径)'!D85</f>
        <v/>
      </c>
      <c r="G560" s="17">
        <f>IF(OR(E560="",F560=""),"",E560-F560)</f>
        <v/>
      </c>
      <c r="H560" s="14" t="inlineStr"/>
    </row>
    <row r="561">
      <c r="A561" s="7">
        <f>'02 价格(主口径)'!A86</f>
        <v/>
      </c>
      <c r="C561" s="8" t="inlineStr">
        <is>
          <t>HB</t>
        </is>
      </c>
      <c r="D561" s="8" t="inlineStr">
        <is>
          <t>JS</t>
        </is>
      </c>
      <c r="E561" s="16">
        <f>'02 价格(主口径)'!C86</f>
        <v/>
      </c>
      <c r="F561" s="16">
        <f>'02 价格(主口径)'!D86</f>
        <v/>
      </c>
      <c r="G561" s="17">
        <f>IF(OR(E561="",F561=""),"",E561-F561)</f>
        <v/>
      </c>
      <c r="H561" s="14" t="inlineStr"/>
    </row>
    <row r="562">
      <c r="A562" s="7">
        <f>'02 价格(主口径)'!A87</f>
        <v/>
      </c>
      <c r="C562" s="8" t="inlineStr">
        <is>
          <t>HB</t>
        </is>
      </c>
      <c r="D562" s="8" t="inlineStr">
        <is>
          <t>JS</t>
        </is>
      </c>
      <c r="E562" s="16">
        <f>'02 价格(主口径)'!C87</f>
        <v/>
      </c>
      <c r="F562" s="16">
        <f>'02 价格(主口径)'!D87</f>
        <v/>
      </c>
      <c r="G562" s="17">
        <f>IF(OR(E562="",F562=""),"",E562-F562)</f>
        <v/>
      </c>
      <c r="H562" s="14" t="inlineStr"/>
    </row>
    <row r="563">
      <c r="A563" s="7">
        <f>'02 价格(主口径)'!A88</f>
        <v/>
      </c>
      <c r="C563" s="8" t="inlineStr">
        <is>
          <t>HB</t>
        </is>
      </c>
      <c r="D563" s="8" t="inlineStr">
        <is>
          <t>JS</t>
        </is>
      </c>
      <c r="E563" s="16">
        <f>'02 价格(主口径)'!C88</f>
        <v/>
      </c>
      <c r="F563" s="16">
        <f>'02 价格(主口径)'!D88</f>
        <v/>
      </c>
      <c r="G563" s="17">
        <f>IF(OR(E563="",F563=""),"",E563-F563)</f>
        <v/>
      </c>
      <c r="H563" s="14" t="inlineStr"/>
    </row>
    <row r="564">
      <c r="A564" s="7">
        <f>'02 价格(主口径)'!A89</f>
        <v/>
      </c>
      <c r="C564" s="8" t="inlineStr">
        <is>
          <t>HB</t>
        </is>
      </c>
      <c r="D564" s="8" t="inlineStr">
        <is>
          <t>JS</t>
        </is>
      </c>
      <c r="E564" s="16">
        <f>'02 价格(主口径)'!C89</f>
        <v/>
      </c>
      <c r="F564" s="16">
        <f>'02 价格(主口径)'!D89</f>
        <v/>
      </c>
      <c r="G564" s="17">
        <f>IF(OR(E564="",F564=""),"",E564-F564)</f>
        <v/>
      </c>
      <c r="H564" s="14" t="inlineStr"/>
    </row>
    <row r="565">
      <c r="A565" s="7">
        <f>'02 价格(主口径)'!A90</f>
        <v/>
      </c>
      <c r="C565" s="8" t="inlineStr">
        <is>
          <t>HB</t>
        </is>
      </c>
      <c r="D565" s="8" t="inlineStr">
        <is>
          <t>JS</t>
        </is>
      </c>
      <c r="E565" s="16">
        <f>'02 价格(主口径)'!C90</f>
        <v/>
      </c>
      <c r="F565" s="16">
        <f>'02 价格(主口径)'!D90</f>
        <v/>
      </c>
      <c r="G565" s="17">
        <f>IF(OR(E565="",F565=""),"",E565-F565)</f>
        <v/>
      </c>
      <c r="H565" s="14" t="inlineStr"/>
    </row>
    <row r="566">
      <c r="A566" s="7">
        <f>'02 价格(主口径)'!A91</f>
        <v/>
      </c>
      <c r="C566" s="8" t="inlineStr">
        <is>
          <t>HB</t>
        </is>
      </c>
      <c r="D566" s="8" t="inlineStr">
        <is>
          <t>JS</t>
        </is>
      </c>
      <c r="E566" s="16">
        <f>'02 价格(主口径)'!C91</f>
        <v/>
      </c>
      <c r="F566" s="16">
        <f>'02 价格(主口径)'!D91</f>
        <v/>
      </c>
      <c r="G566" s="17">
        <f>IF(OR(E566="",F566=""),"",E566-F566)</f>
        <v/>
      </c>
      <c r="H566" s="14" t="inlineStr"/>
    </row>
    <row r="567">
      <c r="A567" s="7">
        <f>'02 价格(主口径)'!A92</f>
        <v/>
      </c>
      <c r="C567" s="8" t="inlineStr">
        <is>
          <t>HB</t>
        </is>
      </c>
      <c r="D567" s="8" t="inlineStr">
        <is>
          <t>JS</t>
        </is>
      </c>
      <c r="E567" s="16">
        <f>'02 价格(主口径)'!C92</f>
        <v/>
      </c>
      <c r="F567" s="16">
        <f>'02 价格(主口径)'!D92</f>
        <v/>
      </c>
      <c r="G567" s="17">
        <f>IF(OR(E567="",F567=""),"",E567-F567)</f>
        <v/>
      </c>
      <c r="H567" s="14" t="inlineStr"/>
    </row>
    <row r="568">
      <c r="A568" s="7">
        <f>'02 价格(主口径)'!A93</f>
        <v/>
      </c>
      <c r="C568" s="8" t="inlineStr">
        <is>
          <t>HB</t>
        </is>
      </c>
      <c r="D568" s="8" t="inlineStr">
        <is>
          <t>JS</t>
        </is>
      </c>
      <c r="E568" s="16">
        <f>'02 价格(主口径)'!C93</f>
        <v/>
      </c>
      <c r="F568" s="16">
        <f>'02 价格(主口径)'!D93</f>
        <v/>
      </c>
      <c r="G568" s="17">
        <f>IF(OR(E568="",F568=""),"",E568-F568)</f>
        <v/>
      </c>
      <c r="H568" s="14" t="inlineStr"/>
    </row>
    <row r="569">
      <c r="A569" s="7">
        <f>'02 价格(主口径)'!A94</f>
        <v/>
      </c>
      <c r="C569" s="8" t="inlineStr">
        <is>
          <t>HB</t>
        </is>
      </c>
      <c r="D569" s="8" t="inlineStr">
        <is>
          <t>JS</t>
        </is>
      </c>
      <c r="E569" s="16">
        <f>'02 价格(主口径)'!C94</f>
        <v/>
      </c>
      <c r="F569" s="16">
        <f>'02 价格(主口径)'!D94</f>
        <v/>
      </c>
      <c r="G569" s="17">
        <f>IF(OR(E569="",F569=""),"",E569-F569)</f>
        <v/>
      </c>
      <c r="H569" s="14" t="inlineStr"/>
    </row>
    <row r="570">
      <c r="A570" s="7">
        <f>'02 价格(主口径)'!A95</f>
        <v/>
      </c>
      <c r="C570" s="8" t="inlineStr">
        <is>
          <t>HB</t>
        </is>
      </c>
      <c r="D570" s="8" t="inlineStr">
        <is>
          <t>JS</t>
        </is>
      </c>
      <c r="E570" s="16">
        <f>'02 价格(主口径)'!C95</f>
        <v/>
      </c>
      <c r="F570" s="16">
        <f>'02 价格(主口径)'!D95</f>
        <v/>
      </c>
      <c r="G570" s="17">
        <f>IF(OR(E570="",F570=""),"",E570-F570)</f>
        <v/>
      </c>
      <c r="H570" s="14" t="inlineStr"/>
    </row>
    <row r="571">
      <c r="A571" s="7">
        <f>'02 价格(主口径)'!A96</f>
        <v/>
      </c>
      <c r="C571" s="8" t="inlineStr">
        <is>
          <t>HB</t>
        </is>
      </c>
      <c r="D571" s="8" t="inlineStr">
        <is>
          <t>JS</t>
        </is>
      </c>
      <c r="E571" s="16">
        <f>'02 价格(主口径)'!C96</f>
        <v/>
      </c>
      <c r="F571" s="16">
        <f>'02 价格(主口径)'!D96</f>
        <v/>
      </c>
      <c r="G571" s="17">
        <f>IF(OR(E571="",F571=""),"",E571-F571)</f>
        <v/>
      </c>
      <c r="H571" s="14" t="inlineStr"/>
    </row>
    <row r="572">
      <c r="A572" s="7">
        <f>'02 价格(主口径)'!A97</f>
        <v/>
      </c>
      <c r="C572" s="8" t="inlineStr">
        <is>
          <t>HB</t>
        </is>
      </c>
      <c r="D572" s="8" t="inlineStr">
        <is>
          <t>JS</t>
        </is>
      </c>
      <c r="E572" s="16">
        <f>'02 价格(主口径)'!C97</f>
        <v/>
      </c>
      <c r="F572" s="16">
        <f>'02 价格(主口径)'!D97</f>
        <v/>
      </c>
      <c r="G572" s="17">
        <f>IF(OR(E572="",F572=""),"",E572-F572)</f>
        <v/>
      </c>
      <c r="H572" s="14" t="inlineStr"/>
    </row>
    <row r="573">
      <c r="A573" s="7">
        <f>'02 价格(主口径)'!A98</f>
        <v/>
      </c>
      <c r="C573" s="8" t="inlineStr">
        <is>
          <t>HB</t>
        </is>
      </c>
      <c r="D573" s="8" t="inlineStr">
        <is>
          <t>JS</t>
        </is>
      </c>
      <c r="E573" s="16">
        <f>'02 价格(主口径)'!C98</f>
        <v/>
      </c>
      <c r="F573" s="16">
        <f>'02 价格(主口径)'!D98</f>
        <v/>
      </c>
      <c r="G573" s="17">
        <f>IF(OR(E573="",F573=""),"",E573-F573)</f>
        <v/>
      </c>
      <c r="H573" s="14" t="inlineStr"/>
    </row>
    <row r="574">
      <c r="A574" s="7">
        <f>'02 价格(主口径)'!A99</f>
        <v/>
      </c>
      <c r="C574" s="8" t="inlineStr">
        <is>
          <t>HB</t>
        </is>
      </c>
      <c r="D574" s="8" t="inlineStr">
        <is>
          <t>JS</t>
        </is>
      </c>
      <c r="E574" s="16">
        <f>'02 价格(主口径)'!C99</f>
        <v/>
      </c>
      <c r="F574" s="16">
        <f>'02 价格(主口径)'!D99</f>
        <v/>
      </c>
      <c r="G574" s="17">
        <f>IF(OR(E574="",F574=""),"",E574-F574)</f>
        <v/>
      </c>
      <c r="H574" s="14" t="inlineStr"/>
    </row>
    <row r="575">
      <c r="A575" s="7">
        <f>'02 价格(主口径)'!A100</f>
        <v/>
      </c>
      <c r="C575" s="8" t="inlineStr">
        <is>
          <t>HB</t>
        </is>
      </c>
      <c r="D575" s="8" t="inlineStr">
        <is>
          <t>JS</t>
        </is>
      </c>
      <c r="E575" s="16">
        <f>'02 价格(主口径)'!C100</f>
        <v/>
      </c>
      <c r="F575" s="16">
        <f>'02 价格(主口径)'!D100</f>
        <v/>
      </c>
      <c r="G575" s="17">
        <f>IF(OR(E575="",F575=""),"",E575-F575)</f>
        <v/>
      </c>
      <c r="H575" s="14" t="inlineStr"/>
    </row>
    <row r="576">
      <c r="A576" s="7">
        <f>'02 价格(主口径)'!A101</f>
        <v/>
      </c>
      <c r="C576" s="8" t="inlineStr">
        <is>
          <t>HB</t>
        </is>
      </c>
      <c r="D576" s="8" t="inlineStr">
        <is>
          <t>JS</t>
        </is>
      </c>
      <c r="E576" s="16">
        <f>'02 价格(主口径)'!C101</f>
        <v/>
      </c>
      <c r="F576" s="16">
        <f>'02 价格(主口径)'!D101</f>
        <v/>
      </c>
      <c r="G576" s="17">
        <f>IF(OR(E576="",F576=""),"",E576-F576)</f>
        <v/>
      </c>
      <c r="H576" s="14" t="inlineStr"/>
    </row>
    <row r="577">
      <c r="A577" s="7">
        <f>'02 价格(主口径)'!A102</f>
        <v/>
      </c>
      <c r="C577" s="8" t="inlineStr">
        <is>
          <t>HB</t>
        </is>
      </c>
      <c r="D577" s="8" t="inlineStr">
        <is>
          <t>JS</t>
        </is>
      </c>
      <c r="E577" s="16">
        <f>'02 价格(主口径)'!C102</f>
        <v/>
      </c>
      <c r="F577" s="16">
        <f>'02 价格(主口径)'!D102</f>
        <v/>
      </c>
      <c r="G577" s="17">
        <f>IF(OR(E577="",F577=""),"",E577-F577)</f>
        <v/>
      </c>
      <c r="H577" s="14" t="inlineStr"/>
    </row>
    <row r="578">
      <c r="A578" s="7">
        <f>'02 价格(主口径)'!A103</f>
        <v/>
      </c>
      <c r="C578" s="8" t="inlineStr">
        <is>
          <t>HB</t>
        </is>
      </c>
      <c r="D578" s="8" t="inlineStr">
        <is>
          <t>JS</t>
        </is>
      </c>
      <c r="E578" s="16">
        <f>'02 价格(主口径)'!C103</f>
        <v/>
      </c>
      <c r="F578" s="16">
        <f>'02 价格(主口径)'!D103</f>
        <v/>
      </c>
      <c r="G578" s="17">
        <f>IF(OR(E578="",F578=""),"",E578-F578)</f>
        <v/>
      </c>
      <c r="H578" s="14" t="inlineStr"/>
    </row>
    <row r="579">
      <c r="A579" s="7">
        <f>'02 价格(主口径)'!A104</f>
        <v/>
      </c>
      <c r="C579" s="8" t="inlineStr">
        <is>
          <t>HB</t>
        </is>
      </c>
      <c r="D579" s="8" t="inlineStr">
        <is>
          <t>JS</t>
        </is>
      </c>
      <c r="E579" s="16">
        <f>'02 价格(主口径)'!C104</f>
        <v/>
      </c>
      <c r="F579" s="16">
        <f>'02 价格(主口径)'!D104</f>
        <v/>
      </c>
      <c r="G579" s="17">
        <f>IF(OR(E579="",F579=""),"",E579-F579)</f>
        <v/>
      </c>
      <c r="H579" s="14" t="inlineStr"/>
    </row>
    <row r="580">
      <c r="A580" s="7">
        <f>'02 价格(主口径)'!A105</f>
        <v/>
      </c>
      <c r="C580" s="8" t="inlineStr">
        <is>
          <t>HB</t>
        </is>
      </c>
      <c r="D580" s="8" t="inlineStr">
        <is>
          <t>JS</t>
        </is>
      </c>
      <c r="E580" s="16">
        <f>'02 价格(主口径)'!C105</f>
        <v/>
      </c>
      <c r="F580" s="16">
        <f>'02 价格(主口径)'!D105</f>
        <v/>
      </c>
      <c r="G580" s="17">
        <f>IF(OR(E580="",F580=""),"",E580-F580)</f>
        <v/>
      </c>
      <c r="H580" s="14" t="inlineStr"/>
    </row>
    <row r="581">
      <c r="A581" s="7">
        <f>'02 价格(主口径)'!A106</f>
        <v/>
      </c>
      <c r="C581" s="8" t="inlineStr">
        <is>
          <t>HB</t>
        </is>
      </c>
      <c r="D581" s="8" t="inlineStr">
        <is>
          <t>JS</t>
        </is>
      </c>
      <c r="E581" s="16">
        <f>'02 价格(主口径)'!C106</f>
        <v/>
      </c>
      <c r="F581" s="16">
        <f>'02 价格(主口径)'!D106</f>
        <v/>
      </c>
      <c r="G581" s="17">
        <f>IF(OR(E581="",F581=""),"",E581-F581)</f>
        <v/>
      </c>
      <c r="H581" s="14" t="inlineStr"/>
    </row>
    <row r="582">
      <c r="A582" s="7">
        <f>'02 价格(主口径)'!A107</f>
        <v/>
      </c>
      <c r="C582" s="8" t="inlineStr">
        <is>
          <t>HB</t>
        </is>
      </c>
      <c r="D582" s="8" t="inlineStr">
        <is>
          <t>JS</t>
        </is>
      </c>
      <c r="E582" s="16">
        <f>'02 价格(主口径)'!C107</f>
        <v/>
      </c>
      <c r="F582" s="16">
        <f>'02 价格(主口径)'!D107</f>
        <v/>
      </c>
      <c r="G582" s="17">
        <f>IF(OR(E582="",F582=""),"",E582-F582)</f>
        <v/>
      </c>
      <c r="H582" s="14" t="inlineStr"/>
    </row>
    <row r="583">
      <c r="A583" s="7">
        <f>'02 价格(主口径)'!A108</f>
        <v/>
      </c>
      <c r="C583" s="8" t="inlineStr">
        <is>
          <t>HB</t>
        </is>
      </c>
      <c r="D583" s="8" t="inlineStr">
        <is>
          <t>JS</t>
        </is>
      </c>
      <c r="E583" s="16">
        <f>'02 价格(主口径)'!C108</f>
        <v/>
      </c>
      <c r="F583" s="16">
        <f>'02 价格(主口径)'!D108</f>
        <v/>
      </c>
      <c r="G583" s="17">
        <f>IF(OR(E583="",F583=""),"",E583-F583)</f>
        <v/>
      </c>
      <c r="H583" s="14" t="inlineStr"/>
    </row>
    <row r="584">
      <c r="A584" s="7">
        <f>'02 价格(主口径)'!A109</f>
        <v/>
      </c>
      <c r="C584" s="8" t="inlineStr">
        <is>
          <t>HB</t>
        </is>
      </c>
      <c r="D584" s="8" t="inlineStr">
        <is>
          <t>JS</t>
        </is>
      </c>
      <c r="E584" s="16">
        <f>'02 价格(主口径)'!C109</f>
        <v/>
      </c>
      <c r="F584" s="16">
        <f>'02 价格(主口径)'!D109</f>
        <v/>
      </c>
      <c r="G584" s="17">
        <f>IF(OR(E584="",F584=""),"",E584-F584)</f>
        <v/>
      </c>
      <c r="H584" s="14" t="inlineStr"/>
    </row>
    <row r="585">
      <c r="A585" s="7">
        <f>'02 价格(主口径)'!A110</f>
        <v/>
      </c>
      <c r="C585" s="8" t="inlineStr">
        <is>
          <t>HB</t>
        </is>
      </c>
      <c r="D585" s="8" t="inlineStr">
        <is>
          <t>JS</t>
        </is>
      </c>
      <c r="E585" s="16">
        <f>'02 价格(主口径)'!C110</f>
        <v/>
      </c>
      <c r="F585" s="16">
        <f>'02 价格(主口径)'!D110</f>
        <v/>
      </c>
      <c r="G585" s="17">
        <f>IF(OR(E585="",F585=""),"",E585-F585)</f>
        <v/>
      </c>
      <c r="H585" s="14" t="inlineStr"/>
    </row>
    <row r="586">
      <c r="A586" s="7">
        <f>'02 价格(主口径)'!A111</f>
        <v/>
      </c>
      <c r="C586" s="8" t="inlineStr">
        <is>
          <t>HB</t>
        </is>
      </c>
      <c r="D586" s="8" t="inlineStr">
        <is>
          <t>JS</t>
        </is>
      </c>
      <c r="E586" s="16">
        <f>'02 价格(主口径)'!C111</f>
        <v/>
      </c>
      <c r="F586" s="16">
        <f>'02 价格(主口径)'!D111</f>
        <v/>
      </c>
      <c r="G586" s="17">
        <f>IF(OR(E586="",F586=""),"",E586-F586)</f>
        <v/>
      </c>
      <c r="H586" s="14" t="inlineStr"/>
    </row>
    <row r="587">
      <c r="A587" s="7">
        <f>'02 价格(主口径)'!A112</f>
        <v/>
      </c>
      <c r="C587" s="8" t="inlineStr">
        <is>
          <t>HB</t>
        </is>
      </c>
      <c r="D587" s="8" t="inlineStr">
        <is>
          <t>JS</t>
        </is>
      </c>
      <c r="E587" s="16">
        <f>'02 价格(主口径)'!C112</f>
        <v/>
      </c>
      <c r="F587" s="16">
        <f>'02 价格(主口径)'!D112</f>
        <v/>
      </c>
      <c r="G587" s="17">
        <f>IF(OR(E587="",F587=""),"",E587-F587)</f>
        <v/>
      </c>
      <c r="H587" s="14" t="inlineStr"/>
    </row>
    <row r="588">
      <c r="A588" s="7">
        <f>'02 价格(主口径)'!A113</f>
        <v/>
      </c>
      <c r="C588" s="8" t="inlineStr">
        <is>
          <t>HB</t>
        </is>
      </c>
      <c r="D588" s="8" t="inlineStr">
        <is>
          <t>JS</t>
        </is>
      </c>
      <c r="E588" s="16">
        <f>'02 价格(主口径)'!C113</f>
        <v/>
      </c>
      <c r="F588" s="16">
        <f>'02 价格(主口径)'!D113</f>
        <v/>
      </c>
      <c r="G588" s="17">
        <f>IF(OR(E588="",F588=""),"",E588-F588)</f>
        <v/>
      </c>
      <c r="H588" s="14" t="inlineStr"/>
    </row>
    <row r="589">
      <c r="A589" s="7">
        <f>'02 价格(主口径)'!A114</f>
        <v/>
      </c>
      <c r="C589" s="8" t="inlineStr">
        <is>
          <t>HB</t>
        </is>
      </c>
      <c r="D589" s="8" t="inlineStr">
        <is>
          <t>JS</t>
        </is>
      </c>
      <c r="E589" s="16">
        <f>'02 价格(主口径)'!C114</f>
        <v/>
      </c>
      <c r="F589" s="16">
        <f>'02 价格(主口径)'!D114</f>
        <v/>
      </c>
      <c r="G589" s="17">
        <f>IF(OR(E589="",F589=""),"",E589-F589)</f>
        <v/>
      </c>
      <c r="H589" s="14" t="inlineStr"/>
    </row>
    <row r="590">
      <c r="A590" s="7">
        <f>'02 价格(主口径)'!A115</f>
        <v/>
      </c>
      <c r="C590" s="8" t="inlineStr">
        <is>
          <t>HB</t>
        </is>
      </c>
      <c r="D590" s="8" t="inlineStr">
        <is>
          <t>JS</t>
        </is>
      </c>
      <c r="E590" s="16">
        <f>'02 价格(主口径)'!C115</f>
        <v/>
      </c>
      <c r="F590" s="16">
        <f>'02 价格(主口径)'!D115</f>
        <v/>
      </c>
      <c r="G590" s="17">
        <f>IF(OR(E590="",F590=""),"",E590-F590)</f>
        <v/>
      </c>
      <c r="H590" s="14" t="inlineStr"/>
    </row>
    <row r="591">
      <c r="A591" s="7">
        <f>'02 价格(主口径)'!A116</f>
        <v/>
      </c>
      <c r="C591" s="8" t="inlineStr">
        <is>
          <t>HB</t>
        </is>
      </c>
      <c r="D591" s="8" t="inlineStr">
        <is>
          <t>JS</t>
        </is>
      </c>
      <c r="E591" s="16">
        <f>'02 价格(主口径)'!C116</f>
        <v/>
      </c>
      <c r="F591" s="16">
        <f>'02 价格(主口径)'!D116</f>
        <v/>
      </c>
      <c r="G591" s="17">
        <f>IF(OR(E591="",F591=""),"",E591-F591)</f>
        <v/>
      </c>
      <c r="H591" s="14" t="inlineStr"/>
    </row>
    <row r="592">
      <c r="A592" s="7">
        <f>'02 价格(主口径)'!A117</f>
        <v/>
      </c>
      <c r="C592" s="8" t="inlineStr">
        <is>
          <t>HB</t>
        </is>
      </c>
      <c r="D592" s="8" t="inlineStr">
        <is>
          <t>JS</t>
        </is>
      </c>
      <c r="E592" s="16">
        <f>'02 价格(主口径)'!C117</f>
        <v/>
      </c>
      <c r="F592" s="16">
        <f>'02 价格(主口径)'!D117</f>
        <v/>
      </c>
      <c r="G592" s="17">
        <f>IF(OR(E592="",F592=""),"",E592-F592)</f>
        <v/>
      </c>
      <c r="H592" s="14" t="inlineStr"/>
    </row>
    <row r="593">
      <c r="A593" s="7">
        <f>'02 价格(主口径)'!A118</f>
        <v/>
      </c>
      <c r="C593" s="8" t="inlineStr">
        <is>
          <t>HB</t>
        </is>
      </c>
      <c r="D593" s="8" t="inlineStr">
        <is>
          <t>JS</t>
        </is>
      </c>
      <c r="E593" s="16">
        <f>'02 价格(主口径)'!C118</f>
        <v/>
      </c>
      <c r="F593" s="16">
        <f>'02 价格(主口径)'!D118</f>
        <v/>
      </c>
      <c r="G593" s="17">
        <f>IF(OR(E593="",F593=""),"",E593-F593)</f>
        <v/>
      </c>
      <c r="H593" s="14" t="inlineStr"/>
    </row>
    <row r="594">
      <c r="A594" s="7">
        <f>'02 价格(主口径)'!A119</f>
        <v/>
      </c>
      <c r="C594" s="8" t="inlineStr">
        <is>
          <t>HB</t>
        </is>
      </c>
      <c r="D594" s="8" t="inlineStr">
        <is>
          <t>JS</t>
        </is>
      </c>
      <c r="E594" s="16">
        <f>'02 价格(主口径)'!C119</f>
        <v/>
      </c>
      <c r="F594" s="16">
        <f>'02 价格(主口径)'!D119</f>
        <v/>
      </c>
      <c r="G594" s="17">
        <f>IF(OR(E594="",F594=""),"",E594-F594)</f>
        <v/>
      </c>
      <c r="H594" s="14" t="inlineStr"/>
    </row>
    <row r="595">
      <c r="A595" s="7">
        <f>'02 价格(主口径)'!A120</f>
        <v/>
      </c>
      <c r="C595" s="8" t="inlineStr">
        <is>
          <t>HB</t>
        </is>
      </c>
      <c r="D595" s="8" t="inlineStr">
        <is>
          <t>JS</t>
        </is>
      </c>
      <c r="E595" s="16">
        <f>'02 价格(主口径)'!C120</f>
        <v/>
      </c>
      <c r="F595" s="16">
        <f>'02 价格(主口径)'!D120</f>
        <v/>
      </c>
      <c r="G595" s="17">
        <f>IF(OR(E595="",F595=""),"",E595-F595)</f>
        <v/>
      </c>
      <c r="H595" s="14" t="inlineStr"/>
    </row>
    <row r="596">
      <c r="A596" s="7">
        <f>'02 价格(主口径)'!A121</f>
        <v/>
      </c>
      <c r="C596" s="8" t="inlineStr">
        <is>
          <t>HB</t>
        </is>
      </c>
      <c r="D596" s="8" t="inlineStr">
        <is>
          <t>JS</t>
        </is>
      </c>
      <c r="E596" s="16">
        <f>'02 价格(主口径)'!C121</f>
        <v/>
      </c>
      <c r="F596" s="16">
        <f>'02 价格(主口径)'!D121</f>
        <v/>
      </c>
      <c r="G596" s="17">
        <f>IF(OR(E596="",F596=""),"",E596-F596)</f>
        <v/>
      </c>
      <c r="H596" s="14" t="inlineStr"/>
    </row>
    <row r="597">
      <c r="A597" s="7">
        <f>'02 价格(主口径)'!A122</f>
        <v/>
      </c>
      <c r="C597" s="8" t="inlineStr">
        <is>
          <t>HB</t>
        </is>
      </c>
      <c r="D597" s="8" t="inlineStr">
        <is>
          <t>JS</t>
        </is>
      </c>
      <c r="E597" s="16">
        <f>'02 价格(主口径)'!C122</f>
        <v/>
      </c>
      <c r="F597" s="16">
        <f>'02 价格(主口径)'!D122</f>
        <v/>
      </c>
      <c r="G597" s="17">
        <f>IF(OR(E597="",F597=""),"",E597-F597)</f>
        <v/>
      </c>
      <c r="H597" s="14" t="inlineStr"/>
    </row>
    <row r="598">
      <c r="A598" s="7">
        <f>'02 价格(主口径)'!A123</f>
        <v/>
      </c>
      <c r="C598" s="8" t="inlineStr">
        <is>
          <t>HB</t>
        </is>
      </c>
      <c r="D598" s="8" t="inlineStr">
        <is>
          <t>JS</t>
        </is>
      </c>
      <c r="E598" s="16">
        <f>'02 价格(主口径)'!C123</f>
        <v/>
      </c>
      <c r="F598" s="16">
        <f>'02 价格(主口径)'!D123</f>
        <v/>
      </c>
      <c r="G598" s="17">
        <f>IF(OR(E598="",F598=""),"",E598-F598)</f>
        <v/>
      </c>
      <c r="H598" s="14" t="inlineStr"/>
    </row>
    <row r="599">
      <c r="A599" s="7">
        <f>'02 价格(主口径)'!A124</f>
        <v/>
      </c>
      <c r="C599" s="8" t="inlineStr">
        <is>
          <t>HB</t>
        </is>
      </c>
      <c r="D599" s="8" t="inlineStr">
        <is>
          <t>JS</t>
        </is>
      </c>
      <c r="E599" s="16">
        <f>'02 价格(主口径)'!C124</f>
        <v/>
      </c>
      <c r="F599" s="16">
        <f>'02 价格(主口径)'!D124</f>
        <v/>
      </c>
      <c r="G599" s="17">
        <f>IF(OR(E599="",F599=""),"",E599-F599)</f>
        <v/>
      </c>
      <c r="H599" s="14" t="inlineStr"/>
    </row>
    <row r="600">
      <c r="A600" s="7">
        <f>'02 价格(主口径)'!A125</f>
        <v/>
      </c>
      <c r="C600" s="8" t="inlineStr">
        <is>
          <t>HB</t>
        </is>
      </c>
      <c r="D600" s="8" t="inlineStr">
        <is>
          <t>JS</t>
        </is>
      </c>
      <c r="E600" s="16">
        <f>'02 价格(主口径)'!C125</f>
        <v/>
      </c>
      <c r="F600" s="16">
        <f>'02 价格(主口径)'!D125</f>
        <v/>
      </c>
      <c r="G600" s="17">
        <f>IF(OR(E600="",F600=""),"",E600-F600)</f>
        <v/>
      </c>
      <c r="H600" s="14" t="inlineStr"/>
    </row>
    <row r="601">
      <c r="A601" s="7">
        <f>'02 价格(主口径)'!A126</f>
        <v/>
      </c>
      <c r="C601" s="8" t="inlineStr">
        <is>
          <t>HB</t>
        </is>
      </c>
      <c r="D601" s="8" t="inlineStr">
        <is>
          <t>JS</t>
        </is>
      </c>
      <c r="E601" s="16">
        <f>'02 价格(主口径)'!C126</f>
        <v/>
      </c>
      <c r="F601" s="16">
        <f>'02 价格(主口径)'!D126</f>
        <v/>
      </c>
      <c r="G601" s="17">
        <f>IF(OR(E601="",F601=""),"",E601-F601)</f>
        <v/>
      </c>
      <c r="H601" s="14" t="inlineStr"/>
    </row>
    <row r="602">
      <c r="A602" s="7">
        <f>'02 价格(主口径)'!A127</f>
        <v/>
      </c>
      <c r="C602" s="8" t="inlineStr">
        <is>
          <t>HB</t>
        </is>
      </c>
      <c r="D602" s="8" t="inlineStr">
        <is>
          <t>JS</t>
        </is>
      </c>
      <c r="E602" s="16">
        <f>'02 价格(主口径)'!C127</f>
        <v/>
      </c>
      <c r="F602" s="16">
        <f>'02 价格(主口径)'!D127</f>
        <v/>
      </c>
      <c r="G602" s="17">
        <f>IF(OR(E602="",F602=""),"",E602-F602)</f>
        <v/>
      </c>
      <c r="H602" s="14" t="inlineStr"/>
    </row>
    <row r="603">
      <c r="A603" s="7">
        <f>'02 价格(主口径)'!A128</f>
        <v/>
      </c>
      <c r="C603" s="8" t="inlineStr">
        <is>
          <t>HB</t>
        </is>
      </c>
      <c r="D603" s="8" t="inlineStr">
        <is>
          <t>JS</t>
        </is>
      </c>
      <c r="E603" s="16">
        <f>'02 价格(主口径)'!C128</f>
        <v/>
      </c>
      <c r="F603" s="16">
        <f>'02 价格(主口径)'!D128</f>
        <v/>
      </c>
      <c r="G603" s="17">
        <f>IF(OR(E603="",F603=""),"",E603-F603)</f>
        <v/>
      </c>
      <c r="H603" s="14" t="inlineStr"/>
    </row>
    <row r="604">
      <c r="A604" s="7">
        <f>'02 价格(主口径)'!A129</f>
        <v/>
      </c>
      <c r="C604" s="8" t="inlineStr">
        <is>
          <t>HB</t>
        </is>
      </c>
      <c r="D604" s="8" t="inlineStr">
        <is>
          <t>JS</t>
        </is>
      </c>
      <c r="E604" s="16">
        <f>'02 价格(主口径)'!C129</f>
        <v/>
      </c>
      <c r="F604" s="16">
        <f>'02 价格(主口径)'!D129</f>
        <v/>
      </c>
      <c r="G604" s="17">
        <f>IF(OR(E604="",F604=""),"",E604-F604)</f>
        <v/>
      </c>
      <c r="H604" s="14" t="inlineStr"/>
    </row>
    <row r="605">
      <c r="A605" s="7">
        <f>'02 价格(主口径)'!A130</f>
        <v/>
      </c>
      <c r="C605" s="8" t="inlineStr">
        <is>
          <t>HB</t>
        </is>
      </c>
      <c r="D605" s="8" t="inlineStr">
        <is>
          <t>JS</t>
        </is>
      </c>
      <c r="E605" s="16">
        <f>'02 价格(主口径)'!C130</f>
        <v/>
      </c>
      <c r="F605" s="16">
        <f>'02 价格(主口径)'!D130</f>
        <v/>
      </c>
      <c r="G605" s="17">
        <f>IF(OR(E605="",F605=""),"",E605-F605)</f>
        <v/>
      </c>
      <c r="H605" s="14" t="inlineStr"/>
    </row>
    <row r="606">
      <c r="A606" s="7">
        <f>'02 价格(主口径)'!A131</f>
        <v/>
      </c>
      <c r="C606" s="8" t="inlineStr">
        <is>
          <t>HB</t>
        </is>
      </c>
      <c r="D606" s="8" t="inlineStr">
        <is>
          <t>JS</t>
        </is>
      </c>
      <c r="E606" s="16">
        <f>'02 价格(主口径)'!C131</f>
        <v/>
      </c>
      <c r="F606" s="16">
        <f>'02 价格(主口径)'!D131</f>
        <v/>
      </c>
      <c r="G606" s="17">
        <f>IF(OR(E606="",F606=""),"",E606-F606)</f>
        <v/>
      </c>
      <c r="H606" s="14" t="inlineStr"/>
    </row>
    <row r="607">
      <c r="A607" s="7">
        <f>'02 价格(主口径)'!A132</f>
        <v/>
      </c>
      <c r="C607" s="8" t="inlineStr">
        <is>
          <t>HB</t>
        </is>
      </c>
      <c r="D607" s="8" t="inlineStr">
        <is>
          <t>JS</t>
        </is>
      </c>
      <c r="E607" s="16">
        <f>'02 价格(主口径)'!C132</f>
        <v/>
      </c>
      <c r="F607" s="16">
        <f>'02 价格(主口径)'!D132</f>
        <v/>
      </c>
      <c r="G607" s="17">
        <f>IF(OR(E607="",F607=""),"",E607-F607)</f>
        <v/>
      </c>
      <c r="H607" s="14" t="inlineStr"/>
    </row>
    <row r="608">
      <c r="A608" s="7">
        <f>'02 价格(主口径)'!A133</f>
        <v/>
      </c>
      <c r="C608" s="8" t="inlineStr">
        <is>
          <t>HB</t>
        </is>
      </c>
      <c r="D608" s="8" t="inlineStr">
        <is>
          <t>JS</t>
        </is>
      </c>
      <c r="E608" s="16">
        <f>'02 价格(主口径)'!C133</f>
        <v/>
      </c>
      <c r="F608" s="16">
        <f>'02 价格(主口径)'!D133</f>
        <v/>
      </c>
      <c r="G608" s="17">
        <f>IF(OR(E608="",F608=""),"",E608-F608)</f>
        <v/>
      </c>
      <c r="H608" s="14" t="inlineStr"/>
    </row>
    <row r="609">
      <c r="A609" s="7">
        <f>'02 价格(主口径)'!A134</f>
        <v/>
      </c>
      <c r="C609" s="8" t="inlineStr">
        <is>
          <t>HB</t>
        </is>
      </c>
      <c r="D609" s="8" t="inlineStr">
        <is>
          <t>JS</t>
        </is>
      </c>
      <c r="E609" s="16">
        <f>'02 价格(主口径)'!C134</f>
        <v/>
      </c>
      <c r="F609" s="16">
        <f>'02 价格(主口径)'!D134</f>
        <v/>
      </c>
      <c r="G609" s="17">
        <f>IF(OR(E609="",F609=""),"",E609-F609)</f>
        <v/>
      </c>
      <c r="H609" s="14" t="inlineStr"/>
    </row>
    <row r="610">
      <c r="A610" s="7">
        <f>'02 价格(主口径)'!A135</f>
        <v/>
      </c>
      <c r="C610" s="8" t="inlineStr">
        <is>
          <t>HB</t>
        </is>
      </c>
      <c r="D610" s="8" t="inlineStr">
        <is>
          <t>JS</t>
        </is>
      </c>
      <c r="E610" s="16">
        <f>'02 价格(主口径)'!C135</f>
        <v/>
      </c>
      <c r="F610" s="16">
        <f>'02 价格(主口径)'!D135</f>
        <v/>
      </c>
      <c r="G610" s="17">
        <f>IF(OR(E610="",F610=""),"",E610-F610)</f>
        <v/>
      </c>
      <c r="H610" s="14" t="inlineStr"/>
    </row>
    <row r="611">
      <c r="A611" s="7">
        <f>'02 价格(主口径)'!A136</f>
        <v/>
      </c>
      <c r="C611" s="8" t="inlineStr">
        <is>
          <t>HB</t>
        </is>
      </c>
      <c r="D611" s="8" t="inlineStr">
        <is>
          <t>JS</t>
        </is>
      </c>
      <c r="E611" s="16">
        <f>'02 价格(主口径)'!C136</f>
        <v/>
      </c>
      <c r="F611" s="16">
        <f>'02 价格(主口径)'!D136</f>
        <v/>
      </c>
      <c r="G611" s="17">
        <f>IF(OR(E611="",F611=""),"",E611-F611)</f>
        <v/>
      </c>
      <c r="H611" s="14" t="inlineStr"/>
    </row>
    <row r="612">
      <c r="A612" s="7">
        <f>'02 价格(主口径)'!A137</f>
        <v/>
      </c>
      <c r="C612" s="8" t="inlineStr">
        <is>
          <t>HB</t>
        </is>
      </c>
      <c r="D612" s="8" t="inlineStr">
        <is>
          <t>JS</t>
        </is>
      </c>
      <c r="E612" s="16">
        <f>'02 价格(主口径)'!C137</f>
        <v/>
      </c>
      <c r="F612" s="16">
        <f>'02 价格(主口径)'!D137</f>
        <v/>
      </c>
      <c r="G612" s="17">
        <f>IF(OR(E612="",F612=""),"",E612-F612)</f>
        <v/>
      </c>
      <c r="H612" s="14" t="inlineStr"/>
    </row>
    <row r="613">
      <c r="A613" s="7">
        <f>'02 价格(主口径)'!A138</f>
        <v/>
      </c>
      <c r="C613" s="8" t="inlineStr">
        <is>
          <t>HB</t>
        </is>
      </c>
      <c r="D613" s="8" t="inlineStr">
        <is>
          <t>JS</t>
        </is>
      </c>
      <c r="E613" s="16">
        <f>'02 价格(主口径)'!C138</f>
        <v/>
      </c>
      <c r="F613" s="16">
        <f>'02 价格(主口径)'!D138</f>
        <v/>
      </c>
      <c r="G613" s="17">
        <f>IF(OR(E613="",F613=""),"",E613-F613)</f>
        <v/>
      </c>
      <c r="H613" s="14" t="inlineStr"/>
    </row>
    <row r="614">
      <c r="A614" s="7">
        <f>'02 价格(主口径)'!A139</f>
        <v/>
      </c>
      <c r="C614" s="8" t="inlineStr">
        <is>
          <t>HB</t>
        </is>
      </c>
      <c r="D614" s="8" t="inlineStr">
        <is>
          <t>JS</t>
        </is>
      </c>
      <c r="E614" s="16">
        <f>'02 价格(主口径)'!C139</f>
        <v/>
      </c>
      <c r="F614" s="16">
        <f>'02 价格(主口径)'!D139</f>
        <v/>
      </c>
      <c r="G614" s="17">
        <f>IF(OR(E614="",F614=""),"",E614-F614)</f>
        <v/>
      </c>
      <c r="H614" s="14" t="inlineStr"/>
    </row>
    <row r="615">
      <c r="A615" s="7">
        <f>'02 价格(主口径)'!A140</f>
        <v/>
      </c>
      <c r="C615" s="8" t="inlineStr">
        <is>
          <t>HB</t>
        </is>
      </c>
      <c r="D615" s="8" t="inlineStr">
        <is>
          <t>JS</t>
        </is>
      </c>
      <c r="E615" s="16">
        <f>'02 价格(主口径)'!C140</f>
        <v/>
      </c>
      <c r="F615" s="16">
        <f>'02 价格(主口径)'!D140</f>
        <v/>
      </c>
      <c r="G615" s="17">
        <f>IF(OR(E615="",F615=""),"",E615-F615)</f>
        <v/>
      </c>
      <c r="H615" s="14" t="inlineStr"/>
    </row>
    <row r="616">
      <c r="A616" s="7">
        <f>'02 价格(主口径)'!A141</f>
        <v/>
      </c>
      <c r="C616" s="8" t="inlineStr">
        <is>
          <t>HB</t>
        </is>
      </c>
      <c r="D616" s="8" t="inlineStr">
        <is>
          <t>JS</t>
        </is>
      </c>
      <c r="E616" s="16">
        <f>'02 价格(主口径)'!C141</f>
        <v/>
      </c>
      <c r="F616" s="16">
        <f>'02 价格(主口径)'!D141</f>
        <v/>
      </c>
      <c r="G616" s="17">
        <f>IF(OR(E616="",F616=""),"",E616-F616)</f>
        <v/>
      </c>
      <c r="H616" s="14" t="inlineStr"/>
    </row>
    <row r="617">
      <c r="A617" s="7">
        <f>'02 价格(主口径)'!A142</f>
        <v/>
      </c>
      <c r="C617" s="8" t="inlineStr">
        <is>
          <t>HB</t>
        </is>
      </c>
      <c r="D617" s="8" t="inlineStr">
        <is>
          <t>JS</t>
        </is>
      </c>
      <c r="E617" s="16">
        <f>'02 价格(主口径)'!C142</f>
        <v/>
      </c>
      <c r="F617" s="16">
        <f>'02 价格(主口径)'!D142</f>
        <v/>
      </c>
      <c r="G617" s="17">
        <f>IF(OR(E617="",F617=""),"",E617-F617)</f>
        <v/>
      </c>
      <c r="H617" s="14" t="inlineStr"/>
    </row>
    <row r="618">
      <c r="A618" s="7">
        <f>'02 价格(主口径)'!A143</f>
        <v/>
      </c>
      <c r="C618" s="8" t="inlineStr">
        <is>
          <t>HB</t>
        </is>
      </c>
      <c r="D618" s="8" t="inlineStr">
        <is>
          <t>JS</t>
        </is>
      </c>
      <c r="E618" s="16">
        <f>'02 价格(主口径)'!C143</f>
        <v/>
      </c>
      <c r="F618" s="16">
        <f>'02 价格(主口径)'!D143</f>
        <v/>
      </c>
      <c r="G618" s="17">
        <f>IF(OR(E618="",F618=""),"",E618-F618)</f>
        <v/>
      </c>
      <c r="H618" s="14" t="inlineStr"/>
    </row>
    <row r="619">
      <c r="A619" s="7">
        <f>'02 价格(主口径)'!A144</f>
        <v/>
      </c>
      <c r="C619" s="8" t="inlineStr">
        <is>
          <t>HB</t>
        </is>
      </c>
      <c r="D619" s="8" t="inlineStr">
        <is>
          <t>JS</t>
        </is>
      </c>
      <c r="E619" s="16">
        <f>'02 价格(主口径)'!C144</f>
        <v/>
      </c>
      <c r="F619" s="16">
        <f>'02 价格(主口径)'!D144</f>
        <v/>
      </c>
      <c r="G619" s="17">
        <f>IF(OR(E619="",F619=""),"",E619-F619)</f>
        <v/>
      </c>
      <c r="H619" s="14" t="inlineStr"/>
    </row>
    <row r="620">
      <c r="A620" s="7">
        <f>'02 价格(主口径)'!A145</f>
        <v/>
      </c>
      <c r="C620" s="8" t="inlineStr">
        <is>
          <t>HB</t>
        </is>
      </c>
      <c r="D620" s="8" t="inlineStr">
        <is>
          <t>JS</t>
        </is>
      </c>
      <c r="E620" s="16">
        <f>'02 价格(主口径)'!C145</f>
        <v/>
      </c>
      <c r="F620" s="16">
        <f>'02 价格(主口径)'!D145</f>
        <v/>
      </c>
      <c r="G620" s="17">
        <f>IF(OR(E620="",F620=""),"",E620-F620)</f>
        <v/>
      </c>
      <c r="H620" s="14" t="inlineStr"/>
    </row>
    <row r="621">
      <c r="A621" s="7">
        <f>'02 价格(主口径)'!A146</f>
        <v/>
      </c>
      <c r="C621" s="8" t="inlineStr">
        <is>
          <t>HB</t>
        </is>
      </c>
      <c r="D621" s="8" t="inlineStr">
        <is>
          <t>JS</t>
        </is>
      </c>
      <c r="E621" s="16">
        <f>'02 价格(主口径)'!C146</f>
        <v/>
      </c>
      <c r="F621" s="16">
        <f>'02 价格(主口径)'!D146</f>
        <v/>
      </c>
      <c r="G621" s="17">
        <f>IF(OR(E621="",F621=""),"",E621-F621)</f>
        <v/>
      </c>
      <c r="H621" s="14" t="inlineStr"/>
    </row>
    <row r="622">
      <c r="A622" s="7">
        <f>'02 价格(主口径)'!A147</f>
        <v/>
      </c>
      <c r="C622" s="8" t="inlineStr">
        <is>
          <t>HB</t>
        </is>
      </c>
      <c r="D622" s="8" t="inlineStr">
        <is>
          <t>JS</t>
        </is>
      </c>
      <c r="E622" s="16">
        <f>'02 价格(主口径)'!C147</f>
        <v/>
      </c>
      <c r="F622" s="16">
        <f>'02 价格(主口径)'!D147</f>
        <v/>
      </c>
      <c r="G622" s="17">
        <f>IF(OR(E622="",F622=""),"",E622-F622)</f>
        <v/>
      </c>
      <c r="H622" s="14" t="inlineStr"/>
    </row>
    <row r="623">
      <c r="A623" s="7">
        <f>'02 价格(主口径)'!A148</f>
        <v/>
      </c>
      <c r="C623" s="8" t="inlineStr">
        <is>
          <t>HB</t>
        </is>
      </c>
      <c r="D623" s="8" t="inlineStr">
        <is>
          <t>JS</t>
        </is>
      </c>
      <c r="E623" s="16">
        <f>'02 价格(主口径)'!C148</f>
        <v/>
      </c>
      <c r="F623" s="16">
        <f>'02 价格(主口径)'!D148</f>
        <v/>
      </c>
      <c r="G623" s="17">
        <f>IF(OR(E623="",F623=""),"",E623-F623)</f>
        <v/>
      </c>
      <c r="H623" s="14" t="inlineStr"/>
    </row>
    <row r="624">
      <c r="A624" s="7">
        <f>'02 价格(主口径)'!A149</f>
        <v/>
      </c>
      <c r="C624" s="8" t="inlineStr">
        <is>
          <t>HB</t>
        </is>
      </c>
      <c r="D624" s="8" t="inlineStr">
        <is>
          <t>JS</t>
        </is>
      </c>
      <c r="E624" s="16">
        <f>'02 价格(主口径)'!C149</f>
        <v/>
      </c>
      <c r="F624" s="16">
        <f>'02 价格(主口径)'!D149</f>
        <v/>
      </c>
      <c r="G624" s="17">
        <f>IF(OR(E624="",F624=""),"",E624-F624)</f>
        <v/>
      </c>
      <c r="H624" s="14" t="inlineStr"/>
    </row>
    <row r="625">
      <c r="A625" s="7">
        <f>'02 价格(主口径)'!A150</f>
        <v/>
      </c>
      <c r="C625" s="8" t="inlineStr">
        <is>
          <t>HB</t>
        </is>
      </c>
      <c r="D625" s="8" t="inlineStr">
        <is>
          <t>JS</t>
        </is>
      </c>
      <c r="E625" s="16">
        <f>'02 价格(主口径)'!C150</f>
        <v/>
      </c>
      <c r="F625" s="16">
        <f>'02 价格(主口径)'!D150</f>
        <v/>
      </c>
      <c r="G625" s="17">
        <f>IF(OR(E625="",F625=""),"",E625-F625)</f>
        <v/>
      </c>
      <c r="H625" s="14" t="inlineStr"/>
    </row>
    <row r="626">
      <c r="A626" s="7">
        <f>'02 价格(主口径)'!A151</f>
        <v/>
      </c>
      <c r="C626" s="8" t="inlineStr">
        <is>
          <t>HB</t>
        </is>
      </c>
      <c r="D626" s="8" t="inlineStr">
        <is>
          <t>JS</t>
        </is>
      </c>
      <c r="E626" s="16">
        <f>'02 价格(主口径)'!C151</f>
        <v/>
      </c>
      <c r="F626" s="16">
        <f>'02 价格(主口径)'!D151</f>
        <v/>
      </c>
      <c r="G626" s="17">
        <f>IF(OR(E626="",F626=""),"",E626-F626)</f>
        <v/>
      </c>
      <c r="H626" s="14" t="inlineStr"/>
    </row>
    <row r="627">
      <c r="A627" s="7">
        <f>'02 价格(主口径)'!A152</f>
        <v/>
      </c>
      <c r="C627" s="8" t="inlineStr">
        <is>
          <t>HB</t>
        </is>
      </c>
      <c r="D627" s="8" t="inlineStr">
        <is>
          <t>JS</t>
        </is>
      </c>
      <c r="E627" s="16">
        <f>'02 价格(主口径)'!C152</f>
        <v/>
      </c>
      <c r="F627" s="16">
        <f>'02 价格(主口径)'!D152</f>
        <v/>
      </c>
      <c r="G627" s="17">
        <f>IF(OR(E627="",F627=""),"",E627-F627)</f>
        <v/>
      </c>
      <c r="H627" s="14" t="inlineStr"/>
    </row>
    <row r="628">
      <c r="A628" s="7">
        <f>'02 价格(主口径)'!A153</f>
        <v/>
      </c>
      <c r="C628" s="8" t="inlineStr">
        <is>
          <t>HB</t>
        </is>
      </c>
      <c r="D628" s="8" t="inlineStr">
        <is>
          <t>JS</t>
        </is>
      </c>
      <c r="E628" s="16">
        <f>'02 价格(主口径)'!C153</f>
        <v/>
      </c>
      <c r="F628" s="16">
        <f>'02 价格(主口径)'!D153</f>
        <v/>
      </c>
      <c r="G628" s="17">
        <f>IF(OR(E628="",F628=""),"",E628-F628)</f>
        <v/>
      </c>
      <c r="H628" s="14" t="inlineStr"/>
    </row>
    <row r="629">
      <c r="A629" s="7">
        <f>'02 价格(主口径)'!A154</f>
        <v/>
      </c>
      <c r="C629" s="8" t="inlineStr">
        <is>
          <t>HB</t>
        </is>
      </c>
      <c r="D629" s="8" t="inlineStr">
        <is>
          <t>JS</t>
        </is>
      </c>
      <c r="E629" s="16">
        <f>'02 价格(主口径)'!C154</f>
        <v/>
      </c>
      <c r="F629" s="16">
        <f>'02 价格(主口径)'!D154</f>
        <v/>
      </c>
      <c r="G629" s="17">
        <f>IF(OR(E629="",F629=""),"",E629-F629)</f>
        <v/>
      </c>
      <c r="H629" s="14" t="inlineStr"/>
    </row>
    <row r="630">
      <c r="A630" s="7">
        <f>'02 价格(主口径)'!A155</f>
        <v/>
      </c>
      <c r="C630" s="8" t="inlineStr">
        <is>
          <t>HB</t>
        </is>
      </c>
      <c r="D630" s="8" t="inlineStr">
        <is>
          <t>JS</t>
        </is>
      </c>
      <c r="E630" s="16">
        <f>'02 价格(主口径)'!C155</f>
        <v/>
      </c>
      <c r="F630" s="16">
        <f>'02 价格(主口径)'!D155</f>
        <v/>
      </c>
      <c r="G630" s="17">
        <f>IF(OR(E630="",F630=""),"",E630-F630)</f>
        <v/>
      </c>
      <c r="H630" s="14" t="inlineStr"/>
    </row>
    <row r="631">
      <c r="A631" s="7">
        <f>'02 价格(主口径)'!A156</f>
        <v/>
      </c>
      <c r="C631" s="8" t="inlineStr">
        <is>
          <t>HB</t>
        </is>
      </c>
      <c r="D631" s="8" t="inlineStr">
        <is>
          <t>JS</t>
        </is>
      </c>
      <c r="E631" s="16">
        <f>'02 价格(主口径)'!C156</f>
        <v/>
      </c>
      <c r="F631" s="16">
        <f>'02 价格(主口径)'!D156</f>
        <v/>
      </c>
      <c r="G631" s="17">
        <f>IF(OR(E631="",F631=""),"",E631-F631)</f>
        <v/>
      </c>
      <c r="H631" s="14" t="inlineStr"/>
    </row>
    <row r="632">
      <c r="A632" s="18" t="inlineStr">
        <is>
          <t>统计</t>
        </is>
      </c>
      <c r="B632" s="19" t="inlineStr">
        <is>
          <t>N（有效配对）</t>
        </is>
      </c>
      <c r="E632" s="20">
        <f>COUNT(G480:G631)</f>
        <v/>
      </c>
      <c r="F632" s="18" t="inlineStr">
        <is>
          <t>均值</t>
        </is>
      </c>
      <c r="G632" s="21">
        <f>IFERROR(AVERAGE(G480:G631),"")</f>
        <v/>
      </c>
      <c r="H632" s="22" t="inlineStr">
        <is>
          <t>价差方向：正值=河北更贵</t>
        </is>
      </c>
    </row>
    <row r="633">
      <c r="A633" s="23" t="inlineStr">
        <is>
          <t>校验</t>
        </is>
      </c>
      <c r="B633" s="23" t="inlineStr">
        <is>
          <t>标准差</t>
        </is>
      </c>
      <c r="C633" s="24">
        <f>IFERROR(STDEV(G480:G631),"")</f>
        <v/>
      </c>
      <c r="D633" s="23" t="inlineStr">
        <is>
          <t>最小</t>
        </is>
      </c>
      <c r="E633" s="25">
        <f>IFERROR(MIN(G480:G631),"")</f>
        <v/>
      </c>
      <c r="F633" s="23" t="inlineStr">
        <is>
          <t>最大</t>
        </is>
      </c>
      <c r="G633" s="25">
        <f>IFERROR(MAX(G480:G631),"")</f>
        <v/>
      </c>
    </row>
    <row r="636">
      <c r="A636" s="5" t="inlineStr">
        <is>
          <t>江苏 − 山东</t>
        </is>
      </c>
    </row>
    <row r="637" ht="30" customHeight="1">
      <c r="A637" s="6" t="inlineStr">
        <is>
          <t>日期</t>
        </is>
      </c>
      <c r="B637" s="6" t="inlineStr">
        <is>
          <t>价差(甲−乙)</t>
        </is>
      </c>
      <c r="C637" s="6" t="inlineStr">
        <is>
          <t>甲</t>
        </is>
      </c>
      <c r="D637" s="6" t="inlineStr">
        <is>
          <t>乙</t>
        </is>
      </c>
      <c r="E637" s="6" t="inlineStr">
        <is>
          <t>甲价</t>
        </is>
      </c>
      <c r="F637" s="6" t="inlineStr">
        <is>
          <t>乙价</t>
        </is>
      </c>
      <c r="G637" s="6" t="inlineStr">
        <is>
          <t>价差</t>
        </is>
      </c>
      <c r="H637" s="6" t="inlineStr">
        <is>
          <t>方向说明</t>
        </is>
      </c>
    </row>
    <row r="638">
      <c r="A638" s="7">
        <f>'02 价格(主口径)'!A5</f>
        <v/>
      </c>
      <c r="C638" s="8" t="inlineStr">
        <is>
          <t>JS</t>
        </is>
      </c>
      <c r="D638" s="8" t="inlineStr">
        <is>
          <t>SD</t>
        </is>
      </c>
      <c r="E638" s="16">
        <f>'02 价格(主口径)'!D5</f>
        <v/>
      </c>
      <c r="F638" s="16">
        <f>'02 价格(主口径)'!B5</f>
        <v/>
      </c>
      <c r="G638" s="17">
        <f>IF(OR(E638="",F638=""),"",E638-F638)</f>
        <v/>
      </c>
      <c r="H638" s="14" t="inlineStr"/>
    </row>
    <row r="639">
      <c r="A639" s="7">
        <f>'02 价格(主口径)'!A6</f>
        <v/>
      </c>
      <c r="C639" s="8" t="inlineStr">
        <is>
          <t>JS</t>
        </is>
      </c>
      <c r="D639" s="8" t="inlineStr">
        <is>
          <t>SD</t>
        </is>
      </c>
      <c r="E639" s="16">
        <f>'02 价格(主口径)'!D6</f>
        <v/>
      </c>
      <c r="F639" s="16">
        <f>'02 价格(主口径)'!B6</f>
        <v/>
      </c>
      <c r="G639" s="17">
        <f>IF(OR(E639="",F639=""),"",E639-F639)</f>
        <v/>
      </c>
      <c r="H639" s="14" t="inlineStr"/>
    </row>
    <row r="640">
      <c r="A640" s="7">
        <f>'02 价格(主口径)'!A7</f>
        <v/>
      </c>
      <c r="C640" s="8" t="inlineStr">
        <is>
          <t>JS</t>
        </is>
      </c>
      <c r="D640" s="8" t="inlineStr">
        <is>
          <t>SD</t>
        </is>
      </c>
      <c r="E640" s="16">
        <f>'02 价格(主口径)'!D7</f>
        <v/>
      </c>
      <c r="F640" s="16">
        <f>'02 价格(主口径)'!B7</f>
        <v/>
      </c>
      <c r="G640" s="17">
        <f>IF(OR(E640="",F640=""),"",E640-F640)</f>
        <v/>
      </c>
      <c r="H640" s="14" t="inlineStr"/>
    </row>
    <row r="641">
      <c r="A641" s="7">
        <f>'02 价格(主口径)'!A8</f>
        <v/>
      </c>
      <c r="C641" s="8" t="inlineStr">
        <is>
          <t>JS</t>
        </is>
      </c>
      <c r="D641" s="8" t="inlineStr">
        <is>
          <t>SD</t>
        </is>
      </c>
      <c r="E641" s="16">
        <f>'02 价格(主口径)'!D8</f>
        <v/>
      </c>
      <c r="F641" s="16">
        <f>'02 价格(主口径)'!B8</f>
        <v/>
      </c>
      <c r="G641" s="17">
        <f>IF(OR(E641="",F641=""),"",E641-F641)</f>
        <v/>
      </c>
      <c r="H641" s="14" t="inlineStr"/>
    </row>
    <row r="642">
      <c r="A642" s="7">
        <f>'02 价格(主口径)'!A9</f>
        <v/>
      </c>
      <c r="C642" s="8" t="inlineStr">
        <is>
          <t>JS</t>
        </is>
      </c>
      <c r="D642" s="8" t="inlineStr">
        <is>
          <t>SD</t>
        </is>
      </c>
      <c r="E642" s="16">
        <f>'02 价格(主口径)'!D9</f>
        <v/>
      </c>
      <c r="F642" s="16">
        <f>'02 价格(主口径)'!B9</f>
        <v/>
      </c>
      <c r="G642" s="17">
        <f>IF(OR(E642="",F642=""),"",E642-F642)</f>
        <v/>
      </c>
      <c r="H642" s="14" t="inlineStr"/>
    </row>
    <row r="643">
      <c r="A643" s="7">
        <f>'02 价格(主口径)'!A10</f>
        <v/>
      </c>
      <c r="C643" s="8" t="inlineStr">
        <is>
          <t>JS</t>
        </is>
      </c>
      <c r="D643" s="8" t="inlineStr">
        <is>
          <t>SD</t>
        </is>
      </c>
      <c r="E643" s="16">
        <f>'02 价格(主口径)'!D10</f>
        <v/>
      </c>
      <c r="F643" s="16">
        <f>'02 价格(主口径)'!B10</f>
        <v/>
      </c>
      <c r="G643" s="17">
        <f>IF(OR(E643="",F643=""),"",E643-F643)</f>
        <v/>
      </c>
      <c r="H643" s="14" t="inlineStr"/>
    </row>
    <row r="644">
      <c r="A644" s="7">
        <f>'02 价格(主口径)'!A11</f>
        <v/>
      </c>
      <c r="C644" s="8" t="inlineStr">
        <is>
          <t>JS</t>
        </is>
      </c>
      <c r="D644" s="8" t="inlineStr">
        <is>
          <t>SD</t>
        </is>
      </c>
      <c r="E644" s="16">
        <f>'02 价格(主口径)'!D11</f>
        <v/>
      </c>
      <c r="F644" s="16">
        <f>'02 价格(主口径)'!B11</f>
        <v/>
      </c>
      <c r="G644" s="17">
        <f>IF(OR(E644="",F644=""),"",E644-F644)</f>
        <v/>
      </c>
      <c r="H644" s="14" t="inlineStr"/>
    </row>
    <row r="645">
      <c r="A645" s="7">
        <f>'02 价格(主口径)'!A12</f>
        <v/>
      </c>
      <c r="C645" s="8" t="inlineStr">
        <is>
          <t>JS</t>
        </is>
      </c>
      <c r="D645" s="8" t="inlineStr">
        <is>
          <t>SD</t>
        </is>
      </c>
      <c r="E645" s="16">
        <f>'02 价格(主口径)'!D12</f>
        <v/>
      </c>
      <c r="F645" s="16">
        <f>'02 价格(主口径)'!B12</f>
        <v/>
      </c>
      <c r="G645" s="17">
        <f>IF(OR(E645="",F645=""),"",E645-F645)</f>
        <v/>
      </c>
      <c r="H645" s="14" t="inlineStr"/>
    </row>
    <row r="646">
      <c r="A646" s="7">
        <f>'02 价格(主口径)'!A13</f>
        <v/>
      </c>
      <c r="C646" s="8" t="inlineStr">
        <is>
          <t>JS</t>
        </is>
      </c>
      <c r="D646" s="8" t="inlineStr">
        <is>
          <t>SD</t>
        </is>
      </c>
      <c r="E646" s="16">
        <f>'02 价格(主口径)'!D13</f>
        <v/>
      </c>
      <c r="F646" s="16">
        <f>'02 价格(主口径)'!B13</f>
        <v/>
      </c>
      <c r="G646" s="17">
        <f>IF(OR(E646="",F646=""),"",E646-F646)</f>
        <v/>
      </c>
      <c r="H646" s="14" t="inlineStr"/>
    </row>
    <row r="647">
      <c r="A647" s="7">
        <f>'02 价格(主口径)'!A14</f>
        <v/>
      </c>
      <c r="C647" s="8" t="inlineStr">
        <is>
          <t>JS</t>
        </is>
      </c>
      <c r="D647" s="8" t="inlineStr">
        <is>
          <t>SD</t>
        </is>
      </c>
      <c r="E647" s="16">
        <f>'02 价格(主口径)'!D14</f>
        <v/>
      </c>
      <c r="F647" s="16">
        <f>'02 价格(主口径)'!B14</f>
        <v/>
      </c>
      <c r="G647" s="17">
        <f>IF(OR(E647="",F647=""),"",E647-F647)</f>
        <v/>
      </c>
      <c r="H647" s="14" t="inlineStr"/>
    </row>
    <row r="648">
      <c r="A648" s="7">
        <f>'02 价格(主口径)'!A15</f>
        <v/>
      </c>
      <c r="C648" s="8" t="inlineStr">
        <is>
          <t>JS</t>
        </is>
      </c>
      <c r="D648" s="8" t="inlineStr">
        <is>
          <t>SD</t>
        </is>
      </c>
      <c r="E648" s="16">
        <f>'02 价格(主口径)'!D15</f>
        <v/>
      </c>
      <c r="F648" s="16">
        <f>'02 价格(主口径)'!B15</f>
        <v/>
      </c>
      <c r="G648" s="17">
        <f>IF(OR(E648="",F648=""),"",E648-F648)</f>
        <v/>
      </c>
      <c r="H648" s="14" t="inlineStr"/>
    </row>
    <row r="649">
      <c r="A649" s="7">
        <f>'02 价格(主口径)'!A16</f>
        <v/>
      </c>
      <c r="C649" s="8" t="inlineStr">
        <is>
          <t>JS</t>
        </is>
      </c>
      <c r="D649" s="8" t="inlineStr">
        <is>
          <t>SD</t>
        </is>
      </c>
      <c r="E649" s="16">
        <f>'02 价格(主口径)'!D16</f>
        <v/>
      </c>
      <c r="F649" s="16">
        <f>'02 价格(主口径)'!B16</f>
        <v/>
      </c>
      <c r="G649" s="17">
        <f>IF(OR(E649="",F649=""),"",E649-F649)</f>
        <v/>
      </c>
      <c r="H649" s="14" t="inlineStr"/>
    </row>
    <row r="650">
      <c r="A650" s="7">
        <f>'02 价格(主口径)'!A17</f>
        <v/>
      </c>
      <c r="C650" s="8" t="inlineStr">
        <is>
          <t>JS</t>
        </is>
      </c>
      <c r="D650" s="8" t="inlineStr">
        <is>
          <t>SD</t>
        </is>
      </c>
      <c r="E650" s="16">
        <f>'02 价格(主口径)'!D17</f>
        <v/>
      </c>
      <c r="F650" s="16">
        <f>'02 价格(主口径)'!B17</f>
        <v/>
      </c>
      <c r="G650" s="17">
        <f>IF(OR(E650="",F650=""),"",E650-F650)</f>
        <v/>
      </c>
      <c r="H650" s="14" t="inlineStr"/>
    </row>
    <row r="651">
      <c r="A651" s="7">
        <f>'02 价格(主口径)'!A18</f>
        <v/>
      </c>
      <c r="C651" s="8" t="inlineStr">
        <is>
          <t>JS</t>
        </is>
      </c>
      <c r="D651" s="8" t="inlineStr">
        <is>
          <t>SD</t>
        </is>
      </c>
      <c r="E651" s="16">
        <f>'02 价格(主口径)'!D18</f>
        <v/>
      </c>
      <c r="F651" s="16">
        <f>'02 价格(主口径)'!B18</f>
        <v/>
      </c>
      <c r="G651" s="17">
        <f>IF(OR(E651="",F651=""),"",E651-F651)</f>
        <v/>
      </c>
      <c r="H651" s="14" t="inlineStr"/>
    </row>
    <row r="652">
      <c r="A652" s="7">
        <f>'02 价格(主口径)'!A19</f>
        <v/>
      </c>
      <c r="C652" s="8" t="inlineStr">
        <is>
          <t>JS</t>
        </is>
      </c>
      <c r="D652" s="8" t="inlineStr">
        <is>
          <t>SD</t>
        </is>
      </c>
      <c r="E652" s="16">
        <f>'02 价格(主口径)'!D19</f>
        <v/>
      </c>
      <c r="F652" s="16">
        <f>'02 价格(主口径)'!B19</f>
        <v/>
      </c>
      <c r="G652" s="17">
        <f>IF(OR(E652="",F652=""),"",E652-F652)</f>
        <v/>
      </c>
      <c r="H652" s="14" t="inlineStr"/>
    </row>
    <row r="653">
      <c r="A653" s="7">
        <f>'02 价格(主口径)'!A20</f>
        <v/>
      </c>
      <c r="C653" s="8" t="inlineStr">
        <is>
          <t>JS</t>
        </is>
      </c>
      <c r="D653" s="8" t="inlineStr">
        <is>
          <t>SD</t>
        </is>
      </c>
      <c r="E653" s="16">
        <f>'02 价格(主口径)'!D20</f>
        <v/>
      </c>
      <c r="F653" s="16">
        <f>'02 价格(主口径)'!B20</f>
        <v/>
      </c>
      <c r="G653" s="17">
        <f>IF(OR(E653="",F653=""),"",E653-F653)</f>
        <v/>
      </c>
      <c r="H653" s="14" t="inlineStr"/>
    </row>
    <row r="654">
      <c r="A654" s="7">
        <f>'02 价格(主口径)'!A21</f>
        <v/>
      </c>
      <c r="C654" s="8" t="inlineStr">
        <is>
          <t>JS</t>
        </is>
      </c>
      <c r="D654" s="8" t="inlineStr">
        <is>
          <t>SD</t>
        </is>
      </c>
      <c r="E654" s="16">
        <f>'02 价格(主口径)'!D21</f>
        <v/>
      </c>
      <c r="F654" s="16">
        <f>'02 价格(主口径)'!B21</f>
        <v/>
      </c>
      <c r="G654" s="17">
        <f>IF(OR(E654="",F654=""),"",E654-F654)</f>
        <v/>
      </c>
      <c r="H654" s="14" t="inlineStr"/>
    </row>
    <row r="655">
      <c r="A655" s="7">
        <f>'02 价格(主口径)'!A22</f>
        <v/>
      </c>
      <c r="C655" s="8" t="inlineStr">
        <is>
          <t>JS</t>
        </is>
      </c>
      <c r="D655" s="8" t="inlineStr">
        <is>
          <t>SD</t>
        </is>
      </c>
      <c r="E655" s="16">
        <f>'02 价格(主口径)'!D22</f>
        <v/>
      </c>
      <c r="F655" s="16">
        <f>'02 价格(主口径)'!B22</f>
        <v/>
      </c>
      <c r="G655" s="17">
        <f>IF(OR(E655="",F655=""),"",E655-F655)</f>
        <v/>
      </c>
      <c r="H655" s="14" t="inlineStr"/>
    </row>
    <row r="656">
      <c r="A656" s="7">
        <f>'02 价格(主口径)'!A23</f>
        <v/>
      </c>
      <c r="C656" s="8" t="inlineStr">
        <is>
          <t>JS</t>
        </is>
      </c>
      <c r="D656" s="8" t="inlineStr">
        <is>
          <t>SD</t>
        </is>
      </c>
      <c r="E656" s="16">
        <f>'02 价格(主口径)'!D23</f>
        <v/>
      </c>
      <c r="F656" s="16">
        <f>'02 价格(主口径)'!B23</f>
        <v/>
      </c>
      <c r="G656" s="17">
        <f>IF(OR(E656="",F656=""),"",E656-F656)</f>
        <v/>
      </c>
      <c r="H656" s="14" t="inlineStr"/>
    </row>
    <row r="657">
      <c r="A657" s="7">
        <f>'02 价格(主口径)'!A24</f>
        <v/>
      </c>
      <c r="C657" s="8" t="inlineStr">
        <is>
          <t>JS</t>
        </is>
      </c>
      <c r="D657" s="8" t="inlineStr">
        <is>
          <t>SD</t>
        </is>
      </c>
      <c r="E657" s="16">
        <f>'02 价格(主口径)'!D24</f>
        <v/>
      </c>
      <c r="F657" s="16">
        <f>'02 价格(主口径)'!B24</f>
        <v/>
      </c>
      <c r="G657" s="17">
        <f>IF(OR(E657="",F657=""),"",E657-F657)</f>
        <v/>
      </c>
      <c r="H657" s="14" t="inlineStr"/>
    </row>
    <row r="658">
      <c r="A658" s="7">
        <f>'02 价格(主口径)'!A25</f>
        <v/>
      </c>
      <c r="C658" s="8" t="inlineStr">
        <is>
          <t>JS</t>
        </is>
      </c>
      <c r="D658" s="8" t="inlineStr">
        <is>
          <t>SD</t>
        </is>
      </c>
      <c r="E658" s="16">
        <f>'02 价格(主口径)'!D25</f>
        <v/>
      </c>
      <c r="F658" s="16">
        <f>'02 价格(主口径)'!B25</f>
        <v/>
      </c>
      <c r="G658" s="17">
        <f>IF(OR(E658="",F658=""),"",E658-F658)</f>
        <v/>
      </c>
      <c r="H658" s="14" t="inlineStr"/>
    </row>
    <row r="659">
      <c r="A659" s="7">
        <f>'02 价格(主口径)'!A26</f>
        <v/>
      </c>
      <c r="C659" s="8" t="inlineStr">
        <is>
          <t>JS</t>
        </is>
      </c>
      <c r="D659" s="8" t="inlineStr">
        <is>
          <t>SD</t>
        </is>
      </c>
      <c r="E659" s="16">
        <f>'02 价格(主口径)'!D26</f>
        <v/>
      </c>
      <c r="F659" s="16">
        <f>'02 价格(主口径)'!B26</f>
        <v/>
      </c>
      <c r="G659" s="17">
        <f>IF(OR(E659="",F659=""),"",E659-F659)</f>
        <v/>
      </c>
      <c r="H659" s="14" t="inlineStr"/>
    </row>
    <row r="660">
      <c r="A660" s="7">
        <f>'02 价格(主口径)'!A27</f>
        <v/>
      </c>
      <c r="C660" s="8" t="inlineStr">
        <is>
          <t>JS</t>
        </is>
      </c>
      <c r="D660" s="8" t="inlineStr">
        <is>
          <t>SD</t>
        </is>
      </c>
      <c r="E660" s="16">
        <f>'02 价格(主口径)'!D27</f>
        <v/>
      </c>
      <c r="F660" s="16">
        <f>'02 价格(主口径)'!B27</f>
        <v/>
      </c>
      <c r="G660" s="17">
        <f>IF(OR(E660="",F660=""),"",E660-F660)</f>
        <v/>
      </c>
      <c r="H660" s="14" t="inlineStr"/>
    </row>
    <row r="661">
      <c r="A661" s="7">
        <f>'02 价格(主口径)'!A28</f>
        <v/>
      </c>
      <c r="C661" s="8" t="inlineStr">
        <is>
          <t>JS</t>
        </is>
      </c>
      <c r="D661" s="8" t="inlineStr">
        <is>
          <t>SD</t>
        </is>
      </c>
      <c r="E661" s="16">
        <f>'02 价格(主口径)'!D28</f>
        <v/>
      </c>
      <c r="F661" s="16">
        <f>'02 价格(主口径)'!B28</f>
        <v/>
      </c>
      <c r="G661" s="17">
        <f>IF(OR(E661="",F661=""),"",E661-F661)</f>
        <v/>
      </c>
      <c r="H661" s="14" t="inlineStr"/>
    </row>
    <row r="662">
      <c r="A662" s="7">
        <f>'02 价格(主口径)'!A29</f>
        <v/>
      </c>
      <c r="C662" s="8" t="inlineStr">
        <is>
          <t>JS</t>
        </is>
      </c>
      <c r="D662" s="8" t="inlineStr">
        <is>
          <t>SD</t>
        </is>
      </c>
      <c r="E662" s="16">
        <f>'02 价格(主口径)'!D29</f>
        <v/>
      </c>
      <c r="F662" s="16">
        <f>'02 价格(主口径)'!B29</f>
        <v/>
      </c>
      <c r="G662" s="17">
        <f>IF(OR(E662="",F662=""),"",E662-F662)</f>
        <v/>
      </c>
      <c r="H662" s="14" t="inlineStr"/>
    </row>
    <row r="663">
      <c r="A663" s="7">
        <f>'02 价格(主口径)'!A30</f>
        <v/>
      </c>
      <c r="C663" s="8" t="inlineStr">
        <is>
          <t>JS</t>
        </is>
      </c>
      <c r="D663" s="8" t="inlineStr">
        <is>
          <t>SD</t>
        </is>
      </c>
      <c r="E663" s="16">
        <f>'02 价格(主口径)'!D30</f>
        <v/>
      </c>
      <c r="F663" s="16">
        <f>'02 价格(主口径)'!B30</f>
        <v/>
      </c>
      <c r="G663" s="17">
        <f>IF(OR(E663="",F663=""),"",E663-F663)</f>
        <v/>
      </c>
      <c r="H663" s="14" t="inlineStr"/>
    </row>
    <row r="664">
      <c r="A664" s="7">
        <f>'02 价格(主口径)'!A31</f>
        <v/>
      </c>
      <c r="C664" s="8" t="inlineStr">
        <is>
          <t>JS</t>
        </is>
      </c>
      <c r="D664" s="8" t="inlineStr">
        <is>
          <t>SD</t>
        </is>
      </c>
      <c r="E664" s="16">
        <f>'02 价格(主口径)'!D31</f>
        <v/>
      </c>
      <c r="F664" s="16">
        <f>'02 价格(主口径)'!B31</f>
        <v/>
      </c>
      <c r="G664" s="17">
        <f>IF(OR(E664="",F664=""),"",E664-F664)</f>
        <v/>
      </c>
      <c r="H664" s="14" t="inlineStr"/>
    </row>
    <row r="665">
      <c r="A665" s="7">
        <f>'02 价格(主口径)'!A32</f>
        <v/>
      </c>
      <c r="C665" s="8" t="inlineStr">
        <is>
          <t>JS</t>
        </is>
      </c>
      <c r="D665" s="8" t="inlineStr">
        <is>
          <t>SD</t>
        </is>
      </c>
      <c r="E665" s="16">
        <f>'02 价格(主口径)'!D32</f>
        <v/>
      </c>
      <c r="F665" s="16">
        <f>'02 价格(主口径)'!B32</f>
        <v/>
      </c>
      <c r="G665" s="17">
        <f>IF(OR(E665="",F665=""),"",E665-F665)</f>
        <v/>
      </c>
      <c r="H665" s="14" t="inlineStr"/>
    </row>
    <row r="666">
      <c r="A666" s="7">
        <f>'02 价格(主口径)'!A33</f>
        <v/>
      </c>
      <c r="C666" s="8" t="inlineStr">
        <is>
          <t>JS</t>
        </is>
      </c>
      <c r="D666" s="8" t="inlineStr">
        <is>
          <t>SD</t>
        </is>
      </c>
      <c r="E666" s="16">
        <f>'02 价格(主口径)'!D33</f>
        <v/>
      </c>
      <c r="F666" s="16">
        <f>'02 价格(主口径)'!B33</f>
        <v/>
      </c>
      <c r="G666" s="17">
        <f>IF(OR(E666="",F666=""),"",E666-F666)</f>
        <v/>
      </c>
      <c r="H666" s="14" t="inlineStr"/>
    </row>
    <row r="667">
      <c r="A667" s="7">
        <f>'02 价格(主口径)'!A34</f>
        <v/>
      </c>
      <c r="C667" s="8" t="inlineStr">
        <is>
          <t>JS</t>
        </is>
      </c>
      <c r="D667" s="8" t="inlineStr">
        <is>
          <t>SD</t>
        </is>
      </c>
      <c r="E667" s="16">
        <f>'02 价格(主口径)'!D34</f>
        <v/>
      </c>
      <c r="F667" s="16">
        <f>'02 价格(主口径)'!B34</f>
        <v/>
      </c>
      <c r="G667" s="17">
        <f>IF(OR(E667="",F667=""),"",E667-F667)</f>
        <v/>
      </c>
      <c r="H667" s="14" t="inlineStr"/>
    </row>
    <row r="668">
      <c r="A668" s="7">
        <f>'02 价格(主口径)'!A35</f>
        <v/>
      </c>
      <c r="C668" s="8" t="inlineStr">
        <is>
          <t>JS</t>
        </is>
      </c>
      <c r="D668" s="8" t="inlineStr">
        <is>
          <t>SD</t>
        </is>
      </c>
      <c r="E668" s="16">
        <f>'02 价格(主口径)'!D35</f>
        <v/>
      </c>
      <c r="F668" s="16">
        <f>'02 价格(主口径)'!B35</f>
        <v/>
      </c>
      <c r="G668" s="17">
        <f>IF(OR(E668="",F668=""),"",E668-F668)</f>
        <v/>
      </c>
      <c r="H668" s="14" t="inlineStr"/>
    </row>
    <row r="669">
      <c r="A669" s="7">
        <f>'02 价格(主口径)'!A36</f>
        <v/>
      </c>
      <c r="C669" s="8" t="inlineStr">
        <is>
          <t>JS</t>
        </is>
      </c>
      <c r="D669" s="8" t="inlineStr">
        <is>
          <t>SD</t>
        </is>
      </c>
      <c r="E669" s="16">
        <f>'02 价格(主口径)'!D36</f>
        <v/>
      </c>
      <c r="F669" s="16">
        <f>'02 价格(主口径)'!B36</f>
        <v/>
      </c>
      <c r="G669" s="17">
        <f>IF(OR(E669="",F669=""),"",E669-F669)</f>
        <v/>
      </c>
      <c r="H669" s="14" t="inlineStr"/>
    </row>
    <row r="670">
      <c r="A670" s="7">
        <f>'02 价格(主口径)'!A37</f>
        <v/>
      </c>
      <c r="C670" s="8" t="inlineStr">
        <is>
          <t>JS</t>
        </is>
      </c>
      <c r="D670" s="8" t="inlineStr">
        <is>
          <t>SD</t>
        </is>
      </c>
      <c r="E670" s="16">
        <f>'02 价格(主口径)'!D37</f>
        <v/>
      </c>
      <c r="F670" s="16">
        <f>'02 价格(主口径)'!B37</f>
        <v/>
      </c>
      <c r="G670" s="17">
        <f>IF(OR(E670="",F670=""),"",E670-F670)</f>
        <v/>
      </c>
      <c r="H670" s="14" t="inlineStr"/>
    </row>
    <row r="671">
      <c r="A671" s="7">
        <f>'02 价格(主口径)'!A38</f>
        <v/>
      </c>
      <c r="C671" s="8" t="inlineStr">
        <is>
          <t>JS</t>
        </is>
      </c>
      <c r="D671" s="8" t="inlineStr">
        <is>
          <t>SD</t>
        </is>
      </c>
      <c r="E671" s="16">
        <f>'02 价格(主口径)'!D38</f>
        <v/>
      </c>
      <c r="F671" s="16">
        <f>'02 价格(主口径)'!B38</f>
        <v/>
      </c>
      <c r="G671" s="17">
        <f>IF(OR(E671="",F671=""),"",E671-F671)</f>
        <v/>
      </c>
      <c r="H671" s="14" t="inlineStr"/>
    </row>
    <row r="672">
      <c r="A672" s="7">
        <f>'02 价格(主口径)'!A39</f>
        <v/>
      </c>
      <c r="C672" s="8" t="inlineStr">
        <is>
          <t>JS</t>
        </is>
      </c>
      <c r="D672" s="8" t="inlineStr">
        <is>
          <t>SD</t>
        </is>
      </c>
      <c r="E672" s="16">
        <f>'02 价格(主口径)'!D39</f>
        <v/>
      </c>
      <c r="F672" s="16">
        <f>'02 价格(主口径)'!B39</f>
        <v/>
      </c>
      <c r="G672" s="17">
        <f>IF(OR(E672="",F672=""),"",E672-F672)</f>
        <v/>
      </c>
      <c r="H672" s="14" t="inlineStr"/>
    </row>
    <row r="673">
      <c r="A673" s="7">
        <f>'02 价格(主口径)'!A40</f>
        <v/>
      </c>
      <c r="C673" s="8" t="inlineStr">
        <is>
          <t>JS</t>
        </is>
      </c>
      <c r="D673" s="8" t="inlineStr">
        <is>
          <t>SD</t>
        </is>
      </c>
      <c r="E673" s="16">
        <f>'02 价格(主口径)'!D40</f>
        <v/>
      </c>
      <c r="F673" s="16">
        <f>'02 价格(主口径)'!B40</f>
        <v/>
      </c>
      <c r="G673" s="17">
        <f>IF(OR(E673="",F673=""),"",E673-F673)</f>
        <v/>
      </c>
      <c r="H673" s="14" t="inlineStr"/>
    </row>
    <row r="674">
      <c r="A674" s="7">
        <f>'02 价格(主口径)'!A41</f>
        <v/>
      </c>
      <c r="C674" s="8" t="inlineStr">
        <is>
          <t>JS</t>
        </is>
      </c>
      <c r="D674" s="8" t="inlineStr">
        <is>
          <t>SD</t>
        </is>
      </c>
      <c r="E674" s="16">
        <f>'02 价格(主口径)'!D41</f>
        <v/>
      </c>
      <c r="F674" s="16">
        <f>'02 价格(主口径)'!B41</f>
        <v/>
      </c>
      <c r="G674" s="17">
        <f>IF(OR(E674="",F674=""),"",E674-F674)</f>
        <v/>
      </c>
      <c r="H674" s="14" t="inlineStr"/>
    </row>
    <row r="675">
      <c r="A675" s="7">
        <f>'02 价格(主口径)'!A42</f>
        <v/>
      </c>
      <c r="C675" s="8" t="inlineStr">
        <is>
          <t>JS</t>
        </is>
      </c>
      <c r="D675" s="8" t="inlineStr">
        <is>
          <t>SD</t>
        </is>
      </c>
      <c r="E675" s="16">
        <f>'02 价格(主口径)'!D42</f>
        <v/>
      </c>
      <c r="F675" s="16">
        <f>'02 价格(主口径)'!B42</f>
        <v/>
      </c>
      <c r="G675" s="17">
        <f>IF(OR(E675="",F675=""),"",E675-F675)</f>
        <v/>
      </c>
      <c r="H675" s="14" t="inlineStr"/>
    </row>
    <row r="676">
      <c r="A676" s="7">
        <f>'02 价格(主口径)'!A43</f>
        <v/>
      </c>
      <c r="C676" s="8" t="inlineStr">
        <is>
          <t>JS</t>
        </is>
      </c>
      <c r="D676" s="8" t="inlineStr">
        <is>
          <t>SD</t>
        </is>
      </c>
      <c r="E676" s="16">
        <f>'02 价格(主口径)'!D43</f>
        <v/>
      </c>
      <c r="F676" s="16">
        <f>'02 价格(主口径)'!B43</f>
        <v/>
      </c>
      <c r="G676" s="17">
        <f>IF(OR(E676="",F676=""),"",E676-F676)</f>
        <v/>
      </c>
      <c r="H676" s="14" t="inlineStr"/>
    </row>
    <row r="677">
      <c r="A677" s="7">
        <f>'02 价格(主口径)'!A44</f>
        <v/>
      </c>
      <c r="C677" s="8" t="inlineStr">
        <is>
          <t>JS</t>
        </is>
      </c>
      <c r="D677" s="8" t="inlineStr">
        <is>
          <t>SD</t>
        </is>
      </c>
      <c r="E677" s="16">
        <f>'02 价格(主口径)'!D44</f>
        <v/>
      </c>
      <c r="F677" s="16">
        <f>'02 价格(主口径)'!B44</f>
        <v/>
      </c>
      <c r="G677" s="17">
        <f>IF(OR(E677="",F677=""),"",E677-F677)</f>
        <v/>
      </c>
      <c r="H677" s="14" t="inlineStr"/>
    </row>
    <row r="678">
      <c r="A678" s="7">
        <f>'02 价格(主口径)'!A45</f>
        <v/>
      </c>
      <c r="C678" s="8" t="inlineStr">
        <is>
          <t>JS</t>
        </is>
      </c>
      <c r="D678" s="8" t="inlineStr">
        <is>
          <t>SD</t>
        </is>
      </c>
      <c r="E678" s="16">
        <f>'02 价格(主口径)'!D45</f>
        <v/>
      </c>
      <c r="F678" s="16">
        <f>'02 价格(主口径)'!B45</f>
        <v/>
      </c>
      <c r="G678" s="17">
        <f>IF(OR(E678="",F678=""),"",E678-F678)</f>
        <v/>
      </c>
      <c r="H678" s="14" t="inlineStr"/>
    </row>
    <row r="679">
      <c r="A679" s="7">
        <f>'02 价格(主口径)'!A46</f>
        <v/>
      </c>
      <c r="C679" s="8" t="inlineStr">
        <is>
          <t>JS</t>
        </is>
      </c>
      <c r="D679" s="8" t="inlineStr">
        <is>
          <t>SD</t>
        </is>
      </c>
      <c r="E679" s="16">
        <f>'02 价格(主口径)'!D46</f>
        <v/>
      </c>
      <c r="F679" s="16">
        <f>'02 价格(主口径)'!B46</f>
        <v/>
      </c>
      <c r="G679" s="17">
        <f>IF(OR(E679="",F679=""),"",E679-F679)</f>
        <v/>
      </c>
      <c r="H679" s="14" t="inlineStr"/>
    </row>
    <row r="680">
      <c r="A680" s="7">
        <f>'02 价格(主口径)'!A47</f>
        <v/>
      </c>
      <c r="C680" s="8" t="inlineStr">
        <is>
          <t>JS</t>
        </is>
      </c>
      <c r="D680" s="8" t="inlineStr">
        <is>
          <t>SD</t>
        </is>
      </c>
      <c r="E680" s="16">
        <f>'02 价格(主口径)'!D47</f>
        <v/>
      </c>
      <c r="F680" s="16">
        <f>'02 价格(主口径)'!B47</f>
        <v/>
      </c>
      <c r="G680" s="17">
        <f>IF(OR(E680="",F680=""),"",E680-F680)</f>
        <v/>
      </c>
      <c r="H680" s="14" t="inlineStr"/>
    </row>
    <row r="681">
      <c r="A681" s="7">
        <f>'02 价格(主口径)'!A48</f>
        <v/>
      </c>
      <c r="C681" s="8" t="inlineStr">
        <is>
          <t>JS</t>
        </is>
      </c>
      <c r="D681" s="8" t="inlineStr">
        <is>
          <t>SD</t>
        </is>
      </c>
      <c r="E681" s="16">
        <f>'02 价格(主口径)'!D48</f>
        <v/>
      </c>
      <c r="F681" s="16">
        <f>'02 价格(主口径)'!B48</f>
        <v/>
      </c>
      <c r="G681" s="17">
        <f>IF(OR(E681="",F681=""),"",E681-F681)</f>
        <v/>
      </c>
      <c r="H681" s="14" t="inlineStr"/>
    </row>
    <row r="682">
      <c r="A682" s="7">
        <f>'02 价格(主口径)'!A49</f>
        <v/>
      </c>
      <c r="C682" s="8" t="inlineStr">
        <is>
          <t>JS</t>
        </is>
      </c>
      <c r="D682" s="8" t="inlineStr">
        <is>
          <t>SD</t>
        </is>
      </c>
      <c r="E682" s="16">
        <f>'02 价格(主口径)'!D49</f>
        <v/>
      </c>
      <c r="F682" s="16">
        <f>'02 价格(主口径)'!B49</f>
        <v/>
      </c>
      <c r="G682" s="17">
        <f>IF(OR(E682="",F682=""),"",E682-F682)</f>
        <v/>
      </c>
      <c r="H682" s="14" t="inlineStr"/>
    </row>
    <row r="683">
      <c r="A683" s="7">
        <f>'02 价格(主口径)'!A50</f>
        <v/>
      </c>
      <c r="C683" s="8" t="inlineStr">
        <is>
          <t>JS</t>
        </is>
      </c>
      <c r="D683" s="8" t="inlineStr">
        <is>
          <t>SD</t>
        </is>
      </c>
      <c r="E683" s="16">
        <f>'02 价格(主口径)'!D50</f>
        <v/>
      </c>
      <c r="F683" s="16">
        <f>'02 价格(主口径)'!B50</f>
        <v/>
      </c>
      <c r="G683" s="17">
        <f>IF(OR(E683="",F683=""),"",E683-F683)</f>
        <v/>
      </c>
      <c r="H683" s="14" t="inlineStr"/>
    </row>
    <row r="684">
      <c r="A684" s="7">
        <f>'02 价格(主口径)'!A51</f>
        <v/>
      </c>
      <c r="C684" s="8" t="inlineStr">
        <is>
          <t>JS</t>
        </is>
      </c>
      <c r="D684" s="8" t="inlineStr">
        <is>
          <t>SD</t>
        </is>
      </c>
      <c r="E684" s="16">
        <f>'02 价格(主口径)'!D51</f>
        <v/>
      </c>
      <c r="F684" s="16">
        <f>'02 价格(主口径)'!B51</f>
        <v/>
      </c>
      <c r="G684" s="17">
        <f>IF(OR(E684="",F684=""),"",E684-F684)</f>
        <v/>
      </c>
      <c r="H684" s="14" t="inlineStr"/>
    </row>
    <row r="685">
      <c r="A685" s="7">
        <f>'02 价格(主口径)'!A52</f>
        <v/>
      </c>
      <c r="C685" s="8" t="inlineStr">
        <is>
          <t>JS</t>
        </is>
      </c>
      <c r="D685" s="8" t="inlineStr">
        <is>
          <t>SD</t>
        </is>
      </c>
      <c r="E685" s="16">
        <f>'02 价格(主口径)'!D52</f>
        <v/>
      </c>
      <c r="F685" s="16">
        <f>'02 价格(主口径)'!B52</f>
        <v/>
      </c>
      <c r="G685" s="17">
        <f>IF(OR(E685="",F685=""),"",E685-F685)</f>
        <v/>
      </c>
      <c r="H685" s="14" t="inlineStr"/>
    </row>
    <row r="686">
      <c r="A686" s="7">
        <f>'02 价格(主口径)'!A53</f>
        <v/>
      </c>
      <c r="C686" s="8" t="inlineStr">
        <is>
          <t>JS</t>
        </is>
      </c>
      <c r="D686" s="8" t="inlineStr">
        <is>
          <t>SD</t>
        </is>
      </c>
      <c r="E686" s="16">
        <f>'02 价格(主口径)'!D53</f>
        <v/>
      </c>
      <c r="F686" s="16">
        <f>'02 价格(主口径)'!B53</f>
        <v/>
      </c>
      <c r="G686" s="17">
        <f>IF(OR(E686="",F686=""),"",E686-F686)</f>
        <v/>
      </c>
      <c r="H686" s="14" t="inlineStr"/>
    </row>
    <row r="687">
      <c r="A687" s="7">
        <f>'02 价格(主口径)'!A54</f>
        <v/>
      </c>
      <c r="C687" s="8" t="inlineStr">
        <is>
          <t>JS</t>
        </is>
      </c>
      <c r="D687" s="8" t="inlineStr">
        <is>
          <t>SD</t>
        </is>
      </c>
      <c r="E687" s="16">
        <f>'02 价格(主口径)'!D54</f>
        <v/>
      </c>
      <c r="F687" s="16">
        <f>'02 价格(主口径)'!B54</f>
        <v/>
      </c>
      <c r="G687" s="17">
        <f>IF(OR(E687="",F687=""),"",E687-F687)</f>
        <v/>
      </c>
      <c r="H687" s="14" t="inlineStr"/>
    </row>
    <row r="688">
      <c r="A688" s="7">
        <f>'02 价格(主口径)'!A55</f>
        <v/>
      </c>
      <c r="C688" s="8" t="inlineStr">
        <is>
          <t>JS</t>
        </is>
      </c>
      <c r="D688" s="8" t="inlineStr">
        <is>
          <t>SD</t>
        </is>
      </c>
      <c r="E688" s="16">
        <f>'02 价格(主口径)'!D55</f>
        <v/>
      </c>
      <c r="F688" s="16">
        <f>'02 价格(主口径)'!B55</f>
        <v/>
      </c>
      <c r="G688" s="17">
        <f>IF(OR(E688="",F688=""),"",E688-F688)</f>
        <v/>
      </c>
      <c r="H688" s="14" t="inlineStr"/>
    </row>
    <row r="689">
      <c r="A689" s="7">
        <f>'02 价格(主口径)'!A56</f>
        <v/>
      </c>
      <c r="C689" s="8" t="inlineStr">
        <is>
          <t>JS</t>
        </is>
      </c>
      <c r="D689" s="8" t="inlineStr">
        <is>
          <t>SD</t>
        </is>
      </c>
      <c r="E689" s="16">
        <f>'02 价格(主口径)'!D56</f>
        <v/>
      </c>
      <c r="F689" s="16">
        <f>'02 价格(主口径)'!B56</f>
        <v/>
      </c>
      <c r="G689" s="17">
        <f>IF(OR(E689="",F689=""),"",E689-F689)</f>
        <v/>
      </c>
      <c r="H689" s="14" t="inlineStr"/>
    </row>
    <row r="690">
      <c r="A690" s="7">
        <f>'02 价格(主口径)'!A57</f>
        <v/>
      </c>
      <c r="C690" s="8" t="inlineStr">
        <is>
          <t>JS</t>
        </is>
      </c>
      <c r="D690" s="8" t="inlineStr">
        <is>
          <t>SD</t>
        </is>
      </c>
      <c r="E690" s="16">
        <f>'02 价格(主口径)'!D57</f>
        <v/>
      </c>
      <c r="F690" s="16">
        <f>'02 价格(主口径)'!B57</f>
        <v/>
      </c>
      <c r="G690" s="17">
        <f>IF(OR(E690="",F690=""),"",E690-F690)</f>
        <v/>
      </c>
      <c r="H690" s="14" t="inlineStr"/>
    </row>
    <row r="691">
      <c r="A691" s="7">
        <f>'02 价格(主口径)'!A58</f>
        <v/>
      </c>
      <c r="C691" s="8" t="inlineStr">
        <is>
          <t>JS</t>
        </is>
      </c>
      <c r="D691" s="8" t="inlineStr">
        <is>
          <t>SD</t>
        </is>
      </c>
      <c r="E691" s="16">
        <f>'02 价格(主口径)'!D58</f>
        <v/>
      </c>
      <c r="F691" s="16">
        <f>'02 价格(主口径)'!B58</f>
        <v/>
      </c>
      <c r="G691" s="17">
        <f>IF(OR(E691="",F691=""),"",E691-F691)</f>
        <v/>
      </c>
      <c r="H691" s="14" t="inlineStr"/>
    </row>
    <row r="692">
      <c r="A692" s="7">
        <f>'02 价格(主口径)'!A59</f>
        <v/>
      </c>
      <c r="C692" s="8" t="inlineStr">
        <is>
          <t>JS</t>
        </is>
      </c>
      <c r="D692" s="8" t="inlineStr">
        <is>
          <t>SD</t>
        </is>
      </c>
      <c r="E692" s="16">
        <f>'02 价格(主口径)'!D59</f>
        <v/>
      </c>
      <c r="F692" s="16">
        <f>'02 价格(主口径)'!B59</f>
        <v/>
      </c>
      <c r="G692" s="17">
        <f>IF(OR(E692="",F692=""),"",E692-F692)</f>
        <v/>
      </c>
      <c r="H692" s="14" t="inlineStr"/>
    </row>
    <row r="693">
      <c r="A693" s="7">
        <f>'02 价格(主口径)'!A60</f>
        <v/>
      </c>
      <c r="C693" s="8" t="inlineStr">
        <is>
          <t>JS</t>
        </is>
      </c>
      <c r="D693" s="8" t="inlineStr">
        <is>
          <t>SD</t>
        </is>
      </c>
      <c r="E693" s="16">
        <f>'02 价格(主口径)'!D60</f>
        <v/>
      </c>
      <c r="F693" s="16">
        <f>'02 价格(主口径)'!B60</f>
        <v/>
      </c>
      <c r="G693" s="17">
        <f>IF(OR(E693="",F693=""),"",E693-F693)</f>
        <v/>
      </c>
      <c r="H693" s="14" t="inlineStr"/>
    </row>
    <row r="694">
      <c r="A694" s="7">
        <f>'02 价格(主口径)'!A61</f>
        <v/>
      </c>
      <c r="C694" s="8" t="inlineStr">
        <is>
          <t>JS</t>
        </is>
      </c>
      <c r="D694" s="8" t="inlineStr">
        <is>
          <t>SD</t>
        </is>
      </c>
      <c r="E694" s="16">
        <f>'02 价格(主口径)'!D61</f>
        <v/>
      </c>
      <c r="F694" s="16">
        <f>'02 价格(主口径)'!B61</f>
        <v/>
      </c>
      <c r="G694" s="17">
        <f>IF(OR(E694="",F694=""),"",E694-F694)</f>
        <v/>
      </c>
      <c r="H694" s="14" t="inlineStr"/>
    </row>
    <row r="695">
      <c r="A695" s="7">
        <f>'02 价格(主口径)'!A62</f>
        <v/>
      </c>
      <c r="C695" s="8" t="inlineStr">
        <is>
          <t>JS</t>
        </is>
      </c>
      <c r="D695" s="8" t="inlineStr">
        <is>
          <t>SD</t>
        </is>
      </c>
      <c r="E695" s="16">
        <f>'02 价格(主口径)'!D62</f>
        <v/>
      </c>
      <c r="F695" s="16">
        <f>'02 价格(主口径)'!B62</f>
        <v/>
      </c>
      <c r="G695" s="17">
        <f>IF(OR(E695="",F695=""),"",E695-F695)</f>
        <v/>
      </c>
      <c r="H695" s="14" t="inlineStr"/>
    </row>
    <row r="696">
      <c r="A696" s="7">
        <f>'02 价格(主口径)'!A63</f>
        <v/>
      </c>
      <c r="C696" s="8" t="inlineStr">
        <is>
          <t>JS</t>
        </is>
      </c>
      <c r="D696" s="8" t="inlineStr">
        <is>
          <t>SD</t>
        </is>
      </c>
      <c r="E696" s="16">
        <f>'02 价格(主口径)'!D63</f>
        <v/>
      </c>
      <c r="F696" s="16">
        <f>'02 价格(主口径)'!B63</f>
        <v/>
      </c>
      <c r="G696" s="17">
        <f>IF(OR(E696="",F696=""),"",E696-F696)</f>
        <v/>
      </c>
      <c r="H696" s="14" t="inlineStr"/>
    </row>
    <row r="697">
      <c r="A697" s="7">
        <f>'02 价格(主口径)'!A64</f>
        <v/>
      </c>
      <c r="C697" s="8" t="inlineStr">
        <is>
          <t>JS</t>
        </is>
      </c>
      <c r="D697" s="8" t="inlineStr">
        <is>
          <t>SD</t>
        </is>
      </c>
      <c r="E697" s="16">
        <f>'02 价格(主口径)'!D64</f>
        <v/>
      </c>
      <c r="F697" s="16">
        <f>'02 价格(主口径)'!B64</f>
        <v/>
      </c>
      <c r="G697" s="17">
        <f>IF(OR(E697="",F697=""),"",E697-F697)</f>
        <v/>
      </c>
      <c r="H697" s="14" t="inlineStr"/>
    </row>
    <row r="698">
      <c r="A698" s="7">
        <f>'02 价格(主口径)'!A65</f>
        <v/>
      </c>
      <c r="C698" s="8" t="inlineStr">
        <is>
          <t>JS</t>
        </is>
      </c>
      <c r="D698" s="8" t="inlineStr">
        <is>
          <t>SD</t>
        </is>
      </c>
      <c r="E698" s="16">
        <f>'02 价格(主口径)'!D65</f>
        <v/>
      </c>
      <c r="F698" s="16">
        <f>'02 价格(主口径)'!B65</f>
        <v/>
      </c>
      <c r="G698" s="17">
        <f>IF(OR(E698="",F698=""),"",E698-F698)</f>
        <v/>
      </c>
      <c r="H698" s="14" t="inlineStr"/>
    </row>
    <row r="699">
      <c r="A699" s="7">
        <f>'02 价格(主口径)'!A66</f>
        <v/>
      </c>
      <c r="C699" s="8" t="inlineStr">
        <is>
          <t>JS</t>
        </is>
      </c>
      <c r="D699" s="8" t="inlineStr">
        <is>
          <t>SD</t>
        </is>
      </c>
      <c r="E699" s="16">
        <f>'02 价格(主口径)'!D66</f>
        <v/>
      </c>
      <c r="F699" s="16">
        <f>'02 价格(主口径)'!B66</f>
        <v/>
      </c>
      <c r="G699" s="17">
        <f>IF(OR(E699="",F699=""),"",E699-F699)</f>
        <v/>
      </c>
      <c r="H699" s="14" t="inlineStr"/>
    </row>
    <row r="700">
      <c r="A700" s="7">
        <f>'02 价格(主口径)'!A67</f>
        <v/>
      </c>
      <c r="C700" s="8" t="inlineStr">
        <is>
          <t>JS</t>
        </is>
      </c>
      <c r="D700" s="8" t="inlineStr">
        <is>
          <t>SD</t>
        </is>
      </c>
      <c r="E700" s="16">
        <f>'02 价格(主口径)'!D67</f>
        <v/>
      </c>
      <c r="F700" s="16">
        <f>'02 价格(主口径)'!B67</f>
        <v/>
      </c>
      <c r="G700" s="17">
        <f>IF(OR(E700="",F700=""),"",E700-F700)</f>
        <v/>
      </c>
      <c r="H700" s="14" t="inlineStr"/>
    </row>
    <row r="701">
      <c r="A701" s="7">
        <f>'02 价格(主口径)'!A68</f>
        <v/>
      </c>
      <c r="C701" s="8" t="inlineStr">
        <is>
          <t>JS</t>
        </is>
      </c>
      <c r="D701" s="8" t="inlineStr">
        <is>
          <t>SD</t>
        </is>
      </c>
      <c r="E701" s="16">
        <f>'02 价格(主口径)'!D68</f>
        <v/>
      </c>
      <c r="F701" s="16">
        <f>'02 价格(主口径)'!B68</f>
        <v/>
      </c>
      <c r="G701" s="17">
        <f>IF(OR(E701="",F701=""),"",E701-F701)</f>
        <v/>
      </c>
      <c r="H701" s="14" t="inlineStr"/>
    </row>
    <row r="702">
      <c r="A702" s="7">
        <f>'02 价格(主口径)'!A69</f>
        <v/>
      </c>
      <c r="C702" s="8" t="inlineStr">
        <is>
          <t>JS</t>
        </is>
      </c>
      <c r="D702" s="8" t="inlineStr">
        <is>
          <t>SD</t>
        </is>
      </c>
      <c r="E702" s="16">
        <f>'02 价格(主口径)'!D69</f>
        <v/>
      </c>
      <c r="F702" s="16">
        <f>'02 价格(主口径)'!B69</f>
        <v/>
      </c>
      <c r="G702" s="17">
        <f>IF(OR(E702="",F702=""),"",E702-F702)</f>
        <v/>
      </c>
      <c r="H702" s="14" t="inlineStr"/>
    </row>
    <row r="703">
      <c r="A703" s="7">
        <f>'02 价格(主口径)'!A70</f>
        <v/>
      </c>
      <c r="C703" s="8" t="inlineStr">
        <is>
          <t>JS</t>
        </is>
      </c>
      <c r="D703" s="8" t="inlineStr">
        <is>
          <t>SD</t>
        </is>
      </c>
      <c r="E703" s="16">
        <f>'02 价格(主口径)'!D70</f>
        <v/>
      </c>
      <c r="F703" s="16">
        <f>'02 价格(主口径)'!B70</f>
        <v/>
      </c>
      <c r="G703" s="17">
        <f>IF(OR(E703="",F703=""),"",E703-F703)</f>
        <v/>
      </c>
      <c r="H703" s="14" t="inlineStr"/>
    </row>
    <row r="704">
      <c r="A704" s="7">
        <f>'02 价格(主口径)'!A71</f>
        <v/>
      </c>
      <c r="C704" s="8" t="inlineStr">
        <is>
          <t>JS</t>
        </is>
      </c>
      <c r="D704" s="8" t="inlineStr">
        <is>
          <t>SD</t>
        </is>
      </c>
      <c r="E704" s="16">
        <f>'02 价格(主口径)'!D71</f>
        <v/>
      </c>
      <c r="F704" s="16">
        <f>'02 价格(主口径)'!B71</f>
        <v/>
      </c>
      <c r="G704" s="17">
        <f>IF(OR(E704="",F704=""),"",E704-F704)</f>
        <v/>
      </c>
      <c r="H704" s="14" t="inlineStr"/>
    </row>
    <row r="705">
      <c r="A705" s="7">
        <f>'02 价格(主口径)'!A72</f>
        <v/>
      </c>
      <c r="C705" s="8" t="inlineStr">
        <is>
          <t>JS</t>
        </is>
      </c>
      <c r="D705" s="8" t="inlineStr">
        <is>
          <t>SD</t>
        </is>
      </c>
      <c r="E705" s="16">
        <f>'02 价格(主口径)'!D72</f>
        <v/>
      </c>
      <c r="F705" s="16">
        <f>'02 价格(主口径)'!B72</f>
        <v/>
      </c>
      <c r="G705" s="17">
        <f>IF(OR(E705="",F705=""),"",E705-F705)</f>
        <v/>
      </c>
      <c r="H705" s="14" t="inlineStr"/>
    </row>
    <row r="706">
      <c r="A706" s="7">
        <f>'02 价格(主口径)'!A73</f>
        <v/>
      </c>
      <c r="C706" s="8" t="inlineStr">
        <is>
          <t>JS</t>
        </is>
      </c>
      <c r="D706" s="8" t="inlineStr">
        <is>
          <t>SD</t>
        </is>
      </c>
      <c r="E706" s="16">
        <f>'02 价格(主口径)'!D73</f>
        <v/>
      </c>
      <c r="F706" s="16">
        <f>'02 价格(主口径)'!B73</f>
        <v/>
      </c>
      <c r="G706" s="17">
        <f>IF(OR(E706="",F706=""),"",E706-F706)</f>
        <v/>
      </c>
      <c r="H706" s="14" t="inlineStr"/>
    </row>
    <row r="707">
      <c r="A707" s="7">
        <f>'02 价格(主口径)'!A74</f>
        <v/>
      </c>
      <c r="C707" s="8" t="inlineStr">
        <is>
          <t>JS</t>
        </is>
      </c>
      <c r="D707" s="8" t="inlineStr">
        <is>
          <t>SD</t>
        </is>
      </c>
      <c r="E707" s="16">
        <f>'02 价格(主口径)'!D74</f>
        <v/>
      </c>
      <c r="F707" s="16">
        <f>'02 价格(主口径)'!B74</f>
        <v/>
      </c>
      <c r="G707" s="17">
        <f>IF(OR(E707="",F707=""),"",E707-F707)</f>
        <v/>
      </c>
      <c r="H707" s="14" t="inlineStr"/>
    </row>
    <row r="708">
      <c r="A708" s="7">
        <f>'02 价格(主口径)'!A75</f>
        <v/>
      </c>
      <c r="C708" s="8" t="inlineStr">
        <is>
          <t>JS</t>
        </is>
      </c>
      <c r="D708" s="8" t="inlineStr">
        <is>
          <t>SD</t>
        </is>
      </c>
      <c r="E708" s="16">
        <f>'02 价格(主口径)'!D75</f>
        <v/>
      </c>
      <c r="F708" s="16">
        <f>'02 价格(主口径)'!B75</f>
        <v/>
      </c>
      <c r="G708" s="17">
        <f>IF(OR(E708="",F708=""),"",E708-F708)</f>
        <v/>
      </c>
      <c r="H708" s="14" t="inlineStr"/>
    </row>
    <row r="709">
      <c r="A709" s="7">
        <f>'02 价格(主口径)'!A76</f>
        <v/>
      </c>
      <c r="C709" s="8" t="inlineStr">
        <is>
          <t>JS</t>
        </is>
      </c>
      <c r="D709" s="8" t="inlineStr">
        <is>
          <t>SD</t>
        </is>
      </c>
      <c r="E709" s="16">
        <f>'02 价格(主口径)'!D76</f>
        <v/>
      </c>
      <c r="F709" s="16">
        <f>'02 价格(主口径)'!B76</f>
        <v/>
      </c>
      <c r="G709" s="17">
        <f>IF(OR(E709="",F709=""),"",E709-F709)</f>
        <v/>
      </c>
      <c r="H709" s="14" t="inlineStr"/>
    </row>
    <row r="710">
      <c r="A710" s="7">
        <f>'02 价格(主口径)'!A77</f>
        <v/>
      </c>
      <c r="C710" s="8" t="inlineStr">
        <is>
          <t>JS</t>
        </is>
      </c>
      <c r="D710" s="8" t="inlineStr">
        <is>
          <t>SD</t>
        </is>
      </c>
      <c r="E710" s="16">
        <f>'02 价格(主口径)'!D77</f>
        <v/>
      </c>
      <c r="F710" s="16">
        <f>'02 价格(主口径)'!B77</f>
        <v/>
      </c>
      <c r="G710" s="17">
        <f>IF(OR(E710="",F710=""),"",E710-F710)</f>
        <v/>
      </c>
      <c r="H710" s="14" t="inlineStr"/>
    </row>
    <row r="711">
      <c r="A711" s="7">
        <f>'02 价格(主口径)'!A78</f>
        <v/>
      </c>
      <c r="C711" s="8" t="inlineStr">
        <is>
          <t>JS</t>
        </is>
      </c>
      <c r="D711" s="8" t="inlineStr">
        <is>
          <t>SD</t>
        </is>
      </c>
      <c r="E711" s="16">
        <f>'02 价格(主口径)'!D78</f>
        <v/>
      </c>
      <c r="F711" s="16">
        <f>'02 价格(主口径)'!B78</f>
        <v/>
      </c>
      <c r="G711" s="17">
        <f>IF(OR(E711="",F711=""),"",E711-F711)</f>
        <v/>
      </c>
      <c r="H711" s="14" t="inlineStr"/>
    </row>
    <row r="712">
      <c r="A712" s="7">
        <f>'02 价格(主口径)'!A79</f>
        <v/>
      </c>
      <c r="C712" s="8" t="inlineStr">
        <is>
          <t>JS</t>
        </is>
      </c>
      <c r="D712" s="8" t="inlineStr">
        <is>
          <t>SD</t>
        </is>
      </c>
      <c r="E712" s="16">
        <f>'02 价格(主口径)'!D79</f>
        <v/>
      </c>
      <c r="F712" s="16">
        <f>'02 价格(主口径)'!B79</f>
        <v/>
      </c>
      <c r="G712" s="17">
        <f>IF(OR(E712="",F712=""),"",E712-F712)</f>
        <v/>
      </c>
      <c r="H712" s="14" t="inlineStr"/>
    </row>
    <row r="713">
      <c r="A713" s="7">
        <f>'02 价格(主口径)'!A80</f>
        <v/>
      </c>
      <c r="C713" s="8" t="inlineStr">
        <is>
          <t>JS</t>
        </is>
      </c>
      <c r="D713" s="8" t="inlineStr">
        <is>
          <t>SD</t>
        </is>
      </c>
      <c r="E713" s="16">
        <f>'02 价格(主口径)'!D80</f>
        <v/>
      </c>
      <c r="F713" s="16">
        <f>'02 价格(主口径)'!B80</f>
        <v/>
      </c>
      <c r="G713" s="17">
        <f>IF(OR(E713="",F713=""),"",E713-F713)</f>
        <v/>
      </c>
      <c r="H713" s="14" t="inlineStr"/>
    </row>
    <row r="714">
      <c r="A714" s="7">
        <f>'02 价格(主口径)'!A81</f>
        <v/>
      </c>
      <c r="C714" s="8" t="inlineStr">
        <is>
          <t>JS</t>
        </is>
      </c>
      <c r="D714" s="8" t="inlineStr">
        <is>
          <t>SD</t>
        </is>
      </c>
      <c r="E714" s="16">
        <f>'02 价格(主口径)'!D81</f>
        <v/>
      </c>
      <c r="F714" s="16">
        <f>'02 价格(主口径)'!B81</f>
        <v/>
      </c>
      <c r="G714" s="17">
        <f>IF(OR(E714="",F714=""),"",E714-F714)</f>
        <v/>
      </c>
      <c r="H714" s="14" t="inlineStr"/>
    </row>
    <row r="715">
      <c r="A715" s="7">
        <f>'02 价格(主口径)'!A82</f>
        <v/>
      </c>
      <c r="C715" s="8" t="inlineStr">
        <is>
          <t>JS</t>
        </is>
      </c>
      <c r="D715" s="8" t="inlineStr">
        <is>
          <t>SD</t>
        </is>
      </c>
      <c r="E715" s="16">
        <f>'02 价格(主口径)'!D82</f>
        <v/>
      </c>
      <c r="F715" s="16">
        <f>'02 价格(主口径)'!B82</f>
        <v/>
      </c>
      <c r="G715" s="17">
        <f>IF(OR(E715="",F715=""),"",E715-F715)</f>
        <v/>
      </c>
      <c r="H715" s="14" t="inlineStr"/>
    </row>
    <row r="716">
      <c r="A716" s="7">
        <f>'02 价格(主口径)'!A83</f>
        <v/>
      </c>
      <c r="C716" s="8" t="inlineStr">
        <is>
          <t>JS</t>
        </is>
      </c>
      <c r="D716" s="8" t="inlineStr">
        <is>
          <t>SD</t>
        </is>
      </c>
      <c r="E716" s="16">
        <f>'02 价格(主口径)'!D83</f>
        <v/>
      </c>
      <c r="F716" s="16">
        <f>'02 价格(主口径)'!B83</f>
        <v/>
      </c>
      <c r="G716" s="17">
        <f>IF(OR(E716="",F716=""),"",E716-F716)</f>
        <v/>
      </c>
      <c r="H716" s="14" t="inlineStr"/>
    </row>
    <row r="717">
      <c r="A717" s="7">
        <f>'02 价格(主口径)'!A84</f>
        <v/>
      </c>
      <c r="C717" s="8" t="inlineStr">
        <is>
          <t>JS</t>
        </is>
      </c>
      <c r="D717" s="8" t="inlineStr">
        <is>
          <t>SD</t>
        </is>
      </c>
      <c r="E717" s="16">
        <f>'02 价格(主口径)'!D84</f>
        <v/>
      </c>
      <c r="F717" s="16">
        <f>'02 价格(主口径)'!B84</f>
        <v/>
      </c>
      <c r="G717" s="17">
        <f>IF(OR(E717="",F717=""),"",E717-F717)</f>
        <v/>
      </c>
      <c r="H717" s="14" t="inlineStr"/>
    </row>
    <row r="718">
      <c r="A718" s="7">
        <f>'02 价格(主口径)'!A85</f>
        <v/>
      </c>
      <c r="C718" s="8" t="inlineStr">
        <is>
          <t>JS</t>
        </is>
      </c>
      <c r="D718" s="8" t="inlineStr">
        <is>
          <t>SD</t>
        </is>
      </c>
      <c r="E718" s="16">
        <f>'02 价格(主口径)'!D85</f>
        <v/>
      </c>
      <c r="F718" s="16">
        <f>'02 价格(主口径)'!B85</f>
        <v/>
      </c>
      <c r="G718" s="17">
        <f>IF(OR(E718="",F718=""),"",E718-F718)</f>
        <v/>
      </c>
      <c r="H718" s="14" t="inlineStr"/>
    </row>
    <row r="719">
      <c r="A719" s="7">
        <f>'02 价格(主口径)'!A86</f>
        <v/>
      </c>
      <c r="C719" s="8" t="inlineStr">
        <is>
          <t>JS</t>
        </is>
      </c>
      <c r="D719" s="8" t="inlineStr">
        <is>
          <t>SD</t>
        </is>
      </c>
      <c r="E719" s="16">
        <f>'02 价格(主口径)'!D86</f>
        <v/>
      </c>
      <c r="F719" s="16">
        <f>'02 价格(主口径)'!B86</f>
        <v/>
      </c>
      <c r="G719" s="17">
        <f>IF(OR(E719="",F719=""),"",E719-F719)</f>
        <v/>
      </c>
      <c r="H719" s="14" t="inlineStr"/>
    </row>
    <row r="720">
      <c r="A720" s="7">
        <f>'02 价格(主口径)'!A87</f>
        <v/>
      </c>
      <c r="C720" s="8" t="inlineStr">
        <is>
          <t>JS</t>
        </is>
      </c>
      <c r="D720" s="8" t="inlineStr">
        <is>
          <t>SD</t>
        </is>
      </c>
      <c r="E720" s="16">
        <f>'02 价格(主口径)'!D87</f>
        <v/>
      </c>
      <c r="F720" s="16">
        <f>'02 价格(主口径)'!B87</f>
        <v/>
      </c>
      <c r="G720" s="17">
        <f>IF(OR(E720="",F720=""),"",E720-F720)</f>
        <v/>
      </c>
      <c r="H720" s="14" t="inlineStr"/>
    </row>
    <row r="721">
      <c r="A721" s="7">
        <f>'02 价格(主口径)'!A88</f>
        <v/>
      </c>
      <c r="C721" s="8" t="inlineStr">
        <is>
          <t>JS</t>
        </is>
      </c>
      <c r="D721" s="8" t="inlineStr">
        <is>
          <t>SD</t>
        </is>
      </c>
      <c r="E721" s="16">
        <f>'02 价格(主口径)'!D88</f>
        <v/>
      </c>
      <c r="F721" s="16">
        <f>'02 价格(主口径)'!B88</f>
        <v/>
      </c>
      <c r="G721" s="17">
        <f>IF(OR(E721="",F721=""),"",E721-F721)</f>
        <v/>
      </c>
      <c r="H721" s="14" t="inlineStr"/>
    </row>
    <row r="722">
      <c r="A722" s="7">
        <f>'02 价格(主口径)'!A89</f>
        <v/>
      </c>
      <c r="C722" s="8" t="inlineStr">
        <is>
          <t>JS</t>
        </is>
      </c>
      <c r="D722" s="8" t="inlineStr">
        <is>
          <t>SD</t>
        </is>
      </c>
      <c r="E722" s="16">
        <f>'02 价格(主口径)'!D89</f>
        <v/>
      </c>
      <c r="F722" s="16">
        <f>'02 价格(主口径)'!B89</f>
        <v/>
      </c>
      <c r="G722" s="17">
        <f>IF(OR(E722="",F722=""),"",E722-F722)</f>
        <v/>
      </c>
      <c r="H722" s="14" t="inlineStr"/>
    </row>
    <row r="723">
      <c r="A723" s="7">
        <f>'02 价格(主口径)'!A90</f>
        <v/>
      </c>
      <c r="C723" s="8" t="inlineStr">
        <is>
          <t>JS</t>
        </is>
      </c>
      <c r="D723" s="8" t="inlineStr">
        <is>
          <t>SD</t>
        </is>
      </c>
      <c r="E723" s="16">
        <f>'02 价格(主口径)'!D90</f>
        <v/>
      </c>
      <c r="F723" s="16">
        <f>'02 价格(主口径)'!B90</f>
        <v/>
      </c>
      <c r="G723" s="17">
        <f>IF(OR(E723="",F723=""),"",E723-F723)</f>
        <v/>
      </c>
      <c r="H723" s="14" t="inlineStr"/>
    </row>
    <row r="724">
      <c r="A724" s="7">
        <f>'02 价格(主口径)'!A91</f>
        <v/>
      </c>
      <c r="C724" s="8" t="inlineStr">
        <is>
          <t>JS</t>
        </is>
      </c>
      <c r="D724" s="8" t="inlineStr">
        <is>
          <t>SD</t>
        </is>
      </c>
      <c r="E724" s="16">
        <f>'02 价格(主口径)'!D91</f>
        <v/>
      </c>
      <c r="F724" s="16">
        <f>'02 价格(主口径)'!B91</f>
        <v/>
      </c>
      <c r="G724" s="17">
        <f>IF(OR(E724="",F724=""),"",E724-F724)</f>
        <v/>
      </c>
      <c r="H724" s="14" t="inlineStr"/>
    </row>
    <row r="725">
      <c r="A725" s="7">
        <f>'02 价格(主口径)'!A92</f>
        <v/>
      </c>
      <c r="C725" s="8" t="inlineStr">
        <is>
          <t>JS</t>
        </is>
      </c>
      <c r="D725" s="8" t="inlineStr">
        <is>
          <t>SD</t>
        </is>
      </c>
      <c r="E725" s="16">
        <f>'02 价格(主口径)'!D92</f>
        <v/>
      </c>
      <c r="F725" s="16">
        <f>'02 价格(主口径)'!B92</f>
        <v/>
      </c>
      <c r="G725" s="17">
        <f>IF(OR(E725="",F725=""),"",E725-F725)</f>
        <v/>
      </c>
      <c r="H725" s="14" t="inlineStr"/>
    </row>
    <row r="726">
      <c r="A726" s="7">
        <f>'02 价格(主口径)'!A93</f>
        <v/>
      </c>
      <c r="C726" s="8" t="inlineStr">
        <is>
          <t>JS</t>
        </is>
      </c>
      <c r="D726" s="8" t="inlineStr">
        <is>
          <t>SD</t>
        </is>
      </c>
      <c r="E726" s="16">
        <f>'02 价格(主口径)'!D93</f>
        <v/>
      </c>
      <c r="F726" s="16">
        <f>'02 价格(主口径)'!B93</f>
        <v/>
      </c>
      <c r="G726" s="17">
        <f>IF(OR(E726="",F726=""),"",E726-F726)</f>
        <v/>
      </c>
      <c r="H726" s="14" t="inlineStr"/>
    </row>
    <row r="727">
      <c r="A727" s="7">
        <f>'02 价格(主口径)'!A94</f>
        <v/>
      </c>
      <c r="C727" s="8" t="inlineStr">
        <is>
          <t>JS</t>
        </is>
      </c>
      <c r="D727" s="8" t="inlineStr">
        <is>
          <t>SD</t>
        </is>
      </c>
      <c r="E727" s="16">
        <f>'02 价格(主口径)'!D94</f>
        <v/>
      </c>
      <c r="F727" s="16">
        <f>'02 价格(主口径)'!B94</f>
        <v/>
      </c>
      <c r="G727" s="17">
        <f>IF(OR(E727="",F727=""),"",E727-F727)</f>
        <v/>
      </c>
      <c r="H727" s="14" t="inlineStr"/>
    </row>
    <row r="728">
      <c r="A728" s="7">
        <f>'02 价格(主口径)'!A95</f>
        <v/>
      </c>
      <c r="C728" s="8" t="inlineStr">
        <is>
          <t>JS</t>
        </is>
      </c>
      <c r="D728" s="8" t="inlineStr">
        <is>
          <t>SD</t>
        </is>
      </c>
      <c r="E728" s="16">
        <f>'02 价格(主口径)'!D95</f>
        <v/>
      </c>
      <c r="F728" s="16">
        <f>'02 价格(主口径)'!B95</f>
        <v/>
      </c>
      <c r="G728" s="17">
        <f>IF(OR(E728="",F728=""),"",E728-F728)</f>
        <v/>
      </c>
      <c r="H728" s="14" t="inlineStr"/>
    </row>
    <row r="729">
      <c r="A729" s="7">
        <f>'02 价格(主口径)'!A96</f>
        <v/>
      </c>
      <c r="C729" s="8" t="inlineStr">
        <is>
          <t>JS</t>
        </is>
      </c>
      <c r="D729" s="8" t="inlineStr">
        <is>
          <t>SD</t>
        </is>
      </c>
      <c r="E729" s="16">
        <f>'02 价格(主口径)'!D96</f>
        <v/>
      </c>
      <c r="F729" s="16">
        <f>'02 价格(主口径)'!B96</f>
        <v/>
      </c>
      <c r="G729" s="17">
        <f>IF(OR(E729="",F729=""),"",E729-F729)</f>
        <v/>
      </c>
      <c r="H729" s="14" t="inlineStr"/>
    </row>
    <row r="730">
      <c r="A730" s="7">
        <f>'02 价格(主口径)'!A97</f>
        <v/>
      </c>
      <c r="C730" s="8" t="inlineStr">
        <is>
          <t>JS</t>
        </is>
      </c>
      <c r="D730" s="8" t="inlineStr">
        <is>
          <t>SD</t>
        </is>
      </c>
      <c r="E730" s="16">
        <f>'02 价格(主口径)'!D97</f>
        <v/>
      </c>
      <c r="F730" s="16">
        <f>'02 价格(主口径)'!B97</f>
        <v/>
      </c>
      <c r="G730" s="17">
        <f>IF(OR(E730="",F730=""),"",E730-F730)</f>
        <v/>
      </c>
      <c r="H730" s="14" t="inlineStr"/>
    </row>
    <row r="731">
      <c r="A731" s="7">
        <f>'02 价格(主口径)'!A98</f>
        <v/>
      </c>
      <c r="C731" s="8" t="inlineStr">
        <is>
          <t>JS</t>
        </is>
      </c>
      <c r="D731" s="8" t="inlineStr">
        <is>
          <t>SD</t>
        </is>
      </c>
      <c r="E731" s="16">
        <f>'02 价格(主口径)'!D98</f>
        <v/>
      </c>
      <c r="F731" s="16">
        <f>'02 价格(主口径)'!B98</f>
        <v/>
      </c>
      <c r="G731" s="17">
        <f>IF(OR(E731="",F731=""),"",E731-F731)</f>
        <v/>
      </c>
      <c r="H731" s="14" t="inlineStr"/>
    </row>
    <row r="732">
      <c r="A732" s="7">
        <f>'02 价格(主口径)'!A99</f>
        <v/>
      </c>
      <c r="C732" s="8" t="inlineStr">
        <is>
          <t>JS</t>
        </is>
      </c>
      <c r="D732" s="8" t="inlineStr">
        <is>
          <t>SD</t>
        </is>
      </c>
      <c r="E732" s="16">
        <f>'02 价格(主口径)'!D99</f>
        <v/>
      </c>
      <c r="F732" s="16">
        <f>'02 价格(主口径)'!B99</f>
        <v/>
      </c>
      <c r="G732" s="17">
        <f>IF(OR(E732="",F732=""),"",E732-F732)</f>
        <v/>
      </c>
      <c r="H732" s="14" t="inlineStr"/>
    </row>
    <row r="733">
      <c r="A733" s="7">
        <f>'02 价格(主口径)'!A100</f>
        <v/>
      </c>
      <c r="C733" s="8" t="inlineStr">
        <is>
          <t>JS</t>
        </is>
      </c>
      <c r="D733" s="8" t="inlineStr">
        <is>
          <t>SD</t>
        </is>
      </c>
      <c r="E733" s="16">
        <f>'02 价格(主口径)'!D100</f>
        <v/>
      </c>
      <c r="F733" s="16">
        <f>'02 价格(主口径)'!B100</f>
        <v/>
      </c>
      <c r="G733" s="17">
        <f>IF(OR(E733="",F733=""),"",E733-F733)</f>
        <v/>
      </c>
      <c r="H733" s="14" t="inlineStr"/>
    </row>
    <row r="734">
      <c r="A734" s="7">
        <f>'02 价格(主口径)'!A101</f>
        <v/>
      </c>
      <c r="C734" s="8" t="inlineStr">
        <is>
          <t>JS</t>
        </is>
      </c>
      <c r="D734" s="8" t="inlineStr">
        <is>
          <t>SD</t>
        </is>
      </c>
      <c r="E734" s="16">
        <f>'02 价格(主口径)'!D101</f>
        <v/>
      </c>
      <c r="F734" s="16">
        <f>'02 价格(主口径)'!B101</f>
        <v/>
      </c>
      <c r="G734" s="17">
        <f>IF(OR(E734="",F734=""),"",E734-F734)</f>
        <v/>
      </c>
      <c r="H734" s="14" t="inlineStr"/>
    </row>
    <row r="735">
      <c r="A735" s="7">
        <f>'02 价格(主口径)'!A102</f>
        <v/>
      </c>
      <c r="C735" s="8" t="inlineStr">
        <is>
          <t>JS</t>
        </is>
      </c>
      <c r="D735" s="8" t="inlineStr">
        <is>
          <t>SD</t>
        </is>
      </c>
      <c r="E735" s="16">
        <f>'02 价格(主口径)'!D102</f>
        <v/>
      </c>
      <c r="F735" s="16">
        <f>'02 价格(主口径)'!B102</f>
        <v/>
      </c>
      <c r="G735" s="17">
        <f>IF(OR(E735="",F735=""),"",E735-F735)</f>
        <v/>
      </c>
      <c r="H735" s="14" t="inlineStr"/>
    </row>
    <row r="736">
      <c r="A736" s="7">
        <f>'02 价格(主口径)'!A103</f>
        <v/>
      </c>
      <c r="C736" s="8" t="inlineStr">
        <is>
          <t>JS</t>
        </is>
      </c>
      <c r="D736" s="8" t="inlineStr">
        <is>
          <t>SD</t>
        </is>
      </c>
      <c r="E736" s="16">
        <f>'02 价格(主口径)'!D103</f>
        <v/>
      </c>
      <c r="F736" s="16">
        <f>'02 价格(主口径)'!B103</f>
        <v/>
      </c>
      <c r="G736" s="17">
        <f>IF(OR(E736="",F736=""),"",E736-F736)</f>
        <v/>
      </c>
      <c r="H736" s="14" t="inlineStr"/>
    </row>
    <row r="737">
      <c r="A737" s="7">
        <f>'02 价格(主口径)'!A104</f>
        <v/>
      </c>
      <c r="C737" s="8" t="inlineStr">
        <is>
          <t>JS</t>
        </is>
      </c>
      <c r="D737" s="8" t="inlineStr">
        <is>
          <t>SD</t>
        </is>
      </c>
      <c r="E737" s="16">
        <f>'02 价格(主口径)'!D104</f>
        <v/>
      </c>
      <c r="F737" s="16">
        <f>'02 价格(主口径)'!B104</f>
        <v/>
      </c>
      <c r="G737" s="17">
        <f>IF(OR(E737="",F737=""),"",E737-F737)</f>
        <v/>
      </c>
      <c r="H737" s="14" t="inlineStr"/>
    </row>
    <row r="738">
      <c r="A738" s="7">
        <f>'02 价格(主口径)'!A105</f>
        <v/>
      </c>
      <c r="C738" s="8" t="inlineStr">
        <is>
          <t>JS</t>
        </is>
      </c>
      <c r="D738" s="8" t="inlineStr">
        <is>
          <t>SD</t>
        </is>
      </c>
      <c r="E738" s="16">
        <f>'02 价格(主口径)'!D105</f>
        <v/>
      </c>
      <c r="F738" s="16">
        <f>'02 价格(主口径)'!B105</f>
        <v/>
      </c>
      <c r="G738" s="17">
        <f>IF(OR(E738="",F738=""),"",E738-F738)</f>
        <v/>
      </c>
      <c r="H738" s="14" t="inlineStr"/>
    </row>
    <row r="739">
      <c r="A739" s="7">
        <f>'02 价格(主口径)'!A106</f>
        <v/>
      </c>
      <c r="C739" s="8" t="inlineStr">
        <is>
          <t>JS</t>
        </is>
      </c>
      <c r="D739" s="8" t="inlineStr">
        <is>
          <t>SD</t>
        </is>
      </c>
      <c r="E739" s="16">
        <f>'02 价格(主口径)'!D106</f>
        <v/>
      </c>
      <c r="F739" s="16">
        <f>'02 价格(主口径)'!B106</f>
        <v/>
      </c>
      <c r="G739" s="17">
        <f>IF(OR(E739="",F739=""),"",E739-F739)</f>
        <v/>
      </c>
      <c r="H739" s="14" t="inlineStr"/>
    </row>
    <row r="740">
      <c r="A740" s="7">
        <f>'02 价格(主口径)'!A107</f>
        <v/>
      </c>
      <c r="C740" s="8" t="inlineStr">
        <is>
          <t>JS</t>
        </is>
      </c>
      <c r="D740" s="8" t="inlineStr">
        <is>
          <t>SD</t>
        </is>
      </c>
      <c r="E740" s="16">
        <f>'02 价格(主口径)'!D107</f>
        <v/>
      </c>
      <c r="F740" s="16">
        <f>'02 价格(主口径)'!B107</f>
        <v/>
      </c>
      <c r="G740" s="17">
        <f>IF(OR(E740="",F740=""),"",E740-F740)</f>
        <v/>
      </c>
      <c r="H740" s="14" t="inlineStr"/>
    </row>
    <row r="741">
      <c r="A741" s="7">
        <f>'02 价格(主口径)'!A108</f>
        <v/>
      </c>
      <c r="C741" s="8" t="inlineStr">
        <is>
          <t>JS</t>
        </is>
      </c>
      <c r="D741" s="8" t="inlineStr">
        <is>
          <t>SD</t>
        </is>
      </c>
      <c r="E741" s="16">
        <f>'02 价格(主口径)'!D108</f>
        <v/>
      </c>
      <c r="F741" s="16">
        <f>'02 价格(主口径)'!B108</f>
        <v/>
      </c>
      <c r="G741" s="17">
        <f>IF(OR(E741="",F741=""),"",E741-F741)</f>
        <v/>
      </c>
      <c r="H741" s="14" t="inlineStr"/>
    </row>
    <row r="742">
      <c r="A742" s="7">
        <f>'02 价格(主口径)'!A109</f>
        <v/>
      </c>
      <c r="C742" s="8" t="inlineStr">
        <is>
          <t>JS</t>
        </is>
      </c>
      <c r="D742" s="8" t="inlineStr">
        <is>
          <t>SD</t>
        </is>
      </c>
      <c r="E742" s="16">
        <f>'02 价格(主口径)'!D109</f>
        <v/>
      </c>
      <c r="F742" s="16">
        <f>'02 价格(主口径)'!B109</f>
        <v/>
      </c>
      <c r="G742" s="17">
        <f>IF(OR(E742="",F742=""),"",E742-F742)</f>
        <v/>
      </c>
      <c r="H742" s="14" t="inlineStr"/>
    </row>
    <row r="743">
      <c r="A743" s="7">
        <f>'02 价格(主口径)'!A110</f>
        <v/>
      </c>
      <c r="C743" s="8" t="inlineStr">
        <is>
          <t>JS</t>
        </is>
      </c>
      <c r="D743" s="8" t="inlineStr">
        <is>
          <t>SD</t>
        </is>
      </c>
      <c r="E743" s="16">
        <f>'02 价格(主口径)'!D110</f>
        <v/>
      </c>
      <c r="F743" s="16">
        <f>'02 价格(主口径)'!B110</f>
        <v/>
      </c>
      <c r="G743" s="17">
        <f>IF(OR(E743="",F743=""),"",E743-F743)</f>
        <v/>
      </c>
      <c r="H743" s="14" t="inlineStr"/>
    </row>
    <row r="744">
      <c r="A744" s="7">
        <f>'02 价格(主口径)'!A111</f>
        <v/>
      </c>
      <c r="C744" s="8" t="inlineStr">
        <is>
          <t>JS</t>
        </is>
      </c>
      <c r="D744" s="8" t="inlineStr">
        <is>
          <t>SD</t>
        </is>
      </c>
      <c r="E744" s="16">
        <f>'02 价格(主口径)'!D111</f>
        <v/>
      </c>
      <c r="F744" s="16">
        <f>'02 价格(主口径)'!B111</f>
        <v/>
      </c>
      <c r="G744" s="17">
        <f>IF(OR(E744="",F744=""),"",E744-F744)</f>
        <v/>
      </c>
      <c r="H744" s="14" t="inlineStr"/>
    </row>
    <row r="745">
      <c r="A745" s="7">
        <f>'02 价格(主口径)'!A112</f>
        <v/>
      </c>
      <c r="C745" s="8" t="inlineStr">
        <is>
          <t>JS</t>
        </is>
      </c>
      <c r="D745" s="8" t="inlineStr">
        <is>
          <t>SD</t>
        </is>
      </c>
      <c r="E745" s="16">
        <f>'02 价格(主口径)'!D112</f>
        <v/>
      </c>
      <c r="F745" s="16">
        <f>'02 价格(主口径)'!B112</f>
        <v/>
      </c>
      <c r="G745" s="17">
        <f>IF(OR(E745="",F745=""),"",E745-F745)</f>
        <v/>
      </c>
      <c r="H745" s="14" t="inlineStr"/>
    </row>
    <row r="746">
      <c r="A746" s="7">
        <f>'02 价格(主口径)'!A113</f>
        <v/>
      </c>
      <c r="C746" s="8" t="inlineStr">
        <is>
          <t>JS</t>
        </is>
      </c>
      <c r="D746" s="8" t="inlineStr">
        <is>
          <t>SD</t>
        </is>
      </c>
      <c r="E746" s="16">
        <f>'02 价格(主口径)'!D113</f>
        <v/>
      </c>
      <c r="F746" s="16">
        <f>'02 价格(主口径)'!B113</f>
        <v/>
      </c>
      <c r="G746" s="17">
        <f>IF(OR(E746="",F746=""),"",E746-F746)</f>
        <v/>
      </c>
      <c r="H746" s="14" t="inlineStr"/>
    </row>
    <row r="747">
      <c r="A747" s="7">
        <f>'02 价格(主口径)'!A114</f>
        <v/>
      </c>
      <c r="C747" s="8" t="inlineStr">
        <is>
          <t>JS</t>
        </is>
      </c>
      <c r="D747" s="8" t="inlineStr">
        <is>
          <t>SD</t>
        </is>
      </c>
      <c r="E747" s="16">
        <f>'02 价格(主口径)'!D114</f>
        <v/>
      </c>
      <c r="F747" s="16">
        <f>'02 价格(主口径)'!B114</f>
        <v/>
      </c>
      <c r="G747" s="17">
        <f>IF(OR(E747="",F747=""),"",E747-F747)</f>
        <v/>
      </c>
      <c r="H747" s="14" t="inlineStr"/>
    </row>
    <row r="748">
      <c r="A748" s="7">
        <f>'02 价格(主口径)'!A115</f>
        <v/>
      </c>
      <c r="C748" s="8" t="inlineStr">
        <is>
          <t>JS</t>
        </is>
      </c>
      <c r="D748" s="8" t="inlineStr">
        <is>
          <t>SD</t>
        </is>
      </c>
      <c r="E748" s="16">
        <f>'02 价格(主口径)'!D115</f>
        <v/>
      </c>
      <c r="F748" s="16">
        <f>'02 价格(主口径)'!B115</f>
        <v/>
      </c>
      <c r="G748" s="17">
        <f>IF(OR(E748="",F748=""),"",E748-F748)</f>
        <v/>
      </c>
      <c r="H748" s="14" t="inlineStr"/>
    </row>
    <row r="749">
      <c r="A749" s="7">
        <f>'02 价格(主口径)'!A116</f>
        <v/>
      </c>
      <c r="C749" s="8" t="inlineStr">
        <is>
          <t>JS</t>
        </is>
      </c>
      <c r="D749" s="8" t="inlineStr">
        <is>
          <t>SD</t>
        </is>
      </c>
      <c r="E749" s="16">
        <f>'02 价格(主口径)'!D116</f>
        <v/>
      </c>
      <c r="F749" s="16">
        <f>'02 价格(主口径)'!B116</f>
        <v/>
      </c>
      <c r="G749" s="17">
        <f>IF(OR(E749="",F749=""),"",E749-F749)</f>
        <v/>
      </c>
      <c r="H749" s="14" t="inlineStr"/>
    </row>
    <row r="750">
      <c r="A750" s="7">
        <f>'02 价格(主口径)'!A117</f>
        <v/>
      </c>
      <c r="C750" s="8" t="inlineStr">
        <is>
          <t>JS</t>
        </is>
      </c>
      <c r="D750" s="8" t="inlineStr">
        <is>
          <t>SD</t>
        </is>
      </c>
      <c r="E750" s="16">
        <f>'02 价格(主口径)'!D117</f>
        <v/>
      </c>
      <c r="F750" s="16">
        <f>'02 价格(主口径)'!B117</f>
        <v/>
      </c>
      <c r="G750" s="17">
        <f>IF(OR(E750="",F750=""),"",E750-F750)</f>
        <v/>
      </c>
      <c r="H750" s="14" t="inlineStr"/>
    </row>
    <row r="751">
      <c r="A751" s="7">
        <f>'02 价格(主口径)'!A118</f>
        <v/>
      </c>
      <c r="C751" s="8" t="inlineStr">
        <is>
          <t>JS</t>
        </is>
      </c>
      <c r="D751" s="8" t="inlineStr">
        <is>
          <t>SD</t>
        </is>
      </c>
      <c r="E751" s="16">
        <f>'02 价格(主口径)'!D118</f>
        <v/>
      </c>
      <c r="F751" s="16">
        <f>'02 价格(主口径)'!B118</f>
        <v/>
      </c>
      <c r="G751" s="17">
        <f>IF(OR(E751="",F751=""),"",E751-F751)</f>
        <v/>
      </c>
      <c r="H751" s="14" t="inlineStr"/>
    </row>
    <row r="752">
      <c r="A752" s="7">
        <f>'02 价格(主口径)'!A119</f>
        <v/>
      </c>
      <c r="C752" s="8" t="inlineStr">
        <is>
          <t>JS</t>
        </is>
      </c>
      <c r="D752" s="8" t="inlineStr">
        <is>
          <t>SD</t>
        </is>
      </c>
      <c r="E752" s="16">
        <f>'02 价格(主口径)'!D119</f>
        <v/>
      </c>
      <c r="F752" s="16">
        <f>'02 价格(主口径)'!B119</f>
        <v/>
      </c>
      <c r="G752" s="17">
        <f>IF(OR(E752="",F752=""),"",E752-F752)</f>
        <v/>
      </c>
      <c r="H752" s="14" t="inlineStr"/>
    </row>
    <row r="753">
      <c r="A753" s="7">
        <f>'02 价格(主口径)'!A120</f>
        <v/>
      </c>
      <c r="C753" s="8" t="inlineStr">
        <is>
          <t>JS</t>
        </is>
      </c>
      <c r="D753" s="8" t="inlineStr">
        <is>
          <t>SD</t>
        </is>
      </c>
      <c r="E753" s="16">
        <f>'02 价格(主口径)'!D120</f>
        <v/>
      </c>
      <c r="F753" s="16">
        <f>'02 价格(主口径)'!B120</f>
        <v/>
      </c>
      <c r="G753" s="17">
        <f>IF(OR(E753="",F753=""),"",E753-F753)</f>
        <v/>
      </c>
      <c r="H753" s="14" t="inlineStr"/>
    </row>
    <row r="754">
      <c r="A754" s="7">
        <f>'02 价格(主口径)'!A121</f>
        <v/>
      </c>
      <c r="C754" s="8" t="inlineStr">
        <is>
          <t>JS</t>
        </is>
      </c>
      <c r="D754" s="8" t="inlineStr">
        <is>
          <t>SD</t>
        </is>
      </c>
      <c r="E754" s="16">
        <f>'02 价格(主口径)'!D121</f>
        <v/>
      </c>
      <c r="F754" s="16">
        <f>'02 价格(主口径)'!B121</f>
        <v/>
      </c>
      <c r="G754" s="17">
        <f>IF(OR(E754="",F754=""),"",E754-F754)</f>
        <v/>
      </c>
      <c r="H754" s="14" t="inlineStr"/>
    </row>
    <row r="755">
      <c r="A755" s="7">
        <f>'02 价格(主口径)'!A122</f>
        <v/>
      </c>
      <c r="C755" s="8" t="inlineStr">
        <is>
          <t>JS</t>
        </is>
      </c>
      <c r="D755" s="8" t="inlineStr">
        <is>
          <t>SD</t>
        </is>
      </c>
      <c r="E755" s="16">
        <f>'02 价格(主口径)'!D122</f>
        <v/>
      </c>
      <c r="F755" s="16">
        <f>'02 价格(主口径)'!B122</f>
        <v/>
      </c>
      <c r="G755" s="17">
        <f>IF(OR(E755="",F755=""),"",E755-F755)</f>
        <v/>
      </c>
      <c r="H755" s="14" t="inlineStr"/>
    </row>
    <row r="756">
      <c r="A756" s="7">
        <f>'02 价格(主口径)'!A123</f>
        <v/>
      </c>
      <c r="C756" s="8" t="inlineStr">
        <is>
          <t>JS</t>
        </is>
      </c>
      <c r="D756" s="8" t="inlineStr">
        <is>
          <t>SD</t>
        </is>
      </c>
      <c r="E756" s="16">
        <f>'02 价格(主口径)'!D123</f>
        <v/>
      </c>
      <c r="F756" s="16">
        <f>'02 价格(主口径)'!B123</f>
        <v/>
      </c>
      <c r="G756" s="17">
        <f>IF(OR(E756="",F756=""),"",E756-F756)</f>
        <v/>
      </c>
      <c r="H756" s="14" t="inlineStr"/>
    </row>
    <row r="757">
      <c r="A757" s="7">
        <f>'02 价格(主口径)'!A124</f>
        <v/>
      </c>
      <c r="C757" s="8" t="inlineStr">
        <is>
          <t>JS</t>
        </is>
      </c>
      <c r="D757" s="8" t="inlineStr">
        <is>
          <t>SD</t>
        </is>
      </c>
      <c r="E757" s="16">
        <f>'02 价格(主口径)'!D124</f>
        <v/>
      </c>
      <c r="F757" s="16">
        <f>'02 价格(主口径)'!B124</f>
        <v/>
      </c>
      <c r="G757" s="17">
        <f>IF(OR(E757="",F757=""),"",E757-F757)</f>
        <v/>
      </c>
      <c r="H757" s="14" t="inlineStr"/>
    </row>
    <row r="758">
      <c r="A758" s="7">
        <f>'02 价格(主口径)'!A125</f>
        <v/>
      </c>
      <c r="C758" s="8" t="inlineStr">
        <is>
          <t>JS</t>
        </is>
      </c>
      <c r="D758" s="8" t="inlineStr">
        <is>
          <t>SD</t>
        </is>
      </c>
      <c r="E758" s="16">
        <f>'02 价格(主口径)'!D125</f>
        <v/>
      </c>
      <c r="F758" s="16">
        <f>'02 价格(主口径)'!B125</f>
        <v/>
      </c>
      <c r="G758" s="17">
        <f>IF(OR(E758="",F758=""),"",E758-F758)</f>
        <v/>
      </c>
      <c r="H758" s="14" t="inlineStr"/>
    </row>
    <row r="759">
      <c r="A759" s="7">
        <f>'02 价格(主口径)'!A126</f>
        <v/>
      </c>
      <c r="C759" s="8" t="inlineStr">
        <is>
          <t>JS</t>
        </is>
      </c>
      <c r="D759" s="8" t="inlineStr">
        <is>
          <t>SD</t>
        </is>
      </c>
      <c r="E759" s="16">
        <f>'02 价格(主口径)'!D126</f>
        <v/>
      </c>
      <c r="F759" s="16">
        <f>'02 价格(主口径)'!B126</f>
        <v/>
      </c>
      <c r="G759" s="17">
        <f>IF(OR(E759="",F759=""),"",E759-F759)</f>
        <v/>
      </c>
      <c r="H759" s="14" t="inlineStr"/>
    </row>
    <row r="760">
      <c r="A760" s="7">
        <f>'02 价格(主口径)'!A127</f>
        <v/>
      </c>
      <c r="C760" s="8" t="inlineStr">
        <is>
          <t>JS</t>
        </is>
      </c>
      <c r="D760" s="8" t="inlineStr">
        <is>
          <t>SD</t>
        </is>
      </c>
      <c r="E760" s="16">
        <f>'02 价格(主口径)'!D127</f>
        <v/>
      </c>
      <c r="F760" s="16">
        <f>'02 价格(主口径)'!B127</f>
        <v/>
      </c>
      <c r="G760" s="17">
        <f>IF(OR(E760="",F760=""),"",E760-F760)</f>
        <v/>
      </c>
      <c r="H760" s="14" t="inlineStr"/>
    </row>
    <row r="761">
      <c r="A761" s="7">
        <f>'02 价格(主口径)'!A128</f>
        <v/>
      </c>
      <c r="C761" s="8" t="inlineStr">
        <is>
          <t>JS</t>
        </is>
      </c>
      <c r="D761" s="8" t="inlineStr">
        <is>
          <t>SD</t>
        </is>
      </c>
      <c r="E761" s="16">
        <f>'02 价格(主口径)'!D128</f>
        <v/>
      </c>
      <c r="F761" s="16">
        <f>'02 价格(主口径)'!B128</f>
        <v/>
      </c>
      <c r="G761" s="17">
        <f>IF(OR(E761="",F761=""),"",E761-F761)</f>
        <v/>
      </c>
      <c r="H761" s="14" t="inlineStr"/>
    </row>
    <row r="762">
      <c r="A762" s="7">
        <f>'02 价格(主口径)'!A129</f>
        <v/>
      </c>
      <c r="C762" s="8" t="inlineStr">
        <is>
          <t>JS</t>
        </is>
      </c>
      <c r="D762" s="8" t="inlineStr">
        <is>
          <t>SD</t>
        </is>
      </c>
      <c r="E762" s="16">
        <f>'02 价格(主口径)'!D129</f>
        <v/>
      </c>
      <c r="F762" s="16">
        <f>'02 价格(主口径)'!B129</f>
        <v/>
      </c>
      <c r="G762" s="17">
        <f>IF(OR(E762="",F762=""),"",E762-F762)</f>
        <v/>
      </c>
      <c r="H762" s="14" t="inlineStr"/>
    </row>
    <row r="763">
      <c r="A763" s="7">
        <f>'02 价格(主口径)'!A130</f>
        <v/>
      </c>
      <c r="C763" s="8" t="inlineStr">
        <is>
          <t>JS</t>
        </is>
      </c>
      <c r="D763" s="8" t="inlineStr">
        <is>
          <t>SD</t>
        </is>
      </c>
      <c r="E763" s="16">
        <f>'02 价格(主口径)'!D130</f>
        <v/>
      </c>
      <c r="F763" s="16">
        <f>'02 价格(主口径)'!B130</f>
        <v/>
      </c>
      <c r="G763" s="17">
        <f>IF(OR(E763="",F763=""),"",E763-F763)</f>
        <v/>
      </c>
      <c r="H763" s="14" t="inlineStr"/>
    </row>
    <row r="764">
      <c r="A764" s="7">
        <f>'02 价格(主口径)'!A131</f>
        <v/>
      </c>
      <c r="C764" s="8" t="inlineStr">
        <is>
          <t>JS</t>
        </is>
      </c>
      <c r="D764" s="8" t="inlineStr">
        <is>
          <t>SD</t>
        </is>
      </c>
      <c r="E764" s="16">
        <f>'02 价格(主口径)'!D131</f>
        <v/>
      </c>
      <c r="F764" s="16">
        <f>'02 价格(主口径)'!B131</f>
        <v/>
      </c>
      <c r="G764" s="17">
        <f>IF(OR(E764="",F764=""),"",E764-F764)</f>
        <v/>
      </c>
      <c r="H764" s="14" t="inlineStr"/>
    </row>
    <row r="765">
      <c r="A765" s="7">
        <f>'02 价格(主口径)'!A132</f>
        <v/>
      </c>
      <c r="C765" s="8" t="inlineStr">
        <is>
          <t>JS</t>
        </is>
      </c>
      <c r="D765" s="8" t="inlineStr">
        <is>
          <t>SD</t>
        </is>
      </c>
      <c r="E765" s="16">
        <f>'02 价格(主口径)'!D132</f>
        <v/>
      </c>
      <c r="F765" s="16">
        <f>'02 价格(主口径)'!B132</f>
        <v/>
      </c>
      <c r="G765" s="17">
        <f>IF(OR(E765="",F765=""),"",E765-F765)</f>
        <v/>
      </c>
      <c r="H765" s="14" t="inlineStr"/>
    </row>
    <row r="766">
      <c r="A766" s="7">
        <f>'02 价格(主口径)'!A133</f>
        <v/>
      </c>
      <c r="C766" s="8" t="inlineStr">
        <is>
          <t>JS</t>
        </is>
      </c>
      <c r="D766" s="8" t="inlineStr">
        <is>
          <t>SD</t>
        </is>
      </c>
      <c r="E766" s="16">
        <f>'02 价格(主口径)'!D133</f>
        <v/>
      </c>
      <c r="F766" s="16">
        <f>'02 价格(主口径)'!B133</f>
        <v/>
      </c>
      <c r="G766" s="17">
        <f>IF(OR(E766="",F766=""),"",E766-F766)</f>
        <v/>
      </c>
      <c r="H766" s="14" t="inlineStr"/>
    </row>
    <row r="767">
      <c r="A767" s="7">
        <f>'02 价格(主口径)'!A134</f>
        <v/>
      </c>
      <c r="C767" s="8" t="inlineStr">
        <is>
          <t>JS</t>
        </is>
      </c>
      <c r="D767" s="8" t="inlineStr">
        <is>
          <t>SD</t>
        </is>
      </c>
      <c r="E767" s="16">
        <f>'02 价格(主口径)'!D134</f>
        <v/>
      </c>
      <c r="F767" s="16">
        <f>'02 价格(主口径)'!B134</f>
        <v/>
      </c>
      <c r="G767" s="17">
        <f>IF(OR(E767="",F767=""),"",E767-F767)</f>
        <v/>
      </c>
      <c r="H767" s="14" t="inlineStr"/>
    </row>
    <row r="768">
      <c r="A768" s="7">
        <f>'02 价格(主口径)'!A135</f>
        <v/>
      </c>
      <c r="C768" s="8" t="inlineStr">
        <is>
          <t>JS</t>
        </is>
      </c>
      <c r="D768" s="8" t="inlineStr">
        <is>
          <t>SD</t>
        </is>
      </c>
      <c r="E768" s="16">
        <f>'02 价格(主口径)'!D135</f>
        <v/>
      </c>
      <c r="F768" s="16">
        <f>'02 价格(主口径)'!B135</f>
        <v/>
      </c>
      <c r="G768" s="17">
        <f>IF(OR(E768="",F768=""),"",E768-F768)</f>
        <v/>
      </c>
      <c r="H768" s="14" t="inlineStr"/>
    </row>
    <row r="769">
      <c r="A769" s="7">
        <f>'02 价格(主口径)'!A136</f>
        <v/>
      </c>
      <c r="C769" s="8" t="inlineStr">
        <is>
          <t>JS</t>
        </is>
      </c>
      <c r="D769" s="8" t="inlineStr">
        <is>
          <t>SD</t>
        </is>
      </c>
      <c r="E769" s="16">
        <f>'02 价格(主口径)'!D136</f>
        <v/>
      </c>
      <c r="F769" s="16">
        <f>'02 价格(主口径)'!B136</f>
        <v/>
      </c>
      <c r="G769" s="17">
        <f>IF(OR(E769="",F769=""),"",E769-F769)</f>
        <v/>
      </c>
      <c r="H769" s="14" t="inlineStr"/>
    </row>
    <row r="770">
      <c r="A770" s="7">
        <f>'02 价格(主口径)'!A137</f>
        <v/>
      </c>
      <c r="C770" s="8" t="inlineStr">
        <is>
          <t>JS</t>
        </is>
      </c>
      <c r="D770" s="8" t="inlineStr">
        <is>
          <t>SD</t>
        </is>
      </c>
      <c r="E770" s="16">
        <f>'02 价格(主口径)'!D137</f>
        <v/>
      </c>
      <c r="F770" s="16">
        <f>'02 价格(主口径)'!B137</f>
        <v/>
      </c>
      <c r="G770" s="17">
        <f>IF(OR(E770="",F770=""),"",E770-F770)</f>
        <v/>
      </c>
      <c r="H770" s="14" t="inlineStr"/>
    </row>
    <row r="771">
      <c r="A771" s="7">
        <f>'02 价格(主口径)'!A138</f>
        <v/>
      </c>
      <c r="C771" s="8" t="inlineStr">
        <is>
          <t>JS</t>
        </is>
      </c>
      <c r="D771" s="8" t="inlineStr">
        <is>
          <t>SD</t>
        </is>
      </c>
      <c r="E771" s="16">
        <f>'02 价格(主口径)'!D138</f>
        <v/>
      </c>
      <c r="F771" s="16">
        <f>'02 价格(主口径)'!B138</f>
        <v/>
      </c>
      <c r="G771" s="17">
        <f>IF(OR(E771="",F771=""),"",E771-F771)</f>
        <v/>
      </c>
      <c r="H771" s="14" t="inlineStr"/>
    </row>
    <row r="772">
      <c r="A772" s="7">
        <f>'02 价格(主口径)'!A139</f>
        <v/>
      </c>
      <c r="C772" s="8" t="inlineStr">
        <is>
          <t>JS</t>
        </is>
      </c>
      <c r="D772" s="8" t="inlineStr">
        <is>
          <t>SD</t>
        </is>
      </c>
      <c r="E772" s="16">
        <f>'02 价格(主口径)'!D139</f>
        <v/>
      </c>
      <c r="F772" s="16">
        <f>'02 价格(主口径)'!B139</f>
        <v/>
      </c>
      <c r="G772" s="17">
        <f>IF(OR(E772="",F772=""),"",E772-F772)</f>
        <v/>
      </c>
      <c r="H772" s="14" t="inlineStr"/>
    </row>
    <row r="773">
      <c r="A773" s="7">
        <f>'02 价格(主口径)'!A140</f>
        <v/>
      </c>
      <c r="C773" s="8" t="inlineStr">
        <is>
          <t>JS</t>
        </is>
      </c>
      <c r="D773" s="8" t="inlineStr">
        <is>
          <t>SD</t>
        </is>
      </c>
      <c r="E773" s="16">
        <f>'02 价格(主口径)'!D140</f>
        <v/>
      </c>
      <c r="F773" s="16">
        <f>'02 价格(主口径)'!B140</f>
        <v/>
      </c>
      <c r="G773" s="17">
        <f>IF(OR(E773="",F773=""),"",E773-F773)</f>
        <v/>
      </c>
      <c r="H773" s="14" t="inlineStr"/>
    </row>
    <row r="774">
      <c r="A774" s="7">
        <f>'02 价格(主口径)'!A141</f>
        <v/>
      </c>
      <c r="C774" s="8" t="inlineStr">
        <is>
          <t>JS</t>
        </is>
      </c>
      <c r="D774" s="8" t="inlineStr">
        <is>
          <t>SD</t>
        </is>
      </c>
      <c r="E774" s="16">
        <f>'02 价格(主口径)'!D141</f>
        <v/>
      </c>
      <c r="F774" s="16">
        <f>'02 价格(主口径)'!B141</f>
        <v/>
      </c>
      <c r="G774" s="17">
        <f>IF(OR(E774="",F774=""),"",E774-F774)</f>
        <v/>
      </c>
      <c r="H774" s="14" t="inlineStr"/>
    </row>
    <row r="775">
      <c r="A775" s="7">
        <f>'02 价格(主口径)'!A142</f>
        <v/>
      </c>
      <c r="C775" s="8" t="inlineStr">
        <is>
          <t>JS</t>
        </is>
      </c>
      <c r="D775" s="8" t="inlineStr">
        <is>
          <t>SD</t>
        </is>
      </c>
      <c r="E775" s="16">
        <f>'02 价格(主口径)'!D142</f>
        <v/>
      </c>
      <c r="F775" s="16">
        <f>'02 价格(主口径)'!B142</f>
        <v/>
      </c>
      <c r="G775" s="17">
        <f>IF(OR(E775="",F775=""),"",E775-F775)</f>
        <v/>
      </c>
      <c r="H775" s="14" t="inlineStr"/>
    </row>
    <row r="776">
      <c r="A776" s="7">
        <f>'02 价格(主口径)'!A143</f>
        <v/>
      </c>
      <c r="C776" s="8" t="inlineStr">
        <is>
          <t>JS</t>
        </is>
      </c>
      <c r="D776" s="8" t="inlineStr">
        <is>
          <t>SD</t>
        </is>
      </c>
      <c r="E776" s="16">
        <f>'02 价格(主口径)'!D143</f>
        <v/>
      </c>
      <c r="F776" s="16">
        <f>'02 价格(主口径)'!B143</f>
        <v/>
      </c>
      <c r="G776" s="17">
        <f>IF(OR(E776="",F776=""),"",E776-F776)</f>
        <v/>
      </c>
      <c r="H776" s="14" t="inlineStr"/>
    </row>
    <row r="777">
      <c r="A777" s="7">
        <f>'02 价格(主口径)'!A144</f>
        <v/>
      </c>
      <c r="C777" s="8" t="inlineStr">
        <is>
          <t>JS</t>
        </is>
      </c>
      <c r="D777" s="8" t="inlineStr">
        <is>
          <t>SD</t>
        </is>
      </c>
      <c r="E777" s="16">
        <f>'02 价格(主口径)'!D144</f>
        <v/>
      </c>
      <c r="F777" s="16">
        <f>'02 价格(主口径)'!B144</f>
        <v/>
      </c>
      <c r="G777" s="17">
        <f>IF(OR(E777="",F777=""),"",E777-F777)</f>
        <v/>
      </c>
      <c r="H777" s="14" t="inlineStr"/>
    </row>
    <row r="778">
      <c r="A778" s="7">
        <f>'02 价格(主口径)'!A145</f>
        <v/>
      </c>
      <c r="C778" s="8" t="inlineStr">
        <is>
          <t>JS</t>
        </is>
      </c>
      <c r="D778" s="8" t="inlineStr">
        <is>
          <t>SD</t>
        </is>
      </c>
      <c r="E778" s="16">
        <f>'02 价格(主口径)'!D145</f>
        <v/>
      </c>
      <c r="F778" s="16">
        <f>'02 价格(主口径)'!B145</f>
        <v/>
      </c>
      <c r="G778" s="17">
        <f>IF(OR(E778="",F778=""),"",E778-F778)</f>
        <v/>
      </c>
      <c r="H778" s="14" t="inlineStr"/>
    </row>
    <row r="779">
      <c r="A779" s="7">
        <f>'02 价格(主口径)'!A146</f>
        <v/>
      </c>
      <c r="C779" s="8" t="inlineStr">
        <is>
          <t>JS</t>
        </is>
      </c>
      <c r="D779" s="8" t="inlineStr">
        <is>
          <t>SD</t>
        </is>
      </c>
      <c r="E779" s="16">
        <f>'02 价格(主口径)'!D146</f>
        <v/>
      </c>
      <c r="F779" s="16">
        <f>'02 价格(主口径)'!B146</f>
        <v/>
      </c>
      <c r="G779" s="17">
        <f>IF(OR(E779="",F779=""),"",E779-F779)</f>
        <v/>
      </c>
      <c r="H779" s="14" t="inlineStr"/>
    </row>
    <row r="780">
      <c r="A780" s="7">
        <f>'02 价格(主口径)'!A147</f>
        <v/>
      </c>
      <c r="C780" s="8" t="inlineStr">
        <is>
          <t>JS</t>
        </is>
      </c>
      <c r="D780" s="8" t="inlineStr">
        <is>
          <t>SD</t>
        </is>
      </c>
      <c r="E780" s="16">
        <f>'02 价格(主口径)'!D147</f>
        <v/>
      </c>
      <c r="F780" s="16">
        <f>'02 价格(主口径)'!B147</f>
        <v/>
      </c>
      <c r="G780" s="17">
        <f>IF(OR(E780="",F780=""),"",E780-F780)</f>
        <v/>
      </c>
      <c r="H780" s="14" t="inlineStr"/>
    </row>
    <row r="781">
      <c r="A781" s="7">
        <f>'02 价格(主口径)'!A148</f>
        <v/>
      </c>
      <c r="C781" s="8" t="inlineStr">
        <is>
          <t>JS</t>
        </is>
      </c>
      <c r="D781" s="8" t="inlineStr">
        <is>
          <t>SD</t>
        </is>
      </c>
      <c r="E781" s="16">
        <f>'02 价格(主口径)'!D148</f>
        <v/>
      </c>
      <c r="F781" s="16">
        <f>'02 价格(主口径)'!B148</f>
        <v/>
      </c>
      <c r="G781" s="17">
        <f>IF(OR(E781="",F781=""),"",E781-F781)</f>
        <v/>
      </c>
      <c r="H781" s="14" t="inlineStr"/>
    </row>
    <row r="782">
      <c r="A782" s="7">
        <f>'02 价格(主口径)'!A149</f>
        <v/>
      </c>
      <c r="C782" s="8" t="inlineStr">
        <is>
          <t>JS</t>
        </is>
      </c>
      <c r="D782" s="8" t="inlineStr">
        <is>
          <t>SD</t>
        </is>
      </c>
      <c r="E782" s="16">
        <f>'02 价格(主口径)'!D149</f>
        <v/>
      </c>
      <c r="F782" s="16">
        <f>'02 价格(主口径)'!B149</f>
        <v/>
      </c>
      <c r="G782" s="17">
        <f>IF(OR(E782="",F782=""),"",E782-F782)</f>
        <v/>
      </c>
      <c r="H782" s="14" t="inlineStr"/>
    </row>
    <row r="783">
      <c r="A783" s="7">
        <f>'02 价格(主口径)'!A150</f>
        <v/>
      </c>
      <c r="C783" s="8" t="inlineStr">
        <is>
          <t>JS</t>
        </is>
      </c>
      <c r="D783" s="8" t="inlineStr">
        <is>
          <t>SD</t>
        </is>
      </c>
      <c r="E783" s="16">
        <f>'02 价格(主口径)'!D150</f>
        <v/>
      </c>
      <c r="F783" s="16">
        <f>'02 价格(主口径)'!B150</f>
        <v/>
      </c>
      <c r="G783" s="17">
        <f>IF(OR(E783="",F783=""),"",E783-F783)</f>
        <v/>
      </c>
      <c r="H783" s="14" t="inlineStr"/>
    </row>
    <row r="784">
      <c r="A784" s="7">
        <f>'02 价格(主口径)'!A151</f>
        <v/>
      </c>
      <c r="C784" s="8" t="inlineStr">
        <is>
          <t>JS</t>
        </is>
      </c>
      <c r="D784" s="8" t="inlineStr">
        <is>
          <t>SD</t>
        </is>
      </c>
      <c r="E784" s="16">
        <f>'02 价格(主口径)'!D151</f>
        <v/>
      </c>
      <c r="F784" s="16">
        <f>'02 价格(主口径)'!B151</f>
        <v/>
      </c>
      <c r="G784" s="17">
        <f>IF(OR(E784="",F784=""),"",E784-F784)</f>
        <v/>
      </c>
      <c r="H784" s="14" t="inlineStr"/>
    </row>
    <row r="785">
      <c r="A785" s="7">
        <f>'02 价格(主口径)'!A152</f>
        <v/>
      </c>
      <c r="C785" s="8" t="inlineStr">
        <is>
          <t>JS</t>
        </is>
      </c>
      <c r="D785" s="8" t="inlineStr">
        <is>
          <t>SD</t>
        </is>
      </c>
      <c r="E785" s="16">
        <f>'02 价格(主口径)'!D152</f>
        <v/>
      </c>
      <c r="F785" s="16">
        <f>'02 价格(主口径)'!B152</f>
        <v/>
      </c>
      <c r="G785" s="17">
        <f>IF(OR(E785="",F785=""),"",E785-F785)</f>
        <v/>
      </c>
      <c r="H785" s="14" t="inlineStr"/>
    </row>
    <row r="786">
      <c r="A786" s="7">
        <f>'02 价格(主口径)'!A153</f>
        <v/>
      </c>
      <c r="C786" s="8" t="inlineStr">
        <is>
          <t>JS</t>
        </is>
      </c>
      <c r="D786" s="8" t="inlineStr">
        <is>
          <t>SD</t>
        </is>
      </c>
      <c r="E786" s="16">
        <f>'02 价格(主口径)'!D153</f>
        <v/>
      </c>
      <c r="F786" s="16">
        <f>'02 价格(主口径)'!B153</f>
        <v/>
      </c>
      <c r="G786" s="17">
        <f>IF(OR(E786="",F786=""),"",E786-F786)</f>
        <v/>
      </c>
      <c r="H786" s="14" t="inlineStr"/>
    </row>
    <row r="787">
      <c r="A787" s="7">
        <f>'02 价格(主口径)'!A154</f>
        <v/>
      </c>
      <c r="C787" s="8" t="inlineStr">
        <is>
          <t>JS</t>
        </is>
      </c>
      <c r="D787" s="8" t="inlineStr">
        <is>
          <t>SD</t>
        </is>
      </c>
      <c r="E787" s="16">
        <f>'02 价格(主口径)'!D154</f>
        <v/>
      </c>
      <c r="F787" s="16">
        <f>'02 价格(主口径)'!B154</f>
        <v/>
      </c>
      <c r="G787" s="17">
        <f>IF(OR(E787="",F787=""),"",E787-F787)</f>
        <v/>
      </c>
      <c r="H787" s="14" t="inlineStr"/>
    </row>
    <row r="788">
      <c r="A788" s="7">
        <f>'02 价格(主口径)'!A155</f>
        <v/>
      </c>
      <c r="C788" s="8" t="inlineStr">
        <is>
          <t>JS</t>
        </is>
      </c>
      <c r="D788" s="8" t="inlineStr">
        <is>
          <t>SD</t>
        </is>
      </c>
      <c r="E788" s="16">
        <f>'02 价格(主口径)'!D155</f>
        <v/>
      </c>
      <c r="F788" s="16">
        <f>'02 价格(主口径)'!B155</f>
        <v/>
      </c>
      <c r="G788" s="17">
        <f>IF(OR(E788="",F788=""),"",E788-F788)</f>
        <v/>
      </c>
      <c r="H788" s="14" t="inlineStr"/>
    </row>
    <row r="789">
      <c r="A789" s="7">
        <f>'02 价格(主口径)'!A156</f>
        <v/>
      </c>
      <c r="C789" s="8" t="inlineStr">
        <is>
          <t>JS</t>
        </is>
      </c>
      <c r="D789" s="8" t="inlineStr">
        <is>
          <t>SD</t>
        </is>
      </c>
      <c r="E789" s="16">
        <f>'02 价格(主口径)'!D156</f>
        <v/>
      </c>
      <c r="F789" s="16">
        <f>'02 价格(主口径)'!B156</f>
        <v/>
      </c>
      <c r="G789" s="17">
        <f>IF(OR(E789="",F789=""),"",E789-F789)</f>
        <v/>
      </c>
      <c r="H789" s="14" t="inlineStr"/>
    </row>
    <row r="790">
      <c r="A790" s="18" t="inlineStr">
        <is>
          <t>统计</t>
        </is>
      </c>
      <c r="B790" s="19" t="inlineStr">
        <is>
          <t>N（有效配对）</t>
        </is>
      </c>
      <c r="E790" s="20">
        <f>COUNT(G638:G789)</f>
        <v/>
      </c>
      <c r="F790" s="18" t="inlineStr">
        <is>
          <t>均值</t>
        </is>
      </c>
      <c r="G790" s="21">
        <f>IFERROR(AVERAGE(G638:G789),"")</f>
        <v/>
      </c>
      <c r="H790" s="22" t="inlineStr">
        <is>
          <t>价差方向：正值=江苏更贵</t>
        </is>
      </c>
    </row>
    <row r="791">
      <c r="A791" s="23" t="inlineStr">
        <is>
          <t>校验</t>
        </is>
      </c>
      <c r="B791" s="23" t="inlineStr">
        <is>
          <t>标准差</t>
        </is>
      </c>
      <c r="C791" s="24">
        <f>IFERROR(STDEV(G638:G789),"")</f>
        <v/>
      </c>
      <c r="D791" s="23" t="inlineStr">
        <is>
          <t>最小</t>
        </is>
      </c>
      <c r="E791" s="25">
        <f>IFERROR(MIN(G638:G789),"")</f>
        <v/>
      </c>
      <c r="F791" s="23" t="inlineStr">
        <is>
          <t>最大</t>
        </is>
      </c>
      <c r="G791" s="25">
        <f>IFERROR(MAX(G638:G789),"")</f>
        <v/>
      </c>
    </row>
    <row r="794">
      <c r="A794" s="5" t="inlineStr">
        <is>
          <t>江苏 − 河北</t>
        </is>
      </c>
    </row>
    <row r="795" ht="30" customHeight="1">
      <c r="A795" s="6" t="inlineStr">
        <is>
          <t>日期</t>
        </is>
      </c>
      <c r="B795" s="6" t="inlineStr">
        <is>
          <t>价差(甲−乙)</t>
        </is>
      </c>
      <c r="C795" s="6" t="inlineStr">
        <is>
          <t>甲</t>
        </is>
      </c>
      <c r="D795" s="6" t="inlineStr">
        <is>
          <t>乙</t>
        </is>
      </c>
      <c r="E795" s="6" t="inlineStr">
        <is>
          <t>甲价</t>
        </is>
      </c>
      <c r="F795" s="6" t="inlineStr">
        <is>
          <t>乙价</t>
        </is>
      </c>
      <c r="G795" s="6" t="inlineStr">
        <is>
          <t>价差</t>
        </is>
      </c>
      <c r="H795" s="6" t="inlineStr">
        <is>
          <t>方向说明</t>
        </is>
      </c>
    </row>
    <row r="796">
      <c r="A796" s="7">
        <f>'02 价格(主口径)'!A5</f>
        <v/>
      </c>
      <c r="C796" s="8" t="inlineStr">
        <is>
          <t>JS</t>
        </is>
      </c>
      <c r="D796" s="8" t="inlineStr">
        <is>
          <t>HB</t>
        </is>
      </c>
      <c r="E796" s="16">
        <f>'02 价格(主口径)'!D5</f>
        <v/>
      </c>
      <c r="F796" s="16">
        <f>'02 价格(主口径)'!C5</f>
        <v/>
      </c>
      <c r="G796" s="17">
        <f>IF(OR(E796="",F796=""),"",E796-F796)</f>
        <v/>
      </c>
      <c r="H796" s="14" t="inlineStr"/>
    </row>
    <row r="797">
      <c r="A797" s="7">
        <f>'02 价格(主口径)'!A6</f>
        <v/>
      </c>
      <c r="C797" s="8" t="inlineStr">
        <is>
          <t>JS</t>
        </is>
      </c>
      <c r="D797" s="8" t="inlineStr">
        <is>
          <t>HB</t>
        </is>
      </c>
      <c r="E797" s="16">
        <f>'02 价格(主口径)'!D6</f>
        <v/>
      </c>
      <c r="F797" s="16">
        <f>'02 价格(主口径)'!C6</f>
        <v/>
      </c>
      <c r="G797" s="17">
        <f>IF(OR(E797="",F797=""),"",E797-F797)</f>
        <v/>
      </c>
      <c r="H797" s="14" t="inlineStr"/>
    </row>
    <row r="798">
      <c r="A798" s="7">
        <f>'02 价格(主口径)'!A7</f>
        <v/>
      </c>
      <c r="C798" s="8" t="inlineStr">
        <is>
          <t>JS</t>
        </is>
      </c>
      <c r="D798" s="8" t="inlineStr">
        <is>
          <t>HB</t>
        </is>
      </c>
      <c r="E798" s="16">
        <f>'02 价格(主口径)'!D7</f>
        <v/>
      </c>
      <c r="F798" s="16">
        <f>'02 价格(主口径)'!C7</f>
        <v/>
      </c>
      <c r="G798" s="17">
        <f>IF(OR(E798="",F798=""),"",E798-F798)</f>
        <v/>
      </c>
      <c r="H798" s="14" t="inlineStr"/>
    </row>
    <row r="799">
      <c r="A799" s="7">
        <f>'02 价格(主口径)'!A8</f>
        <v/>
      </c>
      <c r="C799" s="8" t="inlineStr">
        <is>
          <t>JS</t>
        </is>
      </c>
      <c r="D799" s="8" t="inlineStr">
        <is>
          <t>HB</t>
        </is>
      </c>
      <c r="E799" s="16">
        <f>'02 价格(主口径)'!D8</f>
        <v/>
      </c>
      <c r="F799" s="16">
        <f>'02 价格(主口径)'!C8</f>
        <v/>
      </c>
      <c r="G799" s="17">
        <f>IF(OR(E799="",F799=""),"",E799-F799)</f>
        <v/>
      </c>
      <c r="H799" s="14" t="inlineStr"/>
    </row>
    <row r="800">
      <c r="A800" s="7">
        <f>'02 价格(主口径)'!A9</f>
        <v/>
      </c>
      <c r="C800" s="8" t="inlineStr">
        <is>
          <t>JS</t>
        </is>
      </c>
      <c r="D800" s="8" t="inlineStr">
        <is>
          <t>HB</t>
        </is>
      </c>
      <c r="E800" s="16">
        <f>'02 价格(主口径)'!D9</f>
        <v/>
      </c>
      <c r="F800" s="16">
        <f>'02 价格(主口径)'!C9</f>
        <v/>
      </c>
      <c r="G800" s="17">
        <f>IF(OR(E800="",F800=""),"",E800-F800)</f>
        <v/>
      </c>
      <c r="H800" s="14" t="inlineStr"/>
    </row>
    <row r="801">
      <c r="A801" s="7">
        <f>'02 价格(主口径)'!A10</f>
        <v/>
      </c>
      <c r="C801" s="8" t="inlineStr">
        <is>
          <t>JS</t>
        </is>
      </c>
      <c r="D801" s="8" t="inlineStr">
        <is>
          <t>HB</t>
        </is>
      </c>
      <c r="E801" s="16">
        <f>'02 价格(主口径)'!D10</f>
        <v/>
      </c>
      <c r="F801" s="16">
        <f>'02 价格(主口径)'!C10</f>
        <v/>
      </c>
      <c r="G801" s="17">
        <f>IF(OR(E801="",F801=""),"",E801-F801)</f>
        <v/>
      </c>
      <c r="H801" s="14" t="inlineStr"/>
    </row>
    <row r="802">
      <c r="A802" s="7">
        <f>'02 价格(主口径)'!A11</f>
        <v/>
      </c>
      <c r="C802" s="8" t="inlineStr">
        <is>
          <t>JS</t>
        </is>
      </c>
      <c r="D802" s="8" t="inlineStr">
        <is>
          <t>HB</t>
        </is>
      </c>
      <c r="E802" s="16">
        <f>'02 价格(主口径)'!D11</f>
        <v/>
      </c>
      <c r="F802" s="16">
        <f>'02 价格(主口径)'!C11</f>
        <v/>
      </c>
      <c r="G802" s="17">
        <f>IF(OR(E802="",F802=""),"",E802-F802)</f>
        <v/>
      </c>
      <c r="H802" s="14" t="inlineStr"/>
    </row>
    <row r="803">
      <c r="A803" s="7">
        <f>'02 价格(主口径)'!A12</f>
        <v/>
      </c>
      <c r="C803" s="8" t="inlineStr">
        <is>
          <t>JS</t>
        </is>
      </c>
      <c r="D803" s="8" t="inlineStr">
        <is>
          <t>HB</t>
        </is>
      </c>
      <c r="E803" s="16">
        <f>'02 价格(主口径)'!D12</f>
        <v/>
      </c>
      <c r="F803" s="16">
        <f>'02 价格(主口径)'!C12</f>
        <v/>
      </c>
      <c r="G803" s="17">
        <f>IF(OR(E803="",F803=""),"",E803-F803)</f>
        <v/>
      </c>
      <c r="H803" s="14" t="inlineStr"/>
    </row>
    <row r="804">
      <c r="A804" s="7">
        <f>'02 价格(主口径)'!A13</f>
        <v/>
      </c>
      <c r="C804" s="8" t="inlineStr">
        <is>
          <t>JS</t>
        </is>
      </c>
      <c r="D804" s="8" t="inlineStr">
        <is>
          <t>HB</t>
        </is>
      </c>
      <c r="E804" s="16">
        <f>'02 价格(主口径)'!D13</f>
        <v/>
      </c>
      <c r="F804" s="16">
        <f>'02 价格(主口径)'!C13</f>
        <v/>
      </c>
      <c r="G804" s="17">
        <f>IF(OR(E804="",F804=""),"",E804-F804)</f>
        <v/>
      </c>
      <c r="H804" s="14" t="inlineStr"/>
    </row>
    <row r="805">
      <c r="A805" s="7">
        <f>'02 价格(主口径)'!A14</f>
        <v/>
      </c>
      <c r="C805" s="8" t="inlineStr">
        <is>
          <t>JS</t>
        </is>
      </c>
      <c r="D805" s="8" t="inlineStr">
        <is>
          <t>HB</t>
        </is>
      </c>
      <c r="E805" s="16">
        <f>'02 价格(主口径)'!D14</f>
        <v/>
      </c>
      <c r="F805" s="16">
        <f>'02 价格(主口径)'!C14</f>
        <v/>
      </c>
      <c r="G805" s="17">
        <f>IF(OR(E805="",F805=""),"",E805-F805)</f>
        <v/>
      </c>
      <c r="H805" s="14" t="inlineStr"/>
    </row>
    <row r="806">
      <c r="A806" s="7">
        <f>'02 价格(主口径)'!A15</f>
        <v/>
      </c>
      <c r="C806" s="8" t="inlineStr">
        <is>
          <t>JS</t>
        </is>
      </c>
      <c r="D806" s="8" t="inlineStr">
        <is>
          <t>HB</t>
        </is>
      </c>
      <c r="E806" s="16">
        <f>'02 价格(主口径)'!D15</f>
        <v/>
      </c>
      <c r="F806" s="16">
        <f>'02 价格(主口径)'!C15</f>
        <v/>
      </c>
      <c r="G806" s="17">
        <f>IF(OR(E806="",F806=""),"",E806-F806)</f>
        <v/>
      </c>
      <c r="H806" s="14" t="inlineStr"/>
    </row>
    <row r="807">
      <c r="A807" s="7">
        <f>'02 价格(主口径)'!A16</f>
        <v/>
      </c>
      <c r="C807" s="8" t="inlineStr">
        <is>
          <t>JS</t>
        </is>
      </c>
      <c r="D807" s="8" t="inlineStr">
        <is>
          <t>HB</t>
        </is>
      </c>
      <c r="E807" s="16">
        <f>'02 价格(主口径)'!D16</f>
        <v/>
      </c>
      <c r="F807" s="16">
        <f>'02 价格(主口径)'!C16</f>
        <v/>
      </c>
      <c r="G807" s="17">
        <f>IF(OR(E807="",F807=""),"",E807-F807)</f>
        <v/>
      </c>
      <c r="H807" s="14" t="inlineStr"/>
    </row>
    <row r="808">
      <c r="A808" s="7">
        <f>'02 价格(主口径)'!A17</f>
        <v/>
      </c>
      <c r="C808" s="8" t="inlineStr">
        <is>
          <t>JS</t>
        </is>
      </c>
      <c r="D808" s="8" t="inlineStr">
        <is>
          <t>HB</t>
        </is>
      </c>
      <c r="E808" s="16">
        <f>'02 价格(主口径)'!D17</f>
        <v/>
      </c>
      <c r="F808" s="16">
        <f>'02 价格(主口径)'!C17</f>
        <v/>
      </c>
      <c r="G808" s="17">
        <f>IF(OR(E808="",F808=""),"",E808-F808)</f>
        <v/>
      </c>
      <c r="H808" s="14" t="inlineStr"/>
    </row>
    <row r="809">
      <c r="A809" s="7">
        <f>'02 价格(主口径)'!A18</f>
        <v/>
      </c>
      <c r="C809" s="8" t="inlineStr">
        <is>
          <t>JS</t>
        </is>
      </c>
      <c r="D809" s="8" t="inlineStr">
        <is>
          <t>HB</t>
        </is>
      </c>
      <c r="E809" s="16">
        <f>'02 价格(主口径)'!D18</f>
        <v/>
      </c>
      <c r="F809" s="16">
        <f>'02 价格(主口径)'!C18</f>
        <v/>
      </c>
      <c r="G809" s="17">
        <f>IF(OR(E809="",F809=""),"",E809-F809)</f>
        <v/>
      </c>
      <c r="H809" s="14" t="inlineStr"/>
    </row>
    <row r="810">
      <c r="A810" s="7">
        <f>'02 价格(主口径)'!A19</f>
        <v/>
      </c>
      <c r="C810" s="8" t="inlineStr">
        <is>
          <t>JS</t>
        </is>
      </c>
      <c r="D810" s="8" t="inlineStr">
        <is>
          <t>HB</t>
        </is>
      </c>
      <c r="E810" s="16">
        <f>'02 价格(主口径)'!D19</f>
        <v/>
      </c>
      <c r="F810" s="16">
        <f>'02 价格(主口径)'!C19</f>
        <v/>
      </c>
      <c r="G810" s="17">
        <f>IF(OR(E810="",F810=""),"",E810-F810)</f>
        <v/>
      </c>
      <c r="H810" s="14" t="inlineStr"/>
    </row>
    <row r="811">
      <c r="A811" s="7">
        <f>'02 价格(主口径)'!A20</f>
        <v/>
      </c>
      <c r="C811" s="8" t="inlineStr">
        <is>
          <t>JS</t>
        </is>
      </c>
      <c r="D811" s="8" t="inlineStr">
        <is>
          <t>HB</t>
        </is>
      </c>
      <c r="E811" s="16">
        <f>'02 价格(主口径)'!D20</f>
        <v/>
      </c>
      <c r="F811" s="16">
        <f>'02 价格(主口径)'!C20</f>
        <v/>
      </c>
      <c r="G811" s="17">
        <f>IF(OR(E811="",F811=""),"",E811-F811)</f>
        <v/>
      </c>
      <c r="H811" s="14" t="inlineStr"/>
    </row>
    <row r="812">
      <c r="A812" s="7">
        <f>'02 价格(主口径)'!A21</f>
        <v/>
      </c>
      <c r="C812" s="8" t="inlineStr">
        <is>
          <t>JS</t>
        </is>
      </c>
      <c r="D812" s="8" t="inlineStr">
        <is>
          <t>HB</t>
        </is>
      </c>
      <c r="E812" s="16">
        <f>'02 价格(主口径)'!D21</f>
        <v/>
      </c>
      <c r="F812" s="16">
        <f>'02 价格(主口径)'!C21</f>
        <v/>
      </c>
      <c r="G812" s="17">
        <f>IF(OR(E812="",F812=""),"",E812-F812)</f>
        <v/>
      </c>
      <c r="H812" s="14" t="inlineStr"/>
    </row>
    <row r="813">
      <c r="A813" s="7">
        <f>'02 价格(主口径)'!A22</f>
        <v/>
      </c>
      <c r="C813" s="8" t="inlineStr">
        <is>
          <t>JS</t>
        </is>
      </c>
      <c r="D813" s="8" t="inlineStr">
        <is>
          <t>HB</t>
        </is>
      </c>
      <c r="E813" s="16">
        <f>'02 价格(主口径)'!D22</f>
        <v/>
      </c>
      <c r="F813" s="16">
        <f>'02 价格(主口径)'!C22</f>
        <v/>
      </c>
      <c r="G813" s="17">
        <f>IF(OR(E813="",F813=""),"",E813-F813)</f>
        <v/>
      </c>
      <c r="H813" s="14" t="inlineStr"/>
    </row>
    <row r="814">
      <c r="A814" s="7">
        <f>'02 价格(主口径)'!A23</f>
        <v/>
      </c>
      <c r="C814" s="8" t="inlineStr">
        <is>
          <t>JS</t>
        </is>
      </c>
      <c r="D814" s="8" t="inlineStr">
        <is>
          <t>HB</t>
        </is>
      </c>
      <c r="E814" s="16">
        <f>'02 价格(主口径)'!D23</f>
        <v/>
      </c>
      <c r="F814" s="16">
        <f>'02 价格(主口径)'!C23</f>
        <v/>
      </c>
      <c r="G814" s="17">
        <f>IF(OR(E814="",F814=""),"",E814-F814)</f>
        <v/>
      </c>
      <c r="H814" s="14" t="inlineStr"/>
    </row>
    <row r="815">
      <c r="A815" s="7">
        <f>'02 价格(主口径)'!A24</f>
        <v/>
      </c>
      <c r="C815" s="8" t="inlineStr">
        <is>
          <t>JS</t>
        </is>
      </c>
      <c r="D815" s="8" t="inlineStr">
        <is>
          <t>HB</t>
        </is>
      </c>
      <c r="E815" s="16">
        <f>'02 价格(主口径)'!D24</f>
        <v/>
      </c>
      <c r="F815" s="16">
        <f>'02 价格(主口径)'!C24</f>
        <v/>
      </c>
      <c r="G815" s="17">
        <f>IF(OR(E815="",F815=""),"",E815-F815)</f>
        <v/>
      </c>
      <c r="H815" s="14" t="inlineStr"/>
    </row>
    <row r="816">
      <c r="A816" s="7">
        <f>'02 价格(主口径)'!A25</f>
        <v/>
      </c>
      <c r="C816" s="8" t="inlineStr">
        <is>
          <t>JS</t>
        </is>
      </c>
      <c r="D816" s="8" t="inlineStr">
        <is>
          <t>HB</t>
        </is>
      </c>
      <c r="E816" s="16">
        <f>'02 价格(主口径)'!D25</f>
        <v/>
      </c>
      <c r="F816" s="16">
        <f>'02 价格(主口径)'!C25</f>
        <v/>
      </c>
      <c r="G816" s="17">
        <f>IF(OR(E816="",F816=""),"",E816-F816)</f>
        <v/>
      </c>
      <c r="H816" s="14" t="inlineStr"/>
    </row>
    <row r="817">
      <c r="A817" s="7">
        <f>'02 价格(主口径)'!A26</f>
        <v/>
      </c>
      <c r="C817" s="8" t="inlineStr">
        <is>
          <t>JS</t>
        </is>
      </c>
      <c r="D817" s="8" t="inlineStr">
        <is>
          <t>HB</t>
        </is>
      </c>
      <c r="E817" s="16">
        <f>'02 价格(主口径)'!D26</f>
        <v/>
      </c>
      <c r="F817" s="16">
        <f>'02 价格(主口径)'!C26</f>
        <v/>
      </c>
      <c r="G817" s="17">
        <f>IF(OR(E817="",F817=""),"",E817-F817)</f>
        <v/>
      </c>
      <c r="H817" s="14" t="inlineStr"/>
    </row>
    <row r="818">
      <c r="A818" s="7">
        <f>'02 价格(主口径)'!A27</f>
        <v/>
      </c>
      <c r="C818" s="8" t="inlineStr">
        <is>
          <t>JS</t>
        </is>
      </c>
      <c r="D818" s="8" t="inlineStr">
        <is>
          <t>HB</t>
        </is>
      </c>
      <c r="E818" s="16">
        <f>'02 价格(主口径)'!D27</f>
        <v/>
      </c>
      <c r="F818" s="16">
        <f>'02 价格(主口径)'!C27</f>
        <v/>
      </c>
      <c r="G818" s="17">
        <f>IF(OR(E818="",F818=""),"",E818-F818)</f>
        <v/>
      </c>
      <c r="H818" s="14" t="inlineStr"/>
    </row>
    <row r="819">
      <c r="A819" s="7">
        <f>'02 价格(主口径)'!A28</f>
        <v/>
      </c>
      <c r="C819" s="8" t="inlineStr">
        <is>
          <t>JS</t>
        </is>
      </c>
      <c r="D819" s="8" t="inlineStr">
        <is>
          <t>HB</t>
        </is>
      </c>
      <c r="E819" s="16">
        <f>'02 价格(主口径)'!D28</f>
        <v/>
      </c>
      <c r="F819" s="16">
        <f>'02 价格(主口径)'!C28</f>
        <v/>
      </c>
      <c r="G819" s="17">
        <f>IF(OR(E819="",F819=""),"",E819-F819)</f>
        <v/>
      </c>
      <c r="H819" s="14" t="inlineStr"/>
    </row>
    <row r="820">
      <c r="A820" s="7">
        <f>'02 价格(主口径)'!A29</f>
        <v/>
      </c>
      <c r="C820" s="8" t="inlineStr">
        <is>
          <t>JS</t>
        </is>
      </c>
      <c r="D820" s="8" t="inlineStr">
        <is>
          <t>HB</t>
        </is>
      </c>
      <c r="E820" s="16">
        <f>'02 价格(主口径)'!D29</f>
        <v/>
      </c>
      <c r="F820" s="16">
        <f>'02 价格(主口径)'!C29</f>
        <v/>
      </c>
      <c r="G820" s="17">
        <f>IF(OR(E820="",F820=""),"",E820-F820)</f>
        <v/>
      </c>
      <c r="H820" s="14" t="inlineStr"/>
    </row>
    <row r="821">
      <c r="A821" s="7">
        <f>'02 价格(主口径)'!A30</f>
        <v/>
      </c>
      <c r="C821" s="8" t="inlineStr">
        <is>
          <t>JS</t>
        </is>
      </c>
      <c r="D821" s="8" t="inlineStr">
        <is>
          <t>HB</t>
        </is>
      </c>
      <c r="E821" s="16">
        <f>'02 价格(主口径)'!D30</f>
        <v/>
      </c>
      <c r="F821" s="16">
        <f>'02 价格(主口径)'!C30</f>
        <v/>
      </c>
      <c r="G821" s="17">
        <f>IF(OR(E821="",F821=""),"",E821-F821)</f>
        <v/>
      </c>
      <c r="H821" s="14" t="inlineStr"/>
    </row>
    <row r="822">
      <c r="A822" s="7">
        <f>'02 价格(主口径)'!A31</f>
        <v/>
      </c>
      <c r="C822" s="8" t="inlineStr">
        <is>
          <t>JS</t>
        </is>
      </c>
      <c r="D822" s="8" t="inlineStr">
        <is>
          <t>HB</t>
        </is>
      </c>
      <c r="E822" s="16">
        <f>'02 价格(主口径)'!D31</f>
        <v/>
      </c>
      <c r="F822" s="16">
        <f>'02 价格(主口径)'!C31</f>
        <v/>
      </c>
      <c r="G822" s="17">
        <f>IF(OR(E822="",F822=""),"",E822-F822)</f>
        <v/>
      </c>
      <c r="H822" s="14" t="inlineStr"/>
    </row>
    <row r="823">
      <c r="A823" s="7">
        <f>'02 价格(主口径)'!A32</f>
        <v/>
      </c>
      <c r="C823" s="8" t="inlineStr">
        <is>
          <t>JS</t>
        </is>
      </c>
      <c r="D823" s="8" t="inlineStr">
        <is>
          <t>HB</t>
        </is>
      </c>
      <c r="E823" s="16">
        <f>'02 价格(主口径)'!D32</f>
        <v/>
      </c>
      <c r="F823" s="16">
        <f>'02 价格(主口径)'!C32</f>
        <v/>
      </c>
      <c r="G823" s="17">
        <f>IF(OR(E823="",F823=""),"",E823-F823)</f>
        <v/>
      </c>
      <c r="H823" s="14" t="inlineStr"/>
    </row>
    <row r="824">
      <c r="A824" s="7">
        <f>'02 价格(主口径)'!A33</f>
        <v/>
      </c>
      <c r="C824" s="8" t="inlineStr">
        <is>
          <t>JS</t>
        </is>
      </c>
      <c r="D824" s="8" t="inlineStr">
        <is>
          <t>HB</t>
        </is>
      </c>
      <c r="E824" s="16">
        <f>'02 价格(主口径)'!D33</f>
        <v/>
      </c>
      <c r="F824" s="16">
        <f>'02 价格(主口径)'!C33</f>
        <v/>
      </c>
      <c r="G824" s="17">
        <f>IF(OR(E824="",F824=""),"",E824-F824)</f>
        <v/>
      </c>
      <c r="H824" s="14" t="inlineStr"/>
    </row>
    <row r="825">
      <c r="A825" s="7">
        <f>'02 价格(主口径)'!A34</f>
        <v/>
      </c>
      <c r="C825" s="8" t="inlineStr">
        <is>
          <t>JS</t>
        </is>
      </c>
      <c r="D825" s="8" t="inlineStr">
        <is>
          <t>HB</t>
        </is>
      </c>
      <c r="E825" s="16">
        <f>'02 价格(主口径)'!D34</f>
        <v/>
      </c>
      <c r="F825" s="16">
        <f>'02 价格(主口径)'!C34</f>
        <v/>
      </c>
      <c r="G825" s="17">
        <f>IF(OR(E825="",F825=""),"",E825-F825)</f>
        <v/>
      </c>
      <c r="H825" s="14" t="inlineStr"/>
    </row>
    <row r="826">
      <c r="A826" s="7">
        <f>'02 价格(主口径)'!A35</f>
        <v/>
      </c>
      <c r="C826" s="8" t="inlineStr">
        <is>
          <t>JS</t>
        </is>
      </c>
      <c r="D826" s="8" t="inlineStr">
        <is>
          <t>HB</t>
        </is>
      </c>
      <c r="E826" s="16">
        <f>'02 价格(主口径)'!D35</f>
        <v/>
      </c>
      <c r="F826" s="16">
        <f>'02 价格(主口径)'!C35</f>
        <v/>
      </c>
      <c r="G826" s="17">
        <f>IF(OR(E826="",F826=""),"",E826-F826)</f>
        <v/>
      </c>
      <c r="H826" s="14" t="inlineStr"/>
    </row>
    <row r="827">
      <c r="A827" s="7">
        <f>'02 价格(主口径)'!A36</f>
        <v/>
      </c>
      <c r="C827" s="8" t="inlineStr">
        <is>
          <t>JS</t>
        </is>
      </c>
      <c r="D827" s="8" t="inlineStr">
        <is>
          <t>HB</t>
        </is>
      </c>
      <c r="E827" s="16">
        <f>'02 价格(主口径)'!D36</f>
        <v/>
      </c>
      <c r="F827" s="16">
        <f>'02 价格(主口径)'!C36</f>
        <v/>
      </c>
      <c r="G827" s="17">
        <f>IF(OR(E827="",F827=""),"",E827-F827)</f>
        <v/>
      </c>
      <c r="H827" s="14" t="inlineStr"/>
    </row>
    <row r="828">
      <c r="A828" s="7">
        <f>'02 价格(主口径)'!A37</f>
        <v/>
      </c>
      <c r="C828" s="8" t="inlineStr">
        <is>
          <t>JS</t>
        </is>
      </c>
      <c r="D828" s="8" t="inlineStr">
        <is>
          <t>HB</t>
        </is>
      </c>
      <c r="E828" s="16">
        <f>'02 价格(主口径)'!D37</f>
        <v/>
      </c>
      <c r="F828" s="16">
        <f>'02 价格(主口径)'!C37</f>
        <v/>
      </c>
      <c r="G828" s="17">
        <f>IF(OR(E828="",F828=""),"",E828-F828)</f>
        <v/>
      </c>
      <c r="H828" s="14" t="inlineStr"/>
    </row>
    <row r="829">
      <c r="A829" s="7">
        <f>'02 价格(主口径)'!A38</f>
        <v/>
      </c>
      <c r="C829" s="8" t="inlineStr">
        <is>
          <t>JS</t>
        </is>
      </c>
      <c r="D829" s="8" t="inlineStr">
        <is>
          <t>HB</t>
        </is>
      </c>
      <c r="E829" s="16">
        <f>'02 价格(主口径)'!D38</f>
        <v/>
      </c>
      <c r="F829" s="16">
        <f>'02 价格(主口径)'!C38</f>
        <v/>
      </c>
      <c r="G829" s="17">
        <f>IF(OR(E829="",F829=""),"",E829-F829)</f>
        <v/>
      </c>
      <c r="H829" s="14" t="inlineStr"/>
    </row>
    <row r="830">
      <c r="A830" s="7">
        <f>'02 价格(主口径)'!A39</f>
        <v/>
      </c>
      <c r="C830" s="8" t="inlineStr">
        <is>
          <t>JS</t>
        </is>
      </c>
      <c r="D830" s="8" t="inlineStr">
        <is>
          <t>HB</t>
        </is>
      </c>
      <c r="E830" s="16">
        <f>'02 价格(主口径)'!D39</f>
        <v/>
      </c>
      <c r="F830" s="16">
        <f>'02 价格(主口径)'!C39</f>
        <v/>
      </c>
      <c r="G830" s="17">
        <f>IF(OR(E830="",F830=""),"",E830-F830)</f>
        <v/>
      </c>
      <c r="H830" s="14" t="inlineStr"/>
    </row>
    <row r="831">
      <c r="A831" s="7">
        <f>'02 价格(主口径)'!A40</f>
        <v/>
      </c>
      <c r="C831" s="8" t="inlineStr">
        <is>
          <t>JS</t>
        </is>
      </c>
      <c r="D831" s="8" t="inlineStr">
        <is>
          <t>HB</t>
        </is>
      </c>
      <c r="E831" s="16">
        <f>'02 价格(主口径)'!D40</f>
        <v/>
      </c>
      <c r="F831" s="16">
        <f>'02 价格(主口径)'!C40</f>
        <v/>
      </c>
      <c r="G831" s="17">
        <f>IF(OR(E831="",F831=""),"",E831-F831)</f>
        <v/>
      </c>
      <c r="H831" s="14" t="inlineStr"/>
    </row>
    <row r="832">
      <c r="A832" s="7">
        <f>'02 价格(主口径)'!A41</f>
        <v/>
      </c>
      <c r="C832" s="8" t="inlineStr">
        <is>
          <t>JS</t>
        </is>
      </c>
      <c r="D832" s="8" t="inlineStr">
        <is>
          <t>HB</t>
        </is>
      </c>
      <c r="E832" s="16">
        <f>'02 价格(主口径)'!D41</f>
        <v/>
      </c>
      <c r="F832" s="16">
        <f>'02 价格(主口径)'!C41</f>
        <v/>
      </c>
      <c r="G832" s="17">
        <f>IF(OR(E832="",F832=""),"",E832-F832)</f>
        <v/>
      </c>
      <c r="H832" s="14" t="inlineStr"/>
    </row>
    <row r="833">
      <c r="A833" s="7">
        <f>'02 价格(主口径)'!A42</f>
        <v/>
      </c>
      <c r="C833" s="8" t="inlineStr">
        <is>
          <t>JS</t>
        </is>
      </c>
      <c r="D833" s="8" t="inlineStr">
        <is>
          <t>HB</t>
        </is>
      </c>
      <c r="E833" s="16">
        <f>'02 价格(主口径)'!D42</f>
        <v/>
      </c>
      <c r="F833" s="16">
        <f>'02 价格(主口径)'!C42</f>
        <v/>
      </c>
      <c r="G833" s="17">
        <f>IF(OR(E833="",F833=""),"",E833-F833)</f>
        <v/>
      </c>
      <c r="H833" s="14" t="inlineStr"/>
    </row>
    <row r="834">
      <c r="A834" s="7">
        <f>'02 价格(主口径)'!A43</f>
        <v/>
      </c>
      <c r="C834" s="8" t="inlineStr">
        <is>
          <t>JS</t>
        </is>
      </c>
      <c r="D834" s="8" t="inlineStr">
        <is>
          <t>HB</t>
        </is>
      </c>
      <c r="E834" s="16">
        <f>'02 价格(主口径)'!D43</f>
        <v/>
      </c>
      <c r="F834" s="16">
        <f>'02 价格(主口径)'!C43</f>
        <v/>
      </c>
      <c r="G834" s="17">
        <f>IF(OR(E834="",F834=""),"",E834-F834)</f>
        <v/>
      </c>
      <c r="H834" s="14" t="inlineStr"/>
    </row>
    <row r="835">
      <c r="A835" s="7">
        <f>'02 价格(主口径)'!A44</f>
        <v/>
      </c>
      <c r="C835" s="8" t="inlineStr">
        <is>
          <t>JS</t>
        </is>
      </c>
      <c r="D835" s="8" t="inlineStr">
        <is>
          <t>HB</t>
        </is>
      </c>
      <c r="E835" s="16">
        <f>'02 价格(主口径)'!D44</f>
        <v/>
      </c>
      <c r="F835" s="16">
        <f>'02 价格(主口径)'!C44</f>
        <v/>
      </c>
      <c r="G835" s="17">
        <f>IF(OR(E835="",F835=""),"",E835-F835)</f>
        <v/>
      </c>
      <c r="H835" s="14" t="inlineStr"/>
    </row>
    <row r="836">
      <c r="A836" s="7">
        <f>'02 价格(主口径)'!A45</f>
        <v/>
      </c>
      <c r="C836" s="8" t="inlineStr">
        <is>
          <t>JS</t>
        </is>
      </c>
      <c r="D836" s="8" t="inlineStr">
        <is>
          <t>HB</t>
        </is>
      </c>
      <c r="E836" s="16">
        <f>'02 价格(主口径)'!D45</f>
        <v/>
      </c>
      <c r="F836" s="16">
        <f>'02 价格(主口径)'!C45</f>
        <v/>
      </c>
      <c r="G836" s="17">
        <f>IF(OR(E836="",F836=""),"",E836-F836)</f>
        <v/>
      </c>
      <c r="H836" s="14" t="inlineStr"/>
    </row>
    <row r="837">
      <c r="A837" s="7">
        <f>'02 价格(主口径)'!A46</f>
        <v/>
      </c>
      <c r="C837" s="8" t="inlineStr">
        <is>
          <t>JS</t>
        </is>
      </c>
      <c r="D837" s="8" t="inlineStr">
        <is>
          <t>HB</t>
        </is>
      </c>
      <c r="E837" s="16">
        <f>'02 价格(主口径)'!D46</f>
        <v/>
      </c>
      <c r="F837" s="16">
        <f>'02 价格(主口径)'!C46</f>
        <v/>
      </c>
      <c r="G837" s="17">
        <f>IF(OR(E837="",F837=""),"",E837-F837)</f>
        <v/>
      </c>
      <c r="H837" s="14" t="inlineStr"/>
    </row>
    <row r="838">
      <c r="A838" s="7">
        <f>'02 价格(主口径)'!A47</f>
        <v/>
      </c>
      <c r="C838" s="8" t="inlineStr">
        <is>
          <t>JS</t>
        </is>
      </c>
      <c r="D838" s="8" t="inlineStr">
        <is>
          <t>HB</t>
        </is>
      </c>
      <c r="E838" s="16">
        <f>'02 价格(主口径)'!D47</f>
        <v/>
      </c>
      <c r="F838" s="16">
        <f>'02 价格(主口径)'!C47</f>
        <v/>
      </c>
      <c r="G838" s="17">
        <f>IF(OR(E838="",F838=""),"",E838-F838)</f>
        <v/>
      </c>
      <c r="H838" s="14" t="inlineStr"/>
    </row>
    <row r="839">
      <c r="A839" s="7">
        <f>'02 价格(主口径)'!A48</f>
        <v/>
      </c>
      <c r="C839" s="8" t="inlineStr">
        <is>
          <t>JS</t>
        </is>
      </c>
      <c r="D839" s="8" t="inlineStr">
        <is>
          <t>HB</t>
        </is>
      </c>
      <c r="E839" s="16">
        <f>'02 价格(主口径)'!D48</f>
        <v/>
      </c>
      <c r="F839" s="16">
        <f>'02 价格(主口径)'!C48</f>
        <v/>
      </c>
      <c r="G839" s="17">
        <f>IF(OR(E839="",F839=""),"",E839-F839)</f>
        <v/>
      </c>
      <c r="H839" s="14" t="inlineStr"/>
    </row>
    <row r="840">
      <c r="A840" s="7">
        <f>'02 价格(主口径)'!A49</f>
        <v/>
      </c>
      <c r="C840" s="8" t="inlineStr">
        <is>
          <t>JS</t>
        </is>
      </c>
      <c r="D840" s="8" t="inlineStr">
        <is>
          <t>HB</t>
        </is>
      </c>
      <c r="E840" s="16">
        <f>'02 价格(主口径)'!D49</f>
        <v/>
      </c>
      <c r="F840" s="16">
        <f>'02 价格(主口径)'!C49</f>
        <v/>
      </c>
      <c r="G840" s="17">
        <f>IF(OR(E840="",F840=""),"",E840-F840)</f>
        <v/>
      </c>
      <c r="H840" s="14" t="inlineStr"/>
    </row>
    <row r="841">
      <c r="A841" s="7">
        <f>'02 价格(主口径)'!A50</f>
        <v/>
      </c>
      <c r="C841" s="8" t="inlineStr">
        <is>
          <t>JS</t>
        </is>
      </c>
      <c r="D841" s="8" t="inlineStr">
        <is>
          <t>HB</t>
        </is>
      </c>
      <c r="E841" s="16">
        <f>'02 价格(主口径)'!D50</f>
        <v/>
      </c>
      <c r="F841" s="16">
        <f>'02 价格(主口径)'!C50</f>
        <v/>
      </c>
      <c r="G841" s="17">
        <f>IF(OR(E841="",F841=""),"",E841-F841)</f>
        <v/>
      </c>
      <c r="H841" s="14" t="inlineStr"/>
    </row>
    <row r="842">
      <c r="A842" s="7">
        <f>'02 价格(主口径)'!A51</f>
        <v/>
      </c>
      <c r="C842" s="8" t="inlineStr">
        <is>
          <t>JS</t>
        </is>
      </c>
      <c r="D842" s="8" t="inlineStr">
        <is>
          <t>HB</t>
        </is>
      </c>
      <c r="E842" s="16">
        <f>'02 价格(主口径)'!D51</f>
        <v/>
      </c>
      <c r="F842" s="16">
        <f>'02 价格(主口径)'!C51</f>
        <v/>
      </c>
      <c r="G842" s="17">
        <f>IF(OR(E842="",F842=""),"",E842-F842)</f>
        <v/>
      </c>
      <c r="H842" s="14" t="inlineStr"/>
    </row>
    <row r="843">
      <c r="A843" s="7">
        <f>'02 价格(主口径)'!A52</f>
        <v/>
      </c>
      <c r="C843" s="8" t="inlineStr">
        <is>
          <t>JS</t>
        </is>
      </c>
      <c r="D843" s="8" t="inlineStr">
        <is>
          <t>HB</t>
        </is>
      </c>
      <c r="E843" s="16">
        <f>'02 价格(主口径)'!D52</f>
        <v/>
      </c>
      <c r="F843" s="16">
        <f>'02 价格(主口径)'!C52</f>
        <v/>
      </c>
      <c r="G843" s="17">
        <f>IF(OR(E843="",F843=""),"",E843-F843)</f>
        <v/>
      </c>
      <c r="H843" s="14" t="inlineStr"/>
    </row>
    <row r="844">
      <c r="A844" s="7">
        <f>'02 价格(主口径)'!A53</f>
        <v/>
      </c>
      <c r="C844" s="8" t="inlineStr">
        <is>
          <t>JS</t>
        </is>
      </c>
      <c r="D844" s="8" t="inlineStr">
        <is>
          <t>HB</t>
        </is>
      </c>
      <c r="E844" s="16">
        <f>'02 价格(主口径)'!D53</f>
        <v/>
      </c>
      <c r="F844" s="16">
        <f>'02 价格(主口径)'!C53</f>
        <v/>
      </c>
      <c r="G844" s="17">
        <f>IF(OR(E844="",F844=""),"",E844-F844)</f>
        <v/>
      </c>
      <c r="H844" s="14" t="inlineStr"/>
    </row>
    <row r="845">
      <c r="A845" s="7">
        <f>'02 价格(主口径)'!A54</f>
        <v/>
      </c>
      <c r="C845" s="8" t="inlineStr">
        <is>
          <t>JS</t>
        </is>
      </c>
      <c r="D845" s="8" t="inlineStr">
        <is>
          <t>HB</t>
        </is>
      </c>
      <c r="E845" s="16">
        <f>'02 价格(主口径)'!D54</f>
        <v/>
      </c>
      <c r="F845" s="16">
        <f>'02 价格(主口径)'!C54</f>
        <v/>
      </c>
      <c r="G845" s="17">
        <f>IF(OR(E845="",F845=""),"",E845-F845)</f>
        <v/>
      </c>
      <c r="H845" s="14" t="inlineStr"/>
    </row>
    <row r="846">
      <c r="A846" s="7">
        <f>'02 价格(主口径)'!A55</f>
        <v/>
      </c>
      <c r="C846" s="8" t="inlineStr">
        <is>
          <t>JS</t>
        </is>
      </c>
      <c r="D846" s="8" t="inlineStr">
        <is>
          <t>HB</t>
        </is>
      </c>
      <c r="E846" s="16">
        <f>'02 价格(主口径)'!D55</f>
        <v/>
      </c>
      <c r="F846" s="16">
        <f>'02 价格(主口径)'!C55</f>
        <v/>
      </c>
      <c r="G846" s="17">
        <f>IF(OR(E846="",F846=""),"",E846-F846)</f>
        <v/>
      </c>
      <c r="H846" s="14" t="inlineStr"/>
    </row>
    <row r="847">
      <c r="A847" s="7">
        <f>'02 价格(主口径)'!A56</f>
        <v/>
      </c>
      <c r="C847" s="8" t="inlineStr">
        <is>
          <t>JS</t>
        </is>
      </c>
      <c r="D847" s="8" t="inlineStr">
        <is>
          <t>HB</t>
        </is>
      </c>
      <c r="E847" s="16">
        <f>'02 价格(主口径)'!D56</f>
        <v/>
      </c>
      <c r="F847" s="16">
        <f>'02 价格(主口径)'!C56</f>
        <v/>
      </c>
      <c r="G847" s="17">
        <f>IF(OR(E847="",F847=""),"",E847-F847)</f>
        <v/>
      </c>
      <c r="H847" s="14" t="inlineStr"/>
    </row>
    <row r="848">
      <c r="A848" s="7">
        <f>'02 价格(主口径)'!A57</f>
        <v/>
      </c>
      <c r="C848" s="8" t="inlineStr">
        <is>
          <t>JS</t>
        </is>
      </c>
      <c r="D848" s="8" t="inlineStr">
        <is>
          <t>HB</t>
        </is>
      </c>
      <c r="E848" s="16">
        <f>'02 价格(主口径)'!D57</f>
        <v/>
      </c>
      <c r="F848" s="16">
        <f>'02 价格(主口径)'!C57</f>
        <v/>
      </c>
      <c r="G848" s="17">
        <f>IF(OR(E848="",F848=""),"",E848-F848)</f>
        <v/>
      </c>
      <c r="H848" s="14" t="inlineStr"/>
    </row>
    <row r="849">
      <c r="A849" s="7">
        <f>'02 价格(主口径)'!A58</f>
        <v/>
      </c>
      <c r="C849" s="8" t="inlineStr">
        <is>
          <t>JS</t>
        </is>
      </c>
      <c r="D849" s="8" t="inlineStr">
        <is>
          <t>HB</t>
        </is>
      </c>
      <c r="E849" s="16">
        <f>'02 价格(主口径)'!D58</f>
        <v/>
      </c>
      <c r="F849" s="16">
        <f>'02 价格(主口径)'!C58</f>
        <v/>
      </c>
      <c r="G849" s="17">
        <f>IF(OR(E849="",F849=""),"",E849-F849)</f>
        <v/>
      </c>
      <c r="H849" s="14" t="inlineStr"/>
    </row>
    <row r="850">
      <c r="A850" s="7">
        <f>'02 价格(主口径)'!A59</f>
        <v/>
      </c>
      <c r="C850" s="8" t="inlineStr">
        <is>
          <t>JS</t>
        </is>
      </c>
      <c r="D850" s="8" t="inlineStr">
        <is>
          <t>HB</t>
        </is>
      </c>
      <c r="E850" s="16">
        <f>'02 价格(主口径)'!D59</f>
        <v/>
      </c>
      <c r="F850" s="16">
        <f>'02 价格(主口径)'!C59</f>
        <v/>
      </c>
      <c r="G850" s="17">
        <f>IF(OR(E850="",F850=""),"",E850-F850)</f>
        <v/>
      </c>
      <c r="H850" s="14" t="inlineStr"/>
    </row>
    <row r="851">
      <c r="A851" s="7">
        <f>'02 价格(主口径)'!A60</f>
        <v/>
      </c>
      <c r="C851" s="8" t="inlineStr">
        <is>
          <t>JS</t>
        </is>
      </c>
      <c r="D851" s="8" t="inlineStr">
        <is>
          <t>HB</t>
        </is>
      </c>
      <c r="E851" s="16">
        <f>'02 价格(主口径)'!D60</f>
        <v/>
      </c>
      <c r="F851" s="16">
        <f>'02 价格(主口径)'!C60</f>
        <v/>
      </c>
      <c r="G851" s="17">
        <f>IF(OR(E851="",F851=""),"",E851-F851)</f>
        <v/>
      </c>
      <c r="H851" s="14" t="inlineStr"/>
    </row>
    <row r="852">
      <c r="A852" s="7">
        <f>'02 价格(主口径)'!A61</f>
        <v/>
      </c>
      <c r="C852" s="8" t="inlineStr">
        <is>
          <t>JS</t>
        </is>
      </c>
      <c r="D852" s="8" t="inlineStr">
        <is>
          <t>HB</t>
        </is>
      </c>
      <c r="E852" s="16">
        <f>'02 价格(主口径)'!D61</f>
        <v/>
      </c>
      <c r="F852" s="16">
        <f>'02 价格(主口径)'!C61</f>
        <v/>
      </c>
      <c r="G852" s="17">
        <f>IF(OR(E852="",F852=""),"",E852-F852)</f>
        <v/>
      </c>
      <c r="H852" s="14" t="inlineStr"/>
    </row>
    <row r="853">
      <c r="A853" s="7">
        <f>'02 价格(主口径)'!A62</f>
        <v/>
      </c>
      <c r="C853" s="8" t="inlineStr">
        <is>
          <t>JS</t>
        </is>
      </c>
      <c r="D853" s="8" t="inlineStr">
        <is>
          <t>HB</t>
        </is>
      </c>
      <c r="E853" s="16">
        <f>'02 价格(主口径)'!D62</f>
        <v/>
      </c>
      <c r="F853" s="16">
        <f>'02 价格(主口径)'!C62</f>
        <v/>
      </c>
      <c r="G853" s="17">
        <f>IF(OR(E853="",F853=""),"",E853-F853)</f>
        <v/>
      </c>
      <c r="H853" s="14" t="inlineStr"/>
    </row>
    <row r="854">
      <c r="A854" s="7">
        <f>'02 价格(主口径)'!A63</f>
        <v/>
      </c>
      <c r="C854" s="8" t="inlineStr">
        <is>
          <t>JS</t>
        </is>
      </c>
      <c r="D854" s="8" t="inlineStr">
        <is>
          <t>HB</t>
        </is>
      </c>
      <c r="E854" s="16">
        <f>'02 价格(主口径)'!D63</f>
        <v/>
      </c>
      <c r="F854" s="16">
        <f>'02 价格(主口径)'!C63</f>
        <v/>
      </c>
      <c r="G854" s="17">
        <f>IF(OR(E854="",F854=""),"",E854-F854)</f>
        <v/>
      </c>
      <c r="H854" s="14" t="inlineStr"/>
    </row>
    <row r="855">
      <c r="A855" s="7">
        <f>'02 价格(主口径)'!A64</f>
        <v/>
      </c>
      <c r="C855" s="8" t="inlineStr">
        <is>
          <t>JS</t>
        </is>
      </c>
      <c r="D855" s="8" t="inlineStr">
        <is>
          <t>HB</t>
        </is>
      </c>
      <c r="E855" s="16">
        <f>'02 价格(主口径)'!D64</f>
        <v/>
      </c>
      <c r="F855" s="16">
        <f>'02 价格(主口径)'!C64</f>
        <v/>
      </c>
      <c r="G855" s="17">
        <f>IF(OR(E855="",F855=""),"",E855-F855)</f>
        <v/>
      </c>
      <c r="H855" s="14" t="inlineStr"/>
    </row>
    <row r="856">
      <c r="A856" s="7">
        <f>'02 价格(主口径)'!A65</f>
        <v/>
      </c>
      <c r="C856" s="8" t="inlineStr">
        <is>
          <t>JS</t>
        </is>
      </c>
      <c r="D856" s="8" t="inlineStr">
        <is>
          <t>HB</t>
        </is>
      </c>
      <c r="E856" s="16">
        <f>'02 价格(主口径)'!D65</f>
        <v/>
      </c>
      <c r="F856" s="16">
        <f>'02 价格(主口径)'!C65</f>
        <v/>
      </c>
      <c r="G856" s="17">
        <f>IF(OR(E856="",F856=""),"",E856-F856)</f>
        <v/>
      </c>
      <c r="H856" s="14" t="inlineStr"/>
    </row>
    <row r="857">
      <c r="A857" s="7">
        <f>'02 价格(主口径)'!A66</f>
        <v/>
      </c>
      <c r="C857" s="8" t="inlineStr">
        <is>
          <t>JS</t>
        </is>
      </c>
      <c r="D857" s="8" t="inlineStr">
        <is>
          <t>HB</t>
        </is>
      </c>
      <c r="E857" s="16">
        <f>'02 价格(主口径)'!D66</f>
        <v/>
      </c>
      <c r="F857" s="16">
        <f>'02 价格(主口径)'!C66</f>
        <v/>
      </c>
      <c r="G857" s="17">
        <f>IF(OR(E857="",F857=""),"",E857-F857)</f>
        <v/>
      </c>
      <c r="H857" s="14" t="inlineStr"/>
    </row>
    <row r="858">
      <c r="A858" s="7">
        <f>'02 价格(主口径)'!A67</f>
        <v/>
      </c>
      <c r="C858" s="8" t="inlineStr">
        <is>
          <t>JS</t>
        </is>
      </c>
      <c r="D858" s="8" t="inlineStr">
        <is>
          <t>HB</t>
        </is>
      </c>
      <c r="E858" s="16">
        <f>'02 价格(主口径)'!D67</f>
        <v/>
      </c>
      <c r="F858" s="16">
        <f>'02 价格(主口径)'!C67</f>
        <v/>
      </c>
      <c r="G858" s="17">
        <f>IF(OR(E858="",F858=""),"",E858-F858)</f>
        <v/>
      </c>
      <c r="H858" s="14" t="inlineStr"/>
    </row>
    <row r="859">
      <c r="A859" s="7">
        <f>'02 价格(主口径)'!A68</f>
        <v/>
      </c>
      <c r="C859" s="8" t="inlineStr">
        <is>
          <t>JS</t>
        </is>
      </c>
      <c r="D859" s="8" t="inlineStr">
        <is>
          <t>HB</t>
        </is>
      </c>
      <c r="E859" s="16">
        <f>'02 价格(主口径)'!D68</f>
        <v/>
      </c>
      <c r="F859" s="16">
        <f>'02 价格(主口径)'!C68</f>
        <v/>
      </c>
      <c r="G859" s="17">
        <f>IF(OR(E859="",F859=""),"",E859-F859)</f>
        <v/>
      </c>
      <c r="H859" s="14" t="inlineStr"/>
    </row>
    <row r="860">
      <c r="A860" s="7">
        <f>'02 价格(主口径)'!A69</f>
        <v/>
      </c>
      <c r="C860" s="8" t="inlineStr">
        <is>
          <t>JS</t>
        </is>
      </c>
      <c r="D860" s="8" t="inlineStr">
        <is>
          <t>HB</t>
        </is>
      </c>
      <c r="E860" s="16">
        <f>'02 价格(主口径)'!D69</f>
        <v/>
      </c>
      <c r="F860" s="16">
        <f>'02 价格(主口径)'!C69</f>
        <v/>
      </c>
      <c r="G860" s="17">
        <f>IF(OR(E860="",F860=""),"",E860-F860)</f>
        <v/>
      </c>
      <c r="H860" s="14" t="inlineStr"/>
    </row>
    <row r="861">
      <c r="A861" s="7">
        <f>'02 价格(主口径)'!A70</f>
        <v/>
      </c>
      <c r="C861" s="8" t="inlineStr">
        <is>
          <t>JS</t>
        </is>
      </c>
      <c r="D861" s="8" t="inlineStr">
        <is>
          <t>HB</t>
        </is>
      </c>
      <c r="E861" s="16">
        <f>'02 价格(主口径)'!D70</f>
        <v/>
      </c>
      <c r="F861" s="16">
        <f>'02 价格(主口径)'!C70</f>
        <v/>
      </c>
      <c r="G861" s="17">
        <f>IF(OR(E861="",F861=""),"",E861-F861)</f>
        <v/>
      </c>
      <c r="H861" s="14" t="inlineStr"/>
    </row>
    <row r="862">
      <c r="A862" s="7">
        <f>'02 价格(主口径)'!A71</f>
        <v/>
      </c>
      <c r="C862" s="8" t="inlineStr">
        <is>
          <t>JS</t>
        </is>
      </c>
      <c r="D862" s="8" t="inlineStr">
        <is>
          <t>HB</t>
        </is>
      </c>
      <c r="E862" s="16">
        <f>'02 价格(主口径)'!D71</f>
        <v/>
      </c>
      <c r="F862" s="16">
        <f>'02 价格(主口径)'!C71</f>
        <v/>
      </c>
      <c r="G862" s="17">
        <f>IF(OR(E862="",F862=""),"",E862-F862)</f>
        <v/>
      </c>
      <c r="H862" s="14" t="inlineStr"/>
    </row>
    <row r="863">
      <c r="A863" s="7">
        <f>'02 价格(主口径)'!A72</f>
        <v/>
      </c>
      <c r="C863" s="8" t="inlineStr">
        <is>
          <t>JS</t>
        </is>
      </c>
      <c r="D863" s="8" t="inlineStr">
        <is>
          <t>HB</t>
        </is>
      </c>
      <c r="E863" s="16">
        <f>'02 价格(主口径)'!D72</f>
        <v/>
      </c>
      <c r="F863" s="16">
        <f>'02 价格(主口径)'!C72</f>
        <v/>
      </c>
      <c r="G863" s="17">
        <f>IF(OR(E863="",F863=""),"",E863-F863)</f>
        <v/>
      </c>
      <c r="H863" s="14" t="inlineStr"/>
    </row>
    <row r="864">
      <c r="A864" s="7">
        <f>'02 价格(主口径)'!A73</f>
        <v/>
      </c>
      <c r="C864" s="8" t="inlineStr">
        <is>
          <t>JS</t>
        </is>
      </c>
      <c r="D864" s="8" t="inlineStr">
        <is>
          <t>HB</t>
        </is>
      </c>
      <c r="E864" s="16">
        <f>'02 价格(主口径)'!D73</f>
        <v/>
      </c>
      <c r="F864" s="16">
        <f>'02 价格(主口径)'!C73</f>
        <v/>
      </c>
      <c r="G864" s="17">
        <f>IF(OR(E864="",F864=""),"",E864-F864)</f>
        <v/>
      </c>
      <c r="H864" s="14" t="inlineStr"/>
    </row>
    <row r="865">
      <c r="A865" s="7">
        <f>'02 价格(主口径)'!A74</f>
        <v/>
      </c>
      <c r="C865" s="8" t="inlineStr">
        <is>
          <t>JS</t>
        </is>
      </c>
      <c r="D865" s="8" t="inlineStr">
        <is>
          <t>HB</t>
        </is>
      </c>
      <c r="E865" s="16">
        <f>'02 价格(主口径)'!D74</f>
        <v/>
      </c>
      <c r="F865" s="16">
        <f>'02 价格(主口径)'!C74</f>
        <v/>
      </c>
      <c r="G865" s="17">
        <f>IF(OR(E865="",F865=""),"",E865-F865)</f>
        <v/>
      </c>
      <c r="H865" s="14" t="inlineStr"/>
    </row>
    <row r="866">
      <c r="A866" s="7">
        <f>'02 价格(主口径)'!A75</f>
        <v/>
      </c>
      <c r="C866" s="8" t="inlineStr">
        <is>
          <t>JS</t>
        </is>
      </c>
      <c r="D866" s="8" t="inlineStr">
        <is>
          <t>HB</t>
        </is>
      </c>
      <c r="E866" s="16">
        <f>'02 价格(主口径)'!D75</f>
        <v/>
      </c>
      <c r="F866" s="16">
        <f>'02 价格(主口径)'!C75</f>
        <v/>
      </c>
      <c r="G866" s="17">
        <f>IF(OR(E866="",F866=""),"",E866-F866)</f>
        <v/>
      </c>
      <c r="H866" s="14" t="inlineStr"/>
    </row>
    <row r="867">
      <c r="A867" s="7">
        <f>'02 价格(主口径)'!A76</f>
        <v/>
      </c>
      <c r="C867" s="8" t="inlineStr">
        <is>
          <t>JS</t>
        </is>
      </c>
      <c r="D867" s="8" t="inlineStr">
        <is>
          <t>HB</t>
        </is>
      </c>
      <c r="E867" s="16">
        <f>'02 价格(主口径)'!D76</f>
        <v/>
      </c>
      <c r="F867" s="16">
        <f>'02 价格(主口径)'!C76</f>
        <v/>
      </c>
      <c r="G867" s="17">
        <f>IF(OR(E867="",F867=""),"",E867-F867)</f>
        <v/>
      </c>
      <c r="H867" s="14" t="inlineStr"/>
    </row>
    <row r="868">
      <c r="A868" s="7">
        <f>'02 价格(主口径)'!A77</f>
        <v/>
      </c>
      <c r="C868" s="8" t="inlineStr">
        <is>
          <t>JS</t>
        </is>
      </c>
      <c r="D868" s="8" t="inlineStr">
        <is>
          <t>HB</t>
        </is>
      </c>
      <c r="E868" s="16">
        <f>'02 价格(主口径)'!D77</f>
        <v/>
      </c>
      <c r="F868" s="16">
        <f>'02 价格(主口径)'!C77</f>
        <v/>
      </c>
      <c r="G868" s="17">
        <f>IF(OR(E868="",F868=""),"",E868-F868)</f>
        <v/>
      </c>
      <c r="H868" s="14" t="inlineStr"/>
    </row>
    <row r="869">
      <c r="A869" s="7">
        <f>'02 价格(主口径)'!A78</f>
        <v/>
      </c>
      <c r="C869" s="8" t="inlineStr">
        <is>
          <t>JS</t>
        </is>
      </c>
      <c r="D869" s="8" t="inlineStr">
        <is>
          <t>HB</t>
        </is>
      </c>
      <c r="E869" s="16">
        <f>'02 价格(主口径)'!D78</f>
        <v/>
      </c>
      <c r="F869" s="16">
        <f>'02 价格(主口径)'!C78</f>
        <v/>
      </c>
      <c r="G869" s="17">
        <f>IF(OR(E869="",F869=""),"",E869-F869)</f>
        <v/>
      </c>
      <c r="H869" s="14" t="inlineStr"/>
    </row>
    <row r="870">
      <c r="A870" s="7">
        <f>'02 价格(主口径)'!A79</f>
        <v/>
      </c>
      <c r="C870" s="8" t="inlineStr">
        <is>
          <t>JS</t>
        </is>
      </c>
      <c r="D870" s="8" t="inlineStr">
        <is>
          <t>HB</t>
        </is>
      </c>
      <c r="E870" s="16">
        <f>'02 价格(主口径)'!D79</f>
        <v/>
      </c>
      <c r="F870" s="16">
        <f>'02 价格(主口径)'!C79</f>
        <v/>
      </c>
      <c r="G870" s="17">
        <f>IF(OR(E870="",F870=""),"",E870-F870)</f>
        <v/>
      </c>
      <c r="H870" s="14" t="inlineStr"/>
    </row>
    <row r="871">
      <c r="A871" s="7">
        <f>'02 价格(主口径)'!A80</f>
        <v/>
      </c>
      <c r="C871" s="8" t="inlineStr">
        <is>
          <t>JS</t>
        </is>
      </c>
      <c r="D871" s="8" t="inlineStr">
        <is>
          <t>HB</t>
        </is>
      </c>
      <c r="E871" s="16">
        <f>'02 价格(主口径)'!D80</f>
        <v/>
      </c>
      <c r="F871" s="16">
        <f>'02 价格(主口径)'!C80</f>
        <v/>
      </c>
      <c r="G871" s="17">
        <f>IF(OR(E871="",F871=""),"",E871-F871)</f>
        <v/>
      </c>
      <c r="H871" s="14" t="inlineStr"/>
    </row>
    <row r="872">
      <c r="A872" s="7">
        <f>'02 价格(主口径)'!A81</f>
        <v/>
      </c>
      <c r="C872" s="8" t="inlineStr">
        <is>
          <t>JS</t>
        </is>
      </c>
      <c r="D872" s="8" t="inlineStr">
        <is>
          <t>HB</t>
        </is>
      </c>
      <c r="E872" s="16">
        <f>'02 价格(主口径)'!D81</f>
        <v/>
      </c>
      <c r="F872" s="16">
        <f>'02 价格(主口径)'!C81</f>
        <v/>
      </c>
      <c r="G872" s="17">
        <f>IF(OR(E872="",F872=""),"",E872-F872)</f>
        <v/>
      </c>
      <c r="H872" s="14" t="inlineStr"/>
    </row>
    <row r="873">
      <c r="A873" s="7">
        <f>'02 价格(主口径)'!A82</f>
        <v/>
      </c>
      <c r="C873" s="8" t="inlineStr">
        <is>
          <t>JS</t>
        </is>
      </c>
      <c r="D873" s="8" t="inlineStr">
        <is>
          <t>HB</t>
        </is>
      </c>
      <c r="E873" s="16">
        <f>'02 价格(主口径)'!D82</f>
        <v/>
      </c>
      <c r="F873" s="16">
        <f>'02 价格(主口径)'!C82</f>
        <v/>
      </c>
      <c r="G873" s="17">
        <f>IF(OR(E873="",F873=""),"",E873-F873)</f>
        <v/>
      </c>
      <c r="H873" s="14" t="inlineStr"/>
    </row>
    <row r="874">
      <c r="A874" s="7">
        <f>'02 价格(主口径)'!A83</f>
        <v/>
      </c>
      <c r="C874" s="8" t="inlineStr">
        <is>
          <t>JS</t>
        </is>
      </c>
      <c r="D874" s="8" t="inlineStr">
        <is>
          <t>HB</t>
        </is>
      </c>
      <c r="E874" s="16">
        <f>'02 价格(主口径)'!D83</f>
        <v/>
      </c>
      <c r="F874" s="16">
        <f>'02 价格(主口径)'!C83</f>
        <v/>
      </c>
      <c r="G874" s="17">
        <f>IF(OR(E874="",F874=""),"",E874-F874)</f>
        <v/>
      </c>
      <c r="H874" s="14" t="inlineStr"/>
    </row>
    <row r="875">
      <c r="A875" s="7">
        <f>'02 价格(主口径)'!A84</f>
        <v/>
      </c>
      <c r="C875" s="8" t="inlineStr">
        <is>
          <t>JS</t>
        </is>
      </c>
      <c r="D875" s="8" t="inlineStr">
        <is>
          <t>HB</t>
        </is>
      </c>
      <c r="E875" s="16">
        <f>'02 价格(主口径)'!D84</f>
        <v/>
      </c>
      <c r="F875" s="16">
        <f>'02 价格(主口径)'!C84</f>
        <v/>
      </c>
      <c r="G875" s="17">
        <f>IF(OR(E875="",F875=""),"",E875-F875)</f>
        <v/>
      </c>
      <c r="H875" s="14" t="inlineStr"/>
    </row>
    <row r="876">
      <c r="A876" s="7">
        <f>'02 价格(主口径)'!A85</f>
        <v/>
      </c>
      <c r="C876" s="8" t="inlineStr">
        <is>
          <t>JS</t>
        </is>
      </c>
      <c r="D876" s="8" t="inlineStr">
        <is>
          <t>HB</t>
        </is>
      </c>
      <c r="E876" s="16">
        <f>'02 价格(主口径)'!D85</f>
        <v/>
      </c>
      <c r="F876" s="16">
        <f>'02 价格(主口径)'!C85</f>
        <v/>
      </c>
      <c r="G876" s="17">
        <f>IF(OR(E876="",F876=""),"",E876-F876)</f>
        <v/>
      </c>
      <c r="H876" s="14" t="inlineStr"/>
    </row>
    <row r="877">
      <c r="A877" s="7">
        <f>'02 价格(主口径)'!A86</f>
        <v/>
      </c>
      <c r="C877" s="8" t="inlineStr">
        <is>
          <t>JS</t>
        </is>
      </c>
      <c r="D877" s="8" t="inlineStr">
        <is>
          <t>HB</t>
        </is>
      </c>
      <c r="E877" s="16">
        <f>'02 价格(主口径)'!D86</f>
        <v/>
      </c>
      <c r="F877" s="16">
        <f>'02 价格(主口径)'!C86</f>
        <v/>
      </c>
      <c r="G877" s="17">
        <f>IF(OR(E877="",F877=""),"",E877-F877)</f>
        <v/>
      </c>
      <c r="H877" s="14" t="inlineStr"/>
    </row>
    <row r="878">
      <c r="A878" s="7">
        <f>'02 价格(主口径)'!A87</f>
        <v/>
      </c>
      <c r="C878" s="8" t="inlineStr">
        <is>
          <t>JS</t>
        </is>
      </c>
      <c r="D878" s="8" t="inlineStr">
        <is>
          <t>HB</t>
        </is>
      </c>
      <c r="E878" s="16">
        <f>'02 价格(主口径)'!D87</f>
        <v/>
      </c>
      <c r="F878" s="16">
        <f>'02 价格(主口径)'!C87</f>
        <v/>
      </c>
      <c r="G878" s="17">
        <f>IF(OR(E878="",F878=""),"",E878-F878)</f>
        <v/>
      </c>
      <c r="H878" s="14" t="inlineStr"/>
    </row>
    <row r="879">
      <c r="A879" s="7">
        <f>'02 价格(主口径)'!A88</f>
        <v/>
      </c>
      <c r="C879" s="8" t="inlineStr">
        <is>
          <t>JS</t>
        </is>
      </c>
      <c r="D879" s="8" t="inlineStr">
        <is>
          <t>HB</t>
        </is>
      </c>
      <c r="E879" s="16">
        <f>'02 价格(主口径)'!D88</f>
        <v/>
      </c>
      <c r="F879" s="16">
        <f>'02 价格(主口径)'!C88</f>
        <v/>
      </c>
      <c r="G879" s="17">
        <f>IF(OR(E879="",F879=""),"",E879-F879)</f>
        <v/>
      </c>
      <c r="H879" s="14" t="inlineStr"/>
    </row>
    <row r="880">
      <c r="A880" s="7">
        <f>'02 价格(主口径)'!A89</f>
        <v/>
      </c>
      <c r="C880" s="8" t="inlineStr">
        <is>
          <t>JS</t>
        </is>
      </c>
      <c r="D880" s="8" t="inlineStr">
        <is>
          <t>HB</t>
        </is>
      </c>
      <c r="E880" s="16">
        <f>'02 价格(主口径)'!D89</f>
        <v/>
      </c>
      <c r="F880" s="16">
        <f>'02 价格(主口径)'!C89</f>
        <v/>
      </c>
      <c r="G880" s="17">
        <f>IF(OR(E880="",F880=""),"",E880-F880)</f>
        <v/>
      </c>
      <c r="H880" s="14" t="inlineStr"/>
    </row>
    <row r="881">
      <c r="A881" s="7">
        <f>'02 价格(主口径)'!A90</f>
        <v/>
      </c>
      <c r="C881" s="8" t="inlineStr">
        <is>
          <t>JS</t>
        </is>
      </c>
      <c r="D881" s="8" t="inlineStr">
        <is>
          <t>HB</t>
        </is>
      </c>
      <c r="E881" s="16">
        <f>'02 价格(主口径)'!D90</f>
        <v/>
      </c>
      <c r="F881" s="16">
        <f>'02 价格(主口径)'!C90</f>
        <v/>
      </c>
      <c r="G881" s="17">
        <f>IF(OR(E881="",F881=""),"",E881-F881)</f>
        <v/>
      </c>
      <c r="H881" s="14" t="inlineStr"/>
    </row>
    <row r="882">
      <c r="A882" s="7">
        <f>'02 价格(主口径)'!A91</f>
        <v/>
      </c>
      <c r="C882" s="8" t="inlineStr">
        <is>
          <t>JS</t>
        </is>
      </c>
      <c r="D882" s="8" t="inlineStr">
        <is>
          <t>HB</t>
        </is>
      </c>
      <c r="E882" s="16">
        <f>'02 价格(主口径)'!D91</f>
        <v/>
      </c>
      <c r="F882" s="16">
        <f>'02 价格(主口径)'!C91</f>
        <v/>
      </c>
      <c r="G882" s="17">
        <f>IF(OR(E882="",F882=""),"",E882-F882)</f>
        <v/>
      </c>
      <c r="H882" s="14" t="inlineStr"/>
    </row>
    <row r="883">
      <c r="A883" s="7">
        <f>'02 价格(主口径)'!A92</f>
        <v/>
      </c>
      <c r="C883" s="8" t="inlineStr">
        <is>
          <t>JS</t>
        </is>
      </c>
      <c r="D883" s="8" t="inlineStr">
        <is>
          <t>HB</t>
        </is>
      </c>
      <c r="E883" s="16">
        <f>'02 价格(主口径)'!D92</f>
        <v/>
      </c>
      <c r="F883" s="16">
        <f>'02 价格(主口径)'!C92</f>
        <v/>
      </c>
      <c r="G883" s="17">
        <f>IF(OR(E883="",F883=""),"",E883-F883)</f>
        <v/>
      </c>
      <c r="H883" s="14" t="inlineStr"/>
    </row>
    <row r="884">
      <c r="A884" s="7">
        <f>'02 价格(主口径)'!A93</f>
        <v/>
      </c>
      <c r="C884" s="8" t="inlineStr">
        <is>
          <t>JS</t>
        </is>
      </c>
      <c r="D884" s="8" t="inlineStr">
        <is>
          <t>HB</t>
        </is>
      </c>
      <c r="E884" s="16">
        <f>'02 价格(主口径)'!D93</f>
        <v/>
      </c>
      <c r="F884" s="16">
        <f>'02 价格(主口径)'!C93</f>
        <v/>
      </c>
      <c r="G884" s="17">
        <f>IF(OR(E884="",F884=""),"",E884-F884)</f>
        <v/>
      </c>
      <c r="H884" s="14" t="inlineStr"/>
    </row>
    <row r="885">
      <c r="A885" s="7">
        <f>'02 价格(主口径)'!A94</f>
        <v/>
      </c>
      <c r="C885" s="8" t="inlineStr">
        <is>
          <t>JS</t>
        </is>
      </c>
      <c r="D885" s="8" t="inlineStr">
        <is>
          <t>HB</t>
        </is>
      </c>
      <c r="E885" s="16">
        <f>'02 价格(主口径)'!D94</f>
        <v/>
      </c>
      <c r="F885" s="16">
        <f>'02 价格(主口径)'!C94</f>
        <v/>
      </c>
      <c r="G885" s="17">
        <f>IF(OR(E885="",F885=""),"",E885-F885)</f>
        <v/>
      </c>
      <c r="H885" s="14" t="inlineStr"/>
    </row>
    <row r="886">
      <c r="A886" s="7">
        <f>'02 价格(主口径)'!A95</f>
        <v/>
      </c>
      <c r="C886" s="8" t="inlineStr">
        <is>
          <t>JS</t>
        </is>
      </c>
      <c r="D886" s="8" t="inlineStr">
        <is>
          <t>HB</t>
        </is>
      </c>
      <c r="E886" s="16">
        <f>'02 价格(主口径)'!D95</f>
        <v/>
      </c>
      <c r="F886" s="16">
        <f>'02 价格(主口径)'!C95</f>
        <v/>
      </c>
      <c r="G886" s="17">
        <f>IF(OR(E886="",F886=""),"",E886-F886)</f>
        <v/>
      </c>
      <c r="H886" s="14" t="inlineStr"/>
    </row>
    <row r="887">
      <c r="A887" s="7">
        <f>'02 价格(主口径)'!A96</f>
        <v/>
      </c>
      <c r="C887" s="8" t="inlineStr">
        <is>
          <t>JS</t>
        </is>
      </c>
      <c r="D887" s="8" t="inlineStr">
        <is>
          <t>HB</t>
        </is>
      </c>
      <c r="E887" s="16">
        <f>'02 价格(主口径)'!D96</f>
        <v/>
      </c>
      <c r="F887" s="16">
        <f>'02 价格(主口径)'!C96</f>
        <v/>
      </c>
      <c r="G887" s="17">
        <f>IF(OR(E887="",F887=""),"",E887-F887)</f>
        <v/>
      </c>
      <c r="H887" s="14" t="inlineStr"/>
    </row>
    <row r="888">
      <c r="A888" s="7">
        <f>'02 价格(主口径)'!A97</f>
        <v/>
      </c>
      <c r="C888" s="8" t="inlineStr">
        <is>
          <t>JS</t>
        </is>
      </c>
      <c r="D888" s="8" t="inlineStr">
        <is>
          <t>HB</t>
        </is>
      </c>
      <c r="E888" s="16">
        <f>'02 价格(主口径)'!D97</f>
        <v/>
      </c>
      <c r="F888" s="16">
        <f>'02 价格(主口径)'!C97</f>
        <v/>
      </c>
      <c r="G888" s="17">
        <f>IF(OR(E888="",F888=""),"",E888-F888)</f>
        <v/>
      </c>
      <c r="H888" s="14" t="inlineStr"/>
    </row>
    <row r="889">
      <c r="A889" s="7">
        <f>'02 价格(主口径)'!A98</f>
        <v/>
      </c>
      <c r="C889" s="8" t="inlineStr">
        <is>
          <t>JS</t>
        </is>
      </c>
      <c r="D889" s="8" t="inlineStr">
        <is>
          <t>HB</t>
        </is>
      </c>
      <c r="E889" s="16">
        <f>'02 价格(主口径)'!D98</f>
        <v/>
      </c>
      <c r="F889" s="16">
        <f>'02 价格(主口径)'!C98</f>
        <v/>
      </c>
      <c r="G889" s="17">
        <f>IF(OR(E889="",F889=""),"",E889-F889)</f>
        <v/>
      </c>
      <c r="H889" s="14" t="inlineStr"/>
    </row>
    <row r="890">
      <c r="A890" s="7">
        <f>'02 价格(主口径)'!A99</f>
        <v/>
      </c>
      <c r="C890" s="8" t="inlineStr">
        <is>
          <t>JS</t>
        </is>
      </c>
      <c r="D890" s="8" t="inlineStr">
        <is>
          <t>HB</t>
        </is>
      </c>
      <c r="E890" s="16">
        <f>'02 价格(主口径)'!D99</f>
        <v/>
      </c>
      <c r="F890" s="16">
        <f>'02 价格(主口径)'!C99</f>
        <v/>
      </c>
      <c r="G890" s="17">
        <f>IF(OR(E890="",F890=""),"",E890-F890)</f>
        <v/>
      </c>
      <c r="H890" s="14" t="inlineStr"/>
    </row>
    <row r="891">
      <c r="A891" s="7">
        <f>'02 价格(主口径)'!A100</f>
        <v/>
      </c>
      <c r="C891" s="8" t="inlineStr">
        <is>
          <t>JS</t>
        </is>
      </c>
      <c r="D891" s="8" t="inlineStr">
        <is>
          <t>HB</t>
        </is>
      </c>
      <c r="E891" s="16">
        <f>'02 价格(主口径)'!D100</f>
        <v/>
      </c>
      <c r="F891" s="16">
        <f>'02 价格(主口径)'!C100</f>
        <v/>
      </c>
      <c r="G891" s="17">
        <f>IF(OR(E891="",F891=""),"",E891-F891)</f>
        <v/>
      </c>
      <c r="H891" s="14" t="inlineStr"/>
    </row>
    <row r="892">
      <c r="A892" s="7">
        <f>'02 价格(主口径)'!A101</f>
        <v/>
      </c>
      <c r="C892" s="8" t="inlineStr">
        <is>
          <t>JS</t>
        </is>
      </c>
      <c r="D892" s="8" t="inlineStr">
        <is>
          <t>HB</t>
        </is>
      </c>
      <c r="E892" s="16">
        <f>'02 价格(主口径)'!D101</f>
        <v/>
      </c>
      <c r="F892" s="16">
        <f>'02 价格(主口径)'!C101</f>
        <v/>
      </c>
      <c r="G892" s="17">
        <f>IF(OR(E892="",F892=""),"",E892-F892)</f>
        <v/>
      </c>
      <c r="H892" s="14" t="inlineStr"/>
    </row>
    <row r="893">
      <c r="A893" s="7">
        <f>'02 价格(主口径)'!A102</f>
        <v/>
      </c>
      <c r="C893" s="8" t="inlineStr">
        <is>
          <t>JS</t>
        </is>
      </c>
      <c r="D893" s="8" t="inlineStr">
        <is>
          <t>HB</t>
        </is>
      </c>
      <c r="E893" s="16">
        <f>'02 价格(主口径)'!D102</f>
        <v/>
      </c>
      <c r="F893" s="16">
        <f>'02 价格(主口径)'!C102</f>
        <v/>
      </c>
      <c r="G893" s="17">
        <f>IF(OR(E893="",F893=""),"",E893-F893)</f>
        <v/>
      </c>
      <c r="H893" s="14" t="inlineStr"/>
    </row>
    <row r="894">
      <c r="A894" s="7">
        <f>'02 价格(主口径)'!A103</f>
        <v/>
      </c>
      <c r="C894" s="8" t="inlineStr">
        <is>
          <t>JS</t>
        </is>
      </c>
      <c r="D894" s="8" t="inlineStr">
        <is>
          <t>HB</t>
        </is>
      </c>
      <c r="E894" s="16">
        <f>'02 价格(主口径)'!D103</f>
        <v/>
      </c>
      <c r="F894" s="16">
        <f>'02 价格(主口径)'!C103</f>
        <v/>
      </c>
      <c r="G894" s="17">
        <f>IF(OR(E894="",F894=""),"",E894-F894)</f>
        <v/>
      </c>
      <c r="H894" s="14" t="inlineStr"/>
    </row>
    <row r="895">
      <c r="A895" s="7">
        <f>'02 价格(主口径)'!A104</f>
        <v/>
      </c>
      <c r="C895" s="8" t="inlineStr">
        <is>
          <t>JS</t>
        </is>
      </c>
      <c r="D895" s="8" t="inlineStr">
        <is>
          <t>HB</t>
        </is>
      </c>
      <c r="E895" s="16">
        <f>'02 价格(主口径)'!D104</f>
        <v/>
      </c>
      <c r="F895" s="16">
        <f>'02 价格(主口径)'!C104</f>
        <v/>
      </c>
      <c r="G895" s="17">
        <f>IF(OR(E895="",F895=""),"",E895-F895)</f>
        <v/>
      </c>
      <c r="H895" s="14" t="inlineStr"/>
    </row>
    <row r="896">
      <c r="A896" s="7">
        <f>'02 价格(主口径)'!A105</f>
        <v/>
      </c>
      <c r="C896" s="8" t="inlineStr">
        <is>
          <t>JS</t>
        </is>
      </c>
      <c r="D896" s="8" t="inlineStr">
        <is>
          <t>HB</t>
        </is>
      </c>
      <c r="E896" s="16">
        <f>'02 价格(主口径)'!D105</f>
        <v/>
      </c>
      <c r="F896" s="16">
        <f>'02 价格(主口径)'!C105</f>
        <v/>
      </c>
      <c r="G896" s="17">
        <f>IF(OR(E896="",F896=""),"",E896-F896)</f>
        <v/>
      </c>
      <c r="H896" s="14" t="inlineStr"/>
    </row>
    <row r="897">
      <c r="A897" s="7">
        <f>'02 价格(主口径)'!A106</f>
        <v/>
      </c>
      <c r="C897" s="8" t="inlineStr">
        <is>
          <t>JS</t>
        </is>
      </c>
      <c r="D897" s="8" t="inlineStr">
        <is>
          <t>HB</t>
        </is>
      </c>
      <c r="E897" s="16">
        <f>'02 价格(主口径)'!D106</f>
        <v/>
      </c>
      <c r="F897" s="16">
        <f>'02 价格(主口径)'!C106</f>
        <v/>
      </c>
      <c r="G897" s="17">
        <f>IF(OR(E897="",F897=""),"",E897-F897)</f>
        <v/>
      </c>
      <c r="H897" s="14" t="inlineStr"/>
    </row>
    <row r="898">
      <c r="A898" s="7">
        <f>'02 价格(主口径)'!A107</f>
        <v/>
      </c>
      <c r="C898" s="8" t="inlineStr">
        <is>
          <t>JS</t>
        </is>
      </c>
      <c r="D898" s="8" t="inlineStr">
        <is>
          <t>HB</t>
        </is>
      </c>
      <c r="E898" s="16">
        <f>'02 价格(主口径)'!D107</f>
        <v/>
      </c>
      <c r="F898" s="16">
        <f>'02 价格(主口径)'!C107</f>
        <v/>
      </c>
      <c r="G898" s="17">
        <f>IF(OR(E898="",F898=""),"",E898-F898)</f>
        <v/>
      </c>
      <c r="H898" s="14" t="inlineStr"/>
    </row>
    <row r="899">
      <c r="A899" s="7">
        <f>'02 价格(主口径)'!A108</f>
        <v/>
      </c>
      <c r="C899" s="8" t="inlineStr">
        <is>
          <t>JS</t>
        </is>
      </c>
      <c r="D899" s="8" t="inlineStr">
        <is>
          <t>HB</t>
        </is>
      </c>
      <c r="E899" s="16">
        <f>'02 价格(主口径)'!D108</f>
        <v/>
      </c>
      <c r="F899" s="16">
        <f>'02 价格(主口径)'!C108</f>
        <v/>
      </c>
      <c r="G899" s="17">
        <f>IF(OR(E899="",F899=""),"",E899-F899)</f>
        <v/>
      </c>
      <c r="H899" s="14" t="inlineStr"/>
    </row>
    <row r="900">
      <c r="A900" s="7">
        <f>'02 价格(主口径)'!A109</f>
        <v/>
      </c>
      <c r="C900" s="8" t="inlineStr">
        <is>
          <t>JS</t>
        </is>
      </c>
      <c r="D900" s="8" t="inlineStr">
        <is>
          <t>HB</t>
        </is>
      </c>
      <c r="E900" s="16">
        <f>'02 价格(主口径)'!D109</f>
        <v/>
      </c>
      <c r="F900" s="16">
        <f>'02 价格(主口径)'!C109</f>
        <v/>
      </c>
      <c r="G900" s="17">
        <f>IF(OR(E900="",F900=""),"",E900-F900)</f>
        <v/>
      </c>
      <c r="H900" s="14" t="inlineStr"/>
    </row>
    <row r="901">
      <c r="A901" s="7">
        <f>'02 价格(主口径)'!A110</f>
        <v/>
      </c>
      <c r="C901" s="8" t="inlineStr">
        <is>
          <t>JS</t>
        </is>
      </c>
      <c r="D901" s="8" t="inlineStr">
        <is>
          <t>HB</t>
        </is>
      </c>
      <c r="E901" s="16">
        <f>'02 价格(主口径)'!D110</f>
        <v/>
      </c>
      <c r="F901" s="16">
        <f>'02 价格(主口径)'!C110</f>
        <v/>
      </c>
      <c r="G901" s="17">
        <f>IF(OR(E901="",F901=""),"",E901-F901)</f>
        <v/>
      </c>
      <c r="H901" s="14" t="inlineStr"/>
    </row>
    <row r="902">
      <c r="A902" s="7">
        <f>'02 价格(主口径)'!A111</f>
        <v/>
      </c>
      <c r="C902" s="8" t="inlineStr">
        <is>
          <t>JS</t>
        </is>
      </c>
      <c r="D902" s="8" t="inlineStr">
        <is>
          <t>HB</t>
        </is>
      </c>
      <c r="E902" s="16">
        <f>'02 价格(主口径)'!D111</f>
        <v/>
      </c>
      <c r="F902" s="16">
        <f>'02 价格(主口径)'!C111</f>
        <v/>
      </c>
      <c r="G902" s="17">
        <f>IF(OR(E902="",F902=""),"",E902-F902)</f>
        <v/>
      </c>
      <c r="H902" s="14" t="inlineStr"/>
    </row>
    <row r="903">
      <c r="A903" s="7">
        <f>'02 价格(主口径)'!A112</f>
        <v/>
      </c>
      <c r="C903" s="8" t="inlineStr">
        <is>
          <t>JS</t>
        </is>
      </c>
      <c r="D903" s="8" t="inlineStr">
        <is>
          <t>HB</t>
        </is>
      </c>
      <c r="E903" s="16">
        <f>'02 价格(主口径)'!D112</f>
        <v/>
      </c>
      <c r="F903" s="16">
        <f>'02 价格(主口径)'!C112</f>
        <v/>
      </c>
      <c r="G903" s="17">
        <f>IF(OR(E903="",F903=""),"",E903-F903)</f>
        <v/>
      </c>
      <c r="H903" s="14" t="inlineStr"/>
    </row>
    <row r="904">
      <c r="A904" s="7">
        <f>'02 价格(主口径)'!A113</f>
        <v/>
      </c>
      <c r="C904" s="8" t="inlineStr">
        <is>
          <t>JS</t>
        </is>
      </c>
      <c r="D904" s="8" t="inlineStr">
        <is>
          <t>HB</t>
        </is>
      </c>
      <c r="E904" s="16">
        <f>'02 价格(主口径)'!D113</f>
        <v/>
      </c>
      <c r="F904" s="16">
        <f>'02 价格(主口径)'!C113</f>
        <v/>
      </c>
      <c r="G904" s="17">
        <f>IF(OR(E904="",F904=""),"",E904-F904)</f>
        <v/>
      </c>
      <c r="H904" s="14" t="inlineStr"/>
    </row>
    <row r="905">
      <c r="A905" s="7">
        <f>'02 价格(主口径)'!A114</f>
        <v/>
      </c>
      <c r="C905" s="8" t="inlineStr">
        <is>
          <t>JS</t>
        </is>
      </c>
      <c r="D905" s="8" t="inlineStr">
        <is>
          <t>HB</t>
        </is>
      </c>
      <c r="E905" s="16">
        <f>'02 价格(主口径)'!D114</f>
        <v/>
      </c>
      <c r="F905" s="16">
        <f>'02 价格(主口径)'!C114</f>
        <v/>
      </c>
      <c r="G905" s="17">
        <f>IF(OR(E905="",F905=""),"",E905-F905)</f>
        <v/>
      </c>
      <c r="H905" s="14" t="inlineStr"/>
    </row>
    <row r="906">
      <c r="A906" s="7">
        <f>'02 价格(主口径)'!A115</f>
        <v/>
      </c>
      <c r="C906" s="8" t="inlineStr">
        <is>
          <t>JS</t>
        </is>
      </c>
      <c r="D906" s="8" t="inlineStr">
        <is>
          <t>HB</t>
        </is>
      </c>
      <c r="E906" s="16">
        <f>'02 价格(主口径)'!D115</f>
        <v/>
      </c>
      <c r="F906" s="16">
        <f>'02 价格(主口径)'!C115</f>
        <v/>
      </c>
      <c r="G906" s="17">
        <f>IF(OR(E906="",F906=""),"",E906-F906)</f>
        <v/>
      </c>
      <c r="H906" s="14" t="inlineStr"/>
    </row>
    <row r="907">
      <c r="A907" s="7">
        <f>'02 价格(主口径)'!A116</f>
        <v/>
      </c>
      <c r="C907" s="8" t="inlineStr">
        <is>
          <t>JS</t>
        </is>
      </c>
      <c r="D907" s="8" t="inlineStr">
        <is>
          <t>HB</t>
        </is>
      </c>
      <c r="E907" s="16">
        <f>'02 价格(主口径)'!D116</f>
        <v/>
      </c>
      <c r="F907" s="16">
        <f>'02 价格(主口径)'!C116</f>
        <v/>
      </c>
      <c r="G907" s="17">
        <f>IF(OR(E907="",F907=""),"",E907-F907)</f>
        <v/>
      </c>
      <c r="H907" s="14" t="inlineStr"/>
    </row>
    <row r="908">
      <c r="A908" s="7">
        <f>'02 价格(主口径)'!A117</f>
        <v/>
      </c>
      <c r="C908" s="8" t="inlineStr">
        <is>
          <t>JS</t>
        </is>
      </c>
      <c r="D908" s="8" t="inlineStr">
        <is>
          <t>HB</t>
        </is>
      </c>
      <c r="E908" s="16">
        <f>'02 价格(主口径)'!D117</f>
        <v/>
      </c>
      <c r="F908" s="16">
        <f>'02 价格(主口径)'!C117</f>
        <v/>
      </c>
      <c r="G908" s="17">
        <f>IF(OR(E908="",F908=""),"",E908-F908)</f>
        <v/>
      </c>
      <c r="H908" s="14" t="inlineStr"/>
    </row>
    <row r="909">
      <c r="A909" s="7">
        <f>'02 价格(主口径)'!A118</f>
        <v/>
      </c>
      <c r="C909" s="8" t="inlineStr">
        <is>
          <t>JS</t>
        </is>
      </c>
      <c r="D909" s="8" t="inlineStr">
        <is>
          <t>HB</t>
        </is>
      </c>
      <c r="E909" s="16">
        <f>'02 价格(主口径)'!D118</f>
        <v/>
      </c>
      <c r="F909" s="16">
        <f>'02 价格(主口径)'!C118</f>
        <v/>
      </c>
      <c r="G909" s="17">
        <f>IF(OR(E909="",F909=""),"",E909-F909)</f>
        <v/>
      </c>
      <c r="H909" s="14" t="inlineStr"/>
    </row>
    <row r="910">
      <c r="A910" s="7">
        <f>'02 价格(主口径)'!A119</f>
        <v/>
      </c>
      <c r="C910" s="8" t="inlineStr">
        <is>
          <t>JS</t>
        </is>
      </c>
      <c r="D910" s="8" t="inlineStr">
        <is>
          <t>HB</t>
        </is>
      </c>
      <c r="E910" s="16">
        <f>'02 价格(主口径)'!D119</f>
        <v/>
      </c>
      <c r="F910" s="16">
        <f>'02 价格(主口径)'!C119</f>
        <v/>
      </c>
      <c r="G910" s="17">
        <f>IF(OR(E910="",F910=""),"",E910-F910)</f>
        <v/>
      </c>
      <c r="H910" s="14" t="inlineStr"/>
    </row>
    <row r="911">
      <c r="A911" s="7">
        <f>'02 价格(主口径)'!A120</f>
        <v/>
      </c>
      <c r="C911" s="8" t="inlineStr">
        <is>
          <t>JS</t>
        </is>
      </c>
      <c r="D911" s="8" t="inlineStr">
        <is>
          <t>HB</t>
        </is>
      </c>
      <c r="E911" s="16">
        <f>'02 价格(主口径)'!D120</f>
        <v/>
      </c>
      <c r="F911" s="16">
        <f>'02 价格(主口径)'!C120</f>
        <v/>
      </c>
      <c r="G911" s="17">
        <f>IF(OR(E911="",F911=""),"",E911-F911)</f>
        <v/>
      </c>
      <c r="H911" s="14" t="inlineStr"/>
    </row>
    <row r="912">
      <c r="A912" s="7">
        <f>'02 价格(主口径)'!A121</f>
        <v/>
      </c>
      <c r="C912" s="8" t="inlineStr">
        <is>
          <t>JS</t>
        </is>
      </c>
      <c r="D912" s="8" t="inlineStr">
        <is>
          <t>HB</t>
        </is>
      </c>
      <c r="E912" s="16">
        <f>'02 价格(主口径)'!D121</f>
        <v/>
      </c>
      <c r="F912" s="16">
        <f>'02 价格(主口径)'!C121</f>
        <v/>
      </c>
      <c r="G912" s="17">
        <f>IF(OR(E912="",F912=""),"",E912-F912)</f>
        <v/>
      </c>
      <c r="H912" s="14" t="inlineStr"/>
    </row>
    <row r="913">
      <c r="A913" s="7">
        <f>'02 价格(主口径)'!A122</f>
        <v/>
      </c>
      <c r="C913" s="8" t="inlineStr">
        <is>
          <t>JS</t>
        </is>
      </c>
      <c r="D913" s="8" t="inlineStr">
        <is>
          <t>HB</t>
        </is>
      </c>
      <c r="E913" s="16">
        <f>'02 价格(主口径)'!D122</f>
        <v/>
      </c>
      <c r="F913" s="16">
        <f>'02 价格(主口径)'!C122</f>
        <v/>
      </c>
      <c r="G913" s="17">
        <f>IF(OR(E913="",F913=""),"",E913-F913)</f>
        <v/>
      </c>
      <c r="H913" s="14" t="inlineStr"/>
    </row>
    <row r="914">
      <c r="A914" s="7">
        <f>'02 价格(主口径)'!A123</f>
        <v/>
      </c>
      <c r="C914" s="8" t="inlineStr">
        <is>
          <t>JS</t>
        </is>
      </c>
      <c r="D914" s="8" t="inlineStr">
        <is>
          <t>HB</t>
        </is>
      </c>
      <c r="E914" s="16">
        <f>'02 价格(主口径)'!D123</f>
        <v/>
      </c>
      <c r="F914" s="16">
        <f>'02 价格(主口径)'!C123</f>
        <v/>
      </c>
      <c r="G914" s="17">
        <f>IF(OR(E914="",F914=""),"",E914-F914)</f>
        <v/>
      </c>
      <c r="H914" s="14" t="inlineStr"/>
    </row>
    <row r="915">
      <c r="A915" s="7">
        <f>'02 价格(主口径)'!A124</f>
        <v/>
      </c>
      <c r="C915" s="8" t="inlineStr">
        <is>
          <t>JS</t>
        </is>
      </c>
      <c r="D915" s="8" t="inlineStr">
        <is>
          <t>HB</t>
        </is>
      </c>
      <c r="E915" s="16">
        <f>'02 价格(主口径)'!D124</f>
        <v/>
      </c>
      <c r="F915" s="16">
        <f>'02 价格(主口径)'!C124</f>
        <v/>
      </c>
      <c r="G915" s="17">
        <f>IF(OR(E915="",F915=""),"",E915-F915)</f>
        <v/>
      </c>
      <c r="H915" s="14" t="inlineStr"/>
    </row>
    <row r="916">
      <c r="A916" s="7">
        <f>'02 价格(主口径)'!A125</f>
        <v/>
      </c>
      <c r="C916" s="8" t="inlineStr">
        <is>
          <t>JS</t>
        </is>
      </c>
      <c r="D916" s="8" t="inlineStr">
        <is>
          <t>HB</t>
        </is>
      </c>
      <c r="E916" s="16">
        <f>'02 价格(主口径)'!D125</f>
        <v/>
      </c>
      <c r="F916" s="16">
        <f>'02 价格(主口径)'!C125</f>
        <v/>
      </c>
      <c r="G916" s="17">
        <f>IF(OR(E916="",F916=""),"",E916-F916)</f>
        <v/>
      </c>
      <c r="H916" s="14" t="inlineStr"/>
    </row>
    <row r="917">
      <c r="A917" s="7">
        <f>'02 价格(主口径)'!A126</f>
        <v/>
      </c>
      <c r="C917" s="8" t="inlineStr">
        <is>
          <t>JS</t>
        </is>
      </c>
      <c r="D917" s="8" t="inlineStr">
        <is>
          <t>HB</t>
        </is>
      </c>
      <c r="E917" s="16">
        <f>'02 价格(主口径)'!D126</f>
        <v/>
      </c>
      <c r="F917" s="16">
        <f>'02 价格(主口径)'!C126</f>
        <v/>
      </c>
      <c r="G917" s="17">
        <f>IF(OR(E917="",F917=""),"",E917-F917)</f>
        <v/>
      </c>
      <c r="H917" s="14" t="inlineStr"/>
    </row>
    <row r="918">
      <c r="A918" s="7">
        <f>'02 价格(主口径)'!A127</f>
        <v/>
      </c>
      <c r="C918" s="8" t="inlineStr">
        <is>
          <t>JS</t>
        </is>
      </c>
      <c r="D918" s="8" t="inlineStr">
        <is>
          <t>HB</t>
        </is>
      </c>
      <c r="E918" s="16">
        <f>'02 价格(主口径)'!D127</f>
        <v/>
      </c>
      <c r="F918" s="16">
        <f>'02 价格(主口径)'!C127</f>
        <v/>
      </c>
      <c r="G918" s="17">
        <f>IF(OR(E918="",F918=""),"",E918-F918)</f>
        <v/>
      </c>
      <c r="H918" s="14" t="inlineStr"/>
    </row>
    <row r="919">
      <c r="A919" s="7">
        <f>'02 价格(主口径)'!A128</f>
        <v/>
      </c>
      <c r="C919" s="8" t="inlineStr">
        <is>
          <t>JS</t>
        </is>
      </c>
      <c r="D919" s="8" t="inlineStr">
        <is>
          <t>HB</t>
        </is>
      </c>
      <c r="E919" s="16">
        <f>'02 价格(主口径)'!D128</f>
        <v/>
      </c>
      <c r="F919" s="16">
        <f>'02 价格(主口径)'!C128</f>
        <v/>
      </c>
      <c r="G919" s="17">
        <f>IF(OR(E919="",F919=""),"",E919-F919)</f>
        <v/>
      </c>
      <c r="H919" s="14" t="inlineStr"/>
    </row>
    <row r="920">
      <c r="A920" s="7">
        <f>'02 价格(主口径)'!A129</f>
        <v/>
      </c>
      <c r="C920" s="8" t="inlineStr">
        <is>
          <t>JS</t>
        </is>
      </c>
      <c r="D920" s="8" t="inlineStr">
        <is>
          <t>HB</t>
        </is>
      </c>
      <c r="E920" s="16">
        <f>'02 价格(主口径)'!D129</f>
        <v/>
      </c>
      <c r="F920" s="16">
        <f>'02 价格(主口径)'!C129</f>
        <v/>
      </c>
      <c r="G920" s="17">
        <f>IF(OR(E920="",F920=""),"",E920-F920)</f>
        <v/>
      </c>
      <c r="H920" s="14" t="inlineStr"/>
    </row>
    <row r="921">
      <c r="A921" s="7">
        <f>'02 价格(主口径)'!A130</f>
        <v/>
      </c>
      <c r="C921" s="8" t="inlineStr">
        <is>
          <t>JS</t>
        </is>
      </c>
      <c r="D921" s="8" t="inlineStr">
        <is>
          <t>HB</t>
        </is>
      </c>
      <c r="E921" s="16">
        <f>'02 价格(主口径)'!D130</f>
        <v/>
      </c>
      <c r="F921" s="16">
        <f>'02 价格(主口径)'!C130</f>
        <v/>
      </c>
      <c r="G921" s="17">
        <f>IF(OR(E921="",F921=""),"",E921-F921)</f>
        <v/>
      </c>
      <c r="H921" s="14" t="inlineStr"/>
    </row>
    <row r="922">
      <c r="A922" s="7">
        <f>'02 价格(主口径)'!A131</f>
        <v/>
      </c>
      <c r="C922" s="8" t="inlineStr">
        <is>
          <t>JS</t>
        </is>
      </c>
      <c r="D922" s="8" t="inlineStr">
        <is>
          <t>HB</t>
        </is>
      </c>
      <c r="E922" s="16">
        <f>'02 价格(主口径)'!D131</f>
        <v/>
      </c>
      <c r="F922" s="16">
        <f>'02 价格(主口径)'!C131</f>
        <v/>
      </c>
      <c r="G922" s="17">
        <f>IF(OR(E922="",F922=""),"",E922-F922)</f>
        <v/>
      </c>
      <c r="H922" s="14" t="inlineStr"/>
    </row>
    <row r="923">
      <c r="A923" s="7">
        <f>'02 价格(主口径)'!A132</f>
        <v/>
      </c>
      <c r="C923" s="8" t="inlineStr">
        <is>
          <t>JS</t>
        </is>
      </c>
      <c r="D923" s="8" t="inlineStr">
        <is>
          <t>HB</t>
        </is>
      </c>
      <c r="E923" s="16">
        <f>'02 价格(主口径)'!D132</f>
        <v/>
      </c>
      <c r="F923" s="16">
        <f>'02 价格(主口径)'!C132</f>
        <v/>
      </c>
      <c r="G923" s="17">
        <f>IF(OR(E923="",F923=""),"",E923-F923)</f>
        <v/>
      </c>
      <c r="H923" s="14" t="inlineStr"/>
    </row>
    <row r="924">
      <c r="A924" s="7">
        <f>'02 价格(主口径)'!A133</f>
        <v/>
      </c>
      <c r="C924" s="8" t="inlineStr">
        <is>
          <t>JS</t>
        </is>
      </c>
      <c r="D924" s="8" t="inlineStr">
        <is>
          <t>HB</t>
        </is>
      </c>
      <c r="E924" s="16">
        <f>'02 价格(主口径)'!D133</f>
        <v/>
      </c>
      <c r="F924" s="16">
        <f>'02 价格(主口径)'!C133</f>
        <v/>
      </c>
      <c r="G924" s="17">
        <f>IF(OR(E924="",F924=""),"",E924-F924)</f>
        <v/>
      </c>
      <c r="H924" s="14" t="inlineStr"/>
    </row>
    <row r="925">
      <c r="A925" s="7">
        <f>'02 价格(主口径)'!A134</f>
        <v/>
      </c>
      <c r="C925" s="8" t="inlineStr">
        <is>
          <t>JS</t>
        </is>
      </c>
      <c r="D925" s="8" t="inlineStr">
        <is>
          <t>HB</t>
        </is>
      </c>
      <c r="E925" s="16">
        <f>'02 价格(主口径)'!D134</f>
        <v/>
      </c>
      <c r="F925" s="16">
        <f>'02 价格(主口径)'!C134</f>
        <v/>
      </c>
      <c r="G925" s="17">
        <f>IF(OR(E925="",F925=""),"",E925-F925)</f>
        <v/>
      </c>
      <c r="H925" s="14" t="inlineStr"/>
    </row>
    <row r="926">
      <c r="A926" s="7">
        <f>'02 价格(主口径)'!A135</f>
        <v/>
      </c>
      <c r="C926" s="8" t="inlineStr">
        <is>
          <t>JS</t>
        </is>
      </c>
      <c r="D926" s="8" t="inlineStr">
        <is>
          <t>HB</t>
        </is>
      </c>
      <c r="E926" s="16">
        <f>'02 价格(主口径)'!D135</f>
        <v/>
      </c>
      <c r="F926" s="16">
        <f>'02 价格(主口径)'!C135</f>
        <v/>
      </c>
      <c r="G926" s="17">
        <f>IF(OR(E926="",F926=""),"",E926-F926)</f>
        <v/>
      </c>
      <c r="H926" s="14" t="inlineStr"/>
    </row>
    <row r="927">
      <c r="A927" s="7">
        <f>'02 价格(主口径)'!A136</f>
        <v/>
      </c>
      <c r="C927" s="8" t="inlineStr">
        <is>
          <t>JS</t>
        </is>
      </c>
      <c r="D927" s="8" t="inlineStr">
        <is>
          <t>HB</t>
        </is>
      </c>
      <c r="E927" s="16">
        <f>'02 价格(主口径)'!D136</f>
        <v/>
      </c>
      <c r="F927" s="16">
        <f>'02 价格(主口径)'!C136</f>
        <v/>
      </c>
      <c r="G927" s="17">
        <f>IF(OR(E927="",F927=""),"",E927-F927)</f>
        <v/>
      </c>
      <c r="H927" s="14" t="inlineStr"/>
    </row>
    <row r="928">
      <c r="A928" s="7">
        <f>'02 价格(主口径)'!A137</f>
        <v/>
      </c>
      <c r="C928" s="8" t="inlineStr">
        <is>
          <t>JS</t>
        </is>
      </c>
      <c r="D928" s="8" t="inlineStr">
        <is>
          <t>HB</t>
        </is>
      </c>
      <c r="E928" s="16">
        <f>'02 价格(主口径)'!D137</f>
        <v/>
      </c>
      <c r="F928" s="16">
        <f>'02 价格(主口径)'!C137</f>
        <v/>
      </c>
      <c r="G928" s="17">
        <f>IF(OR(E928="",F928=""),"",E928-F928)</f>
        <v/>
      </c>
      <c r="H928" s="14" t="inlineStr"/>
    </row>
    <row r="929">
      <c r="A929" s="7">
        <f>'02 价格(主口径)'!A138</f>
        <v/>
      </c>
      <c r="C929" s="8" t="inlineStr">
        <is>
          <t>JS</t>
        </is>
      </c>
      <c r="D929" s="8" t="inlineStr">
        <is>
          <t>HB</t>
        </is>
      </c>
      <c r="E929" s="16">
        <f>'02 价格(主口径)'!D138</f>
        <v/>
      </c>
      <c r="F929" s="16">
        <f>'02 价格(主口径)'!C138</f>
        <v/>
      </c>
      <c r="G929" s="17">
        <f>IF(OR(E929="",F929=""),"",E929-F929)</f>
        <v/>
      </c>
      <c r="H929" s="14" t="inlineStr"/>
    </row>
    <row r="930">
      <c r="A930" s="7">
        <f>'02 价格(主口径)'!A139</f>
        <v/>
      </c>
      <c r="C930" s="8" t="inlineStr">
        <is>
          <t>JS</t>
        </is>
      </c>
      <c r="D930" s="8" t="inlineStr">
        <is>
          <t>HB</t>
        </is>
      </c>
      <c r="E930" s="16">
        <f>'02 价格(主口径)'!D139</f>
        <v/>
      </c>
      <c r="F930" s="16">
        <f>'02 价格(主口径)'!C139</f>
        <v/>
      </c>
      <c r="G930" s="17">
        <f>IF(OR(E930="",F930=""),"",E930-F930)</f>
        <v/>
      </c>
      <c r="H930" s="14" t="inlineStr"/>
    </row>
    <row r="931">
      <c r="A931" s="7">
        <f>'02 价格(主口径)'!A140</f>
        <v/>
      </c>
      <c r="C931" s="8" t="inlineStr">
        <is>
          <t>JS</t>
        </is>
      </c>
      <c r="D931" s="8" t="inlineStr">
        <is>
          <t>HB</t>
        </is>
      </c>
      <c r="E931" s="16">
        <f>'02 价格(主口径)'!D140</f>
        <v/>
      </c>
      <c r="F931" s="16">
        <f>'02 价格(主口径)'!C140</f>
        <v/>
      </c>
      <c r="G931" s="17">
        <f>IF(OR(E931="",F931=""),"",E931-F931)</f>
        <v/>
      </c>
      <c r="H931" s="14" t="inlineStr"/>
    </row>
    <row r="932">
      <c r="A932" s="7">
        <f>'02 价格(主口径)'!A141</f>
        <v/>
      </c>
      <c r="C932" s="8" t="inlineStr">
        <is>
          <t>JS</t>
        </is>
      </c>
      <c r="D932" s="8" t="inlineStr">
        <is>
          <t>HB</t>
        </is>
      </c>
      <c r="E932" s="16">
        <f>'02 价格(主口径)'!D141</f>
        <v/>
      </c>
      <c r="F932" s="16">
        <f>'02 价格(主口径)'!C141</f>
        <v/>
      </c>
      <c r="G932" s="17">
        <f>IF(OR(E932="",F932=""),"",E932-F932)</f>
        <v/>
      </c>
      <c r="H932" s="14" t="inlineStr"/>
    </row>
    <row r="933">
      <c r="A933" s="7">
        <f>'02 价格(主口径)'!A142</f>
        <v/>
      </c>
      <c r="C933" s="8" t="inlineStr">
        <is>
          <t>JS</t>
        </is>
      </c>
      <c r="D933" s="8" t="inlineStr">
        <is>
          <t>HB</t>
        </is>
      </c>
      <c r="E933" s="16">
        <f>'02 价格(主口径)'!D142</f>
        <v/>
      </c>
      <c r="F933" s="16">
        <f>'02 价格(主口径)'!C142</f>
        <v/>
      </c>
      <c r="G933" s="17">
        <f>IF(OR(E933="",F933=""),"",E933-F933)</f>
        <v/>
      </c>
      <c r="H933" s="14" t="inlineStr"/>
    </row>
    <row r="934">
      <c r="A934" s="7">
        <f>'02 价格(主口径)'!A143</f>
        <v/>
      </c>
      <c r="C934" s="8" t="inlineStr">
        <is>
          <t>JS</t>
        </is>
      </c>
      <c r="D934" s="8" t="inlineStr">
        <is>
          <t>HB</t>
        </is>
      </c>
      <c r="E934" s="16">
        <f>'02 价格(主口径)'!D143</f>
        <v/>
      </c>
      <c r="F934" s="16">
        <f>'02 价格(主口径)'!C143</f>
        <v/>
      </c>
      <c r="G934" s="17">
        <f>IF(OR(E934="",F934=""),"",E934-F934)</f>
        <v/>
      </c>
      <c r="H934" s="14" t="inlineStr"/>
    </row>
    <row r="935">
      <c r="A935" s="7">
        <f>'02 价格(主口径)'!A144</f>
        <v/>
      </c>
      <c r="C935" s="8" t="inlineStr">
        <is>
          <t>JS</t>
        </is>
      </c>
      <c r="D935" s="8" t="inlineStr">
        <is>
          <t>HB</t>
        </is>
      </c>
      <c r="E935" s="16">
        <f>'02 价格(主口径)'!D144</f>
        <v/>
      </c>
      <c r="F935" s="16">
        <f>'02 价格(主口径)'!C144</f>
        <v/>
      </c>
      <c r="G935" s="17">
        <f>IF(OR(E935="",F935=""),"",E935-F935)</f>
        <v/>
      </c>
      <c r="H935" s="14" t="inlineStr"/>
    </row>
    <row r="936">
      <c r="A936" s="7">
        <f>'02 价格(主口径)'!A145</f>
        <v/>
      </c>
      <c r="C936" s="8" t="inlineStr">
        <is>
          <t>JS</t>
        </is>
      </c>
      <c r="D936" s="8" t="inlineStr">
        <is>
          <t>HB</t>
        </is>
      </c>
      <c r="E936" s="16">
        <f>'02 价格(主口径)'!D145</f>
        <v/>
      </c>
      <c r="F936" s="16">
        <f>'02 价格(主口径)'!C145</f>
        <v/>
      </c>
      <c r="G936" s="17">
        <f>IF(OR(E936="",F936=""),"",E936-F936)</f>
        <v/>
      </c>
      <c r="H936" s="14" t="inlineStr"/>
    </row>
    <row r="937">
      <c r="A937" s="7">
        <f>'02 价格(主口径)'!A146</f>
        <v/>
      </c>
      <c r="C937" s="8" t="inlineStr">
        <is>
          <t>JS</t>
        </is>
      </c>
      <c r="D937" s="8" t="inlineStr">
        <is>
          <t>HB</t>
        </is>
      </c>
      <c r="E937" s="16">
        <f>'02 价格(主口径)'!D146</f>
        <v/>
      </c>
      <c r="F937" s="16">
        <f>'02 价格(主口径)'!C146</f>
        <v/>
      </c>
      <c r="G937" s="17">
        <f>IF(OR(E937="",F937=""),"",E937-F937)</f>
        <v/>
      </c>
      <c r="H937" s="14" t="inlineStr"/>
    </row>
    <row r="938">
      <c r="A938" s="7">
        <f>'02 价格(主口径)'!A147</f>
        <v/>
      </c>
      <c r="C938" s="8" t="inlineStr">
        <is>
          <t>JS</t>
        </is>
      </c>
      <c r="D938" s="8" t="inlineStr">
        <is>
          <t>HB</t>
        </is>
      </c>
      <c r="E938" s="16">
        <f>'02 价格(主口径)'!D147</f>
        <v/>
      </c>
      <c r="F938" s="16">
        <f>'02 价格(主口径)'!C147</f>
        <v/>
      </c>
      <c r="G938" s="17">
        <f>IF(OR(E938="",F938=""),"",E938-F938)</f>
        <v/>
      </c>
      <c r="H938" s="14" t="inlineStr"/>
    </row>
    <row r="939">
      <c r="A939" s="7">
        <f>'02 价格(主口径)'!A148</f>
        <v/>
      </c>
      <c r="C939" s="8" t="inlineStr">
        <is>
          <t>JS</t>
        </is>
      </c>
      <c r="D939" s="8" t="inlineStr">
        <is>
          <t>HB</t>
        </is>
      </c>
      <c r="E939" s="16">
        <f>'02 价格(主口径)'!D148</f>
        <v/>
      </c>
      <c r="F939" s="16">
        <f>'02 价格(主口径)'!C148</f>
        <v/>
      </c>
      <c r="G939" s="17">
        <f>IF(OR(E939="",F939=""),"",E939-F939)</f>
        <v/>
      </c>
      <c r="H939" s="14" t="inlineStr"/>
    </row>
    <row r="940">
      <c r="A940" s="7">
        <f>'02 价格(主口径)'!A149</f>
        <v/>
      </c>
      <c r="C940" s="8" t="inlineStr">
        <is>
          <t>JS</t>
        </is>
      </c>
      <c r="D940" s="8" t="inlineStr">
        <is>
          <t>HB</t>
        </is>
      </c>
      <c r="E940" s="16">
        <f>'02 价格(主口径)'!D149</f>
        <v/>
      </c>
      <c r="F940" s="16">
        <f>'02 价格(主口径)'!C149</f>
        <v/>
      </c>
      <c r="G940" s="17">
        <f>IF(OR(E940="",F940=""),"",E940-F940)</f>
        <v/>
      </c>
      <c r="H940" s="14" t="inlineStr"/>
    </row>
    <row r="941">
      <c r="A941" s="7">
        <f>'02 价格(主口径)'!A150</f>
        <v/>
      </c>
      <c r="C941" s="8" t="inlineStr">
        <is>
          <t>JS</t>
        </is>
      </c>
      <c r="D941" s="8" t="inlineStr">
        <is>
          <t>HB</t>
        </is>
      </c>
      <c r="E941" s="16">
        <f>'02 价格(主口径)'!D150</f>
        <v/>
      </c>
      <c r="F941" s="16">
        <f>'02 价格(主口径)'!C150</f>
        <v/>
      </c>
      <c r="G941" s="17">
        <f>IF(OR(E941="",F941=""),"",E941-F941)</f>
        <v/>
      </c>
      <c r="H941" s="14" t="inlineStr"/>
    </row>
    <row r="942">
      <c r="A942" s="7">
        <f>'02 价格(主口径)'!A151</f>
        <v/>
      </c>
      <c r="C942" s="8" t="inlineStr">
        <is>
          <t>JS</t>
        </is>
      </c>
      <c r="D942" s="8" t="inlineStr">
        <is>
          <t>HB</t>
        </is>
      </c>
      <c r="E942" s="16">
        <f>'02 价格(主口径)'!D151</f>
        <v/>
      </c>
      <c r="F942" s="16">
        <f>'02 价格(主口径)'!C151</f>
        <v/>
      </c>
      <c r="G942" s="17">
        <f>IF(OR(E942="",F942=""),"",E942-F942)</f>
        <v/>
      </c>
      <c r="H942" s="14" t="inlineStr"/>
    </row>
    <row r="943">
      <c r="A943" s="7">
        <f>'02 价格(主口径)'!A152</f>
        <v/>
      </c>
      <c r="C943" s="8" t="inlineStr">
        <is>
          <t>JS</t>
        </is>
      </c>
      <c r="D943" s="8" t="inlineStr">
        <is>
          <t>HB</t>
        </is>
      </c>
      <c r="E943" s="16">
        <f>'02 价格(主口径)'!D152</f>
        <v/>
      </c>
      <c r="F943" s="16">
        <f>'02 价格(主口径)'!C152</f>
        <v/>
      </c>
      <c r="G943" s="17">
        <f>IF(OR(E943="",F943=""),"",E943-F943)</f>
        <v/>
      </c>
      <c r="H943" s="14" t="inlineStr"/>
    </row>
    <row r="944">
      <c r="A944" s="7">
        <f>'02 价格(主口径)'!A153</f>
        <v/>
      </c>
      <c r="C944" s="8" t="inlineStr">
        <is>
          <t>JS</t>
        </is>
      </c>
      <c r="D944" s="8" t="inlineStr">
        <is>
          <t>HB</t>
        </is>
      </c>
      <c r="E944" s="16">
        <f>'02 价格(主口径)'!D153</f>
        <v/>
      </c>
      <c r="F944" s="16">
        <f>'02 价格(主口径)'!C153</f>
        <v/>
      </c>
      <c r="G944" s="17">
        <f>IF(OR(E944="",F944=""),"",E944-F944)</f>
        <v/>
      </c>
      <c r="H944" s="14" t="inlineStr"/>
    </row>
    <row r="945">
      <c r="A945" s="7">
        <f>'02 价格(主口径)'!A154</f>
        <v/>
      </c>
      <c r="C945" s="8" t="inlineStr">
        <is>
          <t>JS</t>
        </is>
      </c>
      <c r="D945" s="8" t="inlineStr">
        <is>
          <t>HB</t>
        </is>
      </c>
      <c r="E945" s="16">
        <f>'02 价格(主口径)'!D154</f>
        <v/>
      </c>
      <c r="F945" s="16">
        <f>'02 价格(主口径)'!C154</f>
        <v/>
      </c>
      <c r="G945" s="17">
        <f>IF(OR(E945="",F945=""),"",E945-F945)</f>
        <v/>
      </c>
      <c r="H945" s="14" t="inlineStr"/>
    </row>
    <row r="946">
      <c r="A946" s="7">
        <f>'02 价格(主口径)'!A155</f>
        <v/>
      </c>
      <c r="C946" s="8" t="inlineStr">
        <is>
          <t>JS</t>
        </is>
      </c>
      <c r="D946" s="8" t="inlineStr">
        <is>
          <t>HB</t>
        </is>
      </c>
      <c r="E946" s="16">
        <f>'02 价格(主口径)'!D155</f>
        <v/>
      </c>
      <c r="F946" s="16">
        <f>'02 价格(主口径)'!C155</f>
        <v/>
      </c>
      <c r="G946" s="17">
        <f>IF(OR(E946="",F946=""),"",E946-F946)</f>
        <v/>
      </c>
      <c r="H946" s="14" t="inlineStr"/>
    </row>
    <row r="947">
      <c r="A947" s="7">
        <f>'02 价格(主口径)'!A156</f>
        <v/>
      </c>
      <c r="C947" s="8" t="inlineStr">
        <is>
          <t>JS</t>
        </is>
      </c>
      <c r="D947" s="8" t="inlineStr">
        <is>
          <t>HB</t>
        </is>
      </c>
      <c r="E947" s="16">
        <f>'02 价格(主口径)'!D156</f>
        <v/>
      </c>
      <c r="F947" s="16">
        <f>'02 价格(主口径)'!C156</f>
        <v/>
      </c>
      <c r="G947" s="17">
        <f>IF(OR(E947="",F947=""),"",E947-F947)</f>
        <v/>
      </c>
      <c r="H947" s="14" t="inlineStr"/>
    </row>
    <row r="948">
      <c r="A948" s="18" t="inlineStr">
        <is>
          <t>统计</t>
        </is>
      </c>
      <c r="B948" s="19" t="inlineStr">
        <is>
          <t>N（有效配对）</t>
        </is>
      </c>
      <c r="E948" s="20">
        <f>COUNT(G796:G947)</f>
        <v/>
      </c>
      <c r="F948" s="18" t="inlineStr">
        <is>
          <t>均值</t>
        </is>
      </c>
      <c r="G948" s="21">
        <f>IFERROR(AVERAGE(G796:G947),"")</f>
        <v/>
      </c>
      <c r="H948" s="22" t="inlineStr">
        <is>
          <t>价差方向：正值=江苏更贵</t>
        </is>
      </c>
    </row>
    <row r="949">
      <c r="A949" s="23" t="inlineStr">
        <is>
          <t>校验</t>
        </is>
      </c>
      <c r="B949" s="23" t="inlineStr">
        <is>
          <t>标准差</t>
        </is>
      </c>
      <c r="C949" s="24">
        <f>IFERROR(STDEV(G796:G947),"")</f>
        <v/>
      </c>
      <c r="D949" s="23" t="inlineStr">
        <is>
          <t>最小</t>
        </is>
      </c>
      <c r="E949" s="25">
        <f>IFERROR(MIN(G796:G947),"")</f>
        <v/>
      </c>
      <c r="F949" s="23" t="inlineStr">
        <is>
          <t>最大</t>
        </is>
      </c>
      <c r="G949" s="25">
        <f>IFERROR(MAX(G796:G947),"")</f>
        <v/>
      </c>
    </row>
    <row r="952" ht="26" customHeight="1">
      <c r="A952" s="15" t="inlineStr">
        <is>
          <t>说明：价差为空的日期=该日三地未同时有报价（缺口）。缺口不插值、不前向填充。</t>
        </is>
      </c>
    </row>
  </sheetData>
  <mergeCells count="15">
    <mergeCell ref="A4:H4"/>
    <mergeCell ref="A2:L2"/>
    <mergeCell ref="A162:H162"/>
    <mergeCell ref="A320:H320"/>
    <mergeCell ref="A794:H794"/>
    <mergeCell ref="A1:L1"/>
    <mergeCell ref="A478:H478"/>
    <mergeCell ref="B474:D474"/>
    <mergeCell ref="B632:D632"/>
    <mergeCell ref="B948:D948"/>
    <mergeCell ref="A952:H952"/>
    <mergeCell ref="B790:D790"/>
    <mergeCell ref="B316:D316"/>
    <mergeCell ref="B158:D158"/>
    <mergeCell ref="A636:H636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 ht="30" customHeight="1">
      <c r="A1" s="1" t="inlineStr">
        <is>
          <t>价差矩阵（当前，元/吨）</t>
        </is>
      </c>
    </row>
    <row r="2" ht="30" customHeight="1">
      <c r="A2" s="2" t="inlineStr">
        <is>
          <t>行 − 列。B4 起为矩阵主体；下方为等价校验（M[i][j] = −M[j][i]）。</t>
        </is>
      </c>
    </row>
    <row r="3">
      <c r="A3" s="26" t="inlineStr">
        <is>
          <t>行 − 列 ↓ / 列 →</t>
        </is>
      </c>
      <c r="B3" s="26" t="inlineStr">
        <is>
          <t>山东</t>
        </is>
      </c>
      <c r="C3" s="26" t="inlineStr">
        <is>
          <t>河北</t>
        </is>
      </c>
      <c r="D3" s="26" t="inlineStr">
        <is>
          <t>江苏</t>
        </is>
      </c>
    </row>
    <row r="4">
      <c r="A4" s="26" t="inlineStr">
        <is>
          <t>山东</t>
        </is>
      </c>
      <c r="B4" s="27" t="n">
        <v>0</v>
      </c>
      <c r="C4" s="28">
        <f>IFERROR('02 价格(主口径)'!B156-'02 价格(主口径)'!C156,"")</f>
        <v/>
      </c>
      <c r="D4" s="28">
        <f>IFERROR('02 价格(主口径)'!B156-'02 价格(主口径)'!D156,"")</f>
        <v/>
      </c>
    </row>
    <row r="5">
      <c r="A5" s="26" t="inlineStr">
        <is>
          <t>河北</t>
        </is>
      </c>
      <c r="B5" s="28">
        <f>IFERROR('02 价格(主口径)'!C156-'02 价格(主口径)'!B156,"")</f>
        <v/>
      </c>
      <c r="C5" s="27" t="n">
        <v>0</v>
      </c>
      <c r="D5" s="28">
        <f>IFERROR('02 价格(主口径)'!C156-'02 价格(主口径)'!D156,"")</f>
        <v/>
      </c>
    </row>
    <row r="6">
      <c r="A6" s="26" t="inlineStr">
        <is>
          <t>江苏</t>
        </is>
      </c>
      <c r="B6" s="28">
        <f>IFERROR('02 价格(主口径)'!D156-'02 价格(主口径)'!B156,"")</f>
        <v/>
      </c>
      <c r="C6" s="28">
        <f>IFERROR('02 价格(主口径)'!D156-'02 价格(主口径)'!C156,"")</f>
        <v/>
      </c>
      <c r="D6" s="27" t="n">
        <v>0</v>
      </c>
    </row>
    <row r="8">
      <c r="A8" s="5" t="inlineStr">
        <is>
          <t>等价校验</t>
        </is>
      </c>
    </row>
    <row r="9">
      <c r="A9" s="8" t="inlineStr">
        <is>
          <t>SD−HB</t>
        </is>
      </c>
      <c r="B9" s="16">
        <f>C4</f>
        <v/>
      </c>
      <c r="C9" s="8" t="inlineStr">
        <is>
          <t>HB−SD</t>
        </is>
      </c>
      <c r="D9" s="16">
        <f>B5</f>
        <v/>
      </c>
      <c r="E9" s="23">
        <f>IF(ABS(B9+D9)&lt;0.001,"✓ 互为相反数","✗ 异常")</f>
        <v/>
      </c>
      <c r="F9" s="29" t="n"/>
    </row>
    <row r="10">
      <c r="A10" s="8" t="inlineStr">
        <is>
          <t>SD−JS</t>
        </is>
      </c>
      <c r="B10" s="16">
        <f>D4</f>
        <v/>
      </c>
      <c r="C10" s="8" t="inlineStr">
        <is>
          <t>JS−SD</t>
        </is>
      </c>
      <c r="D10" s="16">
        <f>B6</f>
        <v/>
      </c>
      <c r="E10" s="23">
        <f>IF(ABS(B10+D10)&lt;0.001,"✓ 互为相反数","✗ 异常")</f>
        <v/>
      </c>
      <c r="F10" s="29" t="n"/>
    </row>
    <row r="11">
      <c r="A11" s="8" t="inlineStr">
        <is>
          <t>HB−JS</t>
        </is>
      </c>
      <c r="B11" s="16">
        <f>D5</f>
        <v/>
      </c>
      <c r="C11" s="8" t="inlineStr">
        <is>
          <t>JS−HB</t>
        </is>
      </c>
      <c r="D11" s="16">
        <f>C6</f>
        <v/>
      </c>
      <c r="E11" s="23">
        <f>IF(ABS(B11+D11)&lt;0.001,"✓ 互为相反数","✗ 异常")</f>
        <v/>
      </c>
      <c r="F11" s="29" t="n"/>
    </row>
  </sheetData>
  <mergeCells count="6">
    <mergeCell ref="A2:F2"/>
    <mergeCell ref="E10:F10"/>
    <mergeCell ref="A1:F1"/>
    <mergeCell ref="E11:F11"/>
    <mergeCell ref="A8:F8"/>
    <mergeCell ref="E9:F9"/>
  </mergeCells>
  <conditionalFormatting sqref="B4:D6">
    <cfRule type="colorScale" priority="1">
      <colorScale>
        <cfvo type="num" val="-150"/>
        <cfvo type="num" val="0"/>
        <cfvo type="num" val="150"/>
        <color rgb="003DDC97"/>
        <color rgb="00FFFFFF"/>
        <color rgb="00FF7A8A"/>
      </colorScale>
    </cfRule>
  </conditionalFormatting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J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1" customWidth="1" min="4" max="4"/>
    <col width="11" customWidth="1" min="5" max="5"/>
    <col width="8" customWidth="1" min="6" max="6"/>
    <col width="11" customWidth="1" min="7" max="7"/>
    <col width="8" customWidth="1" min="8" max="8"/>
    <col width="12" customWidth="1" min="9" max="9"/>
    <col width="24" customWidth="1" min="10" max="10"/>
  </cols>
  <sheetData>
    <row r="1" ht="30" customHeight="1">
      <c r="A1" s="1" t="inlineStr">
        <is>
          <t>当前价差的历史分位（公式实现，与 Python 同口径）</t>
        </is>
      </c>
    </row>
    <row r="2" ht="30" customHeight="1">
      <c r="A2" s="2" t="inlineStr">
        <is>
          <t>分位 = (COUNTIF(&lt;当前值) + 0.5×COUNTIF(=当前值)) / COUNT × 100%。窗口按自然日回溯 365 / 1095 天。</t>
        </is>
      </c>
    </row>
    <row r="3" ht="30" customHeight="1">
      <c r="A3" s="6" t="inlineStr">
        <is>
          <t>价差(甲−乙)</t>
        </is>
      </c>
      <c r="B3" s="6" t="inlineStr">
        <is>
          <t>甲</t>
        </is>
      </c>
      <c r="C3" s="6" t="inlineStr">
        <is>
          <t>乙</t>
        </is>
      </c>
      <c r="D3" s="6" t="inlineStr">
        <is>
          <t>当前值</t>
        </is>
      </c>
      <c r="E3" s="6" t="inlineStr">
        <is>
          <t>1y 分位</t>
        </is>
      </c>
      <c r="F3" s="6" t="inlineStr">
        <is>
          <t>1y N</t>
        </is>
      </c>
      <c r="G3" s="6" t="inlineStr">
        <is>
          <t>3y 分位</t>
        </is>
      </c>
      <c r="H3" s="6" t="inlineStr">
        <is>
          <t>3y N</t>
        </is>
      </c>
      <c r="I3" s="6" t="inlineStr">
        <is>
          <t>全样本分位</t>
        </is>
      </c>
      <c r="J3" s="6" t="inlineStr">
        <is>
          <t>位置判断</t>
        </is>
      </c>
    </row>
    <row r="4">
      <c r="A4" s="30" t="inlineStr">
        <is>
          <t>山东 − 河北</t>
        </is>
      </c>
      <c r="B4" s="8" t="inlineStr">
        <is>
          <t>SD</t>
        </is>
      </c>
      <c r="C4" s="8" t="inlineStr">
        <is>
          <t>HB</t>
        </is>
      </c>
      <c r="D4" s="31">
        <f>LOOKUP(2,1/('04 价差明细'!$G$6:$G$157&lt;&gt;""),'04 价差明细'!$G$6:$G$157)</f>
        <v/>
      </c>
      <c r="E4" s="32">
        <f>IF(SUMPRODUCT(('04 价差明细'!$A$6:$A$157&gt;'02 价格(主口径)'!$A$156-365)*ISNUMBER('04 价差明细'!$G$6:$G$157))=0,"",(SUMPRODUCT(('04 价差明细'!$A$6:$A$157&gt;'02 价格(主口径)'!$A$156-365)*ISNUMBER('04 价差明细'!$G$6:$G$157)*('04 价差明细'!$G$6:$G$157&lt;D4))+0.5*SUMPRODUCT(('04 价差明细'!$A$6:$A$157&gt;'02 价格(主口径)'!$A$156-365)*ISNUMBER('04 价差明细'!$G$6:$G$157)*('04 价差明细'!$G$6:$G$157=D4)))/SUMPRODUCT(('04 价差明细'!$A$6:$A$157&gt;'02 价格(主口径)'!$A$156-365)*ISNUMBER('04 价差明细'!$G$6:$G$157))*100)</f>
        <v/>
      </c>
      <c r="F4" s="13">
        <f>SUMPRODUCT(('04 价差明细'!$A$6:$A$157&gt;'02 价格(主口径)'!$A$156-365)*ISNUMBER('04 价差明细'!$G$6:$G$157))</f>
        <v/>
      </c>
      <c r="G4" s="32">
        <f>IF(SUMPRODUCT(('04 价差明细'!$A$6:$A$157&gt;'02 价格(主口径)'!$A$156-1095)*ISNUMBER('04 价差明细'!$G$6:$G$157))=0,"",(SUMPRODUCT(('04 价差明细'!$A$6:$A$157&gt;'02 价格(主口径)'!$A$156-1095)*ISNUMBER('04 价差明细'!$G$6:$G$157)*('04 价差明细'!$G$6:$G$157&lt;D4))+0.5*SUMPRODUCT(('04 价差明细'!$A$6:$A$157&gt;'02 价格(主口径)'!$A$156-1095)*ISNUMBER('04 价差明细'!$G$6:$G$157)*('04 价差明细'!$G$6:$G$157=D4)))/SUMPRODUCT(('04 价差明细'!$A$6:$A$157&gt;'02 价格(主口径)'!$A$156-1095)*ISNUMBER('04 价差明细'!$G$6:$G$157))*100)</f>
        <v/>
      </c>
      <c r="H4" s="13">
        <f>SUMPRODUCT(('04 价差明细'!$A$6:$A$157&gt;'02 价格(主口径)'!$A$156-1095)*ISNUMBER('04 价差明细'!$G$6:$G$157))</f>
        <v/>
      </c>
      <c r="I4" s="32">
        <f>IF(COUNT('04 价差明细'!$G$6:$G$157)=0,"",(COUNTIF('04 价差明细'!$G$6:$G$157,"&lt;"&amp;D4)+0.5*COUNTIF('04 价差明细'!$G$6:$G$157,D4))/COUNT('04 价差明细'!$G$6:$G$157)*100)</f>
        <v/>
      </c>
      <c r="J4" s="30">
        <f>IF(E4="","样本不足",IF(E4&gt;=90,"历史高位(≥P90)",IF(E4&gt;=75,"偏高(P75-P90)",IF(E4&gt;25,"中枢区间(P25-P75)",IF(E4&gt;10,"偏低(P10-P25)","历史低位(≤P10)")))))</f>
        <v/>
      </c>
    </row>
    <row r="5">
      <c r="A5" s="30" t="inlineStr">
        <is>
          <t>山东 − 江苏</t>
        </is>
      </c>
      <c r="B5" s="8" t="inlineStr">
        <is>
          <t>SD</t>
        </is>
      </c>
      <c r="C5" s="8" t="inlineStr">
        <is>
          <t>JS</t>
        </is>
      </c>
      <c r="D5" s="31">
        <f>LOOKUP(2,1/('04 价差明细'!$G$164:$G$315&lt;&gt;""),'04 价差明细'!$G$164:$G$315)</f>
        <v/>
      </c>
      <c r="E5" s="32">
        <f>IF(SUMPRODUCT(('04 价差明细'!$A$164:$A$315&gt;'02 价格(主口径)'!$A$156-365)*ISNUMBER('04 价差明细'!$G$164:$G$315))=0,"",(SUMPRODUCT(('04 价差明细'!$A$164:$A$315&gt;'02 价格(主口径)'!$A$156-365)*ISNUMBER('04 价差明细'!$G$164:$G$315)*('04 价差明细'!$G$164:$G$315&lt;D5))+0.5*SUMPRODUCT(('04 价差明细'!$A$164:$A$315&gt;'02 价格(主口径)'!$A$156-365)*ISNUMBER('04 价差明细'!$G$164:$G$315)*('04 价差明细'!$G$164:$G$315=D5)))/SUMPRODUCT(('04 价差明细'!$A$164:$A$315&gt;'02 价格(主口径)'!$A$156-365)*ISNUMBER('04 价差明细'!$G$164:$G$315))*100)</f>
        <v/>
      </c>
      <c r="F5" s="13">
        <f>SUMPRODUCT(('04 价差明细'!$A$164:$A$315&gt;'02 价格(主口径)'!$A$156-365)*ISNUMBER('04 价差明细'!$G$164:$G$315))</f>
        <v/>
      </c>
      <c r="G5" s="32">
        <f>IF(SUMPRODUCT(('04 价差明细'!$A$164:$A$315&gt;'02 价格(主口径)'!$A$156-1095)*ISNUMBER('04 价差明细'!$G$164:$G$315))=0,"",(SUMPRODUCT(('04 价差明细'!$A$164:$A$315&gt;'02 价格(主口径)'!$A$156-1095)*ISNUMBER('04 价差明细'!$G$164:$G$315)*('04 价差明细'!$G$164:$G$315&lt;D5))+0.5*SUMPRODUCT(('04 价差明细'!$A$164:$A$315&gt;'02 价格(主口径)'!$A$156-1095)*ISNUMBER('04 价差明细'!$G$164:$G$315)*('04 价差明细'!$G$164:$G$315=D5)))/SUMPRODUCT(('04 价差明细'!$A$164:$A$315&gt;'02 价格(主口径)'!$A$156-1095)*ISNUMBER('04 价差明细'!$G$164:$G$315))*100)</f>
        <v/>
      </c>
      <c r="H5" s="13">
        <f>SUMPRODUCT(('04 价差明细'!$A$164:$A$315&gt;'02 价格(主口径)'!$A$156-1095)*ISNUMBER('04 价差明细'!$G$164:$G$315))</f>
        <v/>
      </c>
      <c r="I5" s="32">
        <f>IF(COUNT('04 价差明细'!$G$164:$G$315)=0,"",(COUNTIF('04 价差明细'!$G$164:$G$315,"&lt;"&amp;D5)+0.5*COUNTIF('04 价差明细'!$G$164:$G$315,D5))/COUNT('04 价差明细'!$G$164:$G$315)*100)</f>
        <v/>
      </c>
      <c r="J5" s="30">
        <f>IF(E5="","样本不足",IF(E5&gt;=90,"历史高位(≥P90)",IF(E5&gt;=75,"偏高(P75-P90)",IF(E5&gt;25,"中枢区间(P25-P75)",IF(E5&gt;10,"偏低(P10-P25)","历史低位(≤P10)")))))</f>
        <v/>
      </c>
    </row>
    <row r="6">
      <c r="A6" s="30" t="inlineStr">
        <is>
          <t>河北 − 山东</t>
        </is>
      </c>
      <c r="B6" s="8" t="inlineStr">
        <is>
          <t>HB</t>
        </is>
      </c>
      <c r="C6" s="8" t="inlineStr">
        <is>
          <t>SD</t>
        </is>
      </c>
      <c r="D6" s="31">
        <f>LOOKUP(2,1/('04 价差明细'!$G$322:$G$473&lt;&gt;""),'04 价差明细'!$G$322:$G$473)</f>
        <v/>
      </c>
      <c r="E6" s="32">
        <f>IF(SUMPRODUCT(('04 价差明细'!$A$322:$A$473&gt;'02 价格(主口径)'!$A$156-365)*ISNUMBER('04 价差明细'!$G$322:$G$473))=0,"",(SUMPRODUCT(('04 价差明细'!$A$322:$A$473&gt;'02 价格(主口径)'!$A$156-365)*ISNUMBER('04 价差明细'!$G$322:$G$473)*('04 价差明细'!$G$322:$G$473&lt;D6))+0.5*SUMPRODUCT(('04 价差明细'!$A$322:$A$473&gt;'02 价格(主口径)'!$A$156-365)*ISNUMBER('04 价差明细'!$G$322:$G$473)*('04 价差明细'!$G$322:$G$473=D6)))/SUMPRODUCT(('04 价差明细'!$A$322:$A$473&gt;'02 价格(主口径)'!$A$156-365)*ISNUMBER('04 价差明细'!$G$322:$G$473))*100)</f>
        <v/>
      </c>
      <c r="F6" s="13">
        <f>SUMPRODUCT(('04 价差明细'!$A$322:$A$473&gt;'02 价格(主口径)'!$A$156-365)*ISNUMBER('04 价差明细'!$G$322:$G$473))</f>
        <v/>
      </c>
      <c r="G6" s="32">
        <f>IF(SUMPRODUCT(('04 价差明细'!$A$322:$A$473&gt;'02 价格(主口径)'!$A$156-1095)*ISNUMBER('04 价差明细'!$G$322:$G$473))=0,"",(SUMPRODUCT(('04 价差明细'!$A$322:$A$473&gt;'02 价格(主口径)'!$A$156-1095)*ISNUMBER('04 价差明细'!$G$322:$G$473)*('04 价差明细'!$G$322:$G$473&lt;D6))+0.5*SUMPRODUCT(('04 价差明细'!$A$322:$A$473&gt;'02 价格(主口径)'!$A$156-1095)*ISNUMBER('04 价差明细'!$G$322:$G$473)*('04 价差明细'!$G$322:$G$473=D6)))/SUMPRODUCT(('04 价差明细'!$A$322:$A$473&gt;'02 价格(主口径)'!$A$156-1095)*ISNUMBER('04 价差明细'!$G$322:$G$473))*100)</f>
        <v/>
      </c>
      <c r="H6" s="13">
        <f>SUMPRODUCT(('04 价差明细'!$A$322:$A$473&gt;'02 价格(主口径)'!$A$156-1095)*ISNUMBER('04 价差明细'!$G$322:$G$473))</f>
        <v/>
      </c>
      <c r="I6" s="32">
        <f>IF(COUNT('04 价差明细'!$G$322:$G$473)=0,"",(COUNTIF('04 价差明细'!$G$322:$G$473,"&lt;"&amp;D6)+0.5*COUNTIF('04 价差明细'!$G$322:$G$473,D6))/COUNT('04 价差明细'!$G$322:$G$473)*100)</f>
        <v/>
      </c>
      <c r="J6" s="30">
        <f>IF(E6="","样本不足",IF(E6&gt;=90,"历史高位(≥P90)",IF(E6&gt;=75,"偏高(P75-P90)",IF(E6&gt;25,"中枢区间(P25-P75)",IF(E6&gt;10,"偏低(P10-P25)","历史低位(≤P10)")))))</f>
        <v/>
      </c>
    </row>
    <row r="7">
      <c r="A7" s="30" t="inlineStr">
        <is>
          <t>河北 − 江苏</t>
        </is>
      </c>
      <c r="B7" s="8" t="inlineStr">
        <is>
          <t>HB</t>
        </is>
      </c>
      <c r="C7" s="8" t="inlineStr">
        <is>
          <t>JS</t>
        </is>
      </c>
      <c r="D7" s="31">
        <f>LOOKUP(2,1/('04 价差明细'!$G$480:$G$631&lt;&gt;""),'04 价差明细'!$G$480:$G$631)</f>
        <v/>
      </c>
      <c r="E7" s="32">
        <f>IF(SUMPRODUCT(('04 价差明细'!$A$480:$A$631&gt;'02 价格(主口径)'!$A$156-365)*ISNUMBER('04 价差明细'!$G$480:$G$631))=0,"",(SUMPRODUCT(('04 价差明细'!$A$480:$A$631&gt;'02 价格(主口径)'!$A$156-365)*ISNUMBER('04 价差明细'!$G$480:$G$631)*('04 价差明细'!$G$480:$G$631&lt;D7))+0.5*SUMPRODUCT(('04 价差明细'!$A$480:$A$631&gt;'02 价格(主口径)'!$A$156-365)*ISNUMBER('04 价差明细'!$G$480:$G$631)*('04 价差明细'!$G$480:$G$631=D7)))/SUMPRODUCT(('04 价差明细'!$A$480:$A$631&gt;'02 价格(主口径)'!$A$156-365)*ISNUMBER('04 价差明细'!$G$480:$G$631))*100)</f>
        <v/>
      </c>
      <c r="F7" s="13">
        <f>SUMPRODUCT(('04 价差明细'!$A$480:$A$631&gt;'02 价格(主口径)'!$A$156-365)*ISNUMBER('04 价差明细'!$G$480:$G$631))</f>
        <v/>
      </c>
      <c r="G7" s="32">
        <f>IF(SUMPRODUCT(('04 价差明细'!$A$480:$A$631&gt;'02 价格(主口径)'!$A$156-1095)*ISNUMBER('04 价差明细'!$G$480:$G$631))=0,"",(SUMPRODUCT(('04 价差明细'!$A$480:$A$631&gt;'02 价格(主口径)'!$A$156-1095)*ISNUMBER('04 价差明细'!$G$480:$G$631)*('04 价差明细'!$G$480:$G$631&lt;D7))+0.5*SUMPRODUCT(('04 价差明细'!$A$480:$A$631&gt;'02 价格(主口径)'!$A$156-1095)*ISNUMBER('04 价差明细'!$G$480:$G$631)*('04 价差明细'!$G$480:$G$631=D7)))/SUMPRODUCT(('04 价差明细'!$A$480:$A$631&gt;'02 价格(主口径)'!$A$156-1095)*ISNUMBER('04 价差明细'!$G$480:$G$631))*100)</f>
        <v/>
      </c>
      <c r="H7" s="13">
        <f>SUMPRODUCT(('04 价差明细'!$A$480:$A$631&gt;'02 价格(主口径)'!$A$156-1095)*ISNUMBER('04 价差明细'!$G$480:$G$631))</f>
        <v/>
      </c>
      <c r="I7" s="32">
        <f>IF(COUNT('04 价差明细'!$G$480:$G$631)=0,"",(COUNTIF('04 价差明细'!$G$480:$G$631,"&lt;"&amp;D7)+0.5*COUNTIF('04 价差明细'!$G$480:$G$631,D7))/COUNT('04 价差明细'!$G$480:$G$631)*100)</f>
        <v/>
      </c>
      <c r="J7" s="30">
        <f>IF(E7="","样本不足",IF(E7&gt;=90,"历史高位(≥P90)",IF(E7&gt;=75,"偏高(P75-P90)",IF(E7&gt;25,"中枢区间(P25-P75)",IF(E7&gt;10,"偏低(P10-P25)","历史低位(≤P10)")))))</f>
        <v/>
      </c>
    </row>
    <row r="8">
      <c r="A8" s="30" t="inlineStr">
        <is>
          <t>江苏 − 山东</t>
        </is>
      </c>
      <c r="B8" s="8" t="inlineStr">
        <is>
          <t>JS</t>
        </is>
      </c>
      <c r="C8" s="8" t="inlineStr">
        <is>
          <t>SD</t>
        </is>
      </c>
      <c r="D8" s="31">
        <f>LOOKUP(2,1/('04 价差明细'!$G$638:$G$789&lt;&gt;""),'04 价差明细'!$G$638:$G$789)</f>
        <v/>
      </c>
      <c r="E8" s="32">
        <f>IF(SUMPRODUCT(('04 价差明细'!$A$638:$A$789&gt;'02 价格(主口径)'!$A$156-365)*ISNUMBER('04 价差明细'!$G$638:$G$789))=0,"",(SUMPRODUCT(('04 价差明细'!$A$638:$A$789&gt;'02 价格(主口径)'!$A$156-365)*ISNUMBER('04 价差明细'!$G$638:$G$789)*('04 价差明细'!$G$638:$G$789&lt;D8))+0.5*SUMPRODUCT(('04 价差明细'!$A$638:$A$789&gt;'02 价格(主口径)'!$A$156-365)*ISNUMBER('04 价差明细'!$G$638:$G$789)*('04 价差明细'!$G$638:$G$789=D8)))/SUMPRODUCT(('04 价差明细'!$A$638:$A$789&gt;'02 价格(主口径)'!$A$156-365)*ISNUMBER('04 价差明细'!$G$638:$G$789))*100)</f>
        <v/>
      </c>
      <c r="F8" s="13">
        <f>SUMPRODUCT(('04 价差明细'!$A$638:$A$789&gt;'02 价格(主口径)'!$A$156-365)*ISNUMBER('04 价差明细'!$G$638:$G$789))</f>
        <v/>
      </c>
      <c r="G8" s="32">
        <f>IF(SUMPRODUCT(('04 价差明细'!$A$638:$A$789&gt;'02 价格(主口径)'!$A$156-1095)*ISNUMBER('04 价差明细'!$G$638:$G$789))=0,"",(SUMPRODUCT(('04 价差明细'!$A$638:$A$789&gt;'02 价格(主口径)'!$A$156-1095)*ISNUMBER('04 价差明细'!$G$638:$G$789)*('04 价差明细'!$G$638:$G$789&lt;D8))+0.5*SUMPRODUCT(('04 价差明细'!$A$638:$A$789&gt;'02 价格(主口径)'!$A$156-1095)*ISNUMBER('04 价差明细'!$G$638:$G$789)*('04 价差明细'!$G$638:$G$789=D8)))/SUMPRODUCT(('04 价差明细'!$A$638:$A$789&gt;'02 价格(主口径)'!$A$156-1095)*ISNUMBER('04 价差明细'!$G$638:$G$789))*100)</f>
        <v/>
      </c>
      <c r="H8" s="13">
        <f>SUMPRODUCT(('04 价差明细'!$A$638:$A$789&gt;'02 价格(主口径)'!$A$156-1095)*ISNUMBER('04 价差明细'!$G$638:$G$789))</f>
        <v/>
      </c>
      <c r="I8" s="32">
        <f>IF(COUNT('04 价差明细'!$G$638:$G$789)=0,"",(COUNTIF('04 价差明细'!$G$638:$G$789,"&lt;"&amp;D8)+0.5*COUNTIF('04 价差明细'!$G$638:$G$789,D8))/COUNT('04 价差明细'!$G$638:$G$789)*100)</f>
        <v/>
      </c>
      <c r="J8" s="30">
        <f>IF(E8="","样本不足",IF(E8&gt;=90,"历史高位(≥P90)",IF(E8&gt;=75,"偏高(P75-P90)",IF(E8&gt;25,"中枢区间(P25-P75)",IF(E8&gt;10,"偏低(P10-P25)","历史低位(≤P10)")))))</f>
        <v/>
      </c>
    </row>
    <row r="9">
      <c r="A9" s="30" t="inlineStr">
        <is>
          <t>江苏 − 河北</t>
        </is>
      </c>
      <c r="B9" s="8" t="inlineStr">
        <is>
          <t>JS</t>
        </is>
      </c>
      <c r="C9" s="8" t="inlineStr">
        <is>
          <t>HB</t>
        </is>
      </c>
      <c r="D9" s="31">
        <f>LOOKUP(2,1/('04 价差明细'!$G$796:$G$947&lt;&gt;""),'04 价差明细'!$G$796:$G$947)</f>
        <v/>
      </c>
      <c r="E9" s="32">
        <f>IF(SUMPRODUCT(('04 价差明细'!$A$796:$A$947&gt;'02 价格(主口径)'!$A$156-365)*ISNUMBER('04 价差明细'!$G$796:$G$947))=0,"",(SUMPRODUCT(('04 价差明细'!$A$796:$A$947&gt;'02 价格(主口径)'!$A$156-365)*ISNUMBER('04 价差明细'!$G$796:$G$947)*('04 价差明细'!$G$796:$G$947&lt;D9))+0.5*SUMPRODUCT(('04 价差明细'!$A$796:$A$947&gt;'02 价格(主口径)'!$A$156-365)*ISNUMBER('04 价差明细'!$G$796:$G$947)*('04 价差明细'!$G$796:$G$947=D9)))/SUMPRODUCT(('04 价差明细'!$A$796:$A$947&gt;'02 价格(主口径)'!$A$156-365)*ISNUMBER('04 价差明细'!$G$796:$G$947))*100)</f>
        <v/>
      </c>
      <c r="F9" s="13">
        <f>SUMPRODUCT(('04 价差明细'!$A$796:$A$947&gt;'02 价格(主口径)'!$A$156-365)*ISNUMBER('04 价差明细'!$G$796:$G$947))</f>
        <v/>
      </c>
      <c r="G9" s="32">
        <f>IF(SUMPRODUCT(('04 价差明细'!$A$796:$A$947&gt;'02 价格(主口径)'!$A$156-1095)*ISNUMBER('04 价差明细'!$G$796:$G$947))=0,"",(SUMPRODUCT(('04 价差明细'!$A$796:$A$947&gt;'02 价格(主口径)'!$A$156-1095)*ISNUMBER('04 价差明细'!$G$796:$G$947)*('04 价差明细'!$G$796:$G$947&lt;D9))+0.5*SUMPRODUCT(('04 价差明细'!$A$796:$A$947&gt;'02 价格(主口径)'!$A$156-1095)*ISNUMBER('04 价差明细'!$G$796:$G$947)*('04 价差明细'!$G$796:$G$947=D9)))/SUMPRODUCT(('04 价差明细'!$A$796:$A$947&gt;'02 价格(主口径)'!$A$156-1095)*ISNUMBER('04 价差明细'!$G$796:$G$947))*100)</f>
        <v/>
      </c>
      <c r="H9" s="13">
        <f>SUMPRODUCT(('04 价差明细'!$A$796:$A$947&gt;'02 价格(主口径)'!$A$156-1095)*ISNUMBER('04 价差明细'!$G$796:$G$947))</f>
        <v/>
      </c>
      <c r="I9" s="32">
        <f>IF(COUNT('04 价差明细'!$G$796:$G$947)=0,"",(COUNTIF('04 价差明细'!$G$796:$G$947,"&lt;"&amp;D9)+0.5*COUNTIF('04 价差明细'!$G$796:$G$947,D9))/COUNT('04 价差明细'!$G$796:$G$947)*100)</f>
        <v/>
      </c>
      <c r="J9" s="30">
        <f>IF(E9="","样本不足",IF(E9&gt;=90,"历史高位(≥P90)",IF(E9&gt;=75,"偏高(P75-P90)",IF(E9&gt;25,"中枢区间(P25-P75)",IF(E9&gt;10,"偏低(P10-P25)","历史低位(≤P10)")))))</f>
        <v/>
      </c>
    </row>
    <row r="11" ht="26" customHeight="1">
      <c r="A11" s="15" t="inlineStr">
        <is>
          <t>为什么用 COUNTIF 而不是 PERCENTRANK：PERCENTRANK 对并列值取最小秩，会把「重复报价」系统性地算偏；本表采用中秩（并列各算 0.5），与 Python percentile_of() 完全一致。</t>
        </is>
      </c>
    </row>
  </sheetData>
  <mergeCells count="3">
    <mergeCell ref="A11:J11"/>
    <mergeCell ref="A1:J1"/>
    <mergeCell ref="A2:J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H15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滚动 1 年分位（每个时点用「过去 1 年」样本计算）</t>
        </is>
      </c>
    </row>
    <row r="2" ht="30" customHeight="1">
      <c r="A2" s="2" t="inlineStr">
        <is>
          <t>样本 &lt;30 时不计算（留空），避免用 10 个点算出一个「看起来很确定」的分位。</t>
        </is>
      </c>
    </row>
    <row r="3" ht="30" customHeight="1">
      <c r="A3" s="6" t="inlineStr">
        <is>
          <t>日期</t>
        </is>
      </c>
      <c r="B3" s="6" t="inlineStr">
        <is>
          <t>山东−河北 分位</t>
        </is>
      </c>
      <c r="C3" s="6" t="inlineStr">
        <is>
          <t>山东−江苏 分位</t>
        </is>
      </c>
      <c r="D3" s="6" t="inlineStr">
        <is>
          <t>河北−山东 分位</t>
        </is>
      </c>
    </row>
    <row r="4">
      <c r="A4" s="11">
        <f>'02 价格(主口径)'!A5</f>
        <v/>
      </c>
      <c r="B4" s="7" t="n"/>
      <c r="C4" s="7" t="n"/>
      <c r="D4" s="7" t="n"/>
    </row>
    <row r="5">
      <c r="A5" s="11">
        <f>'02 价格(主口径)'!A6</f>
        <v/>
      </c>
      <c r="B5" s="7" t="n"/>
      <c r="C5" s="7" t="n"/>
      <c r="D5" s="7" t="n"/>
    </row>
    <row r="6">
      <c r="A6" s="11">
        <f>'02 价格(主口径)'!A7</f>
        <v/>
      </c>
      <c r="B6" s="7" t="n"/>
      <c r="C6" s="7" t="n"/>
      <c r="D6" s="7" t="n"/>
    </row>
    <row r="7">
      <c r="A7" s="11">
        <f>'02 价格(主口径)'!A8</f>
        <v/>
      </c>
      <c r="B7" s="7" t="n"/>
      <c r="C7" s="7" t="n"/>
      <c r="D7" s="7" t="n"/>
    </row>
    <row r="8">
      <c r="A8" s="11">
        <f>'02 价格(主口径)'!A9</f>
        <v/>
      </c>
      <c r="B8" s="7" t="n"/>
      <c r="C8" s="7" t="n"/>
      <c r="D8" s="7" t="n"/>
    </row>
    <row r="9">
      <c r="A9" s="11">
        <f>'02 价格(主口径)'!A10</f>
        <v/>
      </c>
      <c r="B9" s="7" t="n"/>
      <c r="C9" s="7" t="n"/>
      <c r="D9" s="7" t="n"/>
    </row>
    <row r="10">
      <c r="A10" s="11">
        <f>'02 价格(主口径)'!A11</f>
        <v/>
      </c>
      <c r="B10" s="7" t="n"/>
      <c r="C10" s="7" t="n"/>
      <c r="D10" s="7" t="n"/>
    </row>
    <row r="11">
      <c r="A11" s="11">
        <f>'02 价格(主口径)'!A12</f>
        <v/>
      </c>
      <c r="B11" s="7" t="n"/>
      <c r="C11" s="7" t="n"/>
      <c r="D11" s="7" t="n"/>
    </row>
    <row r="12">
      <c r="A12" s="11">
        <f>'02 价格(主口径)'!A13</f>
        <v/>
      </c>
      <c r="B12" s="7" t="n"/>
      <c r="C12" s="7" t="n"/>
      <c r="D12" s="7" t="n"/>
    </row>
    <row r="13">
      <c r="A13" s="11">
        <f>'02 价格(主口径)'!A14</f>
        <v/>
      </c>
      <c r="B13" s="7" t="n"/>
      <c r="C13" s="7" t="n"/>
      <c r="D13" s="7" t="n"/>
    </row>
    <row r="14">
      <c r="A14" s="11">
        <f>'02 价格(主口径)'!A15</f>
        <v/>
      </c>
      <c r="B14" s="7" t="n"/>
      <c r="C14" s="7" t="n"/>
      <c r="D14" s="7" t="n"/>
    </row>
    <row r="15">
      <c r="A15" s="11">
        <f>'02 价格(主口径)'!A16</f>
        <v/>
      </c>
      <c r="B15" s="7" t="n"/>
      <c r="C15" s="7" t="n"/>
      <c r="D15" s="7" t="n"/>
    </row>
    <row r="16">
      <c r="A16" s="11">
        <f>'02 价格(主口径)'!A17</f>
        <v/>
      </c>
      <c r="B16" s="7" t="n"/>
      <c r="C16" s="7" t="n"/>
      <c r="D16" s="7" t="n"/>
    </row>
    <row r="17">
      <c r="A17" s="11">
        <f>'02 价格(主口径)'!A18</f>
        <v/>
      </c>
      <c r="B17" s="7" t="n"/>
      <c r="C17" s="7" t="n"/>
      <c r="D17" s="7" t="n"/>
    </row>
    <row r="18">
      <c r="A18" s="11">
        <f>'02 价格(主口径)'!A19</f>
        <v/>
      </c>
      <c r="B18" s="7" t="n"/>
      <c r="C18" s="7" t="n"/>
      <c r="D18" s="7" t="n"/>
    </row>
    <row r="19">
      <c r="A19" s="11">
        <f>'02 价格(主口径)'!A20</f>
        <v/>
      </c>
      <c r="B19" s="7" t="n"/>
      <c r="C19" s="7" t="n"/>
      <c r="D19" s="7" t="n"/>
    </row>
    <row r="20">
      <c r="A20" s="11">
        <f>'02 价格(主口径)'!A21</f>
        <v/>
      </c>
      <c r="B20" s="7" t="n"/>
      <c r="C20" s="7" t="n"/>
      <c r="D20" s="7" t="n"/>
    </row>
    <row r="21">
      <c r="A21" s="11">
        <f>'02 价格(主口径)'!A22</f>
        <v/>
      </c>
      <c r="B21" s="7" t="n"/>
      <c r="C21" s="7" t="n"/>
      <c r="D21" s="7" t="n"/>
    </row>
    <row r="22">
      <c r="A22" s="11">
        <f>'02 价格(主口径)'!A23</f>
        <v/>
      </c>
      <c r="B22" s="7" t="n"/>
      <c r="C22" s="7" t="n"/>
      <c r="D22" s="7" t="n"/>
    </row>
    <row r="23">
      <c r="A23" s="11">
        <f>'02 价格(主口径)'!A24</f>
        <v/>
      </c>
      <c r="B23" s="7" t="n"/>
      <c r="C23" s="7" t="n"/>
      <c r="D23" s="7" t="n"/>
    </row>
    <row r="24">
      <c r="A24" s="11">
        <f>'02 价格(主口径)'!A25</f>
        <v/>
      </c>
      <c r="B24" s="7" t="n"/>
      <c r="C24" s="7" t="n"/>
      <c r="D24" s="7" t="n"/>
    </row>
    <row r="25">
      <c r="A25" s="11">
        <f>'02 价格(主口径)'!A26</f>
        <v/>
      </c>
      <c r="B25" s="7" t="n"/>
      <c r="C25" s="7" t="n"/>
      <c r="D25" s="7" t="n"/>
    </row>
    <row r="26">
      <c r="A26" s="11">
        <f>'02 价格(主口径)'!A27</f>
        <v/>
      </c>
      <c r="B26" s="7" t="n"/>
      <c r="C26" s="7" t="n"/>
      <c r="D26" s="7" t="n"/>
    </row>
    <row r="27">
      <c r="A27" s="11">
        <f>'02 价格(主口径)'!A28</f>
        <v/>
      </c>
      <c r="B27" s="7" t="n"/>
      <c r="C27" s="7" t="n"/>
      <c r="D27" s="7" t="n"/>
    </row>
    <row r="28">
      <c r="A28" s="11">
        <f>'02 价格(主口径)'!A29</f>
        <v/>
      </c>
      <c r="B28" s="7" t="n"/>
      <c r="C28" s="7" t="n"/>
      <c r="D28" s="7" t="n"/>
    </row>
    <row r="29">
      <c r="A29" s="11">
        <f>'02 价格(主口径)'!A30</f>
        <v/>
      </c>
      <c r="B29" s="7" t="n"/>
      <c r="C29" s="7" t="n"/>
      <c r="D29" s="7" t="n"/>
    </row>
    <row r="30">
      <c r="A30" s="11">
        <f>'02 价格(主口径)'!A31</f>
        <v/>
      </c>
      <c r="B30" s="7" t="n"/>
      <c r="C30" s="7" t="n"/>
      <c r="D30" s="7" t="n"/>
    </row>
    <row r="31">
      <c r="A31" s="11">
        <f>'02 价格(主口径)'!A32</f>
        <v/>
      </c>
      <c r="B31" s="7" t="n"/>
      <c r="C31" s="7" t="n"/>
      <c r="D31" s="7" t="n"/>
    </row>
    <row r="32">
      <c r="A32" s="11">
        <f>'02 价格(主口径)'!A33</f>
        <v/>
      </c>
      <c r="B32" s="7" t="n"/>
      <c r="C32" s="7" t="n"/>
      <c r="D32" s="7" t="n"/>
    </row>
    <row r="33">
      <c r="A33" s="11">
        <f>'02 价格(主口径)'!A34</f>
        <v/>
      </c>
      <c r="B33" s="32" t="n">
        <v>1.7</v>
      </c>
      <c r="C33" s="32" t="n">
        <v>65</v>
      </c>
      <c r="D33" s="32" t="n">
        <v>98.3</v>
      </c>
    </row>
    <row r="34">
      <c r="A34" s="11">
        <f>'02 价格(主口径)'!A35</f>
        <v/>
      </c>
      <c r="B34" s="32" t="n">
        <v>8.1</v>
      </c>
      <c r="C34" s="32" t="n">
        <v>87.09999999999999</v>
      </c>
      <c r="D34" s="32" t="n">
        <v>91.90000000000001</v>
      </c>
    </row>
    <row r="35">
      <c r="A35" s="11">
        <f>'02 价格(主口径)'!A36</f>
        <v/>
      </c>
      <c r="B35" s="32" t="n">
        <v>3.1</v>
      </c>
      <c r="C35" s="32" t="n">
        <v>96.90000000000001</v>
      </c>
      <c r="D35" s="32" t="n">
        <v>96.90000000000001</v>
      </c>
    </row>
    <row r="36">
      <c r="A36" s="11">
        <f>'02 价格(主口径)'!A37</f>
        <v/>
      </c>
      <c r="B36" s="32" t="n">
        <v>1.5</v>
      </c>
      <c r="C36" s="32" t="n">
        <v>83.3</v>
      </c>
      <c r="D36" s="32" t="n">
        <v>98.5</v>
      </c>
    </row>
    <row r="37">
      <c r="A37" s="11">
        <f>'02 价格(主口径)'!A38</f>
        <v/>
      </c>
      <c r="B37" s="32" t="n">
        <v>2.9</v>
      </c>
      <c r="C37" s="32" t="n">
        <v>98.5</v>
      </c>
      <c r="D37" s="32" t="n">
        <v>97.09999999999999</v>
      </c>
    </row>
    <row r="38">
      <c r="A38" s="11">
        <f>'02 价格(主口径)'!A39</f>
        <v/>
      </c>
      <c r="B38" s="32" t="n">
        <v>4.3</v>
      </c>
      <c r="C38" s="32" t="n">
        <v>98.59999999999999</v>
      </c>
      <c r="D38" s="32" t="n">
        <v>95.7</v>
      </c>
    </row>
    <row r="39">
      <c r="A39" s="11">
        <f>'02 价格(主口径)'!A40</f>
        <v/>
      </c>
      <c r="B39" s="32" t="n">
        <v>12.5</v>
      </c>
      <c r="C39" s="32" t="n">
        <v>98.59999999999999</v>
      </c>
      <c r="D39" s="32" t="n">
        <v>87.5</v>
      </c>
    </row>
    <row r="40">
      <c r="A40" s="11">
        <f>'02 价格(主口径)'!A41</f>
        <v/>
      </c>
      <c r="B40" s="32" t="n">
        <v>9.5</v>
      </c>
      <c r="C40" s="32" t="n">
        <v>97.3</v>
      </c>
      <c r="D40" s="32" t="n">
        <v>90.5</v>
      </c>
    </row>
    <row r="41">
      <c r="A41" s="11">
        <f>'02 价格(主口径)'!A42</f>
        <v/>
      </c>
      <c r="B41" s="32" t="n">
        <v>10.5</v>
      </c>
      <c r="C41" s="32" t="n">
        <v>89.5</v>
      </c>
      <c r="D41" s="32" t="n">
        <v>89.5</v>
      </c>
    </row>
    <row r="42">
      <c r="A42" s="11">
        <f>'02 价格(主口径)'!A43</f>
        <v/>
      </c>
      <c r="B42" s="32" t="n">
        <v>11.5</v>
      </c>
      <c r="C42" s="32" t="n">
        <v>83.3</v>
      </c>
      <c r="D42" s="32" t="n">
        <v>88.5</v>
      </c>
    </row>
    <row r="43">
      <c r="A43" s="11">
        <f>'02 价格(主口径)'!A44</f>
        <v/>
      </c>
      <c r="B43" s="32" t="n">
        <v>27.5</v>
      </c>
      <c r="C43" s="32" t="n">
        <v>82.5</v>
      </c>
      <c r="D43" s="32" t="n">
        <v>72.5</v>
      </c>
    </row>
    <row r="44">
      <c r="A44" s="11">
        <f>'02 价格(主口径)'!A45</f>
        <v/>
      </c>
      <c r="B44" s="32" t="n">
        <v>53.7</v>
      </c>
      <c r="C44" s="32" t="n">
        <v>81.7</v>
      </c>
      <c r="D44" s="32" t="n">
        <v>46.3</v>
      </c>
    </row>
    <row r="45">
      <c r="A45" s="11">
        <f>'02 价格(主口径)'!A46</f>
        <v/>
      </c>
      <c r="B45" s="32" t="n">
        <v>39.3</v>
      </c>
      <c r="C45" s="32" t="n">
        <v>47.6</v>
      </c>
      <c r="D45" s="32" t="n">
        <v>60.7</v>
      </c>
    </row>
    <row r="46">
      <c r="A46" s="11">
        <f>'02 价格(主口径)'!A47</f>
        <v/>
      </c>
      <c r="B46" s="32" t="n">
        <v>54.7</v>
      </c>
      <c r="C46" s="32" t="n">
        <v>81.40000000000001</v>
      </c>
      <c r="D46" s="32" t="n">
        <v>45.3</v>
      </c>
    </row>
    <row r="47">
      <c r="A47" s="11">
        <f>'02 价格(主口径)'!A48</f>
        <v/>
      </c>
      <c r="B47" s="32" t="n">
        <v>54.5</v>
      </c>
      <c r="C47" s="32" t="n">
        <v>65.90000000000001</v>
      </c>
      <c r="D47" s="32" t="n">
        <v>45.5</v>
      </c>
    </row>
    <row r="48">
      <c r="A48" s="11">
        <f>'02 价格(主口径)'!A49</f>
        <v/>
      </c>
      <c r="B48" s="32" t="n">
        <v>37.8</v>
      </c>
      <c r="C48" s="32" t="n">
        <v>25.6</v>
      </c>
      <c r="D48" s="32" t="n">
        <v>62.2</v>
      </c>
    </row>
    <row r="49">
      <c r="A49" s="11">
        <f>'02 价格(主口径)'!A50</f>
        <v/>
      </c>
      <c r="B49" s="32" t="n">
        <v>38</v>
      </c>
      <c r="C49" s="32" t="n">
        <v>26.1</v>
      </c>
      <c r="D49" s="32" t="n">
        <v>62</v>
      </c>
    </row>
    <row r="50">
      <c r="A50" s="11">
        <f>'02 价格(主口径)'!A51</f>
        <v/>
      </c>
      <c r="B50" s="32" t="n">
        <v>56.4</v>
      </c>
      <c r="C50" s="32" t="n">
        <v>47.9</v>
      </c>
      <c r="D50" s="32" t="n">
        <v>43.6</v>
      </c>
    </row>
    <row r="51">
      <c r="A51" s="11">
        <f>'02 价格(主口径)'!A52</f>
        <v/>
      </c>
      <c r="B51" s="32" t="n">
        <v>56.2</v>
      </c>
      <c r="C51" s="32" t="n">
        <v>47.9</v>
      </c>
      <c r="D51" s="32" t="n">
        <v>43.8</v>
      </c>
    </row>
    <row r="52">
      <c r="A52" s="11">
        <f>'02 价格(主口径)'!A53</f>
        <v/>
      </c>
      <c r="B52" s="32" t="n">
        <v>56.1</v>
      </c>
      <c r="C52" s="32" t="n">
        <v>48</v>
      </c>
      <c r="D52" s="32" t="n">
        <v>43.9</v>
      </c>
    </row>
    <row r="53">
      <c r="A53" s="11">
        <f>'02 价格(主口径)'!A54</f>
        <v/>
      </c>
      <c r="B53" s="32" t="n">
        <v>56</v>
      </c>
      <c r="C53" s="32" t="n">
        <v>48</v>
      </c>
      <c r="D53" s="32" t="n">
        <v>44</v>
      </c>
    </row>
    <row r="54">
      <c r="A54" s="11">
        <f>'02 价格(主口径)'!A55</f>
        <v/>
      </c>
      <c r="B54" s="32" t="n">
        <v>55.9</v>
      </c>
      <c r="C54" s="32" t="n">
        <v>48</v>
      </c>
      <c r="D54" s="32" t="n">
        <v>44.1</v>
      </c>
    </row>
    <row r="55">
      <c r="A55" s="11">
        <f>'02 价格(主口径)'!A56</f>
        <v/>
      </c>
      <c r="B55" s="32" t="n">
        <v>34.6</v>
      </c>
      <c r="C55" s="32" t="n">
        <v>24</v>
      </c>
      <c r="D55" s="32" t="n">
        <v>65.40000000000001</v>
      </c>
    </row>
    <row r="56">
      <c r="A56" s="11">
        <f>'02 价格(主口径)'!A57</f>
        <v/>
      </c>
      <c r="B56" s="32" t="n">
        <v>35.6</v>
      </c>
      <c r="C56" s="32" t="n">
        <v>24</v>
      </c>
      <c r="D56" s="32" t="n">
        <v>64.40000000000001</v>
      </c>
    </row>
    <row r="57">
      <c r="A57" s="11">
        <f>'02 价格(主口径)'!A58</f>
        <v/>
      </c>
      <c r="B57" s="32" t="n">
        <v>36.5</v>
      </c>
      <c r="C57" s="32" t="n">
        <v>24</v>
      </c>
      <c r="D57" s="32" t="n">
        <v>63.5</v>
      </c>
    </row>
    <row r="58">
      <c r="A58" s="11">
        <f>'02 价格(主口径)'!A59</f>
        <v/>
      </c>
      <c r="B58" s="32" t="n">
        <v>36.5</v>
      </c>
      <c r="C58" s="32" t="n">
        <v>24</v>
      </c>
      <c r="D58" s="32" t="n">
        <v>63.5</v>
      </c>
    </row>
    <row r="59">
      <c r="A59" s="11">
        <f>'02 价格(主口径)'!A60</f>
        <v/>
      </c>
      <c r="B59" s="32" t="n">
        <v>58.7</v>
      </c>
      <c r="C59" s="32" t="n">
        <v>48.1</v>
      </c>
      <c r="D59" s="32" t="n">
        <v>41.3</v>
      </c>
    </row>
    <row r="60">
      <c r="A60" s="11">
        <f>'02 价格(主口径)'!A61</f>
        <v/>
      </c>
      <c r="B60" s="32" t="n">
        <v>58.8</v>
      </c>
      <c r="C60" s="32" t="n">
        <v>46.1</v>
      </c>
      <c r="D60" s="32" t="n">
        <v>41.2</v>
      </c>
    </row>
    <row r="61">
      <c r="A61" s="11">
        <f>'02 价格(主口径)'!A62</f>
        <v/>
      </c>
      <c r="B61" s="32" t="n">
        <v>59.8</v>
      </c>
      <c r="C61" s="32" t="n">
        <v>45.1</v>
      </c>
      <c r="D61" s="32" t="n">
        <v>40.2</v>
      </c>
    </row>
    <row r="62">
      <c r="A62" s="11">
        <f>'02 价格(主口径)'!A63</f>
        <v/>
      </c>
      <c r="B62" s="32" t="n">
        <v>60.8</v>
      </c>
      <c r="C62" s="32" t="n">
        <v>2.9</v>
      </c>
      <c r="D62" s="32" t="n">
        <v>39.2</v>
      </c>
    </row>
    <row r="63">
      <c r="A63" s="11">
        <f>'02 价格(主口径)'!A64</f>
        <v/>
      </c>
      <c r="B63" s="32" t="n">
        <v>60.8</v>
      </c>
      <c r="C63" s="32" t="n">
        <v>1</v>
      </c>
      <c r="D63" s="32" t="n">
        <v>39.2</v>
      </c>
    </row>
    <row r="64">
      <c r="A64" s="11">
        <f>'02 价格(主口径)'!A65</f>
        <v/>
      </c>
      <c r="B64" s="32" t="n">
        <v>84.3</v>
      </c>
      <c r="C64" s="32" t="n">
        <v>3.9</v>
      </c>
      <c r="D64" s="32" t="n">
        <v>15.7</v>
      </c>
    </row>
    <row r="65">
      <c r="A65" s="11">
        <f>'02 价格(主口径)'!A66</f>
        <v/>
      </c>
      <c r="B65" s="32" t="n">
        <v>95.09999999999999</v>
      </c>
      <c r="C65" s="32" t="n">
        <v>2</v>
      </c>
      <c r="D65" s="32" t="n">
        <v>4.9</v>
      </c>
    </row>
    <row r="66">
      <c r="A66" s="11">
        <f>'02 价格(主口径)'!A67</f>
        <v/>
      </c>
      <c r="B66" s="32" t="n">
        <v>81.40000000000001</v>
      </c>
      <c r="C66" s="32" t="n">
        <v>1</v>
      </c>
      <c r="D66" s="32" t="n">
        <v>18.6</v>
      </c>
    </row>
    <row r="67">
      <c r="A67" s="11">
        <f>'02 价格(主口径)'!A68</f>
        <v/>
      </c>
      <c r="B67" s="32" t="n">
        <v>80.40000000000001</v>
      </c>
      <c r="C67" s="32" t="n">
        <v>1</v>
      </c>
      <c r="D67" s="32" t="n">
        <v>19.6</v>
      </c>
    </row>
    <row r="68">
      <c r="A68" s="11">
        <f>'02 价格(主口径)'!A69</f>
        <v/>
      </c>
      <c r="B68" s="32" t="n">
        <v>94.09999999999999</v>
      </c>
      <c r="C68" s="32" t="n">
        <v>2</v>
      </c>
      <c r="D68" s="32" t="n">
        <v>5.9</v>
      </c>
    </row>
    <row r="69">
      <c r="A69" s="11">
        <f>'02 价格(主口径)'!A70</f>
        <v/>
      </c>
      <c r="B69" s="32" t="n">
        <v>93.09999999999999</v>
      </c>
      <c r="C69" s="32" t="n">
        <v>1</v>
      </c>
      <c r="D69" s="32" t="n">
        <v>6.9</v>
      </c>
    </row>
    <row r="70">
      <c r="A70" s="11">
        <f>'02 价格(主口径)'!A71</f>
        <v/>
      </c>
      <c r="B70" s="32" t="n">
        <v>92.2</v>
      </c>
      <c r="C70" s="32" t="n">
        <v>2</v>
      </c>
      <c r="D70" s="32" t="n">
        <v>7.8</v>
      </c>
    </row>
    <row r="71">
      <c r="A71" s="11">
        <f>'02 价格(主口径)'!A72</f>
        <v/>
      </c>
      <c r="B71" s="32" t="n">
        <v>91.2</v>
      </c>
      <c r="C71" s="32" t="n">
        <v>1</v>
      </c>
      <c r="D71" s="32" t="n">
        <v>8.800000000000001</v>
      </c>
    </row>
    <row r="72">
      <c r="A72" s="11">
        <f>'02 价格(主口径)'!A73</f>
        <v/>
      </c>
      <c r="B72" s="32" t="n">
        <v>99</v>
      </c>
      <c r="C72" s="32" t="n">
        <v>2</v>
      </c>
      <c r="D72" s="32" t="n">
        <v>1</v>
      </c>
    </row>
    <row r="73">
      <c r="A73" s="11">
        <f>'02 价格(主口径)'!A74</f>
        <v/>
      </c>
      <c r="B73" s="32" t="n">
        <v>88.2</v>
      </c>
      <c r="C73" s="32" t="n">
        <v>1</v>
      </c>
      <c r="D73" s="32" t="n">
        <v>11.8</v>
      </c>
    </row>
    <row r="74">
      <c r="A74" s="11">
        <f>'02 价格(主口径)'!A75</f>
        <v/>
      </c>
      <c r="B74" s="32" t="n">
        <v>70.59999999999999</v>
      </c>
      <c r="C74" s="32" t="n">
        <v>1</v>
      </c>
      <c r="D74" s="32" t="n">
        <v>29.4</v>
      </c>
    </row>
    <row r="75">
      <c r="A75" s="11">
        <f>'02 价格(主口径)'!A76</f>
        <v/>
      </c>
      <c r="B75" s="32" t="n">
        <v>87.3</v>
      </c>
      <c r="C75" s="32" t="n">
        <v>2</v>
      </c>
      <c r="D75" s="32" t="n">
        <v>12.7</v>
      </c>
    </row>
    <row r="76">
      <c r="A76" s="11">
        <f>'02 价格(主口径)'!A77</f>
        <v/>
      </c>
      <c r="B76" s="32" t="n">
        <v>87.3</v>
      </c>
      <c r="C76" s="32" t="n">
        <v>1</v>
      </c>
      <c r="D76" s="32" t="n">
        <v>12.7</v>
      </c>
    </row>
    <row r="77">
      <c r="A77" s="11">
        <f>'02 价格(主口径)'!A78</f>
        <v/>
      </c>
      <c r="B77" s="32" t="n">
        <v>87.3</v>
      </c>
      <c r="C77" s="32" t="n">
        <v>4.9</v>
      </c>
      <c r="D77" s="32" t="n">
        <v>12.7</v>
      </c>
    </row>
    <row r="78">
      <c r="A78" s="11">
        <f>'02 价格(主口径)'!A79</f>
        <v/>
      </c>
      <c r="B78" s="32" t="n">
        <v>98</v>
      </c>
      <c r="C78" s="32" t="n">
        <v>12.7</v>
      </c>
      <c r="D78" s="32" t="n">
        <v>2</v>
      </c>
    </row>
    <row r="79">
      <c r="A79" s="11">
        <f>'02 价格(主口径)'!A80</f>
        <v/>
      </c>
      <c r="B79" s="32" t="n">
        <v>97.09999999999999</v>
      </c>
      <c r="C79" s="32" t="n">
        <v>9.800000000000001</v>
      </c>
      <c r="D79" s="32" t="n">
        <v>2.9</v>
      </c>
    </row>
    <row r="80">
      <c r="A80" s="11">
        <f>'02 价格(主口径)'!A81</f>
        <v/>
      </c>
      <c r="B80" s="32" t="n">
        <v>84.3</v>
      </c>
      <c r="C80" s="32" t="n">
        <v>15.7</v>
      </c>
      <c r="D80" s="32" t="n">
        <v>15.7</v>
      </c>
    </row>
    <row r="81">
      <c r="A81" s="11">
        <f>'02 价格(主口径)'!A82</f>
        <v/>
      </c>
      <c r="B81" s="32" t="n">
        <v>83.3</v>
      </c>
      <c r="C81" s="32" t="n">
        <v>26.5</v>
      </c>
      <c r="D81" s="32" t="n">
        <v>16.7</v>
      </c>
    </row>
    <row r="82">
      <c r="A82" s="11">
        <f>'02 价格(主口径)'!A83</f>
        <v/>
      </c>
      <c r="B82" s="32" t="n">
        <v>82.40000000000001</v>
      </c>
      <c r="C82" s="32" t="n">
        <v>31.4</v>
      </c>
      <c r="D82" s="32" t="n">
        <v>17.6</v>
      </c>
    </row>
    <row r="83">
      <c r="A83" s="11">
        <f>'02 价格(主口径)'!A84</f>
        <v/>
      </c>
      <c r="B83" s="32" t="n">
        <v>81.40000000000001</v>
      </c>
      <c r="C83" s="32" t="n">
        <v>40.2</v>
      </c>
      <c r="D83" s="32" t="n">
        <v>18.6</v>
      </c>
    </row>
    <row r="84">
      <c r="A84" s="11">
        <f>'02 价格(主口径)'!A85</f>
        <v/>
      </c>
      <c r="B84" s="32" t="n">
        <v>80.40000000000001</v>
      </c>
      <c r="C84" s="32" t="n">
        <v>41.2</v>
      </c>
      <c r="D84" s="32" t="n">
        <v>19.6</v>
      </c>
    </row>
    <row r="85">
      <c r="A85" s="11">
        <f>'02 价格(主口径)'!A86</f>
        <v/>
      </c>
      <c r="B85" s="32" t="n">
        <v>96.09999999999999</v>
      </c>
      <c r="C85" s="32" t="n">
        <v>52</v>
      </c>
      <c r="D85" s="32" t="n">
        <v>3.9</v>
      </c>
    </row>
    <row r="86">
      <c r="A86" s="11">
        <f>'02 价格(主口径)'!A87</f>
        <v/>
      </c>
      <c r="B86" s="32" t="n">
        <v>95.09999999999999</v>
      </c>
      <c r="C86" s="32" t="n">
        <v>52.9</v>
      </c>
      <c r="D86" s="32" t="n">
        <v>4.9</v>
      </c>
    </row>
    <row r="87">
      <c r="A87" s="11">
        <f>'02 价格(主口径)'!A88</f>
        <v/>
      </c>
      <c r="B87" s="32" t="n">
        <v>94.09999999999999</v>
      </c>
      <c r="C87" s="32" t="n">
        <v>70.59999999999999</v>
      </c>
      <c r="D87" s="32" t="n">
        <v>5.9</v>
      </c>
    </row>
    <row r="88">
      <c r="A88" s="11">
        <f>'02 价格(主口径)'!A89</f>
        <v/>
      </c>
      <c r="B88" s="32" t="n">
        <v>73.5</v>
      </c>
      <c r="C88" s="32" t="n">
        <v>71.59999999999999</v>
      </c>
      <c r="D88" s="32" t="n">
        <v>26.5</v>
      </c>
    </row>
    <row r="89">
      <c r="A89" s="11">
        <f>'02 价格(主口径)'!A90</f>
        <v/>
      </c>
      <c r="B89" s="32" t="n">
        <v>99</v>
      </c>
      <c r="C89" s="32" t="n">
        <v>72.5</v>
      </c>
      <c r="D89" s="32" t="n">
        <v>1</v>
      </c>
    </row>
    <row r="90">
      <c r="A90" s="11">
        <f>'02 价格(主口径)'!A91</f>
        <v/>
      </c>
      <c r="B90" s="32" t="n">
        <v>99</v>
      </c>
      <c r="C90" s="32" t="n">
        <v>73.5</v>
      </c>
      <c r="D90" s="32" t="n">
        <v>1</v>
      </c>
    </row>
    <row r="91">
      <c r="A91" s="11">
        <f>'02 价格(主口径)'!A92</f>
        <v/>
      </c>
      <c r="B91" s="32" t="n">
        <v>99</v>
      </c>
      <c r="C91" s="32" t="n">
        <v>74.5</v>
      </c>
      <c r="D91" s="32" t="n">
        <v>1</v>
      </c>
    </row>
    <row r="92">
      <c r="A92" s="11">
        <f>'02 价格(主口径)'!A93</f>
        <v/>
      </c>
      <c r="B92" s="32" t="n">
        <v>98</v>
      </c>
      <c r="C92" s="32" t="n">
        <v>75.5</v>
      </c>
      <c r="D92" s="32" t="n">
        <v>2</v>
      </c>
    </row>
    <row r="93">
      <c r="A93" s="11">
        <f>'02 价格(主口径)'!A94</f>
        <v/>
      </c>
      <c r="B93" s="32" t="n">
        <v>99</v>
      </c>
      <c r="C93" s="32" t="n">
        <v>42.2</v>
      </c>
      <c r="D93" s="32" t="n">
        <v>1</v>
      </c>
    </row>
    <row r="94">
      <c r="A94" s="11">
        <f>'02 价格(主口径)'!A95</f>
        <v/>
      </c>
      <c r="B94" s="32" t="n">
        <v>98</v>
      </c>
      <c r="C94" s="32" t="n">
        <v>36.3</v>
      </c>
      <c r="D94" s="32" t="n">
        <v>2</v>
      </c>
    </row>
    <row r="95">
      <c r="A95" s="11">
        <f>'02 价格(主口径)'!A96</f>
        <v/>
      </c>
      <c r="B95" s="32" t="n">
        <v>99</v>
      </c>
      <c r="C95" s="32" t="n">
        <v>80.40000000000001</v>
      </c>
      <c r="D95" s="32" t="n">
        <v>1</v>
      </c>
    </row>
    <row r="96">
      <c r="A96" s="11">
        <f>'02 价格(主口径)'!A97</f>
        <v/>
      </c>
      <c r="B96" s="32" t="n">
        <v>98.09999999999999</v>
      </c>
      <c r="C96" s="32" t="n">
        <v>56.7</v>
      </c>
      <c r="D96" s="32" t="n">
        <v>1.9</v>
      </c>
    </row>
    <row r="97">
      <c r="A97" s="11">
        <f>'02 价格(主口径)'!A98</f>
        <v/>
      </c>
      <c r="B97" s="32" t="n">
        <v>99</v>
      </c>
      <c r="C97" s="32" t="n">
        <v>80.8</v>
      </c>
      <c r="D97" s="32" t="n">
        <v>1</v>
      </c>
    </row>
    <row r="98">
      <c r="A98" s="11">
        <f>'02 价格(主口径)'!A99</f>
        <v/>
      </c>
      <c r="B98" s="32" t="n">
        <v>99</v>
      </c>
      <c r="C98" s="32" t="n">
        <v>98.09999999999999</v>
      </c>
      <c r="D98" s="32" t="n">
        <v>1</v>
      </c>
    </row>
    <row r="99">
      <c r="A99" s="11">
        <f>'02 价格(主口径)'!A100</f>
        <v/>
      </c>
      <c r="B99" s="32" t="n">
        <v>96.2</v>
      </c>
      <c r="C99" s="32" t="n">
        <v>81.7</v>
      </c>
      <c r="D99" s="32" t="n">
        <v>3.8</v>
      </c>
    </row>
    <row r="100">
      <c r="A100" s="11">
        <f>'02 价格(主口径)'!A101</f>
        <v/>
      </c>
      <c r="B100" s="32" t="n">
        <v>95.2</v>
      </c>
      <c r="C100" s="32" t="n">
        <v>80.8</v>
      </c>
      <c r="D100" s="32" t="n">
        <v>4.8</v>
      </c>
    </row>
    <row r="101">
      <c r="A101" s="11">
        <f>'02 价格(主口径)'!A102</f>
        <v/>
      </c>
      <c r="B101" s="32" t="n">
        <v>97.09999999999999</v>
      </c>
      <c r="C101" s="32" t="n">
        <v>79.8</v>
      </c>
      <c r="D101" s="32" t="n">
        <v>2.9</v>
      </c>
    </row>
    <row r="102">
      <c r="A102" s="11">
        <f>'02 价格(主口径)'!A103</f>
        <v/>
      </c>
      <c r="B102" s="32" t="n">
        <v>87.5</v>
      </c>
      <c r="C102" s="32" t="n">
        <v>55.8</v>
      </c>
      <c r="D102" s="32" t="n">
        <v>12.5</v>
      </c>
    </row>
    <row r="103">
      <c r="A103" s="11">
        <f>'02 价格(主口径)'!A104</f>
        <v/>
      </c>
      <c r="B103" s="32" t="n">
        <v>79.8</v>
      </c>
      <c r="C103" s="32" t="n">
        <v>80.8</v>
      </c>
      <c r="D103" s="32" t="n">
        <v>20.2</v>
      </c>
    </row>
    <row r="104">
      <c r="A104" s="11">
        <f>'02 价格(主口径)'!A105</f>
        <v/>
      </c>
      <c r="B104" s="32" t="n">
        <v>72.5</v>
      </c>
      <c r="C104" s="32" t="n">
        <v>57.8</v>
      </c>
      <c r="D104" s="32" t="n">
        <v>27.5</v>
      </c>
    </row>
    <row r="105">
      <c r="A105" s="11">
        <f>'02 价格(主口径)'!A106</f>
        <v/>
      </c>
      <c r="B105" s="32" t="n">
        <v>68.59999999999999</v>
      </c>
      <c r="C105" s="32" t="n">
        <v>45.1</v>
      </c>
      <c r="D105" s="32" t="n">
        <v>31.4</v>
      </c>
    </row>
    <row r="106">
      <c r="A106" s="11">
        <f>'02 价格(主口径)'!A107</f>
        <v/>
      </c>
      <c r="B106" s="32" t="n">
        <v>39.2</v>
      </c>
      <c r="C106" s="32" t="n">
        <v>37.3</v>
      </c>
      <c r="D106" s="32" t="n">
        <v>60.8</v>
      </c>
    </row>
    <row r="107">
      <c r="A107" s="11">
        <f>'02 价格(主口径)'!A108</f>
        <v/>
      </c>
      <c r="B107" s="32" t="n">
        <v>38.2</v>
      </c>
      <c r="C107" s="32" t="n">
        <v>48</v>
      </c>
      <c r="D107" s="32" t="n">
        <v>61.8</v>
      </c>
    </row>
    <row r="108">
      <c r="A108" s="11">
        <f>'02 价格(主口径)'!A109</f>
        <v/>
      </c>
      <c r="B108" s="32" t="n">
        <v>16.7</v>
      </c>
      <c r="C108" s="32" t="n">
        <v>49</v>
      </c>
      <c r="D108" s="32" t="n">
        <v>83.3</v>
      </c>
    </row>
    <row r="109">
      <c r="A109" s="11">
        <f>'02 价格(主口径)'!A110</f>
        <v/>
      </c>
      <c r="B109" s="32" t="n">
        <v>15.7</v>
      </c>
      <c r="C109" s="32" t="n">
        <v>50</v>
      </c>
      <c r="D109" s="32" t="n">
        <v>84.3</v>
      </c>
    </row>
    <row r="110">
      <c r="A110" s="11">
        <f>'02 价格(主口径)'!A111</f>
        <v/>
      </c>
      <c r="B110" s="32" t="n">
        <v>14.7</v>
      </c>
      <c r="C110" s="32" t="n">
        <v>64.7</v>
      </c>
      <c r="D110" s="32" t="n">
        <v>85.3</v>
      </c>
    </row>
    <row r="111">
      <c r="A111" s="11">
        <f>'02 价格(主口径)'!A112</f>
        <v/>
      </c>
      <c r="B111" s="32" t="n">
        <v>15.4</v>
      </c>
      <c r="C111" s="32" t="n">
        <v>83.7</v>
      </c>
      <c r="D111" s="32" t="n">
        <v>84.59999999999999</v>
      </c>
    </row>
    <row r="112">
      <c r="A112" s="11">
        <f>'02 价格(主口径)'!A113</f>
        <v/>
      </c>
      <c r="B112" s="32" t="n">
        <v>14.4</v>
      </c>
      <c r="C112" s="32" t="n">
        <v>98.09999999999999</v>
      </c>
      <c r="D112" s="32" t="n">
        <v>85.59999999999999</v>
      </c>
    </row>
    <row r="113">
      <c r="A113" s="11">
        <f>'02 价格(主口径)'!A114</f>
        <v/>
      </c>
      <c r="B113" s="32" t="n">
        <v>38.5</v>
      </c>
      <c r="C113" s="32" t="n">
        <v>82.7</v>
      </c>
      <c r="D113" s="32" t="n">
        <v>61.5</v>
      </c>
    </row>
    <row r="114">
      <c r="A114" s="11">
        <f>'02 价格(主口径)'!A115</f>
        <v/>
      </c>
      <c r="B114" s="32" t="n">
        <v>37.5</v>
      </c>
      <c r="C114" s="32" t="n">
        <v>97.09999999999999</v>
      </c>
      <c r="D114" s="32" t="n">
        <v>62.5</v>
      </c>
    </row>
    <row r="115">
      <c r="A115" s="11">
        <f>'02 价格(主口径)'!A116</f>
        <v/>
      </c>
      <c r="B115" s="32" t="n">
        <v>60.6</v>
      </c>
      <c r="C115" s="32" t="n">
        <v>99</v>
      </c>
      <c r="D115" s="32" t="n">
        <v>39.4</v>
      </c>
    </row>
    <row r="116">
      <c r="A116" s="11">
        <f>'02 价格(主口径)'!A117</f>
        <v/>
      </c>
      <c r="B116" s="32" t="n">
        <v>34.6</v>
      </c>
      <c r="C116" s="32" t="n">
        <v>99</v>
      </c>
      <c r="D116" s="32" t="n">
        <v>65.40000000000001</v>
      </c>
    </row>
    <row r="117">
      <c r="A117" s="11">
        <f>'02 价格(主口径)'!A118</f>
        <v/>
      </c>
      <c r="B117" s="32" t="n">
        <v>34.6</v>
      </c>
      <c r="C117" s="32" t="n">
        <v>98.09999999999999</v>
      </c>
      <c r="D117" s="32" t="n">
        <v>65.40000000000001</v>
      </c>
    </row>
    <row r="118">
      <c r="A118" s="11">
        <f>'02 价格(主口径)'!A119</f>
        <v/>
      </c>
      <c r="B118" s="32" t="n">
        <v>33.7</v>
      </c>
      <c r="C118" s="32" t="n">
        <v>94.2</v>
      </c>
      <c r="D118" s="32" t="n">
        <v>66.3</v>
      </c>
    </row>
    <row r="119">
      <c r="A119" s="11">
        <f>'02 价格(主口径)'!A120</f>
        <v/>
      </c>
      <c r="B119" s="32" t="n">
        <v>32.7</v>
      </c>
      <c r="C119" s="32" t="n">
        <v>93.3</v>
      </c>
      <c r="D119" s="32" t="n">
        <v>67.3</v>
      </c>
    </row>
    <row r="120">
      <c r="A120" s="11">
        <f>'02 价格(主口径)'!A121</f>
        <v/>
      </c>
      <c r="B120" s="32" t="n">
        <v>68.3</v>
      </c>
      <c r="C120" s="32" t="n">
        <v>97.09999999999999</v>
      </c>
      <c r="D120" s="32" t="n">
        <v>31.7</v>
      </c>
    </row>
    <row r="121">
      <c r="A121" s="11">
        <f>'02 价格(主口径)'!A122</f>
        <v/>
      </c>
      <c r="B121" s="32" t="n">
        <v>31.7</v>
      </c>
      <c r="C121" s="32" t="n">
        <v>96.2</v>
      </c>
      <c r="D121" s="32" t="n">
        <v>68.3</v>
      </c>
    </row>
    <row r="122">
      <c r="A122" s="11">
        <f>'02 价格(主口径)'!A123</f>
        <v/>
      </c>
      <c r="B122" s="32" t="n">
        <v>1</v>
      </c>
      <c r="C122" s="32" t="n">
        <v>88.2</v>
      </c>
      <c r="D122" s="32" t="n">
        <v>99</v>
      </c>
    </row>
    <row r="123">
      <c r="A123" s="11">
        <f>'02 价格(主口径)'!A124</f>
        <v/>
      </c>
      <c r="B123" s="32" t="n">
        <v>8.800000000000001</v>
      </c>
      <c r="C123" s="32" t="n">
        <v>87.3</v>
      </c>
      <c r="D123" s="32" t="n">
        <v>91.2</v>
      </c>
    </row>
    <row r="124">
      <c r="A124" s="11">
        <f>'02 价格(主口径)'!A125</f>
        <v/>
      </c>
      <c r="B124" s="32" t="n">
        <v>9.800000000000001</v>
      </c>
      <c r="C124" s="32" t="n">
        <v>86.3</v>
      </c>
      <c r="D124" s="32" t="n">
        <v>90.2</v>
      </c>
    </row>
    <row r="125">
      <c r="A125" s="11">
        <f>'02 价格(主口径)'!A126</f>
        <v/>
      </c>
      <c r="B125" s="32" t="n">
        <v>2</v>
      </c>
      <c r="C125" s="32" t="n">
        <v>76.5</v>
      </c>
      <c r="D125" s="32" t="n">
        <v>98</v>
      </c>
    </row>
    <row r="126">
      <c r="A126" s="11">
        <f>'02 价格(主口径)'!A127</f>
        <v/>
      </c>
      <c r="B126" s="32" t="n">
        <v>11.8</v>
      </c>
      <c r="C126" s="32" t="n">
        <v>38.2</v>
      </c>
      <c r="D126" s="32" t="n">
        <v>88.2</v>
      </c>
    </row>
    <row r="127">
      <c r="A127" s="11">
        <f>'02 价格(主口径)'!A128</f>
        <v/>
      </c>
      <c r="B127" s="32" t="n">
        <v>36.3</v>
      </c>
      <c r="C127" s="32" t="n">
        <v>23.5</v>
      </c>
      <c r="D127" s="32" t="n">
        <v>63.7</v>
      </c>
    </row>
    <row r="128">
      <c r="A128" s="11">
        <f>'02 价格(主口径)'!A129</f>
        <v/>
      </c>
      <c r="B128" s="32" t="n">
        <v>57.8</v>
      </c>
      <c r="C128" s="32" t="n">
        <v>12.7</v>
      </c>
      <c r="D128" s="32" t="n">
        <v>42.2</v>
      </c>
    </row>
    <row r="129">
      <c r="A129" s="11">
        <f>'02 价格(主口径)'!A130</f>
        <v/>
      </c>
      <c r="B129" s="32" t="n">
        <v>66.7</v>
      </c>
      <c r="C129" s="32" t="n">
        <v>11.8</v>
      </c>
      <c r="D129" s="32" t="n">
        <v>33.3</v>
      </c>
    </row>
    <row r="130">
      <c r="A130" s="11">
        <f>'02 价格(主口径)'!A131</f>
        <v/>
      </c>
      <c r="B130" s="32" t="n">
        <v>71.59999999999999</v>
      </c>
      <c r="C130" s="32" t="n">
        <v>22.5</v>
      </c>
      <c r="D130" s="32" t="n">
        <v>28.4</v>
      </c>
    </row>
    <row r="131">
      <c r="A131" s="11">
        <f>'02 价格(主口径)'!A132</f>
        <v/>
      </c>
      <c r="B131" s="32" t="n">
        <v>70.59999999999999</v>
      </c>
      <c r="C131" s="32" t="n">
        <v>3.9</v>
      </c>
      <c r="D131" s="32" t="n">
        <v>29.4</v>
      </c>
    </row>
    <row r="132">
      <c r="A132" s="11">
        <f>'02 价格(主口径)'!A133</f>
        <v/>
      </c>
      <c r="B132" s="32" t="n">
        <v>61.8</v>
      </c>
      <c r="C132" s="32" t="n">
        <v>1</v>
      </c>
      <c r="D132" s="32" t="n">
        <v>38.2</v>
      </c>
    </row>
    <row r="133">
      <c r="A133" s="11">
        <f>'02 价格(主口径)'!A134</f>
        <v/>
      </c>
      <c r="B133" s="32" t="n">
        <v>60.8</v>
      </c>
      <c r="C133" s="32" t="n">
        <v>1</v>
      </c>
      <c r="D133" s="32" t="n">
        <v>39.2</v>
      </c>
    </row>
    <row r="134">
      <c r="A134" s="11">
        <f>'02 价格(主口径)'!A135</f>
        <v/>
      </c>
      <c r="B134" s="32" t="n">
        <v>32.4</v>
      </c>
      <c r="C134" s="32" t="n">
        <v>1</v>
      </c>
      <c r="D134" s="32" t="n">
        <v>67.59999999999999</v>
      </c>
    </row>
    <row r="135">
      <c r="A135" s="11">
        <f>'02 价格(主口径)'!A136</f>
        <v/>
      </c>
      <c r="B135" s="32" t="n">
        <v>32.4</v>
      </c>
      <c r="C135" s="32" t="n">
        <v>2</v>
      </c>
      <c r="D135" s="32" t="n">
        <v>67.59999999999999</v>
      </c>
    </row>
    <row r="136">
      <c r="A136" s="11">
        <f>'02 价格(主口径)'!A137</f>
        <v/>
      </c>
      <c r="B136" s="32" t="n">
        <v>50</v>
      </c>
      <c r="C136" s="32" t="n">
        <v>5.9</v>
      </c>
      <c r="D136" s="32" t="n">
        <v>50</v>
      </c>
    </row>
    <row r="137">
      <c r="A137" s="11">
        <f>'02 价格(主口径)'!A138</f>
        <v/>
      </c>
      <c r="B137" s="32" t="n">
        <v>33.3</v>
      </c>
      <c r="C137" s="32" t="n">
        <v>6.9</v>
      </c>
      <c r="D137" s="32" t="n">
        <v>66.7</v>
      </c>
    </row>
    <row r="138">
      <c r="A138" s="11">
        <f>'02 价格(主口径)'!A139</f>
        <v/>
      </c>
      <c r="B138" s="32" t="n">
        <v>51</v>
      </c>
      <c r="C138" s="32" t="n">
        <v>2.9</v>
      </c>
      <c r="D138" s="32" t="n">
        <v>49</v>
      </c>
    </row>
    <row r="139">
      <c r="A139" s="11">
        <f>'02 价格(主口径)'!A140</f>
        <v/>
      </c>
      <c r="B139" s="32" t="n">
        <v>59.8</v>
      </c>
      <c r="C139" s="32" t="n">
        <v>9.800000000000001</v>
      </c>
      <c r="D139" s="32" t="n">
        <v>40.2</v>
      </c>
    </row>
    <row r="140">
      <c r="A140" s="11">
        <f>'02 价格(主口径)'!A141</f>
        <v/>
      </c>
      <c r="B140" s="32" t="n">
        <v>59.8</v>
      </c>
      <c r="C140" s="32" t="n">
        <v>10.8</v>
      </c>
      <c r="D140" s="32" t="n">
        <v>40.2</v>
      </c>
    </row>
    <row r="141">
      <c r="A141" s="11">
        <f>'02 价格(主口径)'!A142</f>
        <v/>
      </c>
      <c r="B141" s="32" t="n">
        <v>60.8</v>
      </c>
      <c r="C141" s="32" t="n">
        <v>11.8</v>
      </c>
      <c r="D141" s="32" t="n">
        <v>39.2</v>
      </c>
    </row>
    <row r="142">
      <c r="A142" s="11">
        <f>'02 价格(主口径)'!A143</f>
        <v/>
      </c>
      <c r="B142" s="32" t="n">
        <v>33.3</v>
      </c>
      <c r="C142" s="32" t="n">
        <v>1</v>
      </c>
      <c r="D142" s="32" t="n">
        <v>66.7</v>
      </c>
    </row>
    <row r="143">
      <c r="A143" s="11">
        <f>'02 价格(主口径)'!A144</f>
        <v/>
      </c>
      <c r="B143" s="32" t="n">
        <v>34.3</v>
      </c>
      <c r="C143" s="32" t="n">
        <v>5.9</v>
      </c>
      <c r="D143" s="32" t="n">
        <v>65.7</v>
      </c>
    </row>
    <row r="144">
      <c r="A144" s="11">
        <f>'02 价格(主口径)'!A145</f>
        <v/>
      </c>
      <c r="B144" s="32" t="n">
        <v>53.9</v>
      </c>
      <c r="C144" s="32" t="n">
        <v>16.7</v>
      </c>
      <c r="D144" s="32" t="n">
        <v>46.1</v>
      </c>
    </row>
    <row r="145">
      <c r="A145" s="11">
        <f>'02 价格(主口径)'!A146</f>
        <v/>
      </c>
      <c r="B145" s="32" t="n">
        <v>35.3</v>
      </c>
      <c r="C145" s="32" t="n">
        <v>17.6</v>
      </c>
      <c r="D145" s="32" t="n">
        <v>64.7</v>
      </c>
    </row>
    <row r="146">
      <c r="A146" s="11">
        <f>'02 价格(主口径)'!A147</f>
        <v/>
      </c>
      <c r="B146" s="32" t="n">
        <v>36.3</v>
      </c>
      <c r="C146" s="32" t="n">
        <v>27.5</v>
      </c>
      <c r="D146" s="32" t="n">
        <v>63.7</v>
      </c>
    </row>
    <row r="147">
      <c r="A147" s="11">
        <f>'02 价格(主口径)'!A148</f>
        <v/>
      </c>
      <c r="B147" s="32" t="n">
        <v>37.3</v>
      </c>
      <c r="C147" s="32" t="n">
        <v>31.4</v>
      </c>
      <c r="D147" s="32" t="n">
        <v>62.7</v>
      </c>
    </row>
    <row r="148">
      <c r="A148" s="11">
        <f>'02 价格(主口径)'!A149</f>
        <v/>
      </c>
      <c r="B148" s="32" t="n">
        <v>73.5</v>
      </c>
      <c r="C148" s="32" t="n">
        <v>32.4</v>
      </c>
      <c r="D148" s="32" t="n">
        <v>26.5</v>
      </c>
    </row>
    <row r="149">
      <c r="A149" s="11">
        <f>'02 价格(主口径)'!A150</f>
        <v/>
      </c>
      <c r="B149" s="32" t="n">
        <v>89.2</v>
      </c>
      <c r="C149" s="32" t="n">
        <v>39.2</v>
      </c>
      <c r="D149" s="32" t="n">
        <v>10.8</v>
      </c>
    </row>
    <row r="150">
      <c r="A150" s="11">
        <f>'02 价格(主口径)'!A151</f>
        <v/>
      </c>
      <c r="B150" s="32" t="n">
        <v>91.2</v>
      </c>
      <c r="C150" s="32" t="n">
        <v>50</v>
      </c>
      <c r="D150" s="32" t="n">
        <v>8.800000000000001</v>
      </c>
    </row>
    <row r="151">
      <c r="A151" s="11">
        <f>'02 价格(主口径)'!A152</f>
        <v/>
      </c>
      <c r="B151" s="32" t="n">
        <v>94.09999999999999</v>
      </c>
      <c r="C151" s="32" t="n">
        <v>40.2</v>
      </c>
      <c r="D151" s="32" t="n">
        <v>5.9</v>
      </c>
    </row>
    <row r="152">
      <c r="A152" s="11">
        <f>'02 价格(主口径)'!A153</f>
        <v/>
      </c>
      <c r="B152" s="32" t="n">
        <v>92.2</v>
      </c>
      <c r="C152" s="32" t="n">
        <v>33.3</v>
      </c>
      <c r="D152" s="32" t="n">
        <v>7.8</v>
      </c>
    </row>
    <row r="153">
      <c r="A153" s="11">
        <f>'02 价格(主口径)'!A154</f>
        <v/>
      </c>
      <c r="B153" s="32" t="n">
        <v>97.09999999999999</v>
      </c>
      <c r="C153" s="32" t="n">
        <v>43.1</v>
      </c>
      <c r="D153" s="32" t="n">
        <v>2.9</v>
      </c>
    </row>
    <row r="154">
      <c r="A154" s="11">
        <f>'02 价格(主口径)'!A155</f>
        <v/>
      </c>
      <c r="B154" s="32" t="n">
        <v>97.09999999999999</v>
      </c>
      <c r="C154" s="32" t="n">
        <v>44.1</v>
      </c>
      <c r="D154" s="32" t="n">
        <v>2.9</v>
      </c>
    </row>
    <row r="155">
      <c r="A155" s="11">
        <f>'02 价格(主口径)'!A156</f>
        <v/>
      </c>
      <c r="B155" s="32" t="n">
        <v>91.3</v>
      </c>
      <c r="C155" s="32" t="n">
        <v>33.7</v>
      </c>
      <c r="D155" s="32" t="n">
        <v>8.699999999999999</v>
      </c>
    </row>
    <row r="157" ht="26" customHeight="1">
      <c r="A157" s="15" t="inlineStr">
        <is>
          <t>本表为 Python 预计算值写入（滚动窗口公式在 Excel 中会非常重，故不逐格展开公式）；如需在 Excel 内重算，请用 06 表的分位公式 + 自建日期窗口。</t>
        </is>
      </c>
    </row>
  </sheetData>
  <mergeCells count="3">
    <mergeCell ref="A157:H157"/>
    <mergeCell ref="A2:H2"/>
    <mergeCell ref="A1:H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I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3" customWidth="1" min="4" max="4"/>
    <col width="14" customWidth="1" min="5" max="5"/>
    <col width="10" customWidth="1" min="6" max="6"/>
    <col width="42" customWidth="1" min="7" max="7"/>
    <col width="16" customWidth="1" min="8" max="8"/>
    <col width="46" customWidth="1" min="9" max="9"/>
  </cols>
  <sheetData>
    <row r="1" ht="30" customHeight="1">
      <c r="A1" s="1" t="inlineStr">
        <is>
          <t>地区间运输距离与可用方式</t>
        </is>
      </c>
    </row>
    <row r="2" ht="30" customHeight="1">
      <c r="A2" s="2" t="inlineStr">
        <is>
          <t>距离直接影响运费；标「估算」的必须用高德/百度地图 API 实测后替换。</t>
        </is>
      </c>
    </row>
    <row r="3" ht="30" customHeight="1">
      <c r="A3" s="6" t="inlineStr">
        <is>
          <t>方向</t>
        </is>
      </c>
      <c r="B3" s="6" t="inlineStr">
        <is>
          <t>起点</t>
        </is>
      </c>
      <c r="C3" s="6" t="inlineStr">
        <is>
          <t>终点</t>
        </is>
      </c>
      <c r="D3" s="6" t="inlineStr">
        <is>
          <t>典型里程 km</t>
        </is>
      </c>
      <c r="E3" s="6" t="inlineStr">
        <is>
          <t>里程区间</t>
        </is>
      </c>
      <c r="F3" s="6" t="inlineStr">
        <is>
          <t>可信度</t>
        </is>
      </c>
      <c r="G3" s="6" t="inlineStr">
        <is>
          <t>主路线</t>
        </is>
      </c>
      <c r="H3" s="6" t="inlineStr">
        <is>
          <t>运费(默认,元/吨)</t>
        </is>
      </c>
      <c r="I3" s="6" t="inlineStr">
        <is>
          <t>可用方式</t>
        </is>
      </c>
    </row>
    <row r="4" ht="28" customHeight="1">
      <c r="A4" s="30" t="inlineStr">
        <is>
          <t>山东 → 河北</t>
        </is>
      </c>
      <c r="B4" s="8" t="inlineStr">
        <is>
          <t>SD</t>
        </is>
      </c>
      <c r="C4" s="8" t="inlineStr">
        <is>
          <t>HB</t>
        </is>
      </c>
      <c r="D4" s="16" t="n">
        <v>620</v>
      </c>
      <c r="E4" s="33" t="inlineStr">
        <is>
          <t>600–650</t>
        </is>
      </c>
      <c r="F4" s="18" t="inlineStr">
        <is>
          <t>估算</t>
        </is>
      </c>
      <c r="G4" s="34" t="inlineStr">
        <is>
          <t>潍坊—淄博—沧州—唐山（G18/G25）</t>
        </is>
      </c>
      <c r="H4" s="35" t="n">
        <v>96</v>
      </c>
      <c r="I4" s="34" t="inlineStr">
        <is>
          <t>公路汽运(620km,1天)；公路汽运（至沙河）(620km,1天)；铁路（集装箱/敞车）(720km,2天)；海运（潍坊港—天津/唐山）(380km,3天)</t>
        </is>
      </c>
    </row>
    <row r="5" ht="28" customHeight="1">
      <c r="A5" s="30" t="inlineStr">
        <is>
          <t>河北 → 山东</t>
        </is>
      </c>
      <c r="B5" s="8" t="inlineStr">
        <is>
          <t>HB</t>
        </is>
      </c>
      <c r="C5" s="8" t="inlineStr">
        <is>
          <t>SD</t>
        </is>
      </c>
      <c r="D5" s="16" t="n">
        <v>620</v>
      </c>
      <c r="E5" s="33" t="inlineStr">
        <is>
          <t>600–650</t>
        </is>
      </c>
      <c r="F5" s="18" t="inlineStr">
        <is>
          <t>估算</t>
        </is>
      </c>
      <c r="G5" s="34" t="inlineStr">
        <is>
          <t>唐山—沧州—淄博—潍坊（G25/G18）</t>
        </is>
      </c>
      <c r="H5" s="35" t="n">
        <v>100</v>
      </c>
      <c r="I5" s="34" t="inlineStr">
        <is>
          <t>公路汽运(620km,1天)；铁路(720km,2天)</t>
        </is>
      </c>
    </row>
    <row r="6" ht="28" customHeight="1">
      <c r="A6" s="30" t="inlineStr">
        <is>
          <t>山东 → 江苏</t>
        </is>
      </c>
      <c r="B6" s="8" t="inlineStr">
        <is>
          <t>SD</t>
        </is>
      </c>
      <c r="C6" s="8" t="inlineStr">
        <is>
          <t>JS</t>
        </is>
      </c>
      <c r="D6" s="16" t="n">
        <v>325</v>
      </c>
      <c r="E6" s="33" t="inlineStr">
        <is>
          <t>300–350</t>
        </is>
      </c>
      <c r="F6" s="18" t="inlineStr">
        <is>
          <t>估算</t>
        </is>
      </c>
      <c r="G6" s="34" t="inlineStr">
        <is>
          <t>潍坊—日照—连云港（G15 沈海高速）</t>
        </is>
      </c>
      <c r="H6" s="35" t="n">
        <v>65</v>
      </c>
      <c r="I6" s="34" t="inlineStr">
        <is>
          <t>公路汽运(325km,1天)；内河（京杭运河）(400km,3天)；海运(300km,3天)</t>
        </is>
      </c>
    </row>
    <row r="7" ht="28" customHeight="1">
      <c r="A7" s="30" t="inlineStr">
        <is>
          <t>江苏 → 山东</t>
        </is>
      </c>
      <c r="B7" s="8" t="inlineStr">
        <is>
          <t>JS</t>
        </is>
      </c>
      <c r="C7" s="8" t="inlineStr">
        <is>
          <t>SD</t>
        </is>
      </c>
      <c r="D7" s="16" t="n">
        <v>325</v>
      </c>
      <c r="E7" s="33" t="inlineStr">
        <is>
          <t>300–350</t>
        </is>
      </c>
      <c r="F7" s="18" t="inlineStr">
        <is>
          <t>估算</t>
        </is>
      </c>
      <c r="G7" s="34" t="inlineStr">
        <is>
          <t>连云港—日照—潍坊（G15）</t>
        </is>
      </c>
      <c r="H7" s="35" t="n">
        <v>68</v>
      </c>
      <c r="I7" s="34" t="inlineStr">
        <is>
          <t>公路汽运(325km,1天)；内河(420km,3天)</t>
        </is>
      </c>
    </row>
    <row r="8" ht="28" customHeight="1">
      <c r="A8" s="30" t="inlineStr">
        <is>
          <t>河北 → 江苏</t>
        </is>
      </c>
      <c r="B8" s="8" t="inlineStr">
        <is>
          <t>HB</t>
        </is>
      </c>
      <c r="C8" s="8" t="inlineStr">
        <is>
          <t>JS</t>
        </is>
      </c>
      <c r="D8" s="16" t="n">
        <v>825</v>
      </c>
      <c r="E8" s="33" t="inlineStr">
        <is>
          <t>800–850</t>
        </is>
      </c>
      <c r="F8" s="18" t="inlineStr">
        <is>
          <t>估算</t>
        </is>
      </c>
      <c r="G8" s="34" t="inlineStr">
        <is>
          <t>唐山—天津—德州—徐州—连云港（G25/G3/G15）</t>
        </is>
      </c>
      <c r="H8" s="35" t="n">
        <v>150</v>
      </c>
      <c r="I8" s="34" t="inlineStr">
        <is>
          <t>公路汽运(825km,2天)；铁路 + 公路短驳(840km,3天)；海运(700km,3天)</t>
        </is>
      </c>
    </row>
    <row r="9" ht="28" customHeight="1">
      <c r="A9" s="30" t="inlineStr">
        <is>
          <t>江苏 → 河北</t>
        </is>
      </c>
      <c r="B9" s="8" t="inlineStr">
        <is>
          <t>JS</t>
        </is>
      </c>
      <c r="C9" s="8" t="inlineStr">
        <is>
          <t>HB</t>
        </is>
      </c>
      <c r="D9" s="16" t="n">
        <v>825</v>
      </c>
      <c r="E9" s="33" t="inlineStr">
        <is>
          <t>800–850</t>
        </is>
      </c>
      <c r="F9" s="18" t="inlineStr">
        <is>
          <t>估算</t>
        </is>
      </c>
      <c r="G9" s="34" t="inlineStr">
        <is>
          <t>连云港—徐州—德州—天津—唐山</t>
        </is>
      </c>
      <c r="H9" s="35" t="n">
        <v>158</v>
      </c>
      <c r="I9" s="34" t="inlineStr">
        <is>
          <t>公路汽运(825km,2天)；铁路 + 公路短驳(840km,3天)</t>
        </is>
      </c>
    </row>
    <row r="11">
      <c r="A11" s="5" t="inlineStr">
        <is>
          <t>已核实参考点</t>
        </is>
      </c>
    </row>
    <row r="12" ht="30" customHeight="1">
      <c r="A12" s="6" t="inlineStr">
        <is>
          <t>起点</t>
        </is>
      </c>
      <c r="B12" s="6" t="inlineStr">
        <is>
          <t>终点</t>
        </is>
      </c>
      <c r="C12" s="6" t="inlineStr">
        <is>
          <t>里程 km</t>
        </is>
      </c>
      <c r="D12" s="6" t="inlineStr">
        <is>
          <t>可信度</t>
        </is>
      </c>
      <c r="E12" s="6" t="inlineStr">
        <is>
          <t>运价说明</t>
        </is>
      </c>
      <c r="F12" s="6" t="inlineStr"/>
      <c r="G12" s="6" t="inlineStr"/>
      <c r="H12" s="6" t="inlineStr"/>
      <c r="I12" s="6" t="inlineStr"/>
    </row>
    <row r="13">
      <c r="A13" s="8" t="inlineStr">
        <is>
          <t>阿拉善</t>
        </is>
      </c>
      <c r="B13" s="8" t="inlineStr">
        <is>
          <t>石家庄</t>
        </is>
      </c>
      <c r="C13" s="16" t="n">
        <v>1500</v>
      </c>
      <c r="D13" s="23" t="inlineStr">
        <is>
          <t>已核实</t>
        </is>
      </c>
      <c r="E13" s="4" t="inlineStr">
        <is>
          <t>汽运 300 元/吨（34 吨/车，约 10200 元/车）；火车约 270 元/吨</t>
        </is>
      </c>
    </row>
    <row r="14">
      <c r="A14" s="8" t="inlineStr">
        <is>
          <t>沙河</t>
        </is>
      </c>
      <c r="B14" s="8" t="inlineStr">
        <is>
          <t>石家庄</t>
        </is>
      </c>
      <c r="C14" s="16" t="n">
        <v>130</v>
      </c>
      <c r="D14" s="23" t="inlineStr">
        <is>
          <t>已核实</t>
        </is>
      </c>
      <c r="E14" s="4" t="inlineStr">
        <is>
          <t>—</t>
        </is>
      </c>
    </row>
    <row r="15">
      <c r="A15" s="8" t="inlineStr">
        <is>
          <t>潍坊港</t>
        </is>
      </c>
      <c r="B15" s="8" t="inlineStr">
        <is>
          <t>广东/广西</t>
        </is>
      </c>
      <c r="C15" s="16" t="n"/>
      <c r="D15" s="23" t="inlineStr">
        <is>
          <t>已核实（运价）</t>
        </is>
      </c>
      <c r="E15" s="4" t="inlineStr">
        <is>
          <t>海运 140—150 元/吨，最贵 200 元/吨</t>
        </is>
      </c>
    </row>
    <row r="17" ht="26" customHeight="1">
      <c r="A17" s="15" t="inlineStr">
        <is>
          <t>纯碱运输一般以 300 公里为界：300 公里以内以汽运为主，300 公里以外以铁运为主；水运成本最低（30—120 元/吨），铁路次之，汽运最高。来源：期货日报 2019-12-01。 已核实反推：阿拉善→石家庄汽运 300 元 / 1500 km ≈ 0.20 元/吨·公里。行业经验区间 0.2—0.4 元/吨·公里（经验值，非纯碱专属权威报价）。</t>
        </is>
      </c>
    </row>
  </sheetData>
  <mergeCells count="7">
    <mergeCell ref="A2:I2"/>
    <mergeCell ref="A11:I11"/>
    <mergeCell ref="E15:I15"/>
    <mergeCell ref="A1:I1"/>
    <mergeCell ref="E13:I13"/>
    <mergeCell ref="A17:I17"/>
    <mergeCell ref="E14:I14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46" customWidth="1" min="5" max="5"/>
    <col width="11" customWidth="1" min="6" max="6"/>
    <col width="11" customWidth="1" min="7" max="7"/>
    <col width="14" customWidth="1" min="8" max="8"/>
    <col width="36" customWidth="1" min="9" max="9"/>
  </cols>
  <sheetData>
    <row r="1" ht="30" customHeight="1">
      <c r="A1" s="1" t="inlineStr">
        <is>
          <t>运费参数与主运费（★ 输入区）</t>
        </is>
      </c>
    </row>
    <row r="2" ht="30" customHeight="1">
      <c r="A2" s="2" t="inlineStr">
        <is>
          <t>蓝色字=可编辑输入。未提供真实运费时保持默认参考值，且所有结论只作敏感性参考。</t>
        </is>
      </c>
    </row>
    <row r="3">
      <c r="A3" s="5" t="inlineStr">
        <is>
          <t>A. 承运构成参数（元/吨）</t>
        </is>
      </c>
    </row>
    <row r="4">
      <c r="A4" s="30" t="inlineStr">
        <is>
          <t>装货费 loading_fee</t>
        </is>
      </c>
      <c r="B4" s="36" t="n">
        <v>8</v>
      </c>
      <c r="C4" s="14" t="inlineStr">
        <is>
          <t>装车/装车设备费；可由卖方或买方承担，按合同</t>
        </is>
      </c>
    </row>
    <row r="5">
      <c r="A5" s="30" t="inlineStr">
        <is>
          <t>卸货费 unloading_fee</t>
        </is>
      </c>
      <c r="B5" s="36" t="n">
        <v>10</v>
      </c>
      <c r="C5" s="14" t="inlineStr">
        <is>
          <t>卸车费；由收货方承担时置 0</t>
        </is>
      </c>
    </row>
    <row r="6">
      <c r="A6" s="30" t="inlineStr">
        <is>
          <t>短驳费 short_haul</t>
        </is>
      </c>
      <c r="B6" s="36" t="n">
        <v>0</v>
      </c>
      <c r="C6" s="14" t="inlineStr">
        <is>
          <t>厂区/站台到码头或仓库的短倒运费（元/吨）</t>
        </is>
      </c>
    </row>
    <row r="7">
      <c r="A7" s="30" t="inlineStr">
        <is>
          <t>其他/代理 handler</t>
        </is>
      </c>
      <c r="B7" s="36" t="n">
        <v>2</v>
      </c>
      <c r="C7" s="14" t="inlineStr">
        <is>
          <t>过磅、代理、单证等杂费</t>
        </is>
      </c>
    </row>
    <row r="8">
      <c r="A8" s="30" t="inlineStr">
        <is>
          <t>综合运费（公式）</t>
        </is>
      </c>
    </row>
    <row r="9">
      <c r="A9" s="37" t="inlineStr"/>
    </row>
    <row r="10">
      <c r="A10" s="5" t="inlineStr">
        <is>
          <t>B. 各路线的运费（真实报价优先）</t>
        </is>
      </c>
    </row>
    <row r="11" ht="30" customHeight="1">
      <c r="A11" s="6" t="inlineStr">
        <is>
          <t>路线</t>
        </is>
      </c>
      <c r="B11" s="6" t="inlineStr">
        <is>
          <t>方向</t>
        </is>
      </c>
      <c r="C11" s="6" t="inlineStr">
        <is>
          <t>主运费 元/吨</t>
        </is>
      </c>
      <c r="D11" s="6" t="inlineStr">
        <is>
          <t>来源类型</t>
        </is>
      </c>
      <c r="E11" s="6" t="inlineStr">
        <is>
          <t>依据</t>
        </is>
      </c>
      <c r="F11" s="6" t="inlineStr">
        <is>
          <t>备选:公路</t>
        </is>
      </c>
      <c r="G11" s="6" t="inlineStr">
        <is>
          <t>备选:铁路</t>
        </is>
      </c>
      <c r="H11" s="6" t="inlineStr">
        <is>
          <t>备选:内河/海运</t>
        </is>
      </c>
      <c r="I11" s="6" t="inlineStr">
        <is>
          <t>备注</t>
        </is>
      </c>
    </row>
    <row r="12" ht="30" customHeight="1">
      <c r="A12" s="8" t="inlineStr">
        <is>
          <t>SD-HB</t>
        </is>
      </c>
      <c r="B12" s="30" t="inlineStr">
        <is>
          <t>山东 → 河北</t>
        </is>
      </c>
      <c r="C12" s="36" t="n">
        <v>96</v>
      </c>
      <c r="D12" s="18" t="inlineStr">
        <is>
          <t>默认参考</t>
        </is>
      </c>
      <c r="E12" s="34" t="inlineStr">
        <is>
          <t>0.20 元/吨·公里（已核实反推值）× 620 km − 整车批量折让</t>
        </is>
      </c>
      <c r="F12" s="35" t="n">
        <v>96</v>
      </c>
      <c r="G12" s="35" t="n">
        <v>88</v>
      </c>
      <c r="H12" s="35" t="n"/>
      <c r="I12" s="34" t="inlineStr">
        <is>
          <t>铁路:88.0</t>
        </is>
      </c>
    </row>
    <row r="13" ht="30" customHeight="1">
      <c r="A13" s="8" t="inlineStr">
        <is>
          <t>HB-SD</t>
        </is>
      </c>
      <c r="B13" s="30" t="inlineStr">
        <is>
          <t>河北 → 山东</t>
        </is>
      </c>
      <c r="C13" s="36" t="n">
        <v>100</v>
      </c>
      <c r="D13" s="18" t="inlineStr">
        <is>
          <t>默认参考</t>
        </is>
      </c>
      <c r="E13" s="34" t="inlineStr">
        <is>
          <t>0.20 元/吨·公里 × 620 km，回程车偏少无显著折让</t>
        </is>
      </c>
      <c r="F13" s="35" t="n">
        <v>100</v>
      </c>
      <c r="G13" s="35" t="n">
        <v>90</v>
      </c>
      <c r="H13" s="35" t="n"/>
      <c r="I13" s="34" t="inlineStr">
        <is>
          <t>铁路:90.0</t>
        </is>
      </c>
    </row>
    <row r="14" ht="30" customHeight="1">
      <c r="A14" s="8" t="inlineStr">
        <is>
          <t>SD-JS</t>
        </is>
      </c>
      <c r="B14" s="30" t="inlineStr">
        <is>
          <t>山东 → 江苏</t>
        </is>
      </c>
      <c r="C14" s="36" t="n">
        <v>65</v>
      </c>
      <c r="D14" s="18" t="inlineStr">
        <is>
          <t>默认参考</t>
        </is>
      </c>
      <c r="E14" s="34" t="inlineStr">
        <is>
          <t>0.20 元/吨·公里 × 325 km</t>
        </is>
      </c>
      <c r="F14" s="35" t="n">
        <v>65</v>
      </c>
      <c r="G14" s="35" t="n"/>
      <c r="H14" s="35" t="n">
        <v>40</v>
      </c>
      <c r="I14" s="34" t="inlineStr">
        <is>
          <t>内河:40.0；海运:45.0</t>
        </is>
      </c>
    </row>
    <row r="15" ht="30" customHeight="1">
      <c r="A15" s="8" t="inlineStr">
        <is>
          <t>JS-SD</t>
        </is>
      </c>
      <c r="B15" s="30" t="inlineStr">
        <is>
          <t>江苏 → 山东</t>
        </is>
      </c>
      <c r="C15" s="36" t="n">
        <v>68</v>
      </c>
      <c r="D15" s="18" t="inlineStr">
        <is>
          <t>默认参考</t>
        </is>
      </c>
      <c r="E15" s="34" t="inlineStr">
        <is>
          <t>0.20 元/吨·公里 × 325 km，回程车折让有限</t>
        </is>
      </c>
      <c r="F15" s="35" t="n">
        <v>68</v>
      </c>
      <c r="G15" s="35" t="n"/>
      <c r="H15" s="35" t="n">
        <v>42</v>
      </c>
      <c r="I15" s="34" t="inlineStr">
        <is>
          <t>内河:42.0</t>
        </is>
      </c>
    </row>
    <row r="16" ht="30" customHeight="1">
      <c r="A16" s="8" t="inlineStr">
        <is>
          <t>HB-JS</t>
        </is>
      </c>
      <c r="B16" s="30" t="inlineStr">
        <is>
          <t>河北 → 江苏</t>
        </is>
      </c>
      <c r="C16" s="36" t="n">
        <v>150</v>
      </c>
      <c r="D16" s="18" t="inlineStr">
        <is>
          <t>默认参考</t>
        </is>
      </c>
      <c r="E16" s="34" t="inlineStr">
        <is>
          <t>0.20 元/吨·公里 × 825 km − 整车批量折让</t>
        </is>
      </c>
      <c r="F16" s="35" t="n">
        <v>150</v>
      </c>
      <c r="G16" s="35" t="n">
        <v>112</v>
      </c>
      <c r="H16" s="35" t="n">
        <v>95</v>
      </c>
      <c r="I16" s="34" t="inlineStr">
        <is>
          <t>铁路+短驳:112.0；海运:95.0</t>
        </is>
      </c>
    </row>
    <row r="17" ht="30" customHeight="1">
      <c r="A17" s="8" t="inlineStr">
        <is>
          <t>JS-HB</t>
        </is>
      </c>
      <c r="B17" s="30" t="inlineStr">
        <is>
          <t>江苏 → 河北</t>
        </is>
      </c>
      <c r="C17" s="36" t="n">
        <v>158</v>
      </c>
      <c r="D17" s="18" t="inlineStr">
        <is>
          <t>默认参考</t>
        </is>
      </c>
      <c r="E17" s="34" t="inlineStr">
        <is>
          <t>0.20 元/吨·公里 × 825 km，回程车少</t>
        </is>
      </c>
      <c r="F17" s="35" t="n">
        <v>158</v>
      </c>
      <c r="G17" s="35" t="n">
        <v>118</v>
      </c>
      <c r="H17" s="35" t="n"/>
      <c r="I17" s="34" t="inlineStr">
        <is>
          <t>铁路+短驳:118.0</t>
        </is>
      </c>
    </row>
    <row r="19" ht="26" customHeight="1">
      <c r="A19" s="15" t="inlineStr">
        <is>
          <t>运价字段分三类：real_quote（用户/委托方提供的真实报价）、default_ref（默认展示用的行业参考值，非真实报价）、not_available（未获得，不得计算）。未提供真实运费时，任何『覆盖运费』的结论只能作为敏感性参考，不得写成套利机会。</t>
        </is>
      </c>
    </row>
    <row r="21">
      <c r="A21" s="5" t="inlineStr">
        <is>
          <t>已核实锚点（装卸与仓储）</t>
        </is>
      </c>
    </row>
    <row r="22">
      <c r="A22" s="30" t="inlineStr">
        <is>
          <t>郑商所交割库入库费（汽车）</t>
        </is>
      </c>
      <c r="B22" s="35" t="n">
        <v>25</v>
      </c>
      <c r="C22" s="14" t="inlineStr">
        <is>
          <t>元/吨，含卸车+库内运输+倒垛+装车（纯碱）</t>
        </is>
      </c>
    </row>
    <row r="23">
      <c r="A23" s="30" t="inlineStr">
        <is>
          <t>郑商所交割库入库费（火车）</t>
        </is>
      </c>
      <c r="B23" s="35" t="n">
        <v>30</v>
      </c>
      <c r="C23" s="14" t="inlineStr">
        <is>
          <t>元/吨</t>
        </is>
      </c>
    </row>
    <row r="24">
      <c r="A24" s="30" t="inlineStr">
        <is>
          <t>沙河 交割库出库价 vs 送到价 价差</t>
        </is>
      </c>
      <c r="B24" s="35" t="n">
        <v>50</v>
      </c>
      <c r="C24" s="14" t="inlineStr">
        <is>
          <t>元/吨（2025-06-04 同日，区间 50–100），可作短途综合溢价锚</t>
        </is>
      </c>
    </row>
    <row r="25">
      <c r="A25" s="30" t="inlineStr">
        <is>
          <t>仓储费</t>
        </is>
      </c>
      <c r="B25" s="35" t="n">
        <v>0.5</v>
      </c>
      <c r="C25" s="14" t="inlineStr">
        <is>
          <t>元/吨·天（交割库）</t>
        </is>
      </c>
    </row>
  </sheetData>
  <mergeCells count="14">
    <mergeCell ref="C23:I23"/>
    <mergeCell ref="C22:I22"/>
    <mergeCell ref="A2:I2"/>
    <mergeCell ref="A19:I19"/>
    <mergeCell ref="A10:I10"/>
    <mergeCell ref="C4:F4"/>
    <mergeCell ref="A3:D3"/>
    <mergeCell ref="A1:I1"/>
    <mergeCell ref="C6:F6"/>
    <mergeCell ref="C7:F7"/>
    <mergeCell ref="C24:I24"/>
    <mergeCell ref="C5:F5"/>
    <mergeCell ref="C25:I25"/>
    <mergeCell ref="A21:I21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N2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11" customWidth="1" min="4" max="4"/>
    <col width="12" customWidth="1" min="5" max="5"/>
    <col width="16" customWidth="1" min="6" max="6"/>
    <col width="10" customWidth="1" min="7" max="7"/>
    <col width="9" customWidth="1" min="8" max="8"/>
    <col width="9" customWidth="1" min="9" max="9"/>
    <col width="11" customWidth="1" min="10" max="10"/>
    <col width="11" customWidth="1" min="11" max="11"/>
    <col width="12" customWidth="1" min="12" max="12"/>
    <col width="16" customWidth="1" min="13" max="13"/>
    <col width="18" customWidth="1" min="14" max="14"/>
  </cols>
  <sheetData>
    <row r="1" ht="30" customHeight="1">
      <c r="A1" s="1" t="inlineStr">
        <is>
          <t>按运输方向的运费调整（裸价差 / 运输成本 / 扣费后差异 分列）</t>
        </is>
      </c>
    </row>
    <row r="2" ht="30" customHeight="1">
      <c r="A2" s="2" t="inlineStr">
        <is>
          <t>参考差异 = 目的地区价 − (产地区价 + 综合运费)。引用「09 运费参数」，改运费即全表重算。</t>
        </is>
      </c>
    </row>
    <row r="3" ht="26" customHeight="1">
      <c r="A3" s="15" t="inlineStr">
        <is>
          <t>⚠ 主口径为「送到价」，运费已内含在报价中。本表的「到货成本」仅用于出厂价口径核对与物流可行性，不得再当作可套利空间；不要用整段运费从送到价里重复扣减。</t>
        </is>
      </c>
    </row>
    <row r="5" ht="30" customHeight="1">
      <c r="A5" s="6" t="inlineStr">
        <is>
          <t>路线</t>
        </is>
      </c>
      <c r="B5" s="6" t="inlineStr">
        <is>
          <t>方向</t>
        </is>
      </c>
      <c r="C5" s="6" t="inlineStr">
        <is>
          <t>里程km</t>
        </is>
      </c>
      <c r="D5" s="6" t="inlineStr">
        <is>
          <t>产地价</t>
        </is>
      </c>
      <c r="E5" s="6" t="inlineStr">
        <is>
          <t>目的地价</t>
        </is>
      </c>
      <c r="F5" s="6" t="inlineStr">
        <is>
          <t>裸价差(目的−产地)</t>
        </is>
      </c>
      <c r="G5" s="6" t="inlineStr">
        <is>
          <t>主运费</t>
        </is>
      </c>
      <c r="H5" s="6" t="inlineStr">
        <is>
          <t>装货费</t>
        </is>
      </c>
      <c r="I5" s="6" t="inlineStr">
        <is>
          <t>卸货费</t>
        </is>
      </c>
      <c r="J5" s="6" t="inlineStr">
        <is>
          <t>短驳+其他</t>
        </is>
      </c>
      <c r="K5" s="6" t="inlineStr">
        <is>
          <t>综合运费</t>
        </is>
      </c>
      <c r="L5" s="6" t="inlineStr">
        <is>
          <t>到货成本</t>
        </is>
      </c>
      <c r="M5" s="6" t="inlineStr">
        <is>
          <t>扣费后参考差异</t>
        </is>
      </c>
      <c r="N5" s="6" t="inlineStr">
        <is>
          <t>判定</t>
        </is>
      </c>
    </row>
    <row r="6">
      <c r="A6" s="8" t="inlineStr">
        <is>
          <t>SD-HB</t>
        </is>
      </c>
      <c r="B6" s="30" t="inlineStr">
        <is>
          <t>山东 → 河北</t>
        </is>
      </c>
      <c r="C6" s="16" t="n">
        <v>620</v>
      </c>
      <c r="D6" s="16">
        <f>'02 价格(主口径)'!B156</f>
        <v/>
      </c>
      <c r="E6" s="16">
        <f>'02 价格(主口径)'!C156</f>
        <v/>
      </c>
      <c r="F6" s="31">
        <f>IF(OR(D6="",E6=""),"",E6-D6)</f>
        <v/>
      </c>
      <c r="G6" s="38">
        <f>'09 运费参数'!C12</f>
        <v/>
      </c>
      <c r="H6" s="38">
        <f>'09 运费参数'!$B$4</f>
        <v/>
      </c>
      <c r="I6" s="38">
        <f>'09 运费参数'!$B$5</f>
        <v/>
      </c>
      <c r="J6" s="38">
        <f>'09 运费参数'!$B$6+'09 运费参数'!$B$7</f>
        <v/>
      </c>
      <c r="K6" s="39">
        <f>IF(G6="","",SUM(G6:J6))</f>
        <v/>
      </c>
      <c r="L6" s="35">
        <f>IF(K6="","",D6+K6)</f>
        <v/>
      </c>
      <c r="M6" s="40">
        <f>IF(OR(K6="",E6=""),"",E6-L6)</f>
        <v/>
      </c>
      <c r="N6" s="8">
        <f>IF(M6="","运费未知→不计算",IF(M6&gt;0,"价差覆盖运费","未覆盖运费"))</f>
        <v/>
      </c>
    </row>
    <row r="7">
      <c r="A7" s="8" t="inlineStr">
        <is>
          <t>HB-SD</t>
        </is>
      </c>
      <c r="B7" s="30" t="inlineStr">
        <is>
          <t>河北 → 山东</t>
        </is>
      </c>
      <c r="C7" s="16" t="n">
        <v>620</v>
      </c>
      <c r="D7" s="16">
        <f>'02 价格(主口径)'!C156</f>
        <v/>
      </c>
      <c r="E7" s="16">
        <f>'02 价格(主口径)'!B156</f>
        <v/>
      </c>
      <c r="F7" s="31">
        <f>IF(OR(D7="",E7=""),"",E7-D7)</f>
        <v/>
      </c>
      <c r="G7" s="38">
        <f>'09 运费参数'!C13</f>
        <v/>
      </c>
      <c r="H7" s="38">
        <f>'09 运费参数'!$B$4</f>
        <v/>
      </c>
      <c r="I7" s="38">
        <f>'09 运费参数'!$B$5</f>
        <v/>
      </c>
      <c r="J7" s="38">
        <f>'09 运费参数'!$B$6+'09 运费参数'!$B$7</f>
        <v/>
      </c>
      <c r="K7" s="39">
        <f>IF(G7="","",SUM(G7:J7))</f>
        <v/>
      </c>
      <c r="L7" s="35">
        <f>IF(K7="","",D7+K7)</f>
        <v/>
      </c>
      <c r="M7" s="40">
        <f>IF(OR(K7="",E7=""),"",E7-L7)</f>
        <v/>
      </c>
      <c r="N7" s="8">
        <f>IF(M7="","运费未知→不计算",IF(M7&gt;0,"价差覆盖运费","未覆盖运费"))</f>
        <v/>
      </c>
    </row>
    <row r="8">
      <c r="A8" s="8" t="inlineStr">
        <is>
          <t>SD-JS</t>
        </is>
      </c>
      <c r="B8" s="30" t="inlineStr">
        <is>
          <t>山东 → 江苏</t>
        </is>
      </c>
      <c r="C8" s="16" t="n">
        <v>325</v>
      </c>
      <c r="D8" s="16">
        <f>'02 价格(主口径)'!B156</f>
        <v/>
      </c>
      <c r="E8" s="16">
        <f>'02 价格(主口径)'!D156</f>
        <v/>
      </c>
      <c r="F8" s="31">
        <f>IF(OR(D8="",E8=""),"",E8-D8)</f>
        <v/>
      </c>
      <c r="G8" s="38">
        <f>'09 运费参数'!C14</f>
        <v/>
      </c>
      <c r="H8" s="38">
        <f>'09 运费参数'!$B$4</f>
        <v/>
      </c>
      <c r="I8" s="38">
        <f>'09 运费参数'!$B$5</f>
        <v/>
      </c>
      <c r="J8" s="38">
        <f>'09 运费参数'!$B$6+'09 运费参数'!$B$7</f>
        <v/>
      </c>
      <c r="K8" s="39">
        <f>IF(G8="","",SUM(G8:J8))</f>
        <v/>
      </c>
      <c r="L8" s="35">
        <f>IF(K8="","",D8+K8)</f>
        <v/>
      </c>
      <c r="M8" s="40">
        <f>IF(OR(K8="",E8=""),"",E8-L8)</f>
        <v/>
      </c>
      <c r="N8" s="8">
        <f>IF(M8="","运费未知→不计算",IF(M8&gt;0,"价差覆盖运费","未覆盖运费"))</f>
        <v/>
      </c>
    </row>
    <row r="9">
      <c r="A9" s="8" t="inlineStr">
        <is>
          <t>JS-SD</t>
        </is>
      </c>
      <c r="B9" s="30" t="inlineStr">
        <is>
          <t>江苏 → 山东</t>
        </is>
      </c>
      <c r="C9" s="16" t="n">
        <v>325</v>
      </c>
      <c r="D9" s="16">
        <f>'02 价格(主口径)'!D156</f>
        <v/>
      </c>
      <c r="E9" s="16">
        <f>'02 价格(主口径)'!B156</f>
        <v/>
      </c>
      <c r="F9" s="31">
        <f>IF(OR(D9="",E9=""),"",E9-D9)</f>
        <v/>
      </c>
      <c r="G9" s="38">
        <f>'09 运费参数'!C15</f>
        <v/>
      </c>
      <c r="H9" s="38">
        <f>'09 运费参数'!$B$4</f>
        <v/>
      </c>
      <c r="I9" s="38">
        <f>'09 运费参数'!$B$5</f>
        <v/>
      </c>
      <c r="J9" s="38">
        <f>'09 运费参数'!$B$6+'09 运费参数'!$B$7</f>
        <v/>
      </c>
      <c r="K9" s="39">
        <f>IF(G9="","",SUM(G9:J9))</f>
        <v/>
      </c>
      <c r="L9" s="35">
        <f>IF(K9="","",D9+K9)</f>
        <v/>
      </c>
      <c r="M9" s="40">
        <f>IF(OR(K9="",E9=""),"",E9-L9)</f>
        <v/>
      </c>
      <c r="N9" s="8">
        <f>IF(M9="","运费未知→不计算",IF(M9&gt;0,"价差覆盖运费","未覆盖运费"))</f>
        <v/>
      </c>
    </row>
    <row r="10">
      <c r="A10" s="8" t="inlineStr">
        <is>
          <t>HB-JS</t>
        </is>
      </c>
      <c r="B10" s="30" t="inlineStr">
        <is>
          <t>河北 → 江苏</t>
        </is>
      </c>
      <c r="C10" s="16" t="n">
        <v>825</v>
      </c>
      <c r="D10" s="16">
        <f>'02 价格(主口径)'!C156</f>
        <v/>
      </c>
      <c r="E10" s="16">
        <f>'02 价格(主口径)'!D156</f>
        <v/>
      </c>
      <c r="F10" s="31">
        <f>IF(OR(D10="",E10=""),"",E10-D10)</f>
        <v/>
      </c>
      <c r="G10" s="38">
        <f>'09 运费参数'!C16</f>
        <v/>
      </c>
      <c r="H10" s="38">
        <f>'09 运费参数'!$B$4</f>
        <v/>
      </c>
      <c r="I10" s="38">
        <f>'09 运费参数'!$B$5</f>
        <v/>
      </c>
      <c r="J10" s="38">
        <f>'09 运费参数'!$B$6+'09 运费参数'!$B$7</f>
        <v/>
      </c>
      <c r="K10" s="39">
        <f>IF(G10="","",SUM(G10:J10))</f>
        <v/>
      </c>
      <c r="L10" s="35">
        <f>IF(K10="","",D10+K10)</f>
        <v/>
      </c>
      <c r="M10" s="40">
        <f>IF(OR(K10="",E10=""),"",E10-L10)</f>
        <v/>
      </c>
      <c r="N10" s="8">
        <f>IF(M10="","运费未知→不计算",IF(M10&gt;0,"价差覆盖运费","未覆盖运费"))</f>
        <v/>
      </c>
    </row>
    <row r="11">
      <c r="A11" s="8" t="inlineStr">
        <is>
          <t>JS-HB</t>
        </is>
      </c>
      <c r="B11" s="30" t="inlineStr">
        <is>
          <t>江苏 → 河北</t>
        </is>
      </c>
      <c r="C11" s="16" t="n">
        <v>825</v>
      </c>
      <c r="D11" s="16">
        <f>'02 价格(主口径)'!D156</f>
        <v/>
      </c>
      <c r="E11" s="16">
        <f>'02 价格(主口径)'!C156</f>
        <v/>
      </c>
      <c r="F11" s="31">
        <f>IF(OR(D11="",E11=""),"",E11-D11)</f>
        <v/>
      </c>
      <c r="G11" s="38">
        <f>'09 运费参数'!C17</f>
        <v/>
      </c>
      <c r="H11" s="38">
        <f>'09 运费参数'!$B$4</f>
        <v/>
      </c>
      <c r="I11" s="38">
        <f>'09 运费参数'!$B$5</f>
        <v/>
      </c>
      <c r="J11" s="38">
        <f>'09 运费参数'!$B$6+'09 运费参数'!$B$7</f>
        <v/>
      </c>
      <c r="K11" s="39">
        <f>IF(G11="","",SUM(G11:J11))</f>
        <v/>
      </c>
      <c r="L11" s="35">
        <f>IF(K11="","",D11+K11)</f>
        <v/>
      </c>
      <c r="M11" s="40">
        <f>IF(OR(K11="",E11=""),"",E11-L11)</f>
        <v/>
      </c>
      <c r="N11" s="8">
        <f>IF(M11="","运费未知→不计算",IF(M11&gt;0,"价差覆盖运费","未覆盖运费"))</f>
        <v/>
      </c>
    </row>
    <row r="13" ht="26" customHeight="1">
      <c r="A13" s="15" t="inlineStr">
        <is>
          <t>「价差覆盖运费」只表示目的地区价格高于产地价+承运成本；未计入资金占用与利息、运输损耗、账期与承兑贴息、卸货地短驳、仓储、开票与结算风险、可成交批量。不能据此认定套利机会。</t>
        </is>
      </c>
    </row>
    <row r="16">
      <c r="A16" s="5" t="inlineStr">
        <is>
          <t>情形对照（把「价差覆盖运费」之外的隐性成本也列出来）</t>
        </is>
      </c>
    </row>
    <row r="17" ht="30" customHeight="1">
      <c r="A17" s="6" t="inlineStr">
        <is>
          <t>项目</t>
        </is>
      </c>
      <c r="B17" s="6" t="inlineStr">
        <is>
          <t>方向 A</t>
        </is>
      </c>
      <c r="C17" s="6" t="inlineStr">
        <is>
          <t>方向 B</t>
        </is>
      </c>
      <c r="D17" s="6" t="inlineStr">
        <is>
          <t>说明</t>
        </is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>
      <c r="A18" s="30" t="inlineStr">
        <is>
          <t>裸价差（目的−产地）</t>
        </is>
      </c>
      <c r="B18" s="35">
        <f>F6</f>
        <v/>
      </c>
      <c r="C18" s="35">
        <f>F7</f>
        <v/>
      </c>
      <c r="D18" s="14" t="inlineStr">
        <is>
          <t>与价差矩阵同向；尚未扣任何费用</t>
        </is>
      </c>
    </row>
    <row r="19">
      <c r="A19" s="30" t="inlineStr">
        <is>
          <t>− 综合运费</t>
        </is>
      </c>
      <c r="B19" s="35">
        <f>-K6</f>
        <v/>
      </c>
      <c r="C19" s="35">
        <f>-K7</f>
        <v/>
      </c>
      <c r="D19" s="14" t="inlineStr">
        <is>
          <t>主运费+装货+卸货+短驳+其他</t>
        </is>
      </c>
    </row>
    <row r="20">
      <c r="A20" s="30" t="inlineStr">
        <is>
          <t>'= 扣费后参考差异</t>
        </is>
      </c>
      <c r="B20" s="35">
        <f>M6</f>
        <v/>
      </c>
      <c r="C20" s="35">
        <f>M7</f>
        <v/>
      </c>
      <c r="D20" s="14" t="inlineStr">
        <is>
          <t>仅代表价差是否覆盖承运成本</t>
        </is>
      </c>
    </row>
    <row r="21">
      <c r="A21" s="30" t="inlineStr">
        <is>
          <t>− 资金占用（未计入）</t>
        </is>
      </c>
      <c r="B21" s="33" t="inlineStr">
        <is>
          <t>未计入</t>
        </is>
      </c>
      <c r="C21" s="33" t="inlineStr">
        <is>
          <t>未计入</t>
        </is>
      </c>
      <c r="D21" s="14" t="inlineStr">
        <is>
          <t>吨价×账期天数×资金成本率/365；需用户给账期与利率</t>
        </is>
      </c>
    </row>
    <row r="22">
      <c r="A22" s="30" t="inlineStr">
        <is>
          <t>− 运输损耗（未计入）</t>
        </is>
      </c>
      <c r="B22" s="33" t="inlineStr">
        <is>
          <t>未计入</t>
        </is>
      </c>
      <c r="C22" s="33" t="inlineStr">
        <is>
          <t>未计入</t>
        </is>
      </c>
      <c r="D22" s="14" t="inlineStr">
        <is>
          <t>纯碱吨包/散装公路损耗通常极低，但需以实测为准</t>
        </is>
      </c>
    </row>
    <row r="23">
      <c r="A23" s="30" t="inlineStr">
        <is>
          <t>− 承兑贴息（未计入）</t>
        </is>
      </c>
      <c r="B23" s="33" t="inlineStr">
        <is>
          <t>未计入</t>
        </is>
      </c>
      <c r="C23" s="33" t="inlineStr">
        <is>
          <t>未计入</t>
        </is>
      </c>
      <c r="D23" s="14" t="inlineStr">
        <is>
          <t>现汇−承兑价差属于公开源【未查到】项，不给假设值</t>
        </is>
      </c>
    </row>
    <row r="24">
      <c r="A24" s="30" t="inlineStr">
        <is>
          <t>− 卸货地短驳（未计入）</t>
        </is>
      </c>
      <c r="B24" s="33" t="inlineStr">
        <is>
          <t>未计入</t>
        </is>
      </c>
      <c r="C24" s="33" t="inlineStr">
        <is>
          <t>未计入</t>
        </is>
      </c>
      <c r="D24" s="14" t="inlineStr">
        <is>
          <t>目的地到厂/到库的最后一段</t>
        </is>
      </c>
    </row>
    <row r="25">
      <c r="A25" s="30" t="inlineStr">
        <is>
          <t>'= 全部成本后净差</t>
        </is>
      </c>
      <c r="B25" s="33" t="inlineStr">
        <is>
          <t>需用户补参数</t>
        </is>
      </c>
      <c r="C25" s="33" t="inlineStr">
        <is>
          <t>需用户补参数</t>
        </is>
      </c>
      <c r="D25" s="14" t="inlineStr">
        <is>
          <t>本 Skill 只做到「扣运费」，不替代完整经济性核算</t>
        </is>
      </c>
    </row>
  </sheetData>
  <mergeCells count="13">
    <mergeCell ref="D25:N25"/>
    <mergeCell ref="D20:N20"/>
    <mergeCell ref="A3:K3"/>
    <mergeCell ref="D21:N21"/>
    <mergeCell ref="A16:N16"/>
    <mergeCell ref="D19:N19"/>
    <mergeCell ref="A2:K2"/>
    <mergeCell ref="A1:K1"/>
    <mergeCell ref="D24:N24"/>
    <mergeCell ref="D23:N23"/>
    <mergeCell ref="D22:N22"/>
    <mergeCell ref="A13:N13"/>
    <mergeCell ref="D18:N18"/>
  </mergeCells>
  <conditionalFormatting sqref="M6:M11">
    <cfRule type="cellIs" priority="1" operator="greaterThan" dxfId="0">
      <formula>0</formula>
    </cfRule>
    <cfRule type="cellIs" priority="2" operator="lessThanOrEqual" dxfId="1">
      <formula>0</formula>
    </cfRule>
  </conditionalFormatting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H3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0" customWidth="1" min="3" max="3"/>
    <col width="18" customWidth="1" min="4" max="4"/>
    <col width="13" customWidth="1" min="5" max="5"/>
    <col width="20" customWidth="1" min="6" max="6"/>
    <col width="52" customWidth="1" min="7" max="7"/>
    <col width="9" customWidth="1" min="8" max="8"/>
  </cols>
  <sheetData>
    <row r="1" ht="30" customHeight="1">
      <c r="A1" s="1" t="inlineStr">
        <is>
          <t>生产企业与产能（企业级可核实）</t>
        </is>
      </c>
    </row>
    <row r="2" ht="30" customHeight="1">
      <c r="A2" s="2" t="inlineStr">
        <is>
          <t>省级产能合计若未查到权威发布，则不给估算数——宁缺不假。</t>
        </is>
      </c>
    </row>
    <row r="3" ht="30" customHeight="1">
      <c r="A3" s="6" t="inlineStr">
        <is>
          <t>地区</t>
        </is>
      </c>
      <c r="B3" s="6" t="inlineStr">
        <is>
          <t>企业</t>
        </is>
      </c>
      <c r="C3" s="6" t="inlineStr">
        <is>
          <t>代码</t>
        </is>
      </c>
      <c r="D3" s="6" t="inlineStr">
        <is>
          <t>所在地</t>
        </is>
      </c>
      <c r="E3" s="6" t="inlineStr">
        <is>
          <t>产能(万吨/年)</t>
        </is>
      </c>
      <c r="F3" s="6" t="inlineStr">
        <is>
          <t>工艺</t>
        </is>
      </c>
      <c r="G3" s="6" t="inlineStr">
        <is>
          <t>说明</t>
        </is>
      </c>
      <c r="H3" s="6" t="inlineStr">
        <is>
          <t>核实</t>
        </is>
      </c>
    </row>
    <row r="4" ht="30" customHeight="1">
      <c r="A4" s="8" t="inlineStr">
        <is>
          <t>山东</t>
        </is>
      </c>
      <c r="B4" s="30" t="inlineStr">
        <is>
          <t>山东海化</t>
        </is>
      </c>
      <c r="C4" s="33" t="inlineStr">
        <is>
          <t>000822</t>
        </is>
      </c>
      <c r="D4" s="4" t="inlineStr">
        <is>
          <t>潍坊（滨海/寿光）</t>
        </is>
      </c>
      <c r="E4" s="16" t="n">
        <v>280</v>
      </c>
      <c r="F4" s="30" t="inlineStr">
        <is>
          <t>氨碱法</t>
        </is>
      </c>
      <c r="G4" s="34" t="inlineStr">
        <is>
          <t>郑商所纯碱指定交割厂库；正推进氨碱改联碱技改（投资 48.37 亿元）</t>
        </is>
      </c>
      <c r="H4" s="23" t="inlineStr">
        <is>
          <t>✓</t>
        </is>
      </c>
    </row>
    <row r="5" ht="30" customHeight="1">
      <c r="A5" s="8" t="inlineStr">
        <is>
          <t>山东</t>
        </is>
      </c>
      <c r="B5" s="30" t="inlineStr">
        <is>
          <t>山东海天生物化工</t>
        </is>
      </c>
      <c r="C5" s="33" t="inlineStr"/>
      <c r="D5" s="4" t="inlineStr">
        <is>
          <t>潍坊（昌邑）</t>
        </is>
      </c>
      <c r="E5" s="16" t="n">
        <v>150</v>
      </c>
      <c r="F5" s="30" t="inlineStr">
        <is>
          <t>氨碱法</t>
        </is>
      </c>
      <c r="G5" s="34" t="inlineStr">
        <is>
          <t>金晶集团旗下；重质占比约 80%（低盐重碱 40 + 普通重碱 40 + 轻碱 20 起步）；郑商所指定交割厂库</t>
        </is>
      </c>
      <c r="H5" s="23" t="inlineStr">
        <is>
          <t>✓</t>
        </is>
      </c>
    </row>
    <row r="6" ht="42" customHeight="1">
      <c r="A6" s="41" t="inlineStr">
        <is>
          <t>山东</t>
        </is>
      </c>
      <c r="B6" s="42" t="inlineStr">
        <is>
          <t>山东 可核实产能小计</t>
        </is>
      </c>
      <c r="C6" s="43" t="n"/>
      <c r="D6" s="29" t="n"/>
      <c r="E6" s="44">
        <f>SUM(E4:E5)</f>
        <v/>
      </c>
      <c r="F6" s="45" t="inlineStr"/>
      <c r="G6" s="46" t="inlineStr">
        <is>
          <t>省级合计【未查到】权威发布数。企业级可核实：山东海化 280 万吨（氨碱，潍坊滨海/寿光，老线 120 + 新线 160；资讯另有 300 万吨口径）+ 山东海天生物化工 150 万吨（氨碱，潍坊昌邑，重质占比约 80%）= 至少 430 万吨可核实。</t>
        </is>
      </c>
      <c r="H6" s="45" t="inlineStr"/>
    </row>
    <row r="7" ht="30" customHeight="1">
      <c r="A7" s="8" t="inlineStr">
        <is>
          <t>河北</t>
        </is>
      </c>
      <c r="B7" s="30" t="inlineStr">
        <is>
          <t>唐山三友化工</t>
        </is>
      </c>
      <c r="C7" s="33" t="inlineStr">
        <is>
          <t>600409</t>
        </is>
      </c>
      <c r="D7" s="4" t="inlineStr">
        <is>
          <t>唐山南堡</t>
        </is>
      </c>
      <c r="E7" s="16" t="n">
        <v>230</v>
      </c>
      <c r="F7" s="30" t="inlineStr">
        <is>
          <t>氨碱法</t>
        </is>
      </c>
      <c r="G7" s="34" t="inlineStr">
        <is>
          <t>郑商所纯碱指定交割厂库；轻重碱比例约 3:7（重碱约 70%）</t>
        </is>
      </c>
      <c r="H7" s="23" t="inlineStr">
        <is>
          <t>✓</t>
        </is>
      </c>
    </row>
    <row r="8" ht="30" customHeight="1">
      <c r="A8" s="8" t="inlineStr">
        <is>
          <t>河北</t>
        </is>
      </c>
      <c r="B8" s="30" t="inlineStr">
        <is>
          <t>五彩碱业（三友系）</t>
        </is>
      </c>
      <c r="C8" s="33" t="inlineStr"/>
      <c r="D8" s="4" t="inlineStr">
        <is>
          <t>河北</t>
        </is>
      </c>
      <c r="E8" s="16" t="n">
        <v>110</v>
      </c>
      <c r="F8" s="30" t="inlineStr">
        <is>
          <t>氨碱法</t>
        </is>
      </c>
      <c r="G8" s="34" t="inlineStr">
        <is>
          <t>纳入三友集团 340 万吨口径；单独统计时不计入唐山三友 230 万吨</t>
        </is>
      </c>
      <c r="H8" s="23" t="inlineStr">
        <is>
          <t>✓</t>
        </is>
      </c>
    </row>
    <row r="9" ht="30" customHeight="1">
      <c r="A9" s="8" t="inlineStr">
        <is>
          <t>河北</t>
        </is>
      </c>
      <c r="B9" s="30" t="inlineStr">
        <is>
          <t>沙玻玻璃物流沙河</t>
        </is>
      </c>
      <c r="C9" s="33" t="inlineStr"/>
      <c r="D9" s="4" t="inlineStr">
        <is>
          <t>邢台沙河</t>
        </is>
      </c>
      <c r="E9" s="16" t="n"/>
      <c r="F9" s="30" t="inlineStr">
        <is>
          <t>—</t>
        </is>
      </c>
      <c r="G9" s="34" t="inlineStr">
        <is>
          <t>郑商所纯碱指定交割厂库（无生产产能，属物流/交割设施）</t>
        </is>
      </c>
      <c r="H9" s="23" t="inlineStr">
        <is>
          <t>✓</t>
        </is>
      </c>
    </row>
    <row r="10" ht="42" customHeight="1">
      <c r="A10" s="41" t="inlineStr">
        <is>
          <t>河北</t>
        </is>
      </c>
      <c r="B10" s="42" t="inlineStr">
        <is>
          <t>河北 可核实产能小计</t>
        </is>
      </c>
      <c r="C10" s="43" t="n"/>
      <c r="D10" s="29" t="n"/>
      <c r="E10" s="44">
        <f>SUM(E7:E9)</f>
        <v/>
      </c>
      <c r="F10" s="45" t="inlineStr"/>
      <c r="G10" s="46" t="inlineStr">
        <is>
          <t>省级合计【未查到】。可核实：唐山三友化工系 340 万吨（= 唐山三友 230 + 五彩碱业 110，氨碱）；资讯另按『唐山三友 230 万吨装置』单独表述。河北更偏消费与集散（沙河），而非生产。</t>
        </is>
      </c>
      <c r="H10" s="45" t="inlineStr"/>
    </row>
    <row r="11" ht="30" customHeight="1">
      <c r="A11" s="8" t="inlineStr">
        <is>
          <t>江苏</t>
        </is>
      </c>
      <c r="B11" s="30" t="inlineStr">
        <is>
          <t>连云港碱业（新厂）</t>
        </is>
      </c>
      <c r="C11" s="33" t="inlineStr"/>
      <c r="D11" s="4" t="inlineStr">
        <is>
          <t>连云港灌云燕尾港</t>
        </is>
      </c>
      <c r="E11" s="16" t="n">
        <v>110</v>
      </c>
      <c r="F11" s="30" t="inlineStr">
        <is>
          <t>联碱法（新）／氨碱法（老厂已停）</t>
        </is>
      </c>
      <c r="G11" s="34" t="inlineStr">
        <is>
          <t>投资 58.28 亿元，2025-05-18 一次开车成功；80 万吨重碱 + 30 万吨轻灰</t>
        </is>
      </c>
      <c r="H11" s="23" t="inlineStr">
        <is>
          <t>✓</t>
        </is>
      </c>
    </row>
    <row r="12" ht="30" customHeight="1">
      <c r="A12" s="8" t="inlineStr">
        <is>
          <t>江苏</t>
        </is>
      </c>
      <c r="B12" s="30" t="inlineStr">
        <is>
          <t>江苏华昌化工</t>
        </is>
      </c>
      <c r="C12" s="33" t="inlineStr">
        <is>
          <t>002274</t>
        </is>
      </c>
      <c r="D12" s="4" t="inlineStr">
        <is>
          <t>张家港</t>
        </is>
      </c>
      <c r="E12" s="16" t="n">
        <v>70</v>
      </c>
      <c r="F12" s="30" t="inlineStr">
        <is>
          <t>联碱法</t>
        </is>
      </c>
      <c r="G12" s="34" t="inlineStr">
        <is>
          <t>2025 年 5 月有检修计划</t>
        </is>
      </c>
      <c r="H12" s="23" t="inlineStr">
        <is>
          <t>✓</t>
        </is>
      </c>
    </row>
    <row r="13" ht="30" customHeight="1">
      <c r="A13" s="8" t="inlineStr">
        <is>
          <t>江苏</t>
        </is>
      </c>
      <c r="B13" s="30" t="inlineStr">
        <is>
          <t>实联化工</t>
        </is>
      </c>
      <c r="C13" s="33" t="inlineStr"/>
      <c r="D13" s="4" t="inlineStr">
        <is>
          <t>江苏</t>
        </is>
      </c>
      <c r="E13" s="16" t="n">
        <v>120</v>
      </c>
      <c r="F13" s="30" t="inlineStr">
        <is>
          <t>联碱法</t>
        </is>
      </c>
      <c r="G13" s="34" t="inlineStr">
        <is>
          <t>2022 年产量 93.44 万吨</t>
        </is>
      </c>
      <c r="H13" s="23" t="inlineStr">
        <is>
          <t>✓</t>
        </is>
      </c>
    </row>
    <row r="14" ht="30" customHeight="1">
      <c r="A14" s="8" t="inlineStr">
        <is>
          <t>江苏</t>
        </is>
      </c>
      <c r="B14" s="30" t="inlineStr">
        <is>
          <t>中盐昆山</t>
        </is>
      </c>
      <c r="C14" s="33" t="inlineStr"/>
      <c r="D14" s="4" t="inlineStr">
        <is>
          <t>苏州昆山</t>
        </is>
      </c>
      <c r="E14" s="16" t="n">
        <v>80</v>
      </c>
      <c r="F14" s="30" t="inlineStr">
        <is>
          <t>联碱法</t>
        </is>
      </c>
      <c r="G14" s="34" t="inlineStr">
        <is>
          <t>⚠️ 位于江苏昆山，不属山东</t>
        </is>
      </c>
      <c r="H14" s="23" t="inlineStr">
        <is>
          <t>✓</t>
        </is>
      </c>
    </row>
    <row r="15" ht="30" customHeight="1">
      <c r="A15" s="8" t="inlineStr">
        <is>
          <t>江苏</t>
        </is>
      </c>
      <c r="B15" s="30" t="inlineStr">
        <is>
          <t>苏盐井神（江苏井神）</t>
        </is>
      </c>
      <c r="C15" s="33" t="inlineStr"/>
      <c r="D15" s="4" t="inlineStr">
        <is>
          <t>淮安</t>
        </is>
      </c>
      <c r="E15" s="16" t="n">
        <v>70</v>
      </c>
      <c r="F15" s="30" t="inlineStr">
        <is>
          <t>联碱法</t>
        </is>
      </c>
      <c r="G15" s="34" t="inlineStr">
        <is>
          <t>2024-11 被郑商所增设为首批新一批纯碱交割厂库</t>
        </is>
      </c>
      <c r="H15" s="23" t="inlineStr">
        <is>
          <t>✓</t>
        </is>
      </c>
    </row>
    <row r="16" ht="30" customHeight="1">
      <c r="A16" s="8" t="inlineStr">
        <is>
          <t>江苏</t>
        </is>
      </c>
      <c r="B16" s="30" t="inlineStr">
        <is>
          <t>江苏德邦</t>
        </is>
      </c>
      <c r="C16" s="33" t="inlineStr"/>
      <c r="D16" s="4" t="inlineStr">
        <is>
          <t>江苏</t>
        </is>
      </c>
      <c r="E16" s="16" t="n">
        <v>60</v>
      </c>
      <c r="F16" s="30" t="inlineStr">
        <is>
          <t>联碱法</t>
        </is>
      </c>
      <c r="G16" s="34" t="inlineStr">
        <is>
          <t>搬迁项目 2025-02 出货</t>
        </is>
      </c>
      <c r="H16" s="23" t="inlineStr">
        <is>
          <t>✓</t>
        </is>
      </c>
    </row>
    <row r="17" ht="30" customHeight="1">
      <c r="A17" s="8" t="inlineStr">
        <is>
          <t>江苏</t>
        </is>
      </c>
      <c r="B17" s="30" t="inlineStr">
        <is>
          <t>徐州丰成</t>
        </is>
      </c>
      <c r="C17" s="33" t="inlineStr"/>
      <c r="D17" s="4" t="inlineStr">
        <is>
          <t>徐州</t>
        </is>
      </c>
      <c r="E17" s="16" t="n">
        <v>60</v>
      </c>
      <c r="F17" s="30" t="inlineStr">
        <is>
          <t>联碱法</t>
        </is>
      </c>
      <c r="G17" s="34" t="inlineStr">
        <is>
          <t>2025 年有检修记录</t>
        </is>
      </c>
      <c r="H17" s="23" t="inlineStr">
        <is>
          <t>✓</t>
        </is>
      </c>
    </row>
    <row r="18" ht="42" customHeight="1">
      <c r="A18" s="41" t="inlineStr">
        <is>
          <t>江苏</t>
        </is>
      </c>
      <c r="B18" s="42" t="inlineStr">
        <is>
          <t>江苏 可核实产能小计</t>
        </is>
      </c>
      <c r="C18" s="43" t="n"/>
      <c r="D18" s="29" t="n"/>
      <c r="E18" s="44">
        <f>SUM(E11:E17)</f>
        <v/>
      </c>
      <c r="F18" s="45" t="inlineStr"/>
      <c r="G18" s="46" t="inlineStr">
        <is>
          <t>省级合计【未查到】权威发布。可核实企业级：实联化工 120、中盐昆山 60—80、江苏华昌 70、江苏井神（苏盐井神）70、江苏德邦 60、徐州丰成 60、连云港碱业 110（2025-05 新厂联碱；老厂氨碱约 130 已于 2021—2022 关停）。</t>
        </is>
      </c>
      <c r="H18" s="45" t="inlineStr"/>
    </row>
    <row r="20">
      <c r="A20" s="5" t="inlineStr">
        <is>
          <t>全国</t>
        </is>
      </c>
    </row>
    <row r="21">
      <c r="A21" s="30" t="inlineStr">
        <is>
          <t>2024 年底产能</t>
        </is>
      </c>
      <c r="B21" s="16" t="n">
        <v>3838</v>
      </c>
      <c r="C21" s="34" t="inlineStr">
        <is>
          <t>2024 年底全国纯碱产能 3838 万吨（较 2023 年 +4.9%，近五年峰值）；另一口径『有效运行产能 3970 万吨（氨碱 1440 / 联碱 1840 / 天然碱 690）』</t>
        </is>
      </c>
    </row>
    <row r="22">
      <c r="A22" s="30" t="inlineStr">
        <is>
          <t>2025 年末产能</t>
        </is>
      </c>
      <c r="B22" s="16" t="n">
        <v>4475</v>
      </c>
      <c r="C22" s="34" t="inlineStr">
        <is>
          <t>2025 年末总产能 4450—4500 万吨（取中值 4475），2025 年新增 550—590 万吨；全年产量 3981 万吨（+3.08%）</t>
        </is>
      </c>
    </row>
    <row r="23">
      <c r="A23" s="30" t="inlineStr">
        <is>
          <t>2024 年产量</t>
        </is>
      </c>
      <c r="B23" s="16" t="n">
        <v>3735</v>
      </c>
      <c r="C23" s="34" t="inlineStr">
        <is>
          <t>同比 +16.2%</t>
        </is>
      </c>
    </row>
    <row r="24">
      <c r="A24" s="30" t="inlineStr">
        <is>
          <t>CR4 集中度</t>
        </is>
      </c>
      <c r="B24" s="32" t="n">
        <v>60</v>
      </c>
      <c r="C24" s="34" t="inlineStr">
        <is>
          <t>四家龙头合计份额</t>
        </is>
      </c>
    </row>
    <row r="26">
      <c r="A26" s="5" t="inlineStr">
        <is>
          <t>工艺结构与成本梯次</t>
        </is>
      </c>
    </row>
    <row r="27" ht="30" customHeight="1">
      <c r="A27" s="6" t="inlineStr">
        <is>
          <t>工艺</t>
        </is>
      </c>
      <c r="B27" s="6" t="inlineStr">
        <is>
          <t>占比</t>
        </is>
      </c>
      <c r="C27" s="6" t="inlineStr">
        <is>
          <t>成本区间</t>
        </is>
      </c>
      <c r="D27" s="6" t="inlineStr">
        <is>
          <t>说明</t>
        </is>
      </c>
      <c r="E27" s="6" t="inlineStr"/>
      <c r="F27" s="6" t="inlineStr"/>
      <c r="G27" s="6" t="inlineStr"/>
      <c r="H27" s="6" t="inlineStr"/>
    </row>
    <row r="28">
      <c r="A28" s="8" t="inlineStr">
        <is>
          <t>联碱法</t>
        </is>
      </c>
      <c r="B28" s="47" t="n">
        <v>0.452</v>
      </c>
      <c r="C28" s="8" t="inlineStr">
        <is>
          <t>1050—1200 元/吨</t>
        </is>
      </c>
      <c r="D28" s="14" t="inlineStr">
        <is>
          <t>与氯化铵联动（双吨成本），华北华东集中</t>
        </is>
      </c>
    </row>
    <row r="29">
      <c r="A29" s="8" t="inlineStr">
        <is>
          <t>氨碱法</t>
        </is>
      </c>
      <c r="B29" s="47" t="n">
        <v>0.369</v>
      </c>
      <c r="C29" s="8" t="inlineStr">
        <is>
          <t>&gt;1300 元/吨</t>
        </is>
      </c>
      <c r="D29" s="14" t="inlineStr">
        <is>
          <t>成本对原盐、石灰石、煤/焦敏感；山东、江苏主力</t>
        </is>
      </c>
    </row>
    <row r="30">
      <c r="A30" s="8" t="inlineStr">
        <is>
          <t>天然碱法</t>
        </is>
      </c>
      <c r="B30" s="47" t="n">
        <v>0.169</v>
      </c>
      <c r="C30" s="8" t="inlineStr">
        <is>
          <t>&lt;1000 元/吨</t>
        </is>
      </c>
      <c r="D30" s="14" t="inlineStr">
        <is>
          <t>内蒙为主，外运半径远，压全国边际价</t>
        </is>
      </c>
    </row>
    <row r="32" ht="26" customHeight="1">
      <c r="A32" s="15" t="inlineStr">
        <is>
          <t>成本梯次（2025）：天然碱 &lt;1000 &lt; 联碱 1050—1200 &lt; 氨碱 &gt;1300 元/吨。这是区域价差的结构底座：山东以氨碱为主、河北以氨碱（三友）为主、江苏联碱占比高且 2025 年新增联碱。</t>
        </is>
      </c>
    </row>
  </sheetData>
  <mergeCells count="15">
    <mergeCell ref="B10:D10"/>
    <mergeCell ref="C24:H24"/>
    <mergeCell ref="A26:H26"/>
    <mergeCell ref="D30:H30"/>
    <mergeCell ref="A20:H20"/>
    <mergeCell ref="C22:H22"/>
    <mergeCell ref="A2:H2"/>
    <mergeCell ref="D28:H28"/>
    <mergeCell ref="C23:H23"/>
    <mergeCell ref="B18:D18"/>
    <mergeCell ref="D29:H29"/>
    <mergeCell ref="A1:H1"/>
    <mergeCell ref="A32:H32"/>
    <mergeCell ref="B6:D6"/>
    <mergeCell ref="C21:H21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54" customWidth="1" min="5" max="5"/>
  </cols>
  <sheetData>
    <row r="1" ht="30" customHeight="1">
      <c r="A1" s="1" t="inlineStr">
        <is>
          <t>下游需求结构</t>
        </is>
      </c>
    </row>
    <row r="2" ht="30" customHeight="1">
      <c r="A2" s="2" t="inlineStr">
        <is>
          <t>全国口径为已核实数据；省级拆分为结构性示意，逐行标注——不要把示意当统计。</t>
        </is>
      </c>
    </row>
    <row r="3" ht="30" customHeight="1">
      <c r="A3" s="6" t="inlineStr">
        <is>
          <t>地区</t>
        </is>
      </c>
      <c r="B3" s="6" t="inlineStr">
        <is>
          <t>行业</t>
        </is>
      </c>
      <c r="C3" s="6" t="inlineStr">
        <is>
          <t>占比</t>
        </is>
      </c>
      <c r="D3" s="6" t="inlineStr">
        <is>
          <t>数据性质</t>
        </is>
      </c>
      <c r="E3" s="6" t="inlineStr">
        <is>
          <t>说明</t>
        </is>
      </c>
    </row>
    <row r="4">
      <c r="A4" s="8" t="inlineStr">
        <is>
          <t>山东</t>
        </is>
      </c>
      <c r="B4" s="30" t="inlineStr">
        <is>
          <t>玻璃（浮法/深加工）</t>
        </is>
      </c>
      <c r="C4" s="47" t="n">
        <v>0.43</v>
      </c>
      <c r="D4" s="18" t="inlineStr">
        <is>
          <t>示意</t>
        </is>
      </c>
      <c r="E4" s="34" t="inlineStr">
        <is>
          <t>全国口径参考</t>
        </is>
      </c>
    </row>
    <row r="5">
      <c r="A5" s="8" t="inlineStr">
        <is>
          <t>山东</t>
        </is>
      </c>
      <c r="B5" s="30" t="inlineStr">
        <is>
          <t>光伏玻璃</t>
        </is>
      </c>
      <c r="C5" s="47" t="n">
        <v>0.17</v>
      </c>
      <c r="D5" s="18" t="inlineStr">
        <is>
          <t>示意</t>
        </is>
      </c>
      <c r="E5" s="34" t="inlineStr">
        <is>
          <t>全国口径参考</t>
        </is>
      </c>
    </row>
    <row r="6">
      <c r="A6" s="8" t="inlineStr">
        <is>
          <t>山东</t>
        </is>
      </c>
      <c r="B6" s="30" t="inlineStr">
        <is>
          <t>日用玻璃</t>
        </is>
      </c>
      <c r="C6" s="47" t="n">
        <v>0.13</v>
      </c>
      <c r="D6" s="18" t="inlineStr">
        <is>
          <t>示意</t>
        </is>
      </c>
      <c r="E6" s="34" t="inlineStr">
        <is>
          <t>全国口径参考</t>
        </is>
      </c>
    </row>
    <row r="7">
      <c r="A7" s="8" t="inlineStr">
        <is>
          <t>山东</t>
        </is>
      </c>
      <c r="B7" s="30" t="inlineStr">
        <is>
          <t>小苏打 / 泡花碱</t>
        </is>
      </c>
      <c r="C7" s="47" t="n">
        <v>0.12</v>
      </c>
      <c r="D7" s="18" t="inlineStr">
        <is>
          <t>示意</t>
        </is>
      </c>
      <c r="E7" s="34" t="inlineStr"/>
    </row>
    <row r="8">
      <c r="A8" s="8" t="inlineStr">
        <is>
          <t>山东</t>
        </is>
      </c>
      <c r="B8" s="30" t="inlineStr">
        <is>
          <t>其他（洗涤剂、无机盐、出口）</t>
        </is>
      </c>
      <c r="C8" s="47" t="n">
        <v>0.15</v>
      </c>
      <c r="D8" s="18" t="inlineStr">
        <is>
          <t>示意</t>
        </is>
      </c>
      <c r="E8" s="34" t="inlineStr"/>
    </row>
    <row r="9" ht="34" customHeight="1">
      <c r="A9" s="41" t="inlineStr">
        <is>
          <t>山东</t>
        </is>
      </c>
      <c r="B9" s="42" t="inlineStr">
        <is>
          <t>合计</t>
        </is>
      </c>
      <c r="C9" s="48">
        <f>SUM(C4:C8)</f>
        <v/>
      </c>
      <c r="D9" s="45" t="inlineStr"/>
      <c r="E9" s="46" t="inlineStr">
        <is>
          <t>以上为全国结构口径（2023：玻璃合计 73%，其中平板 43%、光伏 17%、日用 13%）。山东省级下游拆分【未查到】独立量化数据——不出省级假数。</t>
        </is>
      </c>
    </row>
    <row r="11">
      <c r="A11" s="8" t="inlineStr">
        <is>
          <t>河北</t>
        </is>
      </c>
      <c r="B11" s="30" t="inlineStr">
        <is>
          <t>浮法玻璃（沙河集群）</t>
        </is>
      </c>
      <c r="C11" s="47" t="n">
        <v>0.45</v>
      </c>
      <c r="D11" s="18" t="inlineStr">
        <is>
          <t>示意</t>
        </is>
      </c>
      <c r="E11" s="34" t="inlineStr">
        <is>
          <t>沙河月用纯碱约 9 万吨（年约 108 万吨，推算）</t>
        </is>
      </c>
    </row>
    <row r="12">
      <c r="A12" s="8" t="inlineStr">
        <is>
          <t>河北</t>
        </is>
      </c>
      <c r="B12" s="30" t="inlineStr">
        <is>
          <t>深加工/日用玻璃</t>
        </is>
      </c>
      <c r="C12" s="47" t="n">
        <v>0.2</v>
      </c>
      <c r="D12" s="18" t="inlineStr">
        <is>
          <t>示意</t>
        </is>
      </c>
      <c r="E12" s="34" t="inlineStr"/>
    </row>
    <row r="13">
      <c r="A13" s="8" t="inlineStr">
        <is>
          <t>河北</t>
        </is>
      </c>
      <c r="B13" s="30" t="inlineStr">
        <is>
          <t>其他（轻工、医药）</t>
        </is>
      </c>
      <c r="C13" s="47" t="n">
        <v>0.35</v>
      </c>
      <c r="D13" s="18" t="inlineStr">
        <is>
          <t>示意</t>
        </is>
      </c>
      <c r="E13" s="34" t="inlineStr"/>
    </row>
    <row r="14" ht="34" customHeight="1">
      <c r="A14" s="41" t="inlineStr">
        <is>
          <t>河北</t>
        </is>
      </c>
      <c r="B14" s="42" t="inlineStr">
        <is>
          <t>合计</t>
        </is>
      </c>
      <c r="C14" s="48">
        <f>SUM(C11:C13)</f>
        <v/>
      </c>
      <c r="D14" s="45" t="inlineStr"/>
      <c r="E14" s="46" t="inlineStr">
        <is>
          <t>河北份额为本 Skill 依据『沙河产能占全国约 10%、月用量 9 万吨』构造的结构性拆分，非统计口径。</t>
        </is>
      </c>
    </row>
    <row r="16">
      <c r="A16" s="8" t="inlineStr">
        <is>
          <t>江苏</t>
        </is>
      </c>
      <c r="B16" s="30" t="inlineStr">
        <is>
          <t>光伏玻璃</t>
        </is>
      </c>
      <c r="C16" s="47" t="n">
        <v>0.22</v>
      </c>
      <c r="D16" s="18" t="inlineStr">
        <is>
          <t>示意</t>
        </is>
      </c>
      <c r="E16" s="34" t="inlineStr">
        <is>
          <t>江苏光伏玻璃集聚度较高</t>
        </is>
      </c>
    </row>
    <row r="17">
      <c r="A17" s="8" t="inlineStr">
        <is>
          <t>江苏</t>
        </is>
      </c>
      <c r="B17" s="30" t="inlineStr">
        <is>
          <t>浮法/深加工玻璃</t>
        </is>
      </c>
      <c r="C17" s="47" t="n">
        <v>0.2</v>
      </c>
      <c r="D17" s="18" t="inlineStr">
        <is>
          <t>示意</t>
        </is>
      </c>
      <c r="E17" s="34" t="inlineStr"/>
    </row>
    <row r="18">
      <c r="A18" s="8" t="inlineStr">
        <is>
          <t>江苏</t>
        </is>
      </c>
      <c r="B18" s="30" t="inlineStr">
        <is>
          <t>无机盐/精细化工</t>
        </is>
      </c>
      <c r="C18" s="47" t="n">
        <v>0.28</v>
      </c>
      <c r="D18" s="18" t="inlineStr">
        <is>
          <t>示意</t>
        </is>
      </c>
      <c r="E18" s="34" t="inlineStr"/>
    </row>
    <row r="19">
      <c r="A19" s="8" t="inlineStr">
        <is>
          <t>江苏</t>
        </is>
      </c>
      <c r="B19" s="30" t="inlineStr">
        <is>
          <t>洗涤剂</t>
        </is>
      </c>
      <c r="C19" s="47" t="n">
        <v>0.12</v>
      </c>
      <c r="D19" s="18" t="inlineStr">
        <is>
          <t>示意</t>
        </is>
      </c>
      <c r="E19" s="34" t="inlineStr"/>
    </row>
    <row r="20">
      <c r="A20" s="8" t="inlineStr">
        <is>
          <t>江苏</t>
        </is>
      </c>
      <c r="B20" s="30" t="inlineStr">
        <is>
          <t>其他（出口、医药）</t>
        </is>
      </c>
      <c r="C20" s="47" t="n">
        <v>0.18</v>
      </c>
      <c r="D20" s="18" t="inlineStr">
        <is>
          <t>示意</t>
        </is>
      </c>
      <c r="E20" s="34" t="inlineStr"/>
    </row>
    <row r="21" ht="34" customHeight="1">
      <c r="A21" s="41" t="inlineStr">
        <is>
          <t>江苏</t>
        </is>
      </c>
      <c r="B21" s="42" t="inlineStr">
        <is>
          <t>合计</t>
        </is>
      </c>
      <c r="C21" s="48">
        <f>SUM(C16:C20)</f>
        <v/>
      </c>
      <c r="D21" s="45" t="inlineStr"/>
      <c r="E21" s="46" t="inlineStr">
        <is>
          <t>江苏省级下游拆分【未查到】独立量化数据；此处为结构性拆分示意，非统计口径。已核实的部分是：江苏属玻璃原片库存压力较大省区（2025-06 卓创口径），且光伏玻璃是其重碱需求的关键变量。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62" customWidth="1" min="3" max="3"/>
  </cols>
  <sheetData>
    <row r="1" ht="30" customHeight="1">
      <c r="A1" s="1" t="inlineStr">
        <is>
          <t>规格、包装与税基（口径切换的锚点）</t>
        </is>
      </c>
    </row>
    <row r="2" ht="30" customHeight="1">
      <c r="A2" s="2" t="inlineStr">
        <is>
          <t>任何跨地区比较先确认这五项；不一致就显式换算，缺参数就不让算。</t>
        </is>
      </c>
    </row>
    <row r="3" ht="30" customHeight="1">
      <c r="A3" s="6" t="inlineStr">
        <is>
          <t>项目</t>
        </is>
      </c>
      <c r="B3" s="6" t="inlineStr">
        <is>
          <t>取值</t>
        </is>
      </c>
      <c r="C3" s="6" t="inlineStr">
        <is>
          <t>依据/说明</t>
        </is>
      </c>
    </row>
    <row r="4" ht="34" customHeight="1">
      <c r="A4" s="3" t="inlineStr">
        <is>
          <t>产品</t>
        </is>
      </c>
      <c r="B4" s="4" t="inlineStr">
        <is>
          <t>重质纯碱</t>
        </is>
      </c>
      <c r="C4" s="34" t="inlineStr">
        <is>
          <t>重质纯碱（dense soda ash）</t>
        </is>
      </c>
    </row>
    <row r="5" ht="34" customHeight="1">
      <c r="A5" s="3" t="inlineStr">
        <is>
          <t>国标</t>
        </is>
      </c>
      <c r="B5" s="4" t="inlineStr">
        <is>
          <t>GB/T 210-2022《工业碳酸钠》</t>
        </is>
      </c>
      <c r="C5" s="34" t="inlineStr">
        <is>
          <t>Ⅱ 类优等品为期货交割基准</t>
        </is>
      </c>
    </row>
    <row r="6" ht="34" customHeight="1">
      <c r="A6" s="3" t="inlineStr">
        <is>
          <t>主成分要求</t>
        </is>
      </c>
      <c r="B6" s="4" t="inlineStr">
        <is>
          <t>GB/T 210-2022《工业碳酸钠》Ⅱ类优等品，Na₂CO₃ ≥ 99.2%（干基）</t>
        </is>
      </c>
      <c r="C6" s="34" t="inlineStr">
        <is>
          <t>Na₂CO₃（干基）≥ 99.2%</t>
        </is>
      </c>
    </row>
    <row r="7" ht="34" customHeight="1">
      <c r="A7" s="3" t="inlineStr">
        <is>
          <t>期货交割基准品</t>
        </is>
      </c>
      <c r="B7" s="4" t="inlineStr">
        <is>
          <t>郑商所纯碱期货交割基准品：Ⅱ类优等品重质纯碱，NaCl（干基）≤ 0.6%</t>
        </is>
      </c>
      <c r="C7" s="34" t="inlineStr">
        <is>
          <t>郑商所纯碱期货；交割品须满足 NaCl（干基）≤ 0.6%</t>
        </is>
      </c>
    </row>
    <row r="8" ht="34" customHeight="1">
      <c r="A8" s="3" t="inlineStr">
        <is>
          <t>堆积密度</t>
        </is>
      </c>
      <c r="B8" s="4" t="inlineStr">
        <is>
          <t>重质 ≥ 1.0 g/cm³；轻质约 0.5–0.6 g/cm³</t>
        </is>
      </c>
      <c r="C8" s="34" t="inlineStr">
        <is>
          <t>轻/重碱不能混算价差，必须分列</t>
        </is>
      </c>
    </row>
    <row r="9" ht="34" customHeight="1">
      <c r="A9" s="3" t="inlineStr">
        <is>
          <t>包装</t>
        </is>
      </c>
      <c r="B9" s="4" t="inlineStr">
        <is>
          <t>吨包（单包净重 1 吨）或散装，重碱通常同价执行</t>
        </is>
      </c>
      <c r="C9" s="34" t="inlineStr">
        <is>
          <t>吨包单包 1 吨；散装罐车亦有，通常同价</t>
        </is>
      </c>
    </row>
    <row r="10" ht="34" customHeight="1">
      <c r="A10" s="3" t="inlineStr">
        <is>
          <t>计量单位</t>
        </is>
      </c>
      <c r="B10" s="4" t="inlineStr">
        <is>
          <t>元/吨</t>
        </is>
      </c>
      <c r="C10" s="34" t="inlineStr">
        <is>
          <t>郑商所期货交易单位 20 吨/手，报价单位 元/吨</t>
        </is>
      </c>
    </row>
    <row r="11" ht="34" customHeight="1">
      <c r="A11" s="3" t="inlineStr">
        <is>
          <t>增值税率</t>
        </is>
      </c>
      <c r="B11" s="4" t="inlineStr">
        <is>
          <t>13%</t>
        </is>
      </c>
      <c r="C11" s="34" t="inlineStr">
        <is>
          <t>2019-04-01 起由 16% 调整为 13%</t>
        </is>
      </c>
    </row>
    <row r="12" ht="34" customHeight="1">
      <c r="A12" s="3" t="inlineStr">
        <is>
          <t>不含税换算</t>
        </is>
      </c>
      <c r="B12" s="4" t="inlineStr">
        <is>
          <t>不含税 = 含税 ÷ 1.13</t>
        </is>
      </c>
      <c r="C12" s="34" t="inlineStr">
        <is>
          <t>例：含税 1225.71 → 不含税约 1084.7</t>
        </is>
      </c>
    </row>
    <row r="13" ht="34" customHeight="1">
      <c r="A13" s="3" t="inlineStr">
        <is>
          <t>区域税率差异</t>
        </is>
      </c>
      <c r="B13" s="4" t="inlineStr">
        <is>
          <t>无</t>
        </is>
      </c>
      <c r="C13" s="34" t="inlineStr">
        <is>
          <t>调研确认：沙河增值税 13%，与全国一致，不构成区域价差来源</t>
        </is>
      </c>
    </row>
    <row r="14" ht="34" customHeight="1">
      <c r="A14" s="3" t="inlineStr">
        <is>
          <t>重碱报价口径</t>
        </is>
      </c>
      <c r="B14" s="4" t="inlineStr">
        <is>
          <t>轻碱统一出厂价；重碱除西北以外地区采用送到价，西北采用出厂价</t>
        </is>
      </c>
      <c r="C14" s="34" t="inlineStr">
        <is>
          <t>期货日报《纯碱的物流仓储与价格政策介绍》2019-12-01</t>
        </is>
      </c>
    </row>
    <row r="15" ht="34" customHeight="1">
      <c r="A15" s="3" t="inlineStr">
        <is>
          <t>付款方式</t>
        </is>
      </c>
      <c r="B15" s="4" t="inlineStr">
        <is>
          <t>现汇 / 承兑</t>
        </is>
      </c>
      <c r="C15" s="34" t="inlineStr">
        <is>
          <t>承兑价 = 现汇价 + 贴息；纯碱承兑贴息具体数值属于公开源【未查到】项，不给假设值</t>
        </is>
      </c>
    </row>
    <row r="16" ht="34" customHeight="1">
      <c r="A16" s="3" t="inlineStr">
        <is>
          <t>长协</t>
        </is>
      </c>
      <c r="B16" s="4" t="inlineStr">
        <is>
          <t>纯碱一般无长协，一单一议</t>
        </is>
      </c>
      <c r="C16" s="34" t="inlineStr">
        <is>
          <t>重碱约 90% 直供玻璃厂；挂牌价 ≠ 成交价</t>
        </is>
      </c>
    </row>
    <row r="17" ht="34" customHeight="1">
      <c r="A17" s="3" t="inlineStr">
        <is>
          <t>运输惯例</t>
        </is>
      </c>
      <c r="B17" s="4" t="inlineStr">
        <is>
          <t>300 km 以内以汽运为主，300 km 以外以铁运为主</t>
        </is>
      </c>
      <c r="C17" s="34" t="inlineStr">
        <is>
          <t>期货日报 2019-12-01</t>
        </is>
      </c>
    </row>
    <row r="18" ht="34" customHeight="1">
      <c r="A18" s="3" t="inlineStr">
        <is>
          <t>水运成本</t>
        </is>
      </c>
      <c r="B18" s="4" t="inlineStr">
        <is>
          <t>30–120 元/吨</t>
        </is>
      </c>
      <c r="C18" s="34" t="inlineStr">
        <is>
          <t>期货日报；山东沿海→华南 140–150 元/吨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I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8" customWidth="1" min="4" max="4"/>
    <col width="14" customWidth="1" min="5" max="5"/>
    <col width="46" customWidth="1" min="6" max="6"/>
    <col width="9" customWidth="1" min="7" max="7"/>
    <col width="62" customWidth="1" min="8" max="8"/>
    <col width="8" customWidth="1" min="9" max="9"/>
  </cols>
  <sheetData>
    <row r="1" ht="30" customHeight="1">
      <c r="A1" s="1" t="inlineStr">
        <is>
          <t>区域产业事件日历（只写可核对的事件）</t>
        </is>
      </c>
    </row>
    <row r="2" ht="30" customHeight="1">
      <c r="A2" s="2" t="inlineStr">
        <is>
          <t>events 只用于解释「可能为什么变化」，不用于把相关升级为因果。</t>
        </is>
      </c>
    </row>
    <row r="3" ht="30" customHeight="1">
      <c r="A3" s="6" t="inlineStr">
        <is>
          <t>编号</t>
        </is>
      </c>
      <c r="B3" s="6" t="inlineStr">
        <is>
          <t>起始</t>
        </is>
      </c>
      <c r="C3" s="6" t="inlineStr">
        <is>
          <t>结束</t>
        </is>
      </c>
      <c r="D3" s="6" t="inlineStr">
        <is>
          <t>类型</t>
        </is>
      </c>
      <c r="E3" s="6" t="inlineStr">
        <is>
          <t>影响地区</t>
        </is>
      </c>
      <c r="F3" s="6" t="inlineStr">
        <is>
          <t>事件</t>
        </is>
      </c>
      <c r="G3" s="6" t="inlineStr">
        <is>
          <t>价格方向</t>
        </is>
      </c>
      <c r="H3" s="6" t="inlineStr">
        <is>
          <t>经济链条（传导路径）</t>
        </is>
      </c>
      <c r="I3" s="6" t="inlineStr">
        <is>
          <t>核实</t>
        </is>
      </c>
    </row>
    <row r="4" ht="48" customHeight="1">
      <c r="A4" s="33" t="inlineStr">
        <is>
          <t>E01</t>
        </is>
      </c>
      <c r="B4" s="9" t="n">
        <v>45078</v>
      </c>
      <c r="C4" s="8" t="inlineStr">
        <is>
          <t>至今</t>
        </is>
      </c>
      <c r="D4" s="8" t="inlineStr">
        <is>
          <t>产能</t>
        </is>
      </c>
      <c r="E4" s="49" t="inlineStr">
        <is>
          <t>全国、HB、SD</t>
        </is>
      </c>
      <c r="F4" s="4" t="inlineStr">
        <is>
          <t>远兴阿拉善天然碱一期 500 万吨投产</t>
        </is>
      </c>
      <c r="G4" s="50" t="inlineStr">
        <is>
          <t>宽松</t>
        </is>
      </c>
      <c r="H4" s="34" t="inlineStr">
        <is>
          <t>内蒙古阿拉善塔木素天然碱一期 500 万吨纯碱 + 40 万吨小苏打投产，首批一线 2023-08 日产 4000 多吨。天然碱完全成本 &lt;1000 元/吨，显著低于联碱（1050—1200）与氨碱（&gt;1300）。 天然碱外运至沙河/华北约 300 元/吨（1500 km 汽运，已核实），折算到货成本仍低于华东本地氨碱/联碱出厂——它压的是『全国边际成本』与『华北到货价』，不是单压某一省。</t>
        </is>
      </c>
      <c r="I4" s="51" t="inlineStr">
        <is>
          <t>✓</t>
        </is>
      </c>
    </row>
    <row r="5" ht="48" customHeight="1">
      <c r="A5" s="33" t="inlineStr">
        <is>
          <t>E02</t>
        </is>
      </c>
      <c r="B5" s="9" t="n">
        <v>45131</v>
      </c>
      <c r="C5" s="9" t="n">
        <v>45184</v>
      </c>
      <c r="D5" s="8" t="inlineStr">
        <is>
          <t>需求</t>
        </is>
      </c>
      <c r="E5" s="49" t="inlineStr">
        <is>
          <t>全国、HB、SD、JS</t>
        </is>
      </c>
      <c r="F5" s="4" t="inlineStr">
        <is>
          <t>2023 年旺季急涨：重碱 2175 → 华北 3200 / 华东 3150</t>
        </is>
      </c>
      <c r="G5" s="23" t="inlineStr">
        <is>
          <t>收紧</t>
        </is>
      </c>
      <c r="H5" s="34" t="inlineStr">
        <is>
          <t>夏季检修超预期 + 厂家库存 8—9 月最低约 13 万吨（历史最低）+ 光伏玻璃需求，重碱从 7-24 低点 2175 涨至 9-01 华北 3200、华东 3150。 全区域同向急涨时，区域价差通常被压缩（缺货时贸易流被『就近取货』替代，跨区流向减少）；这是『价差收敛型事件』的典型样本。</t>
        </is>
      </c>
      <c r="I5" s="51" t="inlineStr">
        <is>
          <t>✓</t>
        </is>
      </c>
    </row>
    <row r="6" ht="48" customHeight="1">
      <c r="A6" s="33" t="inlineStr">
        <is>
          <t>E03</t>
        </is>
      </c>
      <c r="B6" s="9" t="n">
        <v>45139</v>
      </c>
      <c r="C6" s="9" t="n">
        <v>45230</v>
      </c>
      <c r="D6" s="8" t="inlineStr">
        <is>
          <t>物流</t>
        </is>
      </c>
      <c r="E6" s="49" t="inlineStr">
        <is>
          <t>SD、HB、JS</t>
        </is>
      </c>
      <c r="F6" s="4" t="inlineStr">
        <is>
          <t>2023 年极端缺货期：现货『封单不报价』</t>
        </is>
      </c>
      <c r="G6" s="18" t="inlineStr">
        <is>
          <t>不确定</t>
        </is>
      </c>
      <c r="H6" s="34" t="inlineStr">
        <is>
          <t>8 月部分碱厂停止接新单，贸易商库存耗尽，市场传闻 SA2309 大量空单被逼仓；现货报价一度中断。 缺货期『报价停更』本身会造成序列缺口——本 Skill 的处理是留空、标缺口，绝不插值，否则会在最关键的区间造出一条假曲线。</t>
        </is>
      </c>
      <c r="I6" s="51" t="inlineStr">
        <is>
          <t>✓</t>
        </is>
      </c>
    </row>
    <row r="7" ht="48" customHeight="1">
      <c r="A7" s="33" t="inlineStr">
        <is>
          <t>E04</t>
        </is>
      </c>
      <c r="B7" s="9" t="n">
        <v>45288</v>
      </c>
      <c r="C7" s="8" t="inlineStr">
        <is>
          <t>至今</t>
        </is>
      </c>
      <c r="D7" s="8" t="inlineStr">
        <is>
          <t>产能</t>
        </is>
      </c>
      <c r="E7" s="49" t="inlineStr">
        <is>
          <t>全国、HB、SD</t>
        </is>
      </c>
      <c r="F7" s="4" t="inlineStr">
        <is>
          <t>阿拉善二期 280 万吨启动建设（计划 2025-12 建成）</t>
        </is>
      </c>
      <c r="G7" s="50" t="inlineStr">
        <is>
          <t>宽松</t>
        </is>
      </c>
      <c r="H7" s="34" t="inlineStr">
        <is>
          <t>二期纯碱 280 万吨 + 小苏打 40 万吨，投资约 55 亿元。 二期投产预期自 2024 年起持续压制华北/华东远月与现货中枢。</t>
        </is>
      </c>
      <c r="I7" s="51" t="inlineStr">
        <is>
          <t>✓</t>
        </is>
      </c>
    </row>
    <row r="8" ht="48" customHeight="1">
      <c r="A8" s="33" t="inlineStr">
        <is>
          <t>E05</t>
        </is>
      </c>
      <c r="B8" s="9" t="n">
        <v>45292</v>
      </c>
      <c r="C8" s="9" t="n">
        <v>45657</v>
      </c>
      <c r="D8" s="8" t="inlineStr">
        <is>
          <t>产能</t>
        </is>
      </c>
      <c r="E8" s="49" t="inlineStr">
        <is>
          <t>全国</t>
        </is>
      </c>
      <c r="F8" s="4" t="inlineStr">
        <is>
          <t>2024 年供给过剩：全年跌 45%，重碱终端均价 1953（-29.6%）</t>
        </is>
      </c>
      <c r="G8" s="50" t="inlineStr">
        <is>
          <t>宽松</t>
        </is>
      </c>
      <c r="H8" s="34" t="inlineStr">
        <is>
          <t>2024 年底全国产能 3838 万吨（+4.9%），产量 3735 万吨（+16.2%）；生意社口径年初 2790 → 年末 1528（-45.23%）；卓创重碱主流终端均价 1953 元/吨（-29.6%）。 过剩期价格由『边际成本最高的氨碱装置』定价，区域价差主要由各区域『本地装置成本 + 到货成本』决定，而非需求强弱。</t>
        </is>
      </c>
      <c r="I8" s="51" t="inlineStr">
        <is>
          <t>✓</t>
        </is>
      </c>
    </row>
    <row r="9" ht="48" customHeight="1">
      <c r="A9" s="33" t="inlineStr">
        <is>
          <t>E06</t>
        </is>
      </c>
      <c r="B9" s="9" t="n">
        <v>45352</v>
      </c>
      <c r="C9" s="9" t="n">
        <v>45473</v>
      </c>
      <c r="D9" s="8" t="inlineStr">
        <is>
          <t>装置</t>
        </is>
      </c>
      <c r="E9" s="49" t="inlineStr">
        <is>
          <t>JS、全国</t>
        </is>
      </c>
      <c r="F9" s="4" t="inlineStr">
        <is>
          <t>2024 上半年江苏装置检修：徐州丰成、江苏实联、江苏井神等</t>
        </is>
      </c>
      <c r="G9" s="23" t="inlineStr">
        <is>
          <t>收紧</t>
        </is>
      </c>
      <c r="H9" s="34" t="inlineStr">
        <is>
          <t>2024 年 3 月开工负荷 91.5%（年内最高）、9 月 82.6%（年内最低）；检修期内江苏本地供给收缩，需外省调入补缺。 江苏为净调入省，本地检修会抬升『外省到货依赖度』，在运费不变的条件下把江苏送到价相对山东/河北推高——这是江苏相对升水扩张的典型成因。</t>
        </is>
      </c>
      <c r="I9" s="51" t="inlineStr">
        <is>
          <t>✓</t>
        </is>
      </c>
    </row>
    <row r="10" ht="48" customHeight="1">
      <c r="A10" s="33" t="inlineStr">
        <is>
          <t>E07</t>
        </is>
      </c>
      <c r="B10" s="9" t="n">
        <v>45536</v>
      </c>
      <c r="C10" s="9" t="n">
        <v>45626</v>
      </c>
      <c r="D10" s="8" t="inlineStr">
        <is>
          <t>需求</t>
        </is>
      </c>
      <c r="E10" s="49" t="inlineStr">
        <is>
          <t>HB</t>
        </is>
      </c>
      <c r="F10" s="4" t="inlineStr">
        <is>
          <t>2024 下半年浮法玻璃冷修增加，沙河需求走弱</t>
        </is>
      </c>
      <c r="G10" s="50" t="inlineStr">
        <is>
          <t>宽松</t>
        </is>
      </c>
      <c r="H10" s="34" t="inlineStr">
        <is>
          <t>浮法玻璃上半年产能高于上年同期、下半年收缩；光伏玻璃同样上冲高、下半年回落。沙河为北方建筑玻璃基地（产能占全国约 10%），纯碱月用量约 9 万吨。 沙河需求走弱 → 沙河到货价承压 → 河北相对山东/江苏走弱，形成『河北贴水扩张』阶段。</t>
        </is>
      </c>
      <c r="I10" s="51" t="inlineStr">
        <is>
          <t>✓</t>
        </is>
      </c>
    </row>
    <row r="11" ht="48" customHeight="1">
      <c r="A11" s="33" t="inlineStr">
        <is>
          <t>E08</t>
        </is>
      </c>
      <c r="B11" s="9" t="n">
        <v>45597</v>
      </c>
      <c r="C11" s="9" t="n">
        <v>45657</v>
      </c>
      <c r="D11" s="8" t="inlineStr">
        <is>
          <t>需求</t>
        </is>
      </c>
      <c r="E11" s="49" t="inlineStr">
        <is>
          <t>全国</t>
        </is>
      </c>
      <c r="F11" s="4" t="inlineStr">
        <is>
          <t>2024 年末库存创高：厂家库存 143.9 万吨（同比 +318%）</t>
        </is>
      </c>
      <c r="G11" s="50" t="inlineStr">
        <is>
          <t>宽松</t>
        </is>
      </c>
      <c r="H11" s="34" t="inlineStr">
        <is>
          <t>11 月上旬库存高点 158.8 万吨；全年周均库存 103.3 万吨（+223.8%）。 高库存 + 高开工时，卖方为去库会接受区域贴价，价差更多由『谁先卖得掉』决定。</t>
        </is>
      </c>
      <c r="I11" s="51" t="inlineStr">
        <is>
          <t>✓</t>
        </is>
      </c>
    </row>
    <row r="12" ht="48" customHeight="1">
      <c r="A12" s="33" t="inlineStr">
        <is>
          <t>E09</t>
        </is>
      </c>
      <c r="B12" s="9" t="n">
        <v>45689</v>
      </c>
      <c r="C12" s="9" t="n">
        <v>45747</v>
      </c>
      <c r="D12" s="8" t="inlineStr">
        <is>
          <t>产能</t>
        </is>
      </c>
      <c r="E12" s="49" t="inlineStr">
        <is>
          <t>JS</t>
        </is>
      </c>
      <c r="F12" s="4" t="inlineStr">
        <is>
          <t>江苏德邦 60 万吨联碱搬迁投产</t>
        </is>
      </c>
      <c r="G12" s="50" t="inlineStr">
        <is>
          <t>宽松</t>
        </is>
      </c>
      <c r="H12" s="34" t="inlineStr">
        <is>
          <t>搬迁项目 2025-02 出货（生意社年度表列 2025-03）。 新增本地产能替代部分外省调入，短期压制江苏相对升水。</t>
        </is>
      </c>
      <c r="I12" s="51" t="inlineStr">
        <is>
          <t>✓</t>
        </is>
      </c>
    </row>
    <row r="13" ht="48" customHeight="1">
      <c r="A13" s="33" t="inlineStr">
        <is>
          <t>E10</t>
        </is>
      </c>
      <c r="B13" s="9" t="n">
        <v>45717</v>
      </c>
      <c r="C13" s="9" t="n">
        <v>45808</v>
      </c>
      <c r="D13" s="8" t="inlineStr">
        <is>
          <t>装置</t>
        </is>
      </c>
      <c r="E13" s="49" t="inlineStr">
        <is>
          <t>全国、JS</t>
        </is>
      </c>
      <c r="F13" s="4" t="inlineStr">
        <is>
          <t>2025 上半年检修损失量同比 +22.82%（1—6 月 328.66 万吨）</t>
        </is>
      </c>
      <c r="G13" s="23" t="inlineStr">
        <is>
          <t>收紧</t>
        </is>
      </c>
      <c r="H13" s="34" t="inlineStr">
        <is>
          <t>3 月损失 68.18 万吨、5 月 70.73 万吨；涉及徐州丰成、江苏实联、江苏井神、河南骏化、博源银根等。 检修集中在江苏、河南装置时，江苏本地供给收缩最明显。</t>
        </is>
      </c>
      <c r="I13" s="51" t="inlineStr">
        <is>
          <t>✓</t>
        </is>
      </c>
    </row>
    <row r="14" ht="48" customHeight="1">
      <c r="A14" s="33" t="inlineStr">
        <is>
          <t>E11</t>
        </is>
      </c>
      <c r="B14" s="9" t="n">
        <v>45795</v>
      </c>
      <c r="C14" s="8" t="inlineStr">
        <is>
          <t>至今</t>
        </is>
      </c>
      <c r="D14" s="8" t="inlineStr">
        <is>
          <t>产能</t>
        </is>
      </c>
      <c r="E14" s="49" t="inlineStr">
        <is>
          <t>JS</t>
        </is>
      </c>
      <c r="F14" s="4" t="inlineStr">
        <is>
          <t>连云港碱业 110 万吨联碱一次开车成功（搬迁+换工艺）</t>
        </is>
      </c>
      <c r="G14" s="50" t="inlineStr">
        <is>
          <t>宽松</t>
        </is>
      </c>
      <c r="H14" s="34" t="inlineStr">
        <is>
          <t>老厂（氨碱，原约 130 万吨）于 2021—2022 年间关停（协会 2022-12 分企业产量为 0）；新厂在灌云燕尾港，投资 58.28 亿元，110 万吨联碱（80 重碱 + 30 轻灰）。 这是『同一家企业内部置换』：旧产能退出（氨碱，高成本）→ 新产能投产（联碱，低成本）。对区域价格的影响是净供给回升 + 成本下移，需分段观察江苏相对升水是否收敛。</t>
        </is>
      </c>
      <c r="I14" s="51" t="inlineStr">
        <is>
          <t>✓</t>
        </is>
      </c>
    </row>
    <row r="15" ht="48" customHeight="1">
      <c r="A15" s="33" t="inlineStr">
        <is>
          <t>E12</t>
        </is>
      </c>
      <c r="B15" s="9" t="n">
        <v>45809</v>
      </c>
      <c r="C15" s="9" t="n">
        <v>45930</v>
      </c>
      <c r="D15" s="8" t="inlineStr">
        <is>
          <t>需求</t>
        </is>
      </c>
      <c r="E15" s="49" t="inlineStr">
        <is>
          <t>全国、JS</t>
        </is>
      </c>
      <c r="F15" s="4" t="inlineStr">
        <is>
          <t>光伏 136 号文『531』节点：Q1 抢装 5971 万千瓦后需求后置</t>
        </is>
      </c>
      <c r="G15" s="50" t="inlineStr">
        <is>
          <t>宽松</t>
        </is>
      </c>
      <c r="H15" s="34" t="inlineStr">
        <is>
          <t>发改价格〔2025〕136 号以 2025-06-01 为存量/增量分界，Q1 全国新增光伏装机 5971 万千瓦（占新增装机近八成）；抢装透支后光伏玻璃需求走弱，间接压制重碱需求。新疆 6 月出台的 21 条是 136 号文的落地，不是独立新增利空。 光伏玻璃日熔量在抢装后回落 → 重碱刚需下降。江苏光伏玻璃集聚度高于山东河北，因此对江苏相对价格影响更大。</t>
        </is>
      </c>
      <c r="I15" s="51" t="inlineStr">
        <is>
          <t>✓</t>
        </is>
      </c>
    </row>
    <row r="16" ht="48" customHeight="1">
      <c r="A16" s="33" t="inlineStr">
        <is>
          <t>E13</t>
        </is>
      </c>
      <c r="B16" s="9" t="n">
        <v>45839</v>
      </c>
      <c r="C16" s="9" t="n">
        <v>45900</v>
      </c>
      <c r="D16" s="8" t="inlineStr">
        <is>
          <t>政策</t>
        </is>
      </c>
      <c r="E16" s="49" t="inlineStr">
        <is>
          <t>全国</t>
        </is>
      </c>
      <c r="F16" s="4" t="inlineStr">
        <is>
          <t>『反内卷』政策预期推动纯碱阶段性大涨（随后急跌）</t>
        </is>
      </c>
      <c r="G16" s="18" t="inlineStr">
        <is>
          <t>不确定</t>
        </is>
      </c>
      <c r="H16" s="34" t="inlineStr">
        <is>
          <t>7 月反内卷预期 + 成本支撑推动行情上涨，7-18 夜盘纯碱、玻璃盘中一度涨超 5%；情绪利多后急跌。 预期驱动型上涨通常是『全区域同向、同幅度』，区域价差变化不大——若价差同步走阔，说明是区域物流或供给事件，而非政策。</t>
        </is>
      </c>
      <c r="I16" s="51" t="inlineStr">
        <is>
          <t>✓</t>
        </is>
      </c>
    </row>
    <row r="17" ht="48" customHeight="1">
      <c r="A17" s="33" t="inlineStr">
        <is>
          <t>E14</t>
        </is>
      </c>
      <c r="B17" s="9" t="n">
        <v>45962</v>
      </c>
      <c r="C17" s="9" t="n">
        <v>46022</v>
      </c>
      <c r="D17" s="8" t="inlineStr">
        <is>
          <t>需求</t>
        </is>
      </c>
      <c r="E17" s="49" t="inlineStr">
        <is>
          <t>HB</t>
        </is>
      </c>
      <c r="F17" s="4" t="inlineStr">
        <is>
          <t>沙河 4 条燃煤玻璃线集中停产冷修（合计日熔约 2400—2650 吨）</t>
        </is>
      </c>
      <c r="G17" s="50" t="inlineStr">
        <is>
          <t>宽松</t>
        </is>
      </c>
      <c r="H17" s="34" t="inlineStr">
        <is>
          <t>煤改气推进下沙河燃煤产线集中冷修；11 月沙河在产 17 条产线、日熔 1.45 万吨，燃料结构天然气 58%。 沙河日熔下降 → 河北纯碱刚需下降 → 河北相对贴水扩张。</t>
        </is>
      </c>
      <c r="I17" s="51" t="inlineStr">
        <is>
          <t>✓</t>
        </is>
      </c>
    </row>
    <row r="18" ht="48" customHeight="1">
      <c r="A18" s="33" t="inlineStr">
        <is>
          <t>E15</t>
        </is>
      </c>
      <c r="B18" s="9" t="n">
        <v>46000</v>
      </c>
      <c r="C18" s="8" t="inlineStr">
        <is>
          <t>至今</t>
        </is>
      </c>
      <c r="D18" s="8" t="inlineStr">
        <is>
          <t>产能</t>
        </is>
      </c>
      <c r="E18" s="49" t="inlineStr">
        <is>
          <t>全国、HB、SD</t>
        </is>
      </c>
      <c r="F18" s="4" t="inlineStr">
        <is>
          <t>阿拉善二期首条 100 万吨线投料试车</t>
        </is>
      </c>
      <c r="G18" s="50" t="inlineStr">
        <is>
          <t>宽松</t>
        </is>
      </c>
      <c r="H18" s="34" t="inlineStr">
        <is>
          <t>2025-12-09 投料试车当日产出合格品；完全达产后基地纯碱总产能 780 万吨/年。 二期首线在样本期末投产，影响主要体现在 2026 年及以后，2025 年内对价差的影响有限（预期定价除外）。</t>
        </is>
      </c>
      <c r="I18" s="51" t="inlineStr">
        <is>
          <t>✓</t>
        </is>
      </c>
    </row>
    <row r="19" ht="48" customHeight="1">
      <c r="A19" s="33" t="inlineStr">
        <is>
          <t>E16</t>
        </is>
      </c>
      <c r="B19" s="9" t="n">
        <v>46022</v>
      </c>
      <c r="C19" s="8" t="inlineStr">
        <is>
          <t>至今</t>
        </is>
      </c>
      <c r="D19" s="8" t="inlineStr">
        <is>
          <t>需求</t>
        </is>
      </c>
      <c r="E19" s="49" t="inlineStr">
        <is>
          <t>全国</t>
        </is>
      </c>
      <c r="F19" s="4" t="inlineStr">
        <is>
          <t>2025 年出口 219.38 万吨创近十年新高（+79.73%）</t>
        </is>
      </c>
      <c r="G19" s="23" t="inlineStr">
        <is>
          <t>收紧</t>
        </is>
      </c>
      <c r="H19" s="34" t="inlineStr">
        <is>
          <t>1—11 月出口 196.12 万吨（+88.83%）、进口仅 2.17 万吨（-97.76%）。 出口放量主要消化沿海（山东海化、江苏港口）货源，内陆天然碱出口不经济——这会使沿海省份相对内陆的反应更快。</t>
        </is>
      </c>
      <c r="I19" s="51" t="inlineStr">
        <is>
          <t>✓</t>
        </is>
      </c>
    </row>
    <row r="20" ht="48" customHeight="1">
      <c r="A20" s="33" t="inlineStr">
        <is>
          <t>E17</t>
        </is>
      </c>
      <c r="B20" s="9" t="n">
        <v>45962</v>
      </c>
      <c r="C20" s="9" t="n">
        <v>46022</v>
      </c>
      <c r="D20" s="8" t="inlineStr">
        <is>
          <t>成本</t>
        </is>
      </c>
      <c r="E20" s="49" t="inlineStr">
        <is>
          <t>全国</t>
        </is>
      </c>
      <c r="F20" s="4" t="inlineStr">
        <is>
          <t>轻重碱价倒挂 + 煤价走强的成本支撑</t>
        </is>
      </c>
      <c r="G20" s="23" t="inlineStr">
        <is>
          <t>收紧</t>
        </is>
      </c>
      <c r="H20" s="34" t="inlineStr">
        <is>
          <t>2025 年四季度出现轻重碱价格倒挂；2025 年煤价走强被视为四季度反弹原因之一。 成品结构倒挂时，重碱供给会被生产商主动调减（改产轻碱更划算），对重碱区域价差是向上的偏置。</t>
        </is>
      </c>
      <c r="I20" s="51" t="inlineStr">
        <is>
          <t>✓</t>
        </is>
      </c>
    </row>
    <row r="21" ht="48" customHeight="1">
      <c r="A21" s="33" t="inlineStr">
        <is>
          <t>E18</t>
        </is>
      </c>
      <c r="B21" s="9" t="n">
        <v>45425</v>
      </c>
      <c r="C21" s="9" t="n">
        <v>45428</v>
      </c>
      <c r="D21" s="8" t="inlineStr">
        <is>
          <t>口径</t>
        </is>
      </c>
      <c r="E21" s="49" t="inlineStr">
        <is>
          <t>HB、SD、JS</t>
        </is>
      </c>
      <c r="F21" s="4" t="inlineStr">
        <is>
          <t>行业调研确认三地增值税一致（13%），税基不构成区域价差来源</t>
        </is>
      </c>
      <c r="G21" s="18" t="inlineStr">
        <is>
          <t>中性</t>
        </is>
      </c>
      <c r="H21" s="34" t="inlineStr">
        <is>
          <t>玻璃行业调研原文：沙河增值税 13%，与全国其他地区一致，不存在税收优惠。 既然税基一致，区域价差就不应被『税率』解释；真正的解释应在物流成本、装置结构与需求强弱上。</t>
        </is>
      </c>
      <c r="I21" s="51" t="inlineStr">
        <is>
          <t>✓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66" customWidth="1" min="4" max="4"/>
  </cols>
  <sheetData>
    <row r="1" ht="30" customHeight="1">
      <c r="A1" s="1" t="inlineStr">
        <is>
          <t>数据质检（提交前逐项打勾）</t>
        </is>
      </c>
    </row>
    <row r="2" ht="30" customHeight="1">
      <c r="A2" s="2" t="inlineStr">
        <is>
          <t>ERROR 未清零不得对外交付。</t>
        </is>
      </c>
    </row>
    <row r="3" ht="30" customHeight="1">
      <c r="A3" s="6" t="inlineStr">
        <is>
          <t>检查项</t>
        </is>
      </c>
      <c r="B3" s="6" t="inlineStr">
        <is>
          <t>结果</t>
        </is>
      </c>
      <c r="C3" s="6" t="inlineStr">
        <is>
          <t>判定</t>
        </is>
      </c>
      <c r="D3" s="6" t="inlineStr">
        <is>
          <t>说明</t>
        </is>
      </c>
    </row>
    <row r="4" ht="30" customHeight="1">
      <c r="A4" s="30" t="inlineStr">
        <is>
          <t>观测期长度</t>
        </is>
      </c>
      <c r="B4" s="52" t="inlineStr">
        <is>
          <t>152 期</t>
        </is>
      </c>
      <c r="C4" s="23" t="inlineStr">
        <is>
          <t>PASS</t>
        </is>
      </c>
      <c r="D4" s="34" t="inlineStr">
        <is>
          <t>≥52 期（约 1 年）才足以谈分位</t>
        </is>
      </c>
    </row>
    <row r="5" ht="30" customHeight="1">
      <c r="A5" s="30" t="inlineStr">
        <is>
          <t>对齐后剔除周数</t>
        </is>
      </c>
      <c r="B5" s="52" t="inlineStr">
        <is>
          <t>4 周</t>
        </is>
      </c>
      <c r="C5" s="23" t="inlineStr">
        <is>
          <t>PASS</t>
        </is>
      </c>
      <c r="D5" s="34" t="inlineStr">
        <is>
          <t>缺口剔除、不插值；剔除日期见下表</t>
        </is>
      </c>
    </row>
    <row r="6" ht="30" customHeight="1">
      <c r="A6" s="30" t="inlineStr">
        <is>
          <t>口径换算缺失参数</t>
        </is>
      </c>
      <c r="B6" s="52" t="inlineStr">
        <is>
          <t>0 项</t>
        </is>
      </c>
      <c r="C6" s="23" t="inlineStr">
        <is>
          <t>PASS</t>
        </is>
      </c>
      <c r="D6" s="34" t="inlineStr">
        <is>
          <t>缺失即「不让算」，不会用 0 顶替</t>
        </is>
      </c>
    </row>
    <row r="7" ht="30" customHeight="1">
      <c r="A7" s="30" t="inlineStr">
        <is>
          <t>三地区税基一致</t>
        </is>
      </c>
      <c r="B7" s="52" t="inlineStr">
        <is>
          <t>是（均 13% 含税）</t>
        </is>
      </c>
      <c r="C7" s="23" t="inlineStr">
        <is>
          <t>PASS</t>
        </is>
      </c>
      <c r="D7" s="34" t="inlineStr">
        <is>
          <t>税基不一致会系统性扭曲价差</t>
        </is>
      </c>
    </row>
    <row r="8" ht="30" customHeight="1">
      <c r="A8" s="30" t="inlineStr">
        <is>
          <t>三地区交付方式一致</t>
        </is>
      </c>
      <c r="B8" s="52" t="inlineStr">
        <is>
          <t>是（主口径均为送到价）</t>
        </is>
      </c>
      <c r="C8" s="23" t="inlineStr">
        <is>
          <t>PASS</t>
        </is>
      </c>
      <c r="D8" s="34" t="inlineStr">
        <is>
          <t>送到 vs 出厂混算会高估 50–100 元/吨</t>
        </is>
      </c>
    </row>
    <row r="9" ht="30" customHeight="1">
      <c r="A9" s="30" t="inlineStr">
        <is>
          <t>运费来源</t>
        </is>
      </c>
      <c r="B9" s="52" t="inlineStr">
        <is>
          <t>default_ref</t>
        </is>
      </c>
      <c r="C9" s="18" t="inlineStr">
        <is>
          <t>WARN</t>
        </is>
      </c>
      <c r="D9" s="34" t="inlineStr">
        <is>
          <t>无真实报价时，扣费后差异只能作敏感性参考</t>
        </is>
      </c>
    </row>
    <row r="10" ht="30" customHeight="1">
      <c r="A10" s="30" t="inlineStr">
        <is>
          <t>运费已内含于报价</t>
        </is>
      </c>
      <c r="B10" s="52" t="inlineStr">
        <is>
          <t>是（送到价）</t>
        </is>
      </c>
      <c r="C10" s="18" t="inlineStr">
        <is>
          <t>WARN</t>
        </is>
      </c>
      <c r="D10" s="34" t="inlineStr">
        <is>
          <t>送到价口径下不可重复扣减整段运费</t>
        </is>
      </c>
    </row>
    <row r="11" ht="30" customHeight="1">
      <c r="A11" s="30" t="inlineStr">
        <is>
          <t>数据状态</t>
        </is>
      </c>
      <c r="B11" s="52" t="inlineStr">
        <is>
          <t>DEMO</t>
        </is>
      </c>
      <c r="C11" s="18" t="inlineStr">
        <is>
          <t>WARN</t>
        </is>
      </c>
      <c r="D11" s="34" t="inlineStr">
        <is>
          <t>DEMO 数据不得用于报价、交易或对外引用</t>
        </is>
      </c>
    </row>
    <row r="12" ht="30" customHeight="1">
      <c r="A12" s="30" t="inlineStr">
        <is>
          <t>省级产能合计</t>
        </is>
      </c>
      <c r="B12" s="52" t="inlineStr">
        <is>
          <t>未查到（仅企业级）</t>
        </is>
      </c>
      <c r="C12" s="18" t="inlineStr">
        <is>
          <t>WARN</t>
        </is>
      </c>
      <c r="D12" s="34" t="inlineStr">
        <is>
          <t>宁缺不假；不要用估算数冒充统计</t>
        </is>
      </c>
    </row>
    <row r="13" ht="30" customHeight="1">
      <c r="A13" s="30" t="inlineStr">
        <is>
          <t>承兑贴息</t>
        </is>
      </c>
      <c r="B13" s="52" t="inlineStr">
        <is>
          <t>未查到</t>
        </is>
      </c>
      <c r="C13" s="18" t="inlineStr">
        <is>
          <t>WARN</t>
        </is>
      </c>
      <c r="D13" s="34" t="inlineStr">
        <is>
          <t>不给假设值；遇到承兑报价时标记而非填 0</t>
        </is>
      </c>
    </row>
    <row r="15">
      <c r="A15" s="5" t="inlineStr">
        <is>
          <t>缺口明细（被剔除的观测周）</t>
        </is>
      </c>
    </row>
    <row r="16" ht="30" customHeight="1">
      <c r="A16" s="6" t="inlineStr">
        <is>
          <t>日期</t>
        </is>
      </c>
      <c r="B16" s="6" t="inlineStr">
        <is>
          <t>缺失地区</t>
        </is>
      </c>
      <c r="C16" s="6" t="inlineStr">
        <is>
          <t>滞后（天）</t>
        </is>
      </c>
      <c r="D16" s="6" t="inlineStr">
        <is>
          <t>口径</t>
        </is>
      </c>
    </row>
    <row r="17">
      <c r="A17" s="9" t="n">
        <v>45219</v>
      </c>
      <c r="B17" s="8" t="inlineStr">
        <is>
          <t>山东</t>
        </is>
      </c>
      <c r="C17" s="33" t="inlineStr"/>
      <c r="D17" s="33" t="inlineStr">
        <is>
          <t>送到价（到厂/到库）</t>
        </is>
      </c>
    </row>
    <row r="18">
      <c r="A18" s="9" t="n">
        <v>45331</v>
      </c>
      <c r="B18" s="8" t="inlineStr">
        <is>
          <t>江苏</t>
        </is>
      </c>
      <c r="C18" s="33" t="inlineStr"/>
      <c r="D18" s="33" t="inlineStr">
        <is>
          <t>送到价（到厂/到库）</t>
        </is>
      </c>
    </row>
    <row r="19">
      <c r="A19" s="9" t="n">
        <v>45646</v>
      </c>
      <c r="B19" s="8" t="inlineStr">
        <is>
          <t>河北</t>
        </is>
      </c>
      <c r="C19" s="33" t="inlineStr"/>
      <c r="D19" s="33" t="inlineStr">
        <is>
          <t>送到价（到厂/到库）</t>
        </is>
      </c>
    </row>
    <row r="20">
      <c r="A20" s="9" t="n">
        <v>45779</v>
      </c>
      <c r="B20" s="8" t="inlineStr">
        <is>
          <t>江苏</t>
        </is>
      </c>
      <c r="C20" s="33" t="inlineStr"/>
      <c r="D20" s="33" t="inlineStr">
        <is>
          <t>送到价（到厂/到库）</t>
        </is>
      </c>
    </row>
  </sheetData>
  <mergeCells count="3">
    <mergeCell ref="A15:H15"/>
    <mergeCell ref="A2:H2"/>
    <mergeCell ref="A1:H1"/>
  </mergeCell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tabColor rgb="002F6DB5"/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6" customWidth="1" min="3" max="3"/>
    <col width="44" customWidth="1" min="4" max="4"/>
    <col width="24" customWidth="1" min="5" max="5"/>
    <col width="54" customWidth="1" min="6" max="6"/>
  </cols>
  <sheetData>
    <row r="1" ht="30" customHeight="1">
      <c r="A1" s="1" t="inlineStr">
        <is>
          <t>计算公式对照表（Excel 写法 ↔ Python 实现 ↔ 含义）</t>
        </is>
      </c>
    </row>
    <row r="2" ht="30" customHeight="1">
      <c r="A2" s="2" t="inlineStr">
        <is>
          <t>每一个数字都能被复算——这是可交付的前提。</t>
        </is>
      </c>
    </row>
    <row r="3" ht="30" customHeight="1">
      <c r="A3" s="6" t="inlineStr">
        <is>
          <t>#</t>
        </is>
      </c>
      <c r="B3" s="6" t="inlineStr">
        <is>
          <t>指标</t>
        </is>
      </c>
      <c r="C3" s="6" t="inlineStr">
        <is>
          <t>数学定义 / 规则</t>
        </is>
      </c>
      <c r="D3" s="6" t="inlineStr">
        <is>
          <t>Excel 写法</t>
        </is>
      </c>
      <c r="E3" s="6" t="inlineStr">
        <is>
          <t>Python 函数</t>
        </is>
      </c>
      <c r="F3" s="6" t="inlineStr">
        <is>
          <t>说明与陷阱</t>
        </is>
      </c>
    </row>
    <row r="4" ht="34" customHeight="1">
      <c r="A4" s="4" t="inlineStr">
        <is>
          <t>F1</t>
        </is>
      </c>
      <c r="B4" s="4" t="inlineStr">
        <is>
          <t>价差</t>
        </is>
      </c>
      <c r="C4" s="34" t="inlineStr">
        <is>
          <t>spread(a,b) = P(a) − P(b)</t>
        </is>
      </c>
      <c r="D4" s="34" t="inlineStr">
        <is>
          <t>'=甲价单元格−乙价单元格</t>
        </is>
      </c>
      <c r="E4" s="34" t="inlineStr">
        <is>
          <t>spreadlib.spread_series</t>
        </is>
      </c>
      <c r="F4" s="34" t="inlineStr">
        <is>
          <t>永远写清「谁减谁」；矩阵是「行−列」</t>
        </is>
      </c>
    </row>
    <row r="5" ht="34" customHeight="1">
      <c r="A5" s="4" t="inlineStr">
        <is>
          <t>F2</t>
        </is>
      </c>
      <c r="B5" s="4" t="inlineStr">
        <is>
          <t>含税→不含税</t>
        </is>
      </c>
      <c r="C5" s="34" t="inlineStr">
        <is>
          <t>P_ex = P_inc / (1 + 13%)</t>
        </is>
      </c>
      <c r="D5" s="34" t="inlineStr">
        <is>
          <t>'=P/(1+0.13)</t>
        </is>
      </c>
      <c r="E5" s="34" t="inlineStr">
        <is>
          <t>normalize_price</t>
        </is>
      </c>
      <c r="F5" s="34" t="inlineStr">
        <is>
          <t>增值税是价外税；不要「再扣一次」增值税</t>
        </is>
      </c>
    </row>
    <row r="6" ht="34" customHeight="1">
      <c r="A6" s="4" t="inlineStr">
        <is>
          <t>F3</t>
        </is>
      </c>
      <c r="B6" s="4" t="inlineStr">
        <is>
          <t>承兑→现汇</t>
        </is>
      </c>
      <c r="C6" s="34" t="inlineStr">
        <is>
          <t>P_cash = P_acc − 贴息</t>
        </is>
      </c>
      <c r="D6" s="34" t="inlineStr">
        <is>
          <t>'=P_cell-贴息(元/吨)</t>
        </is>
      </c>
      <c r="E6" s="34" t="inlineStr">
        <is>
          <t>normalize_price(payment_discount)</t>
        </is>
      </c>
      <c r="F6" s="34" t="inlineStr">
        <is>
          <t>贴息数值公开源【未查到】——缺失时不让算，绝不填 0</t>
        </is>
      </c>
    </row>
    <row r="7" ht="34" customHeight="1">
      <c r="A7" s="4" t="inlineStr">
        <is>
          <t>F4</t>
        </is>
      </c>
      <c r="B7" s="4" t="inlineStr">
        <is>
          <t>送到→出厂</t>
        </is>
      </c>
      <c r="C7" s="34" t="inlineStr">
        <is>
          <t>P_exw = P_delivered − 内含运费</t>
        </is>
      </c>
      <c r="D7" s="34" t="inlineStr">
        <is>
          <t>'=P-内含运费</t>
        </is>
      </c>
      <c r="E7" s="34" t="inlineStr">
        <is>
          <t>normalize_price(freight_included)</t>
        </is>
      </c>
      <c r="F7" s="34" t="inlineStr">
        <is>
          <t>内含运费未知则不让算；不要用整段外部运费替代</t>
        </is>
      </c>
    </row>
    <row r="8" ht="34" customHeight="1">
      <c r="A8" s="4" t="inlineStr">
        <is>
          <t>F5</t>
        </is>
      </c>
      <c r="B8" s="4" t="inlineStr">
        <is>
          <t>两两价差（矩阵）</t>
        </is>
      </c>
      <c r="C8" s="34" t="inlineStr">
        <is>
          <t>M[i][j] = P_i − P_j，M[i][i]=0</t>
        </is>
      </c>
      <c r="D8" s="34" t="inlineStr">
        <is>
          <t>'=IFERROR(价格表!{Ci}-价格表!{Cj},"")</t>
        </is>
      </c>
      <c r="E8" s="34" t="inlineStr">
        <is>
          <t>spread_matrix</t>
        </is>
      </c>
      <c r="F8" s="34" t="inlineStr">
        <is>
          <t>等价校验：M[i][j] = −M[j][i]</t>
        </is>
      </c>
    </row>
    <row r="9" ht="34" customHeight="1">
      <c r="A9" s="4" t="inlineStr">
        <is>
          <t>F6</t>
        </is>
      </c>
      <c r="B9" s="4" t="inlineStr">
        <is>
          <t>有效样本数 N</t>
        </is>
      </c>
      <c r="C9" s="34" t="inlineStr">
        <is>
          <t>同时有两侧报价的观测数</t>
        </is>
      </c>
      <c r="D9" s="34" t="inlineStr">
        <is>
          <t>'=COUNT(价差列)</t>
        </is>
      </c>
      <c r="E9" s="34" t="inlineStr">
        <is>
          <t>describe().n</t>
        </is>
      </c>
      <c r="F9" s="34" t="inlineStr">
        <is>
          <t>价差为空=该日两侧未同时有报价</t>
        </is>
      </c>
    </row>
    <row r="10" ht="34" customHeight="1">
      <c r="A10" s="4" t="inlineStr">
        <is>
          <t>F7</t>
        </is>
      </c>
      <c r="B10" s="4" t="inlineStr">
        <is>
          <t>经验分位（ECDF）</t>
        </is>
      </c>
      <c r="C10" s="34" t="inlineStr">
        <is>
          <t>(#{x&lt;v} + 0.5·#{x=v}) / N × 100%</t>
        </is>
      </c>
      <c r="D10" s="34" t="inlineStr">
        <is>
          <t>'=(COUNTIF(r,"&lt;"&amp;v)+0.5*COUNTIF(r,v))/COUNT(r)*100</t>
        </is>
      </c>
      <c r="E10" s="34" t="inlineStr">
        <is>
          <t>percentile_of</t>
        </is>
      </c>
      <c r="F10" s="34" t="inlineStr">
        <is>
          <t>并列取中秩；PERCENTRANK 取最小秩会系统性偏低</t>
        </is>
      </c>
    </row>
    <row r="11" ht="34" customHeight="1">
      <c r="A11" s="4" t="inlineStr">
        <is>
          <t>F8</t>
        </is>
      </c>
      <c r="B11" s="4" t="inlineStr">
        <is>
          <t>窗口分位</t>
        </is>
      </c>
      <c r="C11" s="34" t="inlineStr">
        <is>
          <t>只用 end−365 / end−1095 天内的样本</t>
        </is>
      </c>
      <c r="D11" s="34" t="inlineStr">
        <is>
          <t>'=SUMPRODUCT((日期&gt;=截止-365)*(价差列&lt;&gt;""))</t>
        </is>
      </c>
      <c r="E11" s="34" t="inlineStr">
        <is>
          <t>window_sample + percentile_of</t>
        </is>
      </c>
      <c r="F11" s="34" t="inlineStr">
        <is>
          <t>窗口内样本 &lt;30 时应标注低置信</t>
        </is>
      </c>
    </row>
    <row r="12" ht="34" customHeight="1">
      <c r="A12" s="4" t="inlineStr">
        <is>
          <t>F9</t>
        </is>
      </c>
      <c r="B12" s="4" t="inlineStr">
        <is>
          <t>滚动分位</t>
        </is>
      </c>
      <c r="C12" s="34" t="inlineStr">
        <is>
          <t>每点用 [t−365, t] 的样本计算当前值分位</t>
        </is>
      </c>
      <c r="D12" s="34" t="inlineStr">
        <is>
          <t>SUMPRODUCT 逐行窗口</t>
        </is>
      </c>
      <c r="E12" s="34" t="inlineStr">
        <is>
          <t>rolling_percentile</t>
        </is>
      </c>
      <c r="F12" s="34" t="inlineStr">
        <is>
          <t>窗口重叠是正常的；不要对滚动分位再算显著性</t>
        </is>
      </c>
    </row>
    <row r="13" ht="34" customHeight="1">
      <c r="A13" s="4" t="inlineStr">
        <is>
          <t>F10</t>
        </is>
      </c>
      <c r="B13" s="4" t="inlineStr">
        <is>
          <t>标准分 z</t>
        </is>
      </c>
      <c r="C13" s="34" t="inlineStr">
        <is>
          <t>z = (x − mean(window)) / sd(window)</t>
        </is>
      </c>
      <c r="D13" s="34" t="inlineStr">
        <is>
          <t>'=(x-AVERAGE(r))/STDEV.S(r)</t>
        </is>
      </c>
      <c r="E13" s="34" t="inlineStr">
        <is>
          <t>zscore</t>
        </is>
      </c>
      <c r="F13" s="34" t="inlineStr">
        <is>
          <t>用于识别异常阶段；|z|≥1 且连续≥3 周</t>
        </is>
      </c>
    </row>
    <row r="14" ht="34" customHeight="1">
      <c r="A14" s="4" t="inlineStr">
        <is>
          <t>F11</t>
        </is>
      </c>
      <c r="B14" s="4" t="inlineStr">
        <is>
          <t>综合运费</t>
        </is>
      </c>
      <c r="C14" s="34" t="inlineStr">
        <is>
          <t>F = 主运费 + 装货 + 卸货 + 短驳 + 其他</t>
        </is>
      </c>
      <c r="D14" s="34" t="inlineStr">
        <is>
          <t>'=SUM(主运费:其他)</t>
        </is>
      </c>
      <c r="E14" s="34" t="inlineStr">
        <is>
          <t>freight_total</t>
        </is>
      </c>
      <c r="F14" s="34" t="inlineStr">
        <is>
          <t>任一项未知则总额为空，不按 0 计</t>
        </is>
      </c>
    </row>
    <row r="15" ht="34" customHeight="1">
      <c r="A15" s="4" t="inlineStr">
        <is>
          <t>F12</t>
        </is>
      </c>
      <c r="B15" s="4" t="inlineStr">
        <is>
          <t>到货成本</t>
        </is>
      </c>
      <c r="C15" s="34" t="inlineStr">
        <is>
          <t>Landed = P_产地 + F</t>
        </is>
      </c>
      <c r="D15" s="34" t="inlineStr">
        <is>
          <t>'=产地价+综合运费</t>
        </is>
      </c>
      <c r="E15" s="34" t="inlineStr">
        <is>
          <t>freight_adjusted_spread</t>
        </is>
      </c>
      <c r="F15" s="34" t="inlineStr">
        <is>
          <t>用于出厂价口径或跨区到货比对</t>
        </is>
      </c>
    </row>
    <row r="16" ht="34" customHeight="1">
      <c r="A16" s="4" t="inlineStr">
        <is>
          <t>F13</t>
        </is>
      </c>
      <c r="B16" s="4" t="inlineStr">
        <is>
          <t>扣费后参考差异</t>
        </is>
      </c>
      <c r="C16" s="34" t="inlineStr">
        <is>
          <t>Ref = P_目的地 − Landed = (P_目的地−P_产地) − F</t>
        </is>
      </c>
      <c r="D16" s="34" t="inlineStr">
        <is>
          <t>'=目的地价-到货成本</t>
        </is>
      </c>
      <c r="E16" s="34" t="inlineStr">
        <is>
          <t>freight_adjusted_spread().ref_diff</t>
        </is>
      </c>
      <c r="F16" s="34" t="inlineStr">
        <is>
          <t>&gt;0 仅表示价差覆盖承运成本，≠ 套利机会</t>
        </is>
      </c>
    </row>
    <row r="17" ht="34" customHeight="1">
      <c r="A17" s="4" t="inlineStr">
        <is>
          <t>F14</t>
        </is>
      </c>
      <c r="B17" s="4" t="inlineStr">
        <is>
          <t>ISO 周对齐</t>
        </is>
      </c>
      <c r="C17" s="34" t="inlineStr">
        <is>
          <t>同一 ISO 周（周五锚）的报价配对</t>
        </is>
      </c>
      <c r="D17" s="34" t="inlineStr">
        <is>
          <t>按 ISO 周分组后取均值/锚日值</t>
        </is>
      </c>
      <c r="E17" s="34" t="inlineStr">
        <is>
          <t>iso_week / week_end</t>
        </is>
      </c>
      <c r="F17" s="34" t="inlineStr">
        <is>
          <t>不能把「周一发布的上周数据」配给本周价格</t>
        </is>
      </c>
    </row>
    <row r="18" ht="34" customHeight="1">
      <c r="A18" s="4" t="inlineStr">
        <is>
          <t>F15</t>
        </is>
      </c>
      <c r="B18" s="4" t="inlineStr">
        <is>
          <t>缺口处理</t>
        </is>
      </c>
      <c r="C18" s="34" t="inlineStr">
        <is>
          <t>缺失=空；不插值、不前向填充、不外推</t>
        </is>
      </c>
      <c r="D18" s="34" t="inlineStr">
        <is>
          <t>留空单元格</t>
        </is>
      </c>
      <c r="E18" s="34" t="inlineStr">
        <is>
          <t>align_series</t>
        </is>
      </c>
      <c r="F18" s="34" t="inlineStr">
        <is>
          <t>图上留空、表里写「—」；这是正确行为不是缺陷</t>
        </is>
      </c>
    </row>
    <row r="19" ht="34" customHeight="1">
      <c r="A19" s="4" t="inlineStr">
        <is>
          <t>F16</t>
        </is>
      </c>
      <c r="B19" s="4" t="inlineStr">
        <is>
          <t>周期变动</t>
        </is>
      </c>
      <c r="C19" s="34" t="inlineStr">
        <is>
          <t>Change = P_t − P_{t−1}</t>
        </is>
      </c>
      <c r="D19" s="34" t="inlineStr">
        <is>
          <t>'=P_t-P_{t-1}</t>
        </is>
      </c>
      <c r="E19" s="34" t="inlineStr">
        <is>
          <t>describe/diff</t>
        </is>
      </c>
      <c r="F19" s="34" t="inlineStr">
        <is>
          <t>首期为空，不补 0</t>
        </is>
      </c>
    </row>
    <row r="20" ht="34" customHeight="1">
      <c r="A20" s="4" t="inlineStr">
        <is>
          <t>F17</t>
        </is>
      </c>
      <c r="B20" s="4" t="inlineStr">
        <is>
          <t>相关性（参考）</t>
        </is>
      </c>
      <c r="C20" s="34" t="inlineStr">
        <is>
          <t>Pearson r</t>
        </is>
      </c>
      <c r="D20" s="34" t="inlineStr">
        <is>
          <t>'=CORREL(序列A,序列B)</t>
        </is>
      </c>
      <c r="E20" s="34" t="inlineStr">
        <is>
          <t>pearson</t>
        </is>
      </c>
      <c r="F20" s="34" t="inlineStr">
        <is>
          <t>仅作共变强度描述，不作因果</t>
        </is>
      </c>
    </row>
    <row r="21" ht="34" customHeight="1">
      <c r="A21" s="4" t="inlineStr">
        <is>
          <t>F18</t>
        </is>
      </c>
      <c r="B21" s="4" t="inlineStr">
        <is>
          <t>产能占比</t>
        </is>
      </c>
      <c r="C21" s="34" t="inlineStr">
        <is>
          <t>share = 企业产能 / 全国产能</t>
        </is>
      </c>
      <c r="D21" s="34" t="inlineStr">
        <is>
          <t>'=企业/全国</t>
        </is>
      </c>
      <c r="E21" s="34" t="inlineStr">
        <is>
          <t>—</t>
        </is>
      </c>
      <c r="F21" s="34" t="inlineStr">
        <is>
          <t>省级合计未查到时不计算占比</t>
        </is>
      </c>
    </row>
    <row r="22" ht="34" customHeight="1">
      <c r="A22" s="4" t="inlineStr">
        <is>
          <t>F19</t>
        </is>
      </c>
      <c r="B22" s="4" t="inlineStr">
        <is>
          <t>分位标签</t>
        </is>
      </c>
      <c r="C22" s="34" t="inlineStr">
        <is>
          <t>≥90 高位 / 75–90 偏高 / 25–75 中枢 / 10–25 偏低 / ≤10 低位</t>
        </is>
      </c>
      <c r="D22" s="34" t="inlineStr">
        <is>
          <t>'=IF(...) 嵌套</t>
        </is>
      </c>
      <c r="E22" s="34" t="inlineStr">
        <is>
          <t>percentile_label</t>
        </is>
      </c>
      <c r="F22" s="34" t="inlineStr">
        <is>
          <t>标签只是描述，不含交易含义</t>
        </is>
      </c>
    </row>
    <row r="23" ht="34" customHeight="1">
      <c r="A23" s="4" t="inlineStr">
        <is>
          <t>F20</t>
        </is>
      </c>
      <c r="B23" s="4" t="inlineStr">
        <is>
          <t>距离×运价</t>
        </is>
      </c>
      <c r="C23" s="34" t="inlineStr">
        <is>
          <t>运费 ≈ 里程(km) × 吨公里运价(元/吨·km) − 整车折让</t>
        </is>
      </c>
      <c r="D23" s="34" t="inlineStr">
        <is>
          <t>'=km*rate-discount</t>
        </is>
      </c>
      <c r="E23" s="34" t="inlineStr">
        <is>
          <t>—</t>
        </is>
      </c>
      <c r="F23" s="34" t="inlineStr">
        <is>
          <t>吨公里 0.2–0.4 为经验值；已核实反推 0.20（阿拉善→石家庄 300元/1500km）</t>
        </is>
      </c>
    </row>
    <row r="25" ht="26" customHeight="1">
      <c r="A25" s="15" t="inlineStr">
        <is>
          <t>Excel 与 Python 的一致性由 scripts/verify_excel.py 对账：读取本工作簿公式重算值，与 result.json 中的价差 / 分位逐项比较，差异须 &lt; 0.01。</t>
        </is>
      </c>
    </row>
  </sheetData>
  <mergeCells count="3">
    <mergeCell ref="A2:F2"/>
    <mergeCell ref="A1:F1"/>
    <mergeCell ref="A25:F2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2026-10-20T10:14:55Z</dcterms:created>
  <dcterms:modified xmlns:dcterms="http://purl.org/dc/terms/" xmlns:xsi="http://www.w3.org/2001/XMLSchema-instance" xsi:type="dcterms:W3CDTF">2026-10-20T10:14:57Z</dcterms:modified>
</cp:coreProperties>
</file>
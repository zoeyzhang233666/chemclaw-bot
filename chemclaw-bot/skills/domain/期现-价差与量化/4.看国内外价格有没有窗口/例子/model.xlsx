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封面与口径" sheetId="1" state="visible" r:id="rId1"/>
    <sheet xmlns:r="http://schemas.openxmlformats.org/officeDocument/2006/relationships" name="2 参数与输入" sheetId="2" state="visible" r:id="rId2"/>
    <sheet xmlns:r="http://schemas.openxmlformats.org/officeDocument/2006/relationships" name="3 成本折算" sheetId="3" state="visible" r:id="rId3"/>
    <sheet xmlns:r="http://schemas.openxmlformats.org/officeDocument/2006/relationships" name="4 价差四口径" sheetId="4" state="visible" r:id="rId4"/>
    <sheet xmlns:r="http://schemas.openxmlformats.org/officeDocument/2006/relationships" name="5 历史序列" sheetId="5" state="visible" r:id="rId5"/>
    <sheet xmlns:r="http://schemas.openxmlformats.org/officeDocument/2006/relationships" name="6 价差曲线数据" sheetId="6" state="visible" r:id="rId6"/>
    <sheet xmlns:r="http://schemas.openxmlformats.org/officeDocument/2006/relationships" name="7 敏感性" sheetId="7" state="visible" r:id="rId7"/>
    <sheet xmlns:r="http://schemas.openxmlformats.org/officeDocument/2006/relationships" name="8 归因分解" sheetId="8" state="visible" r:id="rId8"/>
    <sheet xmlns:r="http://schemas.openxmlformats.org/officeDocument/2006/relationships" name="9 情景对比" sheetId="9" state="visible" r:id="rId9"/>
    <sheet xmlns:r="http://schemas.openxmlformats.org/officeDocument/2006/relationships" name="10 缺口与来源" sheetId="10" state="visible" r:id="rId10"/>
    <sheet xmlns:r="http://schemas.openxmlformats.org/officeDocument/2006/relationships" name="11 公式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1F2933"/>
      <sz val="10.5"/>
    </font>
    <font>
      <name val="微软雅黑"/>
      <sz val="10"/>
    </font>
    <font>
      <name val="微软雅黑"/>
      <b val="1"/>
      <color rgb="001F3A52"/>
      <sz val="11"/>
    </font>
    <font>
      <name val="微软雅黑"/>
      <b val="1"/>
      <color rgb="00FFFFFF"/>
      <sz val="10.5"/>
    </font>
    <font>
      <name val="微软雅黑"/>
      <color rgb="005A6B7B"/>
      <sz val="9"/>
    </font>
    <font>
      <name val="微软雅黑"/>
      <b val="1"/>
      <color rgb="00B45309"/>
      <sz val="11"/>
    </font>
    <font>
      <name val="微软雅黑"/>
      <b val="1"/>
      <color rgb="001B6E5A"/>
      <sz val="11"/>
    </font>
    <font>
      <name val="微软雅黑"/>
      <color rgb="001F6FB2"/>
      <sz val="9"/>
      <u val="single"/>
    </font>
  </fonts>
  <fills count="8">
    <fill>
      <patternFill/>
    </fill>
    <fill>
      <patternFill patternType="gray125"/>
    </fill>
    <fill>
      <patternFill patternType="solid">
        <fgColor rgb="001F3A52"/>
      </patternFill>
    </fill>
    <fill>
      <patternFill patternType="solid">
        <fgColor rgb="00F3F5F7"/>
      </patternFill>
    </fill>
    <fill>
      <patternFill patternType="solid">
        <fgColor rgb="002E4F6B"/>
      </patternFill>
    </fill>
    <fill>
      <patternFill patternType="solid">
        <fgColor rgb="00FFFFFF"/>
      </patternFill>
    </fill>
    <fill>
      <patternFill patternType="solid">
        <fgColor rgb="00E8F1FA"/>
      </patternFill>
    </fill>
    <fill>
      <patternFill patternType="solid">
        <fgColor rgb="00FBE3DE"/>
      </patternFill>
    </fill>
  </fills>
  <borders count="2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left" vertical="top"/>
    </xf>
    <xf numFmtId="0" fontId="7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3" fillId="3" borderId="1" applyAlignment="1" pivotButton="0" quotePrefix="0" xfId="0">
      <alignment horizontal="right" vertical="top"/>
    </xf>
    <xf numFmtId="4" fontId="3" fillId="6" borderId="1" applyAlignment="1" pivotButton="0" quotePrefix="0" xfId="0">
      <alignment horizontal="right" vertical="top"/>
    </xf>
    <xf numFmtId="164" fontId="3" fillId="6" borderId="1" applyAlignment="1" pivotButton="0" quotePrefix="0" xfId="0">
      <alignment horizontal="right" vertical="top"/>
    </xf>
    <xf numFmtId="0" fontId="3" fillId="6" borderId="1" applyAlignment="1" pivotButton="0" quotePrefix="0" xfId="0">
      <alignment horizontal="left" vertical="top"/>
    </xf>
    <xf numFmtId="0" fontId="6" fillId="0" borderId="0" pivotButton="0" quotePrefix="0" xfId="0"/>
    <xf numFmtId="4" fontId="3" fillId="3" borderId="1" applyAlignment="1" pivotButton="0" quotePrefix="0" xfId="0">
      <alignment horizontal="left" vertical="top"/>
    </xf>
    <xf numFmtId="164" fontId="3" fillId="3" borderId="1" applyAlignment="1" pivotButton="0" quotePrefix="0" xfId="0">
      <alignment horizontal="left" vertical="top"/>
    </xf>
    <xf numFmtId="4" fontId="2" fillId="3" borderId="1" applyAlignment="1" pivotButton="0" quotePrefix="0" xfId="0">
      <alignment horizontal="left" vertical="top"/>
    </xf>
    <xf numFmtId="4" fontId="3" fillId="3" borderId="1" applyAlignment="1" pivotButton="0" quotePrefix="0" xfId="0">
      <alignment horizontal="right" vertical="top"/>
    </xf>
    <xf numFmtId="164" fontId="3" fillId="3" borderId="1" applyAlignment="1" pivotButton="0" quotePrefix="0" xfId="0">
      <alignment horizontal="right" vertical="top"/>
    </xf>
    <xf numFmtId="4" fontId="2" fillId="3" borderId="1" applyAlignment="1" pivotButton="0" quotePrefix="0" xfId="0">
      <alignment horizontal="right" vertical="top"/>
    </xf>
    <xf numFmtId="0" fontId="2" fillId="0" borderId="0" pivotButton="0" quotePrefix="0" xfId="0"/>
    <xf numFmtId="3" fontId="3" fillId="3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center" vertical="top"/>
    </xf>
    <xf numFmtId="164" fontId="2" fillId="3" borderId="1" applyAlignment="1" pivotButton="0" quotePrefix="0" xfId="0">
      <alignment horizontal="right" vertical="top"/>
    </xf>
    <xf numFmtId="4" fontId="3" fillId="7" borderId="1" applyAlignment="1" pivotButton="0" quotePrefix="0" xfId="0">
      <alignment horizontal="right" vertical="top"/>
    </xf>
    <xf numFmtId="165" fontId="3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价差三口径（元/吨）</a:t>
            </a:r>
          </a:p>
        </rich>
      </tx>
    </title>
    <plotArea>
      <lineChart>
        <grouping val="standard"/>
        <ser>
          <idx val="0"/>
          <order val="0"/>
          <tx>
            <strRef>
              <f>'6 价差曲线数据'!B2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 价差曲线数据'!$A$3:$A$29</f>
            </numRef>
          </cat>
          <val>
            <numRef>
              <f>'6 价差曲线数据'!$B$3:$B$29</f>
            </numRef>
          </val>
        </ser>
        <ser>
          <idx val="1"/>
          <order val="1"/>
          <tx>
            <strRef>
              <f>'6 价差曲线数据'!C2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 价差曲线数据'!$A$3:$A$29</f>
            </numRef>
          </cat>
          <val>
            <numRef>
              <f>'6 价差曲线数据'!$C$3:$C$29</f>
            </numRef>
          </val>
        </ser>
        <ser>
          <idx val="2"/>
          <order val="2"/>
          <tx>
            <strRef>
              <f>'6 价差曲线数据'!D2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 价差曲线数据'!$A$3:$A$29</f>
            </numRef>
          </cat>
          <val>
            <numRef>
              <f>'6 价差曲线数据'!$D$3:$D$29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100ppi.com/news/detail-20260819-6095157.html" TargetMode="External" Id="rId1"/><Relationship Type="http://schemas.openxmlformats.org/officeDocument/2006/relationships/hyperlink" Target="https://www.100ppi.com/news/detail-20260818-6083083.html" TargetMode="External" Id="rId2"/><Relationship Type="http://schemas.openxmlformats.org/officeDocument/2006/relationships/hyperlink" Target="https://api.frankfurter.app/2024-10-01..2026-10-20?from=USD&amp;to=CNY" TargetMode="External" Id="rId3"/><Relationship Type="http://schemas.openxmlformats.org/officeDocument/2006/relationships/hyperlink" Target="https://www.i5a6.com/hscode/detail/2905310000" TargetMode="External" Id="rId4"/><Relationship Type="http://schemas.openxmlformats.org/officeDocument/2006/relationships/hyperlink" Target="https://stock2.finance.sina.com.cn/futures/api/jsonp.php/var%20_x=/InnerFuturesNewService.getDailyKLine?symbol=EG0" TargetMode="External" Id="rId5"/><Relationship Type="http://schemas.openxmlformats.org/officeDocument/2006/relationships/hyperlink" Target="http://news.10jqka.com.cn/20261019/c680817512.shtml" TargetMode="External" Id="rId6"/><Relationship Type="http://schemas.openxmlformats.org/officeDocument/2006/relationships/hyperlink" Target="https://www.100ppi.com/news/detail-20261019-6367811.html" TargetMode="External" Id="rId7"/></Relationships>
</file>

<file path=xl/worksheets/sheet1.xml><?xml version="1.0" encoding="utf-8"?>
<worksheet xmlns="http://schemas.openxmlformats.org/spreadsheetml/2006/main">
  <sheetPr>
    <tabColor rgb="001F3A52"/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  <col width="16" customWidth="1" min="3" max="3"/>
    <col width="22" customWidth="1" min="4" max="4"/>
  </cols>
  <sheetData>
    <row r="1" ht="26" customHeight="1">
      <c r="A1" s="1" t="inlineStr">
        <is>
          <t>乙二醇 CFR 中国到岸价 vs 华东（张家港）现货：内外价差四层口径测算</t>
        </is>
      </c>
      <c r="B1" s="2" t="n"/>
      <c r="C1" s="2" t="n"/>
      <c r="D1" s="2" t="n"/>
    </row>
    <row r="2" ht="20" customHeight="1">
      <c r="A2" s="3" t="inlineStr">
        <is>
          <t>品种 / 规格</t>
        </is>
      </c>
      <c r="B2" s="4" t="inlineStr">
        <is>
          <t>乙二醇（MEG） · 聚酯级（纤维级）乙二醇，纯度≥99.9%，散装船货</t>
        </is>
      </c>
    </row>
    <row r="3" ht="20" customHeight="1">
      <c r="A3" s="3" t="inlineStr">
        <is>
          <t>HS 编码</t>
        </is>
      </c>
      <c r="B3" s="4" t="inlineStr">
        <is>
          <t>2905310000 1,2-乙二醇（HS 2905.31）</t>
        </is>
      </c>
    </row>
    <row r="4" ht="20" customHeight="1">
      <c r="A4" s="3" t="inlineStr">
        <is>
          <t>海外口径</t>
        </is>
      </c>
      <c r="B4" s="4" t="inlineStr">
        <is>
          <t>中国主港（货源以中东/东北亚为主，具体产地未在报价中披露） · CIF · USD · CFR/CIF 中国主港（卖方口径为中国到岸价，含海运与保险）</t>
        </is>
      </c>
    </row>
    <row r="5" ht="20" customHeight="1">
      <c r="A5" s="3" t="inlineStr">
        <is>
          <t>国内口径</t>
        </is>
      </c>
      <c r="B5" s="4" t="inlineStr">
        <is>
          <t>华东（张家港/太仓/江阴） · 送到主港、含税、现汇；聚酯级散水</t>
        </is>
      </c>
    </row>
    <row r="6" ht="20" customHeight="1">
      <c r="A6" s="3" t="inlineStr">
        <is>
          <t>基准日</t>
        </is>
      </c>
      <c r="B6" s="4" t="inlineStr">
        <is>
          <t>2026-08-18</t>
        </is>
      </c>
    </row>
    <row r="7" ht="20" customHeight="1">
      <c r="A7" s="3" t="inlineStr">
        <is>
          <t>观察窗口</t>
        </is>
      </c>
      <c r="B7" s="4" t="inlineStr">
        <is>
          <t>2025-09-04 ~ 2026-08-18（27 个可对齐观测点）</t>
        </is>
      </c>
    </row>
    <row r="8" ht="20" customHeight="1">
      <c r="A8" s="3" t="inlineStr">
        <is>
          <t>金额单位</t>
        </is>
      </c>
      <c r="B8" s="4" t="inlineStr">
        <is>
          <t>元/吨（除标注 USD 的报价）</t>
        </is>
      </c>
    </row>
    <row r="9" ht="20" customHeight="1">
      <c r="A9" s="3" t="inlineStr">
        <is>
          <t>生成时间 / 工具</t>
        </is>
      </c>
      <c r="B9" s="4" t="inlineStr">
        <is>
          <t>2026-10-20 · windows-spread-calc v1.0.0</t>
        </is>
      </c>
    </row>
    <row r="11">
      <c r="A11" s="5" t="inlineStr">
        <is>
          <t>贸易术语包含关系（防止重复计费）</t>
        </is>
      </c>
    </row>
    <row r="12" ht="30" customHeight="1">
      <c r="A12" s="6" t="inlineStr">
        <is>
          <t>费用层</t>
        </is>
      </c>
      <c r="B12" s="6" t="inlineStr">
        <is>
          <t>当前术语是否已包含</t>
        </is>
      </c>
      <c r="C12" s="6" t="inlineStr">
        <is>
          <t>当前术语</t>
        </is>
      </c>
      <c r="D12" s="6" t="inlineStr">
        <is>
          <t>说明</t>
        </is>
      </c>
    </row>
    <row r="13">
      <c r="A13" s="7" t="inlineStr">
        <is>
          <t>货值</t>
        </is>
      </c>
      <c r="B13" s="7" t="inlineStr">
        <is>
          <t>报价已含</t>
        </is>
      </c>
      <c r="C13" s="7" t="inlineStr">
        <is>
          <t>CIF</t>
        </is>
      </c>
      <c r="D13" s="8" t="inlineStr">
        <is>
          <t>F 组及之后均含货值</t>
        </is>
      </c>
    </row>
    <row r="14">
      <c r="A14" s="7" t="inlineStr">
        <is>
          <t>出口国内陆运费</t>
        </is>
      </c>
      <c r="B14" s="7" t="inlineStr">
        <is>
          <t>报价已含</t>
        </is>
      </c>
      <c r="C14" s="7" t="inlineStr">
        <is>
          <t>CIF</t>
        </is>
      </c>
      <c r="D14" s="8" t="inlineStr">
        <is>
          <t>工厂仓库 → 装运港</t>
        </is>
      </c>
    </row>
    <row r="15">
      <c r="A15" s="7" t="inlineStr">
        <is>
          <t>出口报关杂费</t>
        </is>
      </c>
      <c r="B15" s="7" t="inlineStr">
        <is>
          <t>报价已含</t>
        </is>
      </c>
      <c r="C15" s="7" t="inlineStr">
        <is>
          <t>CIF</t>
        </is>
      </c>
      <c r="D15" s="8" t="inlineStr">
        <is>
          <t>出口报关、单证</t>
        </is>
      </c>
    </row>
    <row r="16">
      <c r="A16" s="7" t="inlineStr">
        <is>
          <t>国际海运费</t>
        </is>
      </c>
      <c r="B16" s="7" t="inlineStr">
        <is>
          <t>报价已含</t>
        </is>
      </c>
      <c r="C16" s="7" t="inlineStr">
        <is>
          <t>CIF</t>
        </is>
      </c>
      <c r="D16" s="8" t="inlineStr">
        <is>
          <t>主运费至目的港</t>
        </is>
      </c>
    </row>
    <row r="17">
      <c r="A17" s="7" t="inlineStr">
        <is>
          <t>保险费</t>
        </is>
      </c>
      <c r="B17" s="7" t="inlineStr">
        <is>
          <t>报价已含</t>
        </is>
      </c>
      <c r="C17" s="7" t="inlineStr">
        <is>
          <t>CIF</t>
        </is>
      </c>
      <c r="D17" s="8" t="inlineStr">
        <is>
          <t>海上运输保险</t>
        </is>
      </c>
    </row>
    <row r="18">
      <c r="A18" s="7" t="inlineStr">
        <is>
          <t>目的港卸货/港杂</t>
        </is>
      </c>
      <c r="B18" s="7" t="inlineStr">
        <is>
          <t>报价不含，需单列</t>
        </is>
      </c>
      <c r="C18" s="7" t="inlineStr">
        <is>
          <t>CIF</t>
        </is>
      </c>
      <c r="D18" s="8" t="inlineStr">
        <is>
          <t>THC、港杂</t>
        </is>
      </c>
    </row>
    <row r="19">
      <c r="A19" s="7" t="inlineStr">
        <is>
          <t>进口国内陆运</t>
        </is>
      </c>
      <c r="B19" s="7" t="inlineStr">
        <is>
          <t>报价不含，需单列</t>
        </is>
      </c>
      <c r="C19" s="7" t="inlineStr">
        <is>
          <t>CIF</t>
        </is>
      </c>
      <c r="D19" s="8" t="inlineStr">
        <is>
          <t>目的港 → 收货地</t>
        </is>
      </c>
    </row>
    <row r="21">
      <c r="A21" s="9" t="inlineStr">
        <is>
          <t>必读声明</t>
        </is>
      </c>
    </row>
    <row r="22" ht="30" customHeight="1">
      <c r="A22" s="10" t="inlineStr">
        <is>
          <t>1. 本报告是成本与价差的对照测算，不是交易建议。文中 G1~G4 只是两个口径的价格之差，不等于可实现的利润，也不构成任何采购、销售、点价、套保或进口交易的指令与时机判断。</t>
        </is>
      </c>
    </row>
    <row r="23" ht="18" customHeight="1">
      <c r="A23" s="10" t="inlineStr">
        <is>
          <t>2. 所有海外报价均为二手引用（生意社转述的外盘报价），未取得原始报盘单、船期确认与供货商名称；商业决策前应索取原始报价单。</t>
        </is>
      </c>
    </row>
    <row r="24" ht="30" customHeight="1">
      <c r="A24" s="10" t="inlineStr">
        <is>
          <t>3. 历史曲线上每一行都标注了报价、汇率、运费的取得方式；凡标注假设的行，其成本侧数字只能作为条件性结果，不能当作历史实际发生成本。</t>
        </is>
      </c>
    </row>
    <row r="25" ht="30" customHeight="1">
      <c r="A25" s="10" t="inlineStr">
        <is>
          <t>4. 本报告不含任何价格预测。所有外生参数（汇率、运费、税率、国内价）均在交互面板显式给出，读者可自行替换并观察结论如何变化。</t>
        </is>
      </c>
    </row>
    <row r="26" ht="18" customHeight="1">
      <c r="A26" s="10" t="inlineStr">
        <is>
          <t>5. 所有数据缺口均在第 8 节逐条列出并标明对结论的影响方向；未列出的缺口不代表不存在。</t>
        </is>
      </c>
    </row>
    <row r="28">
      <c r="A28" s="11" t="inlineStr">
        <is>
          <t>口径要点</t>
        </is>
      </c>
    </row>
    <row r="29" ht="30" customHeight="1">
      <c r="A29" s="10" t="inlineStr">
        <is>
          <t>• 本报告只做三件事：把海外报价折成四层可比成本、把国内价折算到同一口径、把两者的差及其变动说清楚。它不判断该不该买，不给出任何下单、建仓、点价或套利操作，也不把价差称作可实现的利润。</t>
        </is>
      </c>
    </row>
    <row r="30" ht="30" customHeight="1">
      <c r="A30" s="10" t="inlineStr">
        <is>
          <t>• 基准时点取 2026-08-18：该日是海外 CFR 到岸价、同日国内基准价、同日汇率三项同时齐全的最后一个时点。更近的时点缺海外公开报价，故不作为基准，只在第 3 节与缺口清单中说明。</t>
        </is>
      </c>
    </row>
    <row r="31" ht="30" customHeight="1">
      <c r="A31" s="10" t="inlineStr">
        <is>
          <t>• 四层成本必须分开：CIF 折人民币 / 含税到岸（landed_cash）/ 可抵扣进口增值税 / 可比经济成本（net_cash）。把 CIF 折人民币直接与国内含税价相减，会把 13% 增值税误算成价差。</t>
        </is>
      </c>
    </row>
    <row r="32" ht="30" customHeight="1">
      <c r="A32" s="10" t="inlineStr">
        <is>
          <t>• 贸易术语是 CFR/CIF（中国到岸价），海运费与保险已在报价内。任何再填一次运费、再加一次保险的算法都是重复计费，本模型由代码强制置零。</t>
        </is>
      </c>
    </row>
    <row r="33" ht="30" customHeight="1">
      <c r="A33" s="10" t="inlineStr">
        <is>
          <t>• 历史曲线上的运费列全部按 0 计，是因为术语已含运费，不是因为历史运费取不到却拿今天的运费顶替。真正取不到的是逐周运价指数，已在缺口清单第 3 条写明。</t>
        </is>
      </c>
    </row>
  </sheetData>
  <mergeCells count="10">
    <mergeCell ref="A23:D23"/>
    <mergeCell ref="A31:D31"/>
    <mergeCell ref="A22:D22"/>
    <mergeCell ref="A26:D26"/>
    <mergeCell ref="A30:D30"/>
    <mergeCell ref="A29:D29"/>
    <mergeCell ref="A25:D25"/>
    <mergeCell ref="A24:D24"/>
    <mergeCell ref="A33:D33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0" customWidth="1" min="4" max="4"/>
    <col width="62" customWidth="1" min="5" max="5"/>
    <col width="16" customWidth="1" min="6" max="6"/>
  </cols>
  <sheetData>
    <row r="1" ht="26" customHeight="1">
      <c r="A1" s="1" t="inlineStr">
        <is>
          <t>参数与输入（蓝底格为唯一可修改区，改完所有计算表自动重算）</t>
        </is>
      </c>
      <c r="B1" s="2" t="n"/>
      <c r="C1" s="2" t="n"/>
      <c r="D1" s="2" t="n"/>
      <c r="E1" s="2" t="n"/>
      <c r="F1" s="2" t="n"/>
    </row>
    <row r="2" ht="30" customHeight="1">
      <c r="A2" s="6" t="inlineStr">
        <is>
          <t>#</t>
        </is>
      </c>
      <c r="B2" s="6" t="inlineStr">
        <is>
          <t>参数</t>
        </is>
      </c>
      <c r="C2" s="6" t="inlineStr">
        <is>
          <t>取值</t>
        </is>
      </c>
      <c r="D2" s="6" t="inlineStr">
        <is>
          <t>单位</t>
        </is>
      </c>
      <c r="E2" s="6" t="inlineStr">
        <is>
          <t>含义 / 来源</t>
        </is>
      </c>
      <c r="F2" s="6" t="inlineStr">
        <is>
          <t>Excel 名称</t>
        </is>
      </c>
    </row>
    <row r="3">
      <c r="A3" s="12" t="n">
        <v>1</v>
      </c>
      <c r="B3" s="3" t="inlineStr">
        <is>
          <t>海外报价</t>
        </is>
      </c>
      <c r="C3" s="13" t="n">
        <v>685</v>
      </c>
      <c r="D3" s="7" t="inlineStr">
        <is>
          <t>USD/吨</t>
        </is>
      </c>
      <c r="E3" s="8" t="inlineStr">
        <is>
          <t>卖方报价；文本口径见「10 缺口与来源」</t>
        </is>
      </c>
      <c r="F3" s="8" t="inlineStr">
        <is>
          <t>报价</t>
        </is>
      </c>
    </row>
    <row r="4">
      <c r="A4" s="12" t="n">
        <v>2</v>
      </c>
      <c r="B4" s="3" t="inlineStr">
        <is>
          <t>汇率</t>
        </is>
      </c>
      <c r="C4" s="14" t="n">
        <v>6.7423</v>
      </c>
      <c r="D4" s="7" t="inlineStr">
        <is>
          <t>CNY/USD</t>
        </is>
      </c>
      <c r="E4" s="8" t="inlineStr">
        <is>
          <t>基准日 ECB 参考汇率</t>
        </is>
      </c>
      <c r="F4" s="8" t="inlineStr">
        <is>
          <t>汇率</t>
        </is>
      </c>
    </row>
    <row r="5">
      <c r="A5" s="12" t="n">
        <v>3</v>
      </c>
      <c r="B5" s="3" t="inlineStr">
        <is>
          <t>国际海运费</t>
        </is>
      </c>
      <c r="C5" s="13" t="n">
        <v>0</v>
      </c>
      <c r="D5" s="7" t="inlineStr">
        <is>
          <t>USD/吨</t>
        </is>
      </c>
      <c r="E5" s="8" t="inlineStr">
        <is>
          <t>术语已含则为 0（本表已置 0）</t>
        </is>
      </c>
      <c r="F5" s="8" t="inlineStr">
        <is>
          <t>海运费</t>
        </is>
      </c>
    </row>
    <row r="6">
      <c r="A6" s="12" t="n">
        <v>4</v>
      </c>
      <c r="B6" s="3" t="inlineStr">
        <is>
          <t>保险费率</t>
        </is>
      </c>
      <c r="C6" s="14" t="n">
        <v>0</v>
      </c>
      <c r="D6" s="7" t="inlineStr">
        <is>
          <t>小数</t>
        </is>
      </c>
      <c r="E6" s="8" t="inlineStr">
        <is>
          <t>CIF 已含则不计</t>
        </is>
      </c>
      <c r="F6" s="8" t="inlineStr">
        <is>
          <t>保险费率</t>
        </is>
      </c>
    </row>
    <row r="7">
      <c r="A7" s="12" t="n">
        <v>5</v>
      </c>
      <c r="B7" s="3" t="inlineStr">
        <is>
          <t>保险加成率</t>
        </is>
      </c>
      <c r="C7" s="14" t="n">
        <v>1.1</v>
      </c>
      <c r="D7" s="7" t="inlineStr">
        <is>
          <t>倍</t>
        </is>
      </c>
      <c r="E7" s="8" t="inlineStr">
        <is>
          <t>惯例 110%</t>
        </is>
      </c>
      <c r="F7" s="8" t="inlineStr">
        <is>
          <t>加成率</t>
        </is>
      </c>
    </row>
    <row r="8">
      <c r="A8" s="12" t="n">
        <v>6</v>
      </c>
      <c r="B8" s="3" t="inlineStr">
        <is>
          <t>目的港卸货</t>
        </is>
      </c>
      <c r="C8" s="13" t="n">
        <v>0</v>
      </c>
      <c r="D8" s="7" t="inlineStr">
        <is>
          <t>USD/吨</t>
        </is>
      </c>
      <c r="E8" s="8" t="inlineStr">
        <is>
          <t>CIF 不含卸货；未取证按 0</t>
        </is>
      </c>
      <c r="F8" s="8" t="inlineStr">
        <is>
          <t>卸货费</t>
        </is>
      </c>
    </row>
    <row r="9">
      <c r="A9" s="12" t="n">
        <v>7</v>
      </c>
      <c r="B9" s="3" t="inlineStr">
        <is>
          <t>进口国内陆运</t>
        </is>
      </c>
      <c r="C9" s="13" t="n">
        <v>0</v>
      </c>
      <c r="D9" s="7" t="inlineStr">
        <is>
          <t>元/吨</t>
        </is>
      </c>
      <c r="E9" s="8" t="inlineStr">
        <is>
          <t>港口→工厂</t>
        </is>
      </c>
      <c r="F9" s="8" t="inlineStr">
        <is>
          <t>国内运费</t>
        </is>
      </c>
    </row>
    <row r="10">
      <c r="A10" s="12" t="n">
        <v>8</v>
      </c>
      <c r="B10" s="3" t="inlineStr">
        <is>
          <t>出口国内陆运</t>
        </is>
      </c>
      <c r="C10" s="13" t="n">
        <v>0</v>
      </c>
      <c r="D10" s="7" t="inlineStr">
        <is>
          <t>USD/吨</t>
        </is>
      </c>
      <c r="E10" s="8" t="inlineStr">
        <is>
          <t>仅 EXW 需要</t>
        </is>
      </c>
      <c r="F10" s="8" t="inlineStr">
        <is>
          <t>出口运费</t>
        </is>
      </c>
    </row>
    <row r="11">
      <c r="A11" s="12" t="n">
        <v>9</v>
      </c>
      <c r="B11" s="3" t="inlineStr">
        <is>
          <t>出口报关杂费</t>
        </is>
      </c>
      <c r="C11" s="13" t="n">
        <v>0</v>
      </c>
      <c r="D11" s="7" t="inlineStr">
        <is>
          <t>USD/吨</t>
        </is>
      </c>
      <c r="E11" s="8" t="inlineStr">
        <is>
          <t>仅 EXW 需要</t>
        </is>
      </c>
      <c r="F11" s="8" t="inlineStr">
        <is>
          <t>出口报关</t>
        </is>
      </c>
    </row>
    <row r="12">
      <c r="A12" s="12" t="n">
        <v>10</v>
      </c>
      <c r="B12" s="3" t="inlineStr">
        <is>
          <t>装卸/损耗附加</t>
        </is>
      </c>
      <c r="C12" s="13" t="n">
        <v>0</v>
      </c>
      <c r="D12" s="7" t="inlineStr">
        <is>
          <t>元/吨</t>
        </is>
      </c>
      <c r="E12" s="8" t="inlineStr">
        <is>
          <t>显式附加项</t>
        </is>
      </c>
      <c r="F12" s="8" t="inlineStr">
        <is>
          <t>损耗附加</t>
        </is>
      </c>
    </row>
    <row r="13">
      <c r="A13" s="12" t="n">
        <v>11</v>
      </c>
      <c r="B13" s="3" t="inlineStr">
        <is>
          <t>进口关税率</t>
        </is>
      </c>
      <c r="C13" s="14" t="n">
        <v>0</v>
      </c>
      <c r="D13" s="7" t="inlineStr">
        <is>
          <t>小数</t>
        </is>
      </c>
      <c r="E13" s="8" t="inlineStr">
        <is>
          <t>见缺口第 1 条（5.5% vs 0%）</t>
        </is>
      </c>
      <c r="F13" s="8" t="inlineStr">
        <is>
          <t>关税率</t>
        </is>
      </c>
    </row>
    <row r="14">
      <c r="A14" s="12" t="n">
        <v>12</v>
      </c>
      <c r="B14" s="3" t="inlineStr">
        <is>
          <t>其他税率</t>
        </is>
      </c>
      <c r="C14" s="14" t="n">
        <v>0</v>
      </c>
      <c r="D14" s="7" t="inlineStr">
        <is>
          <t>小数</t>
        </is>
      </c>
      <c r="E14" s="8" t="inlineStr">
        <is>
          <t>反倾销等</t>
        </is>
      </c>
      <c r="F14" s="8" t="inlineStr">
        <is>
          <t>其他税率</t>
        </is>
      </c>
    </row>
    <row r="15">
      <c r="A15" s="12" t="n">
        <v>13</v>
      </c>
      <c r="B15" s="3" t="inlineStr">
        <is>
          <t>进口增值税率</t>
        </is>
      </c>
      <c r="C15" s="14" t="n">
        <v>0.13</v>
      </c>
      <c r="D15" s="7" t="inlineStr">
        <is>
          <t>小数</t>
        </is>
      </c>
      <c r="E15" s="8" t="inlineStr">
        <is>
          <t>标准 13%</t>
        </is>
      </c>
      <c r="F15" s="8" t="inlineStr">
        <is>
          <t>增值税率</t>
        </is>
      </c>
    </row>
    <row r="16">
      <c r="A16" s="12" t="n">
        <v>14</v>
      </c>
      <c r="B16" s="3" t="inlineStr">
        <is>
          <t>可抵扣比例</t>
        </is>
      </c>
      <c r="C16" s="14" t="n">
        <v>1</v>
      </c>
      <c r="D16" s="7" t="inlineStr">
        <is>
          <t>小数</t>
        </is>
      </c>
      <c r="E16" s="8" t="inlineStr">
        <is>
          <t>一般纳税人 100%</t>
        </is>
      </c>
      <c r="F16" s="8" t="inlineStr">
        <is>
          <t>抵扣比例</t>
        </is>
      </c>
    </row>
    <row r="17">
      <c r="A17" s="12" t="n">
        <v>15</v>
      </c>
      <c r="B17" s="3" t="inlineStr">
        <is>
          <t>纯度系数</t>
        </is>
      </c>
      <c r="C17" s="14" t="n">
        <v>1</v>
      </c>
      <c r="D17" s="7" t="inlineStr">
        <is>
          <t>小数</t>
        </is>
      </c>
      <c r="E17" s="8" t="inlineStr">
        <is>
          <t>折纯用</t>
        </is>
      </c>
      <c r="F17" s="8" t="inlineStr">
        <is>
          <t>纯度</t>
        </is>
      </c>
    </row>
    <row r="18">
      <c r="A18" s="12" t="n">
        <v>16</v>
      </c>
      <c r="B18" s="3" t="inlineStr">
        <is>
          <t>毛净比</t>
        </is>
      </c>
      <c r="C18" s="14" t="n">
        <v>1</v>
      </c>
      <c r="D18" s="7" t="inlineStr">
        <is>
          <t>倍</t>
        </is>
      </c>
      <c r="E18" s="8" t="inlineStr">
        <is>
          <t>包装/皮重修正</t>
        </is>
      </c>
      <c r="F18" s="8" t="inlineStr">
        <is>
          <t>毛净比</t>
        </is>
      </c>
    </row>
    <row r="20" ht="30" customHeight="1">
      <c r="A20" s="6" t="inlineStr">
        <is>
          <t>#</t>
        </is>
      </c>
      <c r="B20" s="6" t="inlineStr">
        <is>
          <t>国内可比价输入</t>
        </is>
      </c>
      <c r="C20" s="6" t="inlineStr">
        <is>
          <t>取值</t>
        </is>
      </c>
      <c r="D20" s="6" t="inlineStr">
        <is>
          <t>单位</t>
        </is>
      </c>
      <c r="E20" s="6" t="inlineStr">
        <is>
          <t>含义</t>
        </is>
      </c>
      <c r="F20" s="6" t="inlineStr">
        <is>
          <t>Excel 名称</t>
        </is>
      </c>
    </row>
    <row r="21">
      <c r="A21" s="7" t="inlineStr">
        <is>
          <t>D1</t>
        </is>
      </c>
      <c r="B21" s="3" t="inlineStr">
        <is>
          <t>国内现货价</t>
        </is>
      </c>
      <c r="C21" s="13" t="n">
        <v>5116.67</v>
      </c>
      <c r="D21" s="7" t="inlineStr">
        <is>
          <t>元/吨</t>
        </is>
      </c>
      <c r="E21" s="8" t="inlineStr">
        <is>
          <t>含税 · 送到基准地 · 现汇</t>
        </is>
      </c>
      <c r="F21" s="8" t="inlineStr">
        <is>
          <t>国内报价</t>
        </is>
      </c>
    </row>
    <row r="22">
      <c r="A22" s="7" t="inlineStr">
        <is>
          <t>D2</t>
        </is>
      </c>
      <c r="B22" s="3" t="inlineStr">
        <is>
          <t>国内价税基</t>
        </is>
      </c>
      <c r="C22" s="15" t="inlineStr">
        <is>
          <t>含税</t>
        </is>
      </c>
      <c r="D22" s="7" t="inlineStr">
        <is>
          <t>文本</t>
        </is>
      </c>
      <c r="E22" s="8" t="inlineStr">
        <is>
          <t>含税 / 不含税</t>
        </is>
      </c>
      <c r="F22" s="8" t="inlineStr">
        <is>
          <t>税基</t>
        </is>
      </c>
    </row>
    <row r="23">
      <c r="A23" s="7" t="inlineStr">
        <is>
          <t>D3</t>
        </is>
      </c>
      <c r="B23" s="3" t="inlineStr">
        <is>
          <t>送到运费（未含时补）</t>
        </is>
      </c>
      <c r="C23" s="13" t="n">
        <v>0</v>
      </c>
      <c r="D23" s="7" t="inlineStr">
        <is>
          <t>元/吨</t>
        </is>
      </c>
      <c r="E23" s="8" t="inlineStr">
        <is>
          <t>若国内报价非送到价则填</t>
        </is>
      </c>
      <c r="F23" s="8" t="inlineStr">
        <is>
          <t>国内补运费</t>
        </is>
      </c>
    </row>
    <row r="24">
      <c r="A24" s="7" t="inlineStr">
        <is>
          <t>D4</t>
        </is>
      </c>
      <c r="B24" s="3" t="inlineStr">
        <is>
          <t>规格/地区调整</t>
        </is>
      </c>
      <c r="C24" s="13" t="n">
        <v>0</v>
      </c>
      <c r="D24" s="7" t="inlineStr">
        <is>
          <t>元/吨</t>
        </is>
      </c>
      <c r="E24" s="8" t="inlineStr">
        <is>
          <t>升贴水（品质、区域）</t>
        </is>
      </c>
      <c r="F24" s="8" t="inlineStr">
        <is>
          <t>调整项</t>
        </is>
      </c>
    </row>
    <row r="26" ht="30" customHeight="1">
      <c r="A26" s="6" t="inlineStr">
        <is>
          <t>#</t>
        </is>
      </c>
      <c r="B26" s="6" t="inlineStr">
        <is>
          <t>贸易术语</t>
        </is>
      </c>
      <c r="C26" s="6" t="inlineStr">
        <is>
          <t>取值</t>
        </is>
      </c>
      <c r="D26" s="6" t="inlineStr">
        <is>
          <t>单位</t>
        </is>
      </c>
      <c r="E26" s="6" t="inlineStr">
        <is>
          <t>说明</t>
        </is>
      </c>
      <c r="F26" s="6" t="inlineStr">
        <is>
          <t>Excel 名称</t>
        </is>
      </c>
    </row>
    <row r="27">
      <c r="A27" s="7" t="inlineStr">
        <is>
          <t>T1</t>
        </is>
      </c>
      <c r="B27" s="3" t="inlineStr">
        <is>
          <t>术语</t>
        </is>
      </c>
      <c r="C27" s="15" t="inlineStr">
        <is>
          <t>CIF</t>
        </is>
      </c>
      <c r="D27" s="7" t="inlineStr">
        <is>
          <t>EXW/FCA/FOB/CFR/CIF/DAP</t>
        </is>
      </c>
      <c r="E27" s="8" t="inlineStr">
        <is>
          <t>改术语后需手动把已含项填 0（或看「3 成本折算」的自动屏蔽结果）</t>
        </is>
      </c>
      <c r="F27" s="8" t="inlineStr">
        <is>
          <t>术语</t>
        </is>
      </c>
    </row>
    <row r="29">
      <c r="B29" s="16" t="inlineStr">
        <is>
          <t>注：本表所有蓝色单元格都可改；其余工作表全部引用这里的单元格。</t>
        </is>
      </c>
    </row>
  </sheetData>
  <dataValidations count="1">
    <dataValidation sqref="C27" showDropDown="0" showInputMessage="0" showErrorMessage="0" allowBlank="0" type="list">
      <formula1>"EXW,FCA,FOB,CFR,CIF,DAP"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6E5A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2" customWidth="1" min="4" max="4"/>
    <col width="60" customWidth="1" min="5" max="5"/>
  </cols>
  <sheetData>
    <row r="1" ht="26" customHeight="1">
      <c r="A1" s="1" t="inlineStr">
        <is>
          <t>成本折算：从美元报价到四层成本（全部为活公式）</t>
        </is>
      </c>
      <c r="B1" s="2" t="n"/>
      <c r="C1" s="2" t="n"/>
      <c r="D1" s="2" t="n"/>
      <c r="E1" s="2" t="n"/>
    </row>
    <row r="2" ht="30" customHeight="1">
      <c r="A2" s="6" t="inlineStr">
        <is>
          <t>#</t>
        </is>
      </c>
      <c r="B2" s="6" t="inlineStr">
        <is>
          <t>项目</t>
        </is>
      </c>
      <c r="C2" s="6" t="inlineStr">
        <is>
          <t>金额（元/吨）</t>
        </is>
      </c>
      <c r="D2" s="6" t="inlineStr">
        <is>
          <t>单位</t>
        </is>
      </c>
      <c r="E2" s="6" t="inlineStr">
        <is>
          <t>公式说明</t>
        </is>
      </c>
    </row>
    <row r="3">
      <c r="A3" s="12" t="n">
        <v>1</v>
      </c>
      <c r="B3" s="7" t="inlineStr">
        <is>
          <t>海外报价（原币）</t>
        </is>
      </c>
      <c r="C3" s="17">
        <f>'2 参数与输入'!$C$3</f>
        <v/>
      </c>
      <c r="D3" s="7" t="inlineStr">
        <is>
          <t>USD/吨</t>
        </is>
      </c>
      <c r="E3" s="8" t="inlineStr">
        <is>
          <t>来自「2 参数与输入」</t>
        </is>
      </c>
    </row>
    <row r="4">
      <c r="A4" s="12" t="n">
        <v>2</v>
      </c>
      <c r="B4" s="7" t="inlineStr">
        <is>
          <t>汇率</t>
        </is>
      </c>
      <c r="C4" s="18">
        <f>'2 参数与输入'!$C$4</f>
        <v/>
      </c>
      <c r="D4" s="7" t="inlineStr">
        <is>
          <t>CNY/USD</t>
        </is>
      </c>
      <c r="E4" s="8" t="inlineStr">
        <is>
          <t>ECB 参考汇率</t>
        </is>
      </c>
    </row>
    <row r="5">
      <c r="A5" s="12" t="n">
        <v>3</v>
      </c>
      <c r="B5" s="3" t="inlineStr">
        <is>
          <t>货值折人民币</t>
        </is>
      </c>
      <c r="C5" s="19">
        <f>C3*C4</f>
        <v/>
      </c>
      <c r="D5" s="7" t="inlineStr">
        <is>
          <t>元/吨</t>
        </is>
      </c>
      <c r="E5" s="8" t="inlineStr">
        <is>
          <t>货值 = 报价 × 汇率</t>
        </is>
      </c>
    </row>
    <row r="6">
      <c r="A6" s="12" t="n">
        <v>4</v>
      </c>
      <c r="B6" s="7" t="inlineStr">
        <is>
          <t>出口国内陆运费</t>
        </is>
      </c>
      <c r="C6" s="17">
        <f>'2 参数与输入'!$C$10*C4</f>
        <v/>
      </c>
      <c r="D6" s="7" t="inlineStr">
        <is>
          <t>元/吨</t>
        </is>
      </c>
      <c r="E6" s="8" t="inlineStr">
        <is>
          <t>EXW 才需要</t>
        </is>
      </c>
    </row>
    <row r="7">
      <c r="A7" s="12" t="n">
        <v>5</v>
      </c>
      <c r="B7" s="7" t="inlineStr">
        <is>
          <t>出口报关杂费</t>
        </is>
      </c>
      <c r="C7" s="17">
        <f>'2 参数与输入'!$C$11*C4</f>
        <v/>
      </c>
      <c r="D7" s="7" t="inlineStr">
        <is>
          <t>元/吨</t>
        </is>
      </c>
      <c r="E7" s="8" t="inlineStr">
        <is>
          <t>EXW 才需要</t>
        </is>
      </c>
    </row>
    <row r="8">
      <c r="A8" s="12" t="n">
        <v>6</v>
      </c>
      <c r="B8" s="7" t="inlineStr">
        <is>
          <t>国际海运费</t>
        </is>
      </c>
      <c r="C8" s="17">
        <f>'2 参数与输入'!$C$5*C4</f>
        <v/>
      </c>
      <c r="D8" s="7" t="inlineStr">
        <is>
          <t>元/吨</t>
        </is>
      </c>
      <c r="E8" s="8" t="inlineStr">
        <is>
          <t>CFR/CIF/DAP 已含，必须填 0</t>
        </is>
      </c>
    </row>
    <row r="9">
      <c r="A9" s="12" t="n">
        <v>7</v>
      </c>
      <c r="B9" s="7" t="inlineStr">
        <is>
          <t>保险费</t>
        </is>
      </c>
      <c r="C9" s="17">
        <f>(C5+C6+C7+C8)*'2 参数与输入'!$C$7*'2 参数与输入'!$C$6</f>
        <v/>
      </c>
      <c r="D9" s="7" t="inlineStr">
        <is>
          <t>元/吨</t>
        </is>
      </c>
      <c r="E9" s="8" t="inlineStr">
        <is>
          <t>(货值+出口端费用+运费) × 加成率 × 费率；CIF 已含则填 0</t>
        </is>
      </c>
    </row>
    <row r="10">
      <c r="A10" s="12" t="n">
        <v>8</v>
      </c>
      <c r="B10" s="3">
        <f> CIF 折人民币</f>
        <v/>
      </c>
      <c r="C10" s="19">
        <f>SUM(C5:C9)</f>
        <v/>
      </c>
      <c r="D10" s="7" t="inlineStr">
        <is>
          <t>元/吨</t>
        </is>
      </c>
      <c r="E10" s="8" t="inlineStr">
        <is>
          <t>CIF = 货值 + 出口端 + 运费 + 保险</t>
        </is>
      </c>
    </row>
    <row r="11">
      <c r="A11" s="12" t="n">
        <v>9</v>
      </c>
      <c r="B11" s="7" t="inlineStr">
        <is>
          <t>目的港卸货/港杂</t>
        </is>
      </c>
      <c r="C11" s="17">
        <f>'2 参数与输入'!$C$8*C4</f>
        <v/>
      </c>
      <c r="D11" s="7" t="inlineStr">
        <is>
          <t>元/吨</t>
        </is>
      </c>
      <c r="E11" s="8" t="inlineStr">
        <is>
          <t>CIF 不含</t>
        </is>
      </c>
    </row>
    <row r="12">
      <c r="A12" s="12" t="n">
        <v>10</v>
      </c>
      <c r="B12" s="7" t="inlineStr">
        <is>
          <t>进口关税</t>
        </is>
      </c>
      <c r="C12" s="17">
        <f>(C10+C11)*'2 参数与输入'!$C$13</f>
        <v/>
      </c>
      <c r="D12" s="7" t="inlineStr">
        <is>
          <t>元/吨</t>
        </is>
      </c>
      <c r="E12" s="8" t="inlineStr">
        <is>
          <t>关税 = (CIF+卸货) × 关税率</t>
        </is>
      </c>
    </row>
    <row r="13">
      <c r="A13" s="12" t="n">
        <v>11</v>
      </c>
      <c r="B13" s="7" t="inlineStr">
        <is>
          <t>其他税</t>
        </is>
      </c>
      <c r="C13" s="17">
        <f>(C10+C11)*'2 参数与输入'!$C$14</f>
        <v/>
      </c>
      <c r="D13" s="7" t="inlineStr">
        <is>
          <t>元/吨</t>
        </is>
      </c>
      <c r="E13" s="8" t="inlineStr">
        <is>
          <t>(CIF+卸货) × 其他税率</t>
        </is>
      </c>
    </row>
    <row r="14">
      <c r="A14" s="12" t="n">
        <v>12</v>
      </c>
      <c r="B14" s="7" t="inlineStr">
        <is>
          <t>进口增值税</t>
        </is>
      </c>
      <c r="C14" s="17">
        <f>(C10+C11+C12)*'2 参数与输入'!$C$15</f>
        <v/>
      </c>
      <c r="D14" s="7" t="inlineStr">
        <is>
          <t>元/吨</t>
        </is>
      </c>
      <c r="E14" s="8" t="inlineStr">
        <is>
          <t>(CIF+卸货+关税) × 增值税率</t>
        </is>
      </c>
    </row>
    <row r="15">
      <c r="A15" s="12" t="n">
        <v>13</v>
      </c>
      <c r="B15" s="7" t="inlineStr">
        <is>
          <t>进口国内陆运费</t>
        </is>
      </c>
      <c r="C15" s="17">
        <f>'2 参数与输入'!$C$9</f>
        <v/>
      </c>
      <c r="D15" s="7" t="inlineStr">
        <is>
          <t>元/吨</t>
        </is>
      </c>
      <c r="E15" s="8" t="inlineStr">
        <is>
          <t>港口→工厂</t>
        </is>
      </c>
    </row>
    <row r="16">
      <c r="A16" s="12" t="n">
        <v>14</v>
      </c>
      <c r="B16" s="7" t="inlineStr">
        <is>
          <t>装卸/损耗附加</t>
        </is>
      </c>
      <c r="C16" s="17">
        <f>'2 参数与输入'!$C$12</f>
        <v/>
      </c>
      <c r="D16" s="7" t="inlineStr">
        <is>
          <t>元/吨</t>
        </is>
      </c>
      <c r="E16" s="8" t="inlineStr">
        <is>
          <t>显式附加</t>
        </is>
      </c>
    </row>
    <row r="17">
      <c r="A17" s="12" t="n">
        <v>15</v>
      </c>
      <c r="B17" s="3">
        <f> 含税到岸 landed_cash</f>
        <v/>
      </c>
      <c r="C17" s="19">
        <f>C10+C11+C12+C13+C14+C15+C16</f>
        <v/>
      </c>
      <c r="D17" s="7" t="inlineStr">
        <is>
          <t>元/吨</t>
        </is>
      </c>
      <c r="E17" s="8" t="inlineStr">
        <is>
          <t>现金口径：全部税费与费用都付出去的总额</t>
        </is>
      </c>
    </row>
    <row r="18">
      <c r="A18" s="12" t="n">
        <v>16</v>
      </c>
      <c r="B18" s="7" t="inlineStr">
        <is>
          <t>可抵扣进口增值税</t>
        </is>
      </c>
      <c r="C18" s="17">
        <f>C14*'2 参数与输入'!$C$16</f>
        <v/>
      </c>
      <c r="D18" s="7" t="inlineStr">
        <is>
          <t>元/吨</t>
        </is>
      </c>
      <c r="E18" s="8" t="inlineStr">
        <is>
          <t>VAT × 可抵扣比例</t>
        </is>
      </c>
    </row>
    <row r="19">
      <c r="A19" s="12" t="n">
        <v>17</v>
      </c>
      <c r="B19" s="3">
        <f> 可比经济成本 net_cash</f>
        <v/>
      </c>
      <c r="C19" s="19">
        <f>C17-C18</f>
        <v/>
      </c>
      <c r="D19" s="7" t="inlineStr">
        <is>
          <t>元/吨</t>
        </is>
      </c>
      <c r="E19" s="8" t="inlineStr">
        <is>
          <t>landed_cash − 可抵扣 VAT（经济口径）</t>
        </is>
      </c>
    </row>
    <row r="20">
      <c r="A20" s="12" t="n">
        <v>18</v>
      </c>
      <c r="B20" s="7" t="inlineStr">
        <is>
          <t>税费现金支出 cash_out</t>
        </is>
      </c>
      <c r="C20" s="17">
        <f>C12+C13+(C14-C18)</f>
        <v/>
      </c>
      <c r="D20" s="7" t="inlineStr">
        <is>
          <t>元/吨</t>
        </is>
      </c>
      <c r="E20" s="8" t="inlineStr">
        <is>
          <t>关税 + 其他税 + 不可抵扣 VAT</t>
        </is>
      </c>
    </row>
    <row r="21">
      <c r="A21" s="12" t="n">
        <v>19</v>
      </c>
      <c r="B21" s="7" t="inlineStr">
        <is>
          <t>折纯成本 unit_net</t>
        </is>
      </c>
      <c r="C21" s="17">
        <f>C19/'2 参数与输入'!$C$17*'2 参数与输入'!$C$18</f>
        <v/>
      </c>
      <c r="D21" s="7" t="inlineStr">
        <is>
          <t>元/纯吨</t>
        </is>
      </c>
      <c r="E21" s="8" t="inlineStr">
        <is>
          <t>net_cash ÷ 纯度 × 毛净比</t>
        </is>
      </c>
    </row>
    <row r="22"/>
    <row r="23" ht="30" customHeight="1">
      <c r="A23" s="6" t="inlineStr">
        <is>
          <t>#</t>
        </is>
      </c>
      <c r="B23" s="6" t="inlineStr">
        <is>
          <t>自检</t>
        </is>
      </c>
      <c r="C23" s="6" t="inlineStr">
        <is>
          <t>结果</t>
        </is>
      </c>
      <c r="D23" s="6" t="inlineStr">
        <is>
          <t>单位</t>
        </is>
      </c>
      <c r="E23" s="6" t="inlineStr">
        <is>
          <t>判定规则</t>
        </is>
      </c>
    </row>
    <row r="24">
      <c r="A24" s="7" t="inlineStr">
        <is>
          <t>K1</t>
        </is>
      </c>
      <c r="B24" s="7" t="inlineStr">
        <is>
          <t>landed_cash 分项闭合</t>
        </is>
      </c>
      <c r="C24" s="17">
        <f>ABS(C17-(C10+C11+C12+C13+C14+C15+C16))</f>
        <v/>
      </c>
      <c r="D24" s="7" t="inlineStr">
        <is>
          <t>元/吨</t>
        </is>
      </c>
      <c r="E24" s="8" t="inlineStr">
        <is>
          <t>必须 = 0</t>
        </is>
      </c>
    </row>
    <row r="25">
      <c r="A25" s="7" t="inlineStr">
        <is>
          <t>K2</t>
        </is>
      </c>
      <c r="B25" s="7" t="inlineStr">
        <is>
          <t>net_cash = landed − credit</t>
        </is>
      </c>
      <c r="C25" s="17">
        <f>ABS(C19-(C17-C18))</f>
        <v/>
      </c>
      <c r="D25" s="7" t="inlineStr">
        <is>
          <t>元/吨</t>
        </is>
      </c>
      <c r="E25" s="8" t="inlineStr">
        <is>
          <t>必须 = 0</t>
        </is>
      </c>
    </row>
    <row r="26">
      <c r="A26" s="7" t="inlineStr">
        <is>
          <t>K3</t>
        </is>
      </c>
      <c r="B26" s="7" t="inlineStr">
        <is>
          <t>术语重复计费检查</t>
        </is>
      </c>
      <c r="C26" s="7">
        <f>IF(AND('2 参数与输入'!$C$27="CFR",'2 参数与输入'!$C$5&gt;0),"冲突","通过")</f>
        <v/>
      </c>
      <c r="D26" s="7" t="inlineStr">
        <is>
          <t>—</t>
        </is>
      </c>
      <c r="E26" s="8" t="inlineStr">
        <is>
          <t>CFR 报价下海运费必须为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5A00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52" customWidth="1" min="5" max="5"/>
  </cols>
  <sheetData>
    <row r="1" ht="26" customHeight="1">
      <c r="A1" s="1" t="inlineStr">
        <is>
          <t>价差四口径：先把国内价折到可比口径，再做减法</t>
        </is>
      </c>
      <c r="B1" s="2" t="n"/>
      <c r="C1" s="2" t="n"/>
      <c r="D1" s="2" t="n"/>
      <c r="E1" s="2" t="n"/>
    </row>
    <row r="2" ht="30" customHeight="1">
      <c r="A2" s="6" t="inlineStr">
        <is>
          <t>#</t>
        </is>
      </c>
      <c r="B2" s="6" t="inlineStr">
        <is>
          <t>项目</t>
        </is>
      </c>
      <c r="C2" s="6" t="inlineStr">
        <is>
          <t>金额（元/吨）</t>
        </is>
      </c>
      <c r="D2" s="6" t="inlineStr">
        <is>
          <t>口径</t>
        </is>
      </c>
      <c r="E2" s="6" t="inlineStr">
        <is>
          <t>说明</t>
        </is>
      </c>
    </row>
    <row r="3">
      <c r="A3" s="7" t="inlineStr">
        <is>
          <t>D1</t>
        </is>
      </c>
      <c r="B3" s="3" t="inlineStr">
        <is>
          <t>国内现货价（原样）</t>
        </is>
      </c>
      <c r="C3" s="17">
        <f>'2 参数与输入'!$C$21</f>
        <v/>
      </c>
      <c r="D3" s="7" t="inlineStr">
        <is>
          <t>元/吨</t>
        </is>
      </c>
      <c r="E3" s="8" t="inlineStr">
        <is>
          <t>含税/不含税见「2 参数与输入」D2</t>
        </is>
      </c>
    </row>
    <row r="4">
      <c r="A4" s="7" t="inlineStr">
        <is>
          <t>D2</t>
        </is>
      </c>
      <c r="B4" s="7" t="inlineStr">
        <is>
          <t>送到+税基调整</t>
        </is>
      </c>
      <c r="C4" s="17">
        <f>IF('2 参数与输入'!$C$22="含税",C3,C3*(1+'2 参数与输入'!$C$15))+'2 参数与输入'!$C$23+'2 参数与输入'!$C$24</f>
        <v/>
      </c>
      <c r="D4" s="7" t="inlineStr">
        <is>
          <t>元/吨</t>
        </is>
      </c>
      <c r="E4" s="8" t="inlineStr">
        <is>
          <t>统一折算到含税送到口径</t>
        </is>
      </c>
    </row>
    <row r="5">
      <c r="A5" s="7" t="inlineStr">
        <is>
          <t>D3</t>
        </is>
      </c>
      <c r="B5" s="7" t="inlineStr">
        <is>
          <t>国内未税送到</t>
        </is>
      </c>
      <c r="C5" s="17">
        <f>C5/(1+'2 参数与输入'!$C$15)</f>
        <v/>
      </c>
      <c r="D5" s="7" t="inlineStr">
        <is>
          <t>元/吨</t>
        </is>
      </c>
      <c r="E5" s="8" t="inlineStr">
        <is>
          <t>含税价 ÷ (1+增值税率)</t>
        </is>
      </c>
    </row>
    <row r="6"/>
    <row r="7" ht="30" customHeight="1">
      <c r="A7" s="6" t="inlineStr">
        <is>
          <t>#</t>
        </is>
      </c>
      <c r="B7" s="6" t="inlineStr">
        <is>
          <t>价差口径</t>
        </is>
      </c>
      <c r="C7" s="6" t="inlineStr">
        <is>
          <t>数值（元/吨）</t>
        </is>
      </c>
      <c r="D7" s="6" t="inlineStr">
        <is>
          <t>符号</t>
        </is>
      </c>
      <c r="E7" s="6" t="inlineStr">
        <is>
          <t>含义（只描述口径差异，不是利润）</t>
        </is>
      </c>
    </row>
    <row r="8">
      <c r="A8" s="7" t="inlineStr">
        <is>
          <t>G1</t>
        </is>
      </c>
      <c r="B8" s="3" t="inlineStr">
        <is>
          <t>CIF 折人民币 vs 国内未税</t>
        </is>
      </c>
      <c r="C8" s="17">
        <f>C5-C10</f>
        <v/>
      </c>
      <c r="D8" s="7">
        <f>IF(C8&gt;0,"国内更强",IF(C8&lt;0,"进口更便宜","持平"))</f>
        <v/>
      </c>
      <c r="E8" s="8" t="inlineStr">
        <is>
          <t>纯价格口径：两边都不含增值税，反映国际与国内价格本身的高低</t>
        </is>
      </c>
    </row>
    <row r="9">
      <c r="A9" s="7" t="inlineStr">
        <is>
          <t>G2</t>
        </is>
      </c>
      <c r="B9" s="3" t="inlineStr">
        <is>
          <t>含税到岸 vs 国内含税送到</t>
        </is>
      </c>
      <c r="C9" s="17">
        <f>C4-C17</f>
        <v/>
      </c>
      <c r="D9" s="7">
        <f>IF(C9&gt;0,"国内更强",IF(C9&lt;0,"进口更便宜","持平"))</f>
        <v/>
      </c>
      <c r="E9" s="8" t="inlineStr">
        <is>
          <t>现金口径：两边都含税，反映全部现金付出之差</t>
        </is>
      </c>
    </row>
    <row r="10">
      <c r="A10" s="7" t="inlineStr">
        <is>
          <t>G3</t>
        </is>
      </c>
      <c r="B10" s="3" t="inlineStr">
        <is>
          <t>经济成本 vs 国内含税送到</t>
        </is>
      </c>
      <c r="C10" s="17">
        <f>C4-C19</f>
        <v/>
      </c>
      <c r="D10" s="7">
        <f>IF(C10&gt;0,"国内更强",IF(C10&lt;0,"进口更便宜","持平"))</f>
        <v/>
      </c>
      <c r="E10" s="8" t="inlineStr">
        <is>
          <t>经济口径：进口增值税按可抵扣处理后的真实可比成本</t>
        </is>
      </c>
    </row>
    <row r="11">
      <c r="A11" s="7" t="inlineStr">
        <is>
          <t>G4</t>
        </is>
      </c>
      <c r="B11" s="3" t="inlineStr">
        <is>
          <t>进项税抵扣调整后</t>
        </is>
      </c>
      <c r="C11" s="17">
        <f>C5-C19</f>
        <v/>
      </c>
      <c r="D11" s="7">
        <f>IF(C11&gt;0,"国内更强",IF(C11&lt;0,"进口更便宜","持平"))</f>
        <v/>
      </c>
      <c r="E11" s="8" t="inlineStr">
        <is>
          <t>税制口径：价格差里有多少来自增值税抵扣权的估值差异</t>
        </is>
      </c>
    </row>
    <row r="13">
      <c r="B13" s="16" t="inlineStr">
        <is>
          <t>提示：G1 与 G3 的差 ≈ 进口环节增值税净额；若两者符号相反，说明价格差被税制掩盖，不能只用 CIF 与含税现货相减下结论。</t>
        </is>
      </c>
    </row>
  </sheetData>
  <mergeCells count="1">
    <mergeCell ref="B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Q3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1" customWidth="1" min="4" max="4"/>
    <col width="11" customWidth="1" min="5" max="5"/>
    <col width="12" customWidth="1" min="6" max="6"/>
    <col width="15" customWidth="1" min="7" max="7"/>
    <col width="12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6" customWidth="1" min="15" max="15"/>
    <col width="44" customWidth="1" min="16" max="16"/>
    <col width="44" customWidth="1" min="17" max="17"/>
  </cols>
  <sheetData>
    <row r="1">
      <c r="A1" s="1" t="inlineStr">
        <is>
          <t>历史序列（逐时点取值，运费/汇率来源已标注；运费为 0 表示术语已含，不是缺失）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6" t="inlineStr">
        <is>
          <t>日期</t>
        </is>
      </c>
      <c r="B2" s="6" t="inlineStr">
        <is>
          <t>海外报价 USD/吨</t>
        </is>
      </c>
      <c r="C2" s="6" t="inlineStr">
        <is>
          <t>报价区间</t>
        </is>
      </c>
      <c r="D2" s="6" t="inlineStr">
        <is>
          <t>汇率 CNY/USD</t>
        </is>
      </c>
      <c r="E2" s="6" t="inlineStr">
        <is>
          <t>汇率日期</t>
        </is>
      </c>
      <c r="F2" s="6" t="inlineStr">
        <is>
          <t>海运费 USD/吨</t>
        </is>
      </c>
      <c r="G2" s="6" t="inlineStr">
        <is>
          <t>运费来源</t>
        </is>
      </c>
      <c r="H2" s="6" t="inlineStr">
        <is>
          <t>CIF 元/吨</t>
        </is>
      </c>
      <c r="I2" s="6" t="inlineStr">
        <is>
          <t>含税到岸 元/吨</t>
        </is>
      </c>
      <c r="J2" s="6" t="inlineStr">
        <is>
          <t>经济成本 元/吨</t>
        </is>
      </c>
      <c r="K2" s="6" t="inlineStr">
        <is>
          <t>国内可比 元/吨</t>
        </is>
      </c>
      <c r="L2" s="6" t="inlineStr">
        <is>
          <t>G3 价差 元/吨</t>
        </is>
      </c>
      <c r="M2" s="6" t="inlineStr">
        <is>
          <t>G2 价差 元/吨</t>
        </is>
      </c>
      <c r="N2" s="6" t="inlineStr">
        <is>
          <t>G1 价差 元/吨</t>
        </is>
      </c>
      <c r="O2" s="6" t="inlineStr">
        <is>
          <t>市场隐含其余成本</t>
        </is>
      </c>
      <c r="P2" s="6" t="inlineStr">
        <is>
          <t>报价来源</t>
        </is>
      </c>
      <c r="Q2" s="6" t="inlineStr">
        <is>
          <t>国内来源</t>
        </is>
      </c>
    </row>
    <row r="3">
      <c r="A3" s="7" t="inlineStr">
        <is>
          <t>2025-09-04</t>
        </is>
      </c>
      <c r="B3" s="20" t="n">
        <v>523</v>
      </c>
      <c r="C3" s="8" t="inlineStr"/>
      <c r="D3" s="21" t="n">
        <v>7.1407</v>
      </c>
      <c r="E3" s="8" t="inlineStr">
        <is>
          <t>2025-09-04</t>
        </is>
      </c>
      <c r="F3" s="20" t="n">
        <v>0</v>
      </c>
      <c r="G3" s="8" t="inlineStr">
        <is>
          <t>假设(术语已含)</t>
        </is>
      </c>
      <c r="H3" s="20" t="n">
        <v>3734.5861</v>
      </c>
      <c r="I3" s="20" t="n">
        <v>4220.082293</v>
      </c>
      <c r="J3" s="20" t="n">
        <v>3734.5861</v>
      </c>
      <c r="K3" s="20" t="n">
        <v>4478.33</v>
      </c>
      <c r="L3" s="22" t="n">
        <v>743.7439000000001</v>
      </c>
      <c r="M3" s="20" t="n">
        <v>258.247707</v>
      </c>
      <c r="N3" s="20" t="n">
        <v>228.537794</v>
      </c>
      <c r="O3" s="20" t="n">
        <v>743.7439000000001</v>
      </c>
      <c r="P3" s="8" t="inlineStr">
        <is>
          <t>https://www.100ppi.com/news/detail-20250905-4735672.html</t>
        </is>
      </c>
      <c r="Q3" s="8" t="inlineStr">
        <is>
          <t>https://www.100ppi.com/news/detail-20250904-4731336.html</t>
        </is>
      </c>
    </row>
    <row r="4">
      <c r="A4" s="7" t="inlineStr">
        <is>
          <t>2025-09-09</t>
        </is>
      </c>
      <c r="B4" s="20" t="n">
        <v>521</v>
      </c>
      <c r="C4" s="8" t="inlineStr"/>
      <c r="D4" s="21" t="n">
        <v>7.1215</v>
      </c>
      <c r="E4" s="8" t="inlineStr">
        <is>
          <t>2025-09-09</t>
        </is>
      </c>
      <c r="F4" s="20" t="n">
        <v>0</v>
      </c>
      <c r="G4" s="8" t="inlineStr">
        <is>
          <t>假设(术语已含)</t>
        </is>
      </c>
      <c r="H4" s="20" t="n">
        <v>3710.3015</v>
      </c>
      <c r="I4" s="20" t="n">
        <v>4192.640695</v>
      </c>
      <c r="J4" s="20" t="n">
        <v>3710.3015</v>
      </c>
      <c r="K4" s="20" t="n">
        <v>4486.67</v>
      </c>
      <c r="L4" s="22" t="n">
        <v>776.3685</v>
      </c>
      <c r="M4" s="20" t="n">
        <v>294.029305</v>
      </c>
      <c r="N4" s="20" t="n">
        <v>260.202925</v>
      </c>
      <c r="O4" s="20" t="n">
        <v>776.3685</v>
      </c>
      <c r="P4" s="8" t="inlineStr">
        <is>
          <t>https://www.100ppi.com/news/detail-20250910-4754833.html</t>
        </is>
      </c>
      <c r="Q4" s="8" t="inlineStr">
        <is>
          <t>https://www.100ppi.com/news/detail-20250909-4746332.html</t>
        </is>
      </c>
    </row>
    <row r="5">
      <c r="A5" s="7" t="inlineStr">
        <is>
          <t>2025-09-17</t>
        </is>
      </c>
      <c r="B5" s="20" t="n">
        <v>517</v>
      </c>
      <c r="C5" s="8" t="inlineStr"/>
      <c r="D5" s="21" t="n">
        <v>7.1042</v>
      </c>
      <c r="E5" s="8" t="inlineStr">
        <is>
          <t>2025-09-17</t>
        </is>
      </c>
      <c r="F5" s="20" t="n">
        <v>0</v>
      </c>
      <c r="G5" s="8" t="inlineStr">
        <is>
          <t>假设(术语已含)</t>
        </is>
      </c>
      <c r="H5" s="20" t="n">
        <v>3672.8714</v>
      </c>
      <c r="I5" s="20" t="n">
        <v>4150.344682</v>
      </c>
      <c r="J5" s="20" t="n">
        <v>3672.8714</v>
      </c>
      <c r="K5" s="20" t="n">
        <v>4458.33</v>
      </c>
      <c r="L5" s="22" t="n">
        <v>785.4586</v>
      </c>
      <c r="M5" s="20" t="n">
        <v>307.985318</v>
      </c>
      <c r="N5" s="20" t="n">
        <v>272.553379</v>
      </c>
      <c r="O5" s="20" t="n">
        <v>785.4586</v>
      </c>
      <c r="P5" s="8" t="inlineStr">
        <is>
          <t>https://www.100ppi.com/news/detail-20250918-4782147.html</t>
        </is>
      </c>
      <c r="Q5" s="8" t="inlineStr">
        <is>
          <t>https://www.100ppi.com/news/detail-20250917-4773983.html</t>
        </is>
      </c>
    </row>
    <row r="6">
      <c r="A6" s="7" t="inlineStr">
        <is>
          <t>2025-09-18</t>
        </is>
      </c>
      <c r="B6" s="20" t="n">
        <v>516</v>
      </c>
      <c r="C6" s="8" t="inlineStr"/>
      <c r="D6" s="21" t="n">
        <v>7.1055</v>
      </c>
      <c r="E6" s="8" t="inlineStr">
        <is>
          <t>2025-09-18</t>
        </is>
      </c>
      <c r="F6" s="20" t="n">
        <v>0</v>
      </c>
      <c r="G6" s="8" t="inlineStr">
        <is>
          <t>假设(术语已含)</t>
        </is>
      </c>
      <c r="H6" s="20" t="n">
        <v>3666.438</v>
      </c>
      <c r="I6" s="20" t="n">
        <v>4143.07494</v>
      </c>
      <c r="J6" s="20" t="n">
        <v>3666.438</v>
      </c>
      <c r="K6" s="20" t="n">
        <v>4458.33</v>
      </c>
      <c r="L6" s="22" t="n">
        <v>791.8920000000001</v>
      </c>
      <c r="M6" s="20" t="n">
        <v>315.25506</v>
      </c>
      <c r="N6" s="20" t="n">
        <v>278.986779</v>
      </c>
      <c r="O6" s="20" t="n">
        <v>791.8920000000001</v>
      </c>
      <c r="P6" s="8" t="inlineStr">
        <is>
          <t>https://www.100ppi.com/news/detail-20250919-4782782.html</t>
        </is>
      </c>
      <c r="Q6" s="8" t="inlineStr">
        <is>
          <t>https://www.100ppi.com/news/detail-20250918-4778121.html</t>
        </is>
      </c>
    </row>
    <row r="7">
      <c r="A7" s="7" t="inlineStr">
        <is>
          <t>2025-10-08</t>
        </is>
      </c>
      <c r="B7" s="20" t="n">
        <v>503</v>
      </c>
      <c r="C7" s="8" t="inlineStr"/>
      <c r="D7" s="21" t="n">
        <v>7.1195</v>
      </c>
      <c r="E7" s="8" t="inlineStr">
        <is>
          <t>2025-10-08</t>
        </is>
      </c>
      <c r="F7" s="20" t="n">
        <v>0</v>
      </c>
      <c r="G7" s="8" t="inlineStr">
        <is>
          <t>假设(术语已含)</t>
        </is>
      </c>
      <c r="H7" s="20" t="n">
        <v>3581.1085</v>
      </c>
      <c r="I7" s="20" t="n">
        <v>4046.652605</v>
      </c>
      <c r="J7" s="20" t="n">
        <v>3581.1085</v>
      </c>
      <c r="K7" s="20" t="n">
        <v>4385</v>
      </c>
      <c r="L7" s="22" t="n">
        <v>803.8915</v>
      </c>
      <c r="M7" s="20" t="n">
        <v>338.347395</v>
      </c>
      <c r="N7" s="20" t="n">
        <v>299.422473</v>
      </c>
      <c r="O7" s="20" t="n">
        <v>803.8915</v>
      </c>
      <c r="P7" s="8" t="inlineStr">
        <is>
          <t>https://www.100ppi.com/news/detail-20251009-4836040.html</t>
        </is>
      </c>
      <c r="Q7" s="8" t="inlineStr">
        <is>
          <t>https://www.100ppi.com/news/detail-20251008-4833357.html</t>
        </is>
      </c>
    </row>
    <row r="8">
      <c r="A8" s="7" t="inlineStr">
        <is>
          <t>2025-10-10</t>
        </is>
      </c>
      <c r="B8" s="20" t="n">
        <v>492</v>
      </c>
      <c r="C8" s="8" t="inlineStr"/>
      <c r="D8" s="21" t="n">
        <v>7.1228</v>
      </c>
      <c r="E8" s="8" t="inlineStr">
        <is>
          <t>2025-10-10</t>
        </is>
      </c>
      <c r="F8" s="20" t="n">
        <v>0</v>
      </c>
      <c r="G8" s="8" t="inlineStr">
        <is>
          <t>假设(术语已含)</t>
        </is>
      </c>
      <c r="H8" s="20" t="n">
        <v>3504.4176</v>
      </c>
      <c r="I8" s="20" t="n">
        <v>3959.991888</v>
      </c>
      <c r="J8" s="20" t="n">
        <v>3504.4176</v>
      </c>
      <c r="K8" s="20" t="n">
        <v>4346.67</v>
      </c>
      <c r="L8" s="22" t="n">
        <v>842.2524</v>
      </c>
      <c r="M8" s="20" t="n">
        <v>386.678112</v>
      </c>
      <c r="N8" s="20" t="n">
        <v>342.193019</v>
      </c>
      <c r="O8" s="20" t="n">
        <v>842.2524</v>
      </c>
      <c r="P8" s="8" t="inlineStr">
        <is>
          <t>https://www.100ppi.com/news/detail-20251011-4844274.html</t>
        </is>
      </c>
      <c r="Q8" s="8" t="inlineStr">
        <is>
          <t>https://www.100ppi.com/news/detail-20251010-4839959.html</t>
        </is>
      </c>
    </row>
    <row r="9">
      <c r="A9" s="7" t="inlineStr">
        <is>
          <t>2025-10-14</t>
        </is>
      </c>
      <c r="B9" s="20" t="n">
        <v>485</v>
      </c>
      <c r="C9" s="8" t="inlineStr"/>
      <c r="D9" s="21" t="n">
        <v>7.14</v>
      </c>
      <c r="E9" s="8" t="inlineStr">
        <is>
          <t>2025-10-14</t>
        </is>
      </c>
      <c r="F9" s="20" t="n">
        <v>0</v>
      </c>
      <c r="G9" s="8" t="inlineStr">
        <is>
          <t>假设(术语已含)</t>
        </is>
      </c>
      <c r="H9" s="20" t="n">
        <v>3462.9</v>
      </c>
      <c r="I9" s="20" t="n">
        <v>3913.077</v>
      </c>
      <c r="J9" s="20" t="n">
        <v>3462.9</v>
      </c>
      <c r="K9" s="20" t="n">
        <v>4346.67</v>
      </c>
      <c r="L9" s="22" t="n">
        <v>883.77</v>
      </c>
      <c r="M9" s="20" t="n">
        <v>433.593</v>
      </c>
      <c r="N9" s="20" t="n">
        <v>383.710619</v>
      </c>
      <c r="O9" s="20" t="n">
        <v>883.77</v>
      </c>
      <c r="P9" s="8" t="inlineStr">
        <is>
          <t>https://www.100ppi.com/news/detail-20251015-4862578.html</t>
        </is>
      </c>
      <c r="Q9" s="8" t="inlineStr">
        <is>
          <t>https://www.100ppi.com/news/detail-20251014-4854341.html</t>
        </is>
      </c>
    </row>
    <row r="10">
      <c r="A10" s="7" t="inlineStr">
        <is>
          <t>2025-10-16</t>
        </is>
      </c>
      <c r="B10" s="20" t="n">
        <v>488</v>
      </c>
      <c r="C10" s="8" t="inlineStr"/>
      <c r="D10" s="21" t="n">
        <v>7.1258</v>
      </c>
      <c r="E10" s="8" t="inlineStr">
        <is>
          <t>2025-10-16</t>
        </is>
      </c>
      <c r="F10" s="20" t="n">
        <v>0</v>
      </c>
      <c r="G10" s="8" t="inlineStr">
        <is>
          <t>假设(术语已含)</t>
        </is>
      </c>
      <c r="H10" s="20" t="n">
        <v>3477.3904</v>
      </c>
      <c r="I10" s="20" t="n">
        <v>3929.451152</v>
      </c>
      <c r="J10" s="20" t="n">
        <v>3477.3904</v>
      </c>
      <c r="K10" s="20" t="n">
        <v>4305</v>
      </c>
      <c r="L10" s="22" t="n">
        <v>827.6096</v>
      </c>
      <c r="M10" s="20" t="n">
        <v>375.548848</v>
      </c>
      <c r="N10" s="20" t="n">
        <v>332.344113</v>
      </c>
      <c r="O10" s="20" t="n">
        <v>827.6096</v>
      </c>
      <c r="P10" s="8" t="inlineStr">
        <is>
          <t>https://www.100ppi.com/news/detail-20251020-4878158.html</t>
        </is>
      </c>
      <c r="Q10" s="8" t="inlineStr">
        <is>
          <t>https://www.100ppi.com/news/detail-20251016-4863012.html</t>
        </is>
      </c>
    </row>
    <row r="11">
      <c r="A11" s="7" t="inlineStr">
        <is>
          <t>2025-10-23</t>
        </is>
      </c>
      <c r="B11" s="20" t="n">
        <v>489</v>
      </c>
      <c r="C11" s="8" t="inlineStr"/>
      <c r="D11" s="21" t="n">
        <v>7.1244</v>
      </c>
      <c r="E11" s="8" t="inlineStr">
        <is>
          <t>2025-10-23</t>
        </is>
      </c>
      <c r="F11" s="20" t="n">
        <v>0</v>
      </c>
      <c r="G11" s="8" t="inlineStr">
        <is>
          <t>假设(术语已含)</t>
        </is>
      </c>
      <c r="H11" s="20" t="n">
        <v>3483.8316</v>
      </c>
      <c r="I11" s="20" t="n">
        <v>3936.729708</v>
      </c>
      <c r="J11" s="20" t="n">
        <v>3483.8316</v>
      </c>
      <c r="K11" s="20" t="n">
        <v>4260</v>
      </c>
      <c r="L11" s="22" t="n">
        <v>776.1684</v>
      </c>
      <c r="M11" s="20" t="n">
        <v>323.270292</v>
      </c>
      <c r="N11" s="20" t="n">
        <v>286.079904</v>
      </c>
      <c r="O11" s="20" t="n">
        <v>776.1684</v>
      </c>
      <c r="P11" s="8" t="inlineStr">
        <is>
          <t>https://www.100ppi.com/news/detail-20251024-4895542.html</t>
        </is>
      </c>
      <c r="Q11" s="8" t="inlineStr">
        <is>
          <t>https://www.100ppi.com/news/detail-20251023-4887441.html</t>
        </is>
      </c>
    </row>
    <row r="12">
      <c r="A12" s="7" t="inlineStr">
        <is>
          <t>2025-10-27</t>
        </is>
      </c>
      <c r="B12" s="20" t="n">
        <v>490</v>
      </c>
      <c r="C12" s="8" t="inlineStr"/>
      <c r="D12" s="21" t="n">
        <v>7.1075</v>
      </c>
      <c r="E12" s="8" t="inlineStr">
        <is>
          <t>2025-10-27</t>
        </is>
      </c>
      <c r="F12" s="20" t="n">
        <v>0</v>
      </c>
      <c r="G12" s="8" t="inlineStr">
        <is>
          <t>假设(术语已含)</t>
        </is>
      </c>
      <c r="H12" s="20" t="n">
        <v>3482.675</v>
      </c>
      <c r="I12" s="20" t="n">
        <v>3935.42275</v>
      </c>
      <c r="J12" s="20" t="n">
        <v>3482.675</v>
      </c>
      <c r="K12" s="20" t="n">
        <v>4276.67</v>
      </c>
      <c r="L12" s="22" t="n">
        <v>793.995</v>
      </c>
      <c r="M12" s="20" t="n">
        <v>341.24725</v>
      </c>
      <c r="N12" s="20" t="n">
        <v>301.988717</v>
      </c>
      <c r="O12" s="20" t="n">
        <v>793.995</v>
      </c>
      <c r="P12" s="8" t="inlineStr">
        <is>
          <t>https://www.100ppi.com/news/detail-20251028-4906560.html</t>
        </is>
      </c>
      <c r="Q12" s="8" t="inlineStr">
        <is>
          <t>https://www.100ppi.com/news/detail-20251027-4898170.html</t>
        </is>
      </c>
    </row>
    <row r="13">
      <c r="A13" s="7" t="inlineStr">
        <is>
          <t>2025-11-17</t>
        </is>
      </c>
      <c r="B13" s="20" t="n">
        <v>468</v>
      </c>
      <c r="C13" s="8" t="inlineStr"/>
      <c r="D13" s="21" t="n">
        <v>7.1076</v>
      </c>
      <c r="E13" s="8" t="inlineStr">
        <is>
          <t>2025-11-17</t>
        </is>
      </c>
      <c r="F13" s="20" t="n">
        <v>0</v>
      </c>
      <c r="G13" s="8" t="inlineStr">
        <is>
          <t>假设(术语已含)</t>
        </is>
      </c>
      <c r="H13" s="20" t="n">
        <v>3326.3568</v>
      </c>
      <c r="I13" s="20" t="n">
        <v>3758.783184</v>
      </c>
      <c r="J13" s="20" t="n">
        <v>3326.3568</v>
      </c>
      <c r="K13" s="20" t="n">
        <v>4133.33</v>
      </c>
      <c r="L13" s="22" t="n">
        <v>806.9732</v>
      </c>
      <c r="M13" s="20" t="n">
        <v>374.546816</v>
      </c>
      <c r="N13" s="20" t="n">
        <v>331.457359</v>
      </c>
      <c r="O13" s="20" t="n">
        <v>806.9732</v>
      </c>
      <c r="P13" s="8" t="inlineStr">
        <is>
          <t>https://www.100ppi.com/news/detail-20251118-4979572.html</t>
        </is>
      </c>
      <c r="Q13" s="8" t="inlineStr">
        <is>
          <t>https://www.100ppi.com/news/detail-20251117-4970455.html</t>
        </is>
      </c>
    </row>
    <row r="14">
      <c r="A14" s="7" t="inlineStr">
        <is>
          <t>2025-11-18</t>
        </is>
      </c>
      <c r="B14" s="20" t="n">
        <v>463</v>
      </c>
      <c r="C14" s="8" t="inlineStr"/>
      <c r="D14" s="21" t="n">
        <v>7.1104</v>
      </c>
      <c r="E14" s="8" t="inlineStr">
        <is>
          <t>2025-11-18</t>
        </is>
      </c>
      <c r="F14" s="20" t="n">
        <v>0</v>
      </c>
      <c r="G14" s="8" t="inlineStr">
        <is>
          <t>假设(术语已含)</t>
        </is>
      </c>
      <c r="H14" s="20" t="n">
        <v>3292.1152</v>
      </c>
      <c r="I14" s="20" t="n">
        <v>3720.090176</v>
      </c>
      <c r="J14" s="20" t="n">
        <v>3292.1152</v>
      </c>
      <c r="K14" s="20" t="n">
        <v>4133.33</v>
      </c>
      <c r="L14" s="22" t="n">
        <v>841.2148</v>
      </c>
      <c r="M14" s="20" t="n">
        <v>413.239824</v>
      </c>
      <c r="N14" s="20" t="n">
        <v>365.698959</v>
      </c>
      <c r="O14" s="20" t="n">
        <v>841.2148</v>
      </c>
      <c r="P14" s="8" t="inlineStr">
        <is>
          <t>https://www.100ppi.com/news/detail-20251119-4983767.html</t>
        </is>
      </c>
      <c r="Q14" s="8" t="inlineStr">
        <is>
          <t>https://www.100ppi.com/news/detail-20251118-4975528.html</t>
        </is>
      </c>
    </row>
    <row r="15">
      <c r="A15" s="7" t="inlineStr">
        <is>
          <t>2025-11-26</t>
        </is>
      </c>
      <c r="B15" s="20" t="n">
        <v>462</v>
      </c>
      <c r="C15" s="8" t="inlineStr"/>
      <c r="D15" s="21" t="n">
        <v>7.0795</v>
      </c>
      <c r="E15" s="8" t="inlineStr">
        <is>
          <t>2025-11-26</t>
        </is>
      </c>
      <c r="F15" s="20" t="n">
        <v>0</v>
      </c>
      <c r="G15" s="8" t="inlineStr">
        <is>
          <t>假设(术语已含)</t>
        </is>
      </c>
      <c r="H15" s="20" t="n">
        <v>3270.729</v>
      </c>
      <c r="I15" s="20" t="n">
        <v>3695.92377</v>
      </c>
      <c r="J15" s="20" t="n">
        <v>3270.729</v>
      </c>
      <c r="K15" s="20" t="n">
        <v>4056.67</v>
      </c>
      <c r="L15" s="22" t="n">
        <v>785.941</v>
      </c>
      <c r="M15" s="20" t="n">
        <v>360.74623</v>
      </c>
      <c r="N15" s="20" t="n">
        <v>319.244451</v>
      </c>
      <c r="O15" s="20" t="n">
        <v>785.941</v>
      </c>
      <c r="P15" s="8" t="inlineStr">
        <is>
          <t>https://www.100ppi.com/news/detail-20251127-5011629.html</t>
        </is>
      </c>
      <c r="Q15" s="8" t="inlineStr">
        <is>
          <t>https://www.100ppi.com/news/detail-20251126-5003330.html</t>
        </is>
      </c>
    </row>
    <row r="16">
      <c r="A16" s="7" t="inlineStr">
        <is>
          <t>2025-11-27</t>
        </is>
      </c>
      <c r="B16" s="20" t="n">
        <v>461</v>
      </c>
      <c r="C16" s="8" t="inlineStr"/>
      <c r="D16" s="21" t="n">
        <v>7.0834</v>
      </c>
      <c r="E16" s="8" t="inlineStr">
        <is>
          <t>2025-11-27</t>
        </is>
      </c>
      <c r="F16" s="20" t="n">
        <v>0</v>
      </c>
      <c r="G16" s="8" t="inlineStr">
        <is>
          <t>假设(术语已含)</t>
        </is>
      </c>
      <c r="H16" s="20" t="n">
        <v>3265.4474</v>
      </c>
      <c r="I16" s="20" t="n">
        <v>3689.955562</v>
      </c>
      <c r="J16" s="20" t="n">
        <v>3265.4474</v>
      </c>
      <c r="K16" s="20" t="n">
        <v>4056.67</v>
      </c>
      <c r="L16" s="22" t="n">
        <v>791.2226000000001</v>
      </c>
      <c r="M16" s="20" t="n">
        <v>366.714438</v>
      </c>
      <c r="N16" s="20" t="n">
        <v>324.526051</v>
      </c>
      <c r="O16" s="20" t="n">
        <v>791.2226000000001</v>
      </c>
      <c r="P16" s="8" t="inlineStr">
        <is>
          <t>https://www.100ppi.com/news/detail-20251128-5012451.html</t>
        </is>
      </c>
      <c r="Q16" s="8" t="inlineStr">
        <is>
          <t>https://www.100ppi.com/news/detail-20251127-5007756.html</t>
        </is>
      </c>
    </row>
    <row r="17">
      <c r="A17" s="7" t="inlineStr">
        <is>
          <t>2025-12-08</t>
        </is>
      </c>
      <c r="B17" s="20" t="n">
        <v>440</v>
      </c>
      <c r="C17" s="8" t="inlineStr"/>
      <c r="D17" s="21" t="n">
        <v>7.068</v>
      </c>
      <c r="E17" s="8" t="inlineStr">
        <is>
          <t>2025-12-08</t>
        </is>
      </c>
      <c r="F17" s="20" t="n">
        <v>0</v>
      </c>
      <c r="G17" s="8" t="inlineStr">
        <is>
          <t>假设(术语已含)</t>
        </is>
      </c>
      <c r="H17" s="20" t="n">
        <v>3109.92</v>
      </c>
      <c r="I17" s="20" t="n">
        <v>3514.2096</v>
      </c>
      <c r="J17" s="20" t="n">
        <v>3109.92</v>
      </c>
      <c r="K17" s="20" t="n">
        <v>3970</v>
      </c>
      <c r="L17" s="22" t="n">
        <v>860.08</v>
      </c>
      <c r="M17" s="20" t="n">
        <v>455.7904</v>
      </c>
      <c r="N17" s="20" t="n">
        <v>403.354336</v>
      </c>
      <c r="O17" s="20" t="n">
        <v>860.08</v>
      </c>
      <c r="P17" s="8" t="inlineStr">
        <is>
          <t>https://www.100ppi.com/news/detail-20251209-5052345.html</t>
        </is>
      </c>
      <c r="Q17" s="8" t="inlineStr">
        <is>
          <t>https://www.100ppi.com/news/detail-20251208-5043554.html</t>
        </is>
      </c>
    </row>
    <row r="18">
      <c r="A18" s="7" t="inlineStr">
        <is>
          <t>2025-12-09</t>
        </is>
      </c>
      <c r="B18" s="20" t="n">
        <v>436</v>
      </c>
      <c r="C18" s="8" t="inlineStr"/>
      <c r="D18" s="21" t="n">
        <v>7.0643</v>
      </c>
      <c r="E18" s="8" t="inlineStr">
        <is>
          <t>2025-12-09</t>
        </is>
      </c>
      <c r="F18" s="20" t="n">
        <v>0</v>
      </c>
      <c r="G18" s="8" t="inlineStr">
        <is>
          <t>假设(术语已含)</t>
        </is>
      </c>
      <c r="H18" s="20" t="n">
        <v>3080.0348</v>
      </c>
      <c r="I18" s="20" t="n">
        <v>3480.439324</v>
      </c>
      <c r="J18" s="20" t="n">
        <v>3080.0348</v>
      </c>
      <c r="K18" s="20" t="n">
        <v>3970</v>
      </c>
      <c r="L18" s="22" t="n">
        <v>889.9652</v>
      </c>
      <c r="M18" s="20" t="n">
        <v>489.560676</v>
      </c>
      <c r="N18" s="20" t="n">
        <v>433.239536</v>
      </c>
      <c r="O18" s="20" t="n">
        <v>889.9652</v>
      </c>
      <c r="P18" s="8" t="inlineStr">
        <is>
          <t>https://www.100ppi.com/news/detail-20251210-5053164.html</t>
        </is>
      </c>
      <c r="Q18" s="8" t="inlineStr">
        <is>
          <t>https://www.100ppi.com/news/detail-20251209-5047954.html</t>
        </is>
      </c>
    </row>
    <row r="19">
      <c r="A19" s="7" t="inlineStr">
        <is>
          <t>2025-12-10</t>
        </is>
      </c>
      <c r="B19" s="20" t="n">
        <v>436</v>
      </c>
      <c r="C19" s="8" t="inlineStr"/>
      <c r="D19" s="21" t="n">
        <v>7.0625</v>
      </c>
      <c r="E19" s="8" t="inlineStr">
        <is>
          <t>2025-12-10</t>
        </is>
      </c>
      <c r="F19" s="20" t="n">
        <v>0</v>
      </c>
      <c r="G19" s="8" t="inlineStr">
        <is>
          <t>假设(术语已含)</t>
        </is>
      </c>
      <c r="H19" s="20" t="n">
        <v>3079.25</v>
      </c>
      <c r="I19" s="20" t="n">
        <v>3479.5525</v>
      </c>
      <c r="J19" s="20" t="n">
        <v>3079.25</v>
      </c>
      <c r="K19" s="20" t="n">
        <v>3970</v>
      </c>
      <c r="L19" s="22" t="n">
        <v>890.75</v>
      </c>
      <c r="M19" s="20" t="n">
        <v>490.4475</v>
      </c>
      <c r="N19" s="20" t="n">
        <v>434.024336</v>
      </c>
      <c r="O19" s="20" t="n">
        <v>890.75</v>
      </c>
      <c r="P19" s="8" t="inlineStr">
        <is>
          <t>https://www.100ppi.com/news/detail-20251211-5061468.html</t>
        </is>
      </c>
      <c r="Q19" s="8" t="inlineStr">
        <is>
          <t>https://www.100ppi.com/news/detail-20251210-5052663.html</t>
        </is>
      </c>
    </row>
    <row r="20">
      <c r="A20" s="7" t="inlineStr">
        <is>
          <t>2025-12-11</t>
        </is>
      </c>
      <c r="B20" s="20" t="n">
        <v>433</v>
      </c>
      <c r="C20" s="8" t="inlineStr"/>
      <c r="D20" s="21" t="n">
        <v>7.0581</v>
      </c>
      <c r="E20" s="8" t="inlineStr">
        <is>
          <t>2025-12-11</t>
        </is>
      </c>
      <c r="F20" s="20" t="n">
        <v>0</v>
      </c>
      <c r="G20" s="8" t="inlineStr">
        <is>
          <t>假设(术语已含)</t>
        </is>
      </c>
      <c r="H20" s="20" t="n">
        <v>3056.1573</v>
      </c>
      <c r="I20" s="20" t="n">
        <v>3453.457749</v>
      </c>
      <c r="J20" s="20" t="n">
        <v>3056.1573</v>
      </c>
      <c r="K20" s="20" t="n">
        <v>3886.67</v>
      </c>
      <c r="L20" s="22" t="n">
        <v>830.5127</v>
      </c>
      <c r="M20" s="20" t="n">
        <v>433.212251</v>
      </c>
      <c r="N20" s="20" t="n">
        <v>383.373673</v>
      </c>
      <c r="O20" s="20" t="n">
        <v>830.5127</v>
      </c>
      <c r="P20" s="8" t="inlineStr">
        <is>
          <t>https://www.100ppi.com/news/detail-20251212-5062362.html</t>
        </is>
      </c>
      <c r="Q20" s="8" t="inlineStr">
        <is>
          <t>https://www.100ppi.com/news/detail-20251211-5057239.html</t>
        </is>
      </c>
    </row>
    <row r="21">
      <c r="A21" s="7" t="inlineStr">
        <is>
          <t>2025-12-15</t>
        </is>
      </c>
      <c r="B21" s="20" t="n">
        <v>435</v>
      </c>
      <c r="C21" s="8" t="inlineStr"/>
      <c r="D21" s="21" t="n">
        <v>7.0471</v>
      </c>
      <c r="E21" s="8" t="inlineStr">
        <is>
          <t>2025-12-15</t>
        </is>
      </c>
      <c r="F21" s="20" t="n">
        <v>0</v>
      </c>
      <c r="G21" s="8" t="inlineStr">
        <is>
          <t>假设(术语已含)</t>
        </is>
      </c>
      <c r="H21" s="20" t="n">
        <v>3065.4885</v>
      </c>
      <c r="I21" s="20" t="n">
        <v>3464.002005</v>
      </c>
      <c r="J21" s="20" t="n">
        <v>3065.4885</v>
      </c>
      <c r="K21" s="20" t="n">
        <v>3890</v>
      </c>
      <c r="L21" s="22" t="n">
        <v>824.5115</v>
      </c>
      <c r="M21" s="20" t="n">
        <v>425.997995</v>
      </c>
      <c r="N21" s="20" t="n">
        <v>376.989376</v>
      </c>
      <c r="O21" s="20" t="n">
        <v>824.5115</v>
      </c>
      <c r="P21" s="8" t="inlineStr">
        <is>
          <t>https://www.100ppi.com/news/detail-20251216-5073905.html</t>
        </is>
      </c>
      <c r="Q21" s="8" t="inlineStr">
        <is>
          <t>https://www.100ppi.com/news/detail-20251215-5069015.html</t>
        </is>
      </c>
    </row>
    <row r="22">
      <c r="A22" s="7" t="inlineStr">
        <is>
          <t>2025-12-18</t>
        </is>
      </c>
      <c r="B22" s="20" t="n">
        <v>438</v>
      </c>
      <c r="C22" s="8" t="inlineStr"/>
      <c r="D22" s="21" t="n">
        <v>7.0413</v>
      </c>
      <c r="E22" s="8" t="inlineStr">
        <is>
          <t>2025-12-18</t>
        </is>
      </c>
      <c r="F22" s="20" t="n">
        <v>0</v>
      </c>
      <c r="G22" s="8" t="inlineStr">
        <is>
          <t>假设(术语已含)</t>
        </is>
      </c>
      <c r="H22" s="20" t="n">
        <v>3084.0894</v>
      </c>
      <c r="I22" s="20" t="n">
        <v>3485.021022</v>
      </c>
      <c r="J22" s="20" t="n">
        <v>3084.0894</v>
      </c>
      <c r="K22" s="20" t="n">
        <v>3891.67</v>
      </c>
      <c r="L22" s="22" t="n">
        <v>807.5806</v>
      </c>
      <c r="M22" s="20" t="n">
        <v>406.648978</v>
      </c>
      <c r="N22" s="20" t="n">
        <v>359.866352</v>
      </c>
      <c r="O22" s="20" t="n">
        <v>807.5806</v>
      </c>
      <c r="P22" s="8" t="inlineStr">
        <is>
          <t>https://www.100ppi.com/news/detail-20251219-5090125.html</t>
        </is>
      </c>
      <c r="Q22" s="8" t="inlineStr">
        <is>
          <t>https://www.100ppi.com/news/detail-20251218-5082217.html</t>
        </is>
      </c>
    </row>
    <row r="23">
      <c r="A23" s="7" t="inlineStr">
        <is>
          <t>2026-01-05</t>
        </is>
      </c>
      <c r="B23" s="20" t="n">
        <v>435.5</v>
      </c>
      <c r="C23" s="8" t="inlineStr"/>
      <c r="D23" s="21" t="n">
        <v>6.9854</v>
      </c>
      <c r="E23" s="8" t="inlineStr">
        <is>
          <t>2026-01-05</t>
        </is>
      </c>
      <c r="F23" s="20" t="n">
        <v>0</v>
      </c>
      <c r="G23" s="8" t="inlineStr">
        <is>
          <t>假设(术语已含)</t>
        </is>
      </c>
      <c r="H23" s="20" t="n">
        <v>3042.1417</v>
      </c>
      <c r="I23" s="20" t="n">
        <v>3437.620121</v>
      </c>
      <c r="J23" s="20" t="n">
        <v>3042.1417</v>
      </c>
      <c r="K23" s="20" t="n">
        <v>3864.17</v>
      </c>
      <c r="L23" s="22" t="n">
        <v>822.0282999999999</v>
      </c>
      <c r="M23" s="20" t="n">
        <v>426.549879</v>
      </c>
      <c r="N23" s="20" t="n">
        <v>377.477769</v>
      </c>
      <c r="O23" s="20" t="n">
        <v>822.0282999999999</v>
      </c>
      <c r="P23" s="8" t="inlineStr">
        <is>
          <t>https://www.100ppi.com/news/detail-20260106-5151428.html</t>
        </is>
      </c>
      <c r="Q23" s="8" t="inlineStr">
        <is>
          <t>https://www.100ppi.com/news/detail-20260105-5145395.html</t>
        </is>
      </c>
    </row>
    <row r="24">
      <c r="A24" s="7" t="inlineStr">
        <is>
          <t>2026-01-12</t>
        </is>
      </c>
      <c r="B24" s="20" t="n">
        <v>449</v>
      </c>
      <c r="C24" s="8" t="inlineStr"/>
      <c r="D24" s="21" t="n">
        <v>6.9731</v>
      </c>
      <c r="E24" s="8" t="inlineStr">
        <is>
          <t>2026-01-12</t>
        </is>
      </c>
      <c r="F24" s="20" t="n">
        <v>0</v>
      </c>
      <c r="G24" s="8" t="inlineStr">
        <is>
          <t>假设(术语已含)</t>
        </is>
      </c>
      <c r="H24" s="20" t="n">
        <v>3130.9219</v>
      </c>
      <c r="I24" s="20" t="n">
        <v>3537.941747</v>
      </c>
      <c r="J24" s="20" t="n">
        <v>3130.9219</v>
      </c>
      <c r="K24" s="20" t="n">
        <v>3818.33</v>
      </c>
      <c r="L24" s="22" t="n">
        <v>687.4081</v>
      </c>
      <c r="M24" s="20" t="n">
        <v>280.388253</v>
      </c>
      <c r="N24" s="20" t="n">
        <v>248.131197</v>
      </c>
      <c r="O24" s="20" t="n">
        <v>687.4081</v>
      </c>
      <c r="P24" s="8" t="inlineStr">
        <is>
          <t>https://www.100ppi.com/news/detail-20260113-5181231.html</t>
        </is>
      </c>
      <c r="Q24" s="8" t="inlineStr">
        <is>
          <t>https://www.100ppi.com/news/detail-20260112-5175312.html</t>
        </is>
      </c>
    </row>
    <row r="25">
      <c r="A25" s="7" t="inlineStr">
        <is>
          <t>2026-01-14</t>
        </is>
      </c>
      <c r="B25" s="20" t="n">
        <v>448.5</v>
      </c>
      <c r="C25" s="8" t="inlineStr"/>
      <c r="D25" s="21" t="n">
        <v>6.9734</v>
      </c>
      <c r="E25" s="8" t="inlineStr">
        <is>
          <t>2026-01-14</t>
        </is>
      </c>
      <c r="F25" s="20" t="n">
        <v>0</v>
      </c>
      <c r="G25" s="8" t="inlineStr">
        <is>
          <t>假设(术语已含)</t>
        </is>
      </c>
      <c r="H25" s="20" t="n">
        <v>3127.5699</v>
      </c>
      <c r="I25" s="20" t="n">
        <v>3534.153987</v>
      </c>
      <c r="J25" s="20" t="n">
        <v>3127.5699</v>
      </c>
      <c r="K25" s="20" t="n">
        <v>3815</v>
      </c>
      <c r="L25" s="22" t="n">
        <v>687.4301</v>
      </c>
      <c r="M25" s="20" t="n">
        <v>280.846013</v>
      </c>
      <c r="N25" s="20" t="n">
        <v>248.536295</v>
      </c>
      <c r="O25" s="20" t="n">
        <v>687.4301</v>
      </c>
      <c r="P25" s="8" t="inlineStr">
        <is>
          <t>https://www.100ppi.com/news/detail-20260115-5191450.html</t>
        </is>
      </c>
      <c r="Q25" s="8" t="inlineStr">
        <is>
          <t>https://www.100ppi.com/news/detail-20260114-5185610.html</t>
        </is>
      </c>
    </row>
    <row r="26">
      <c r="A26" s="7" t="inlineStr">
        <is>
          <t>2026-03-03</t>
        </is>
      </c>
      <c r="B26" s="20" t="n">
        <v>488</v>
      </c>
      <c r="C26" s="8" t="inlineStr"/>
      <c r="D26" s="21" t="n">
        <v>6.9076</v>
      </c>
      <c r="E26" s="8" t="inlineStr">
        <is>
          <t>2026-03-03</t>
        </is>
      </c>
      <c r="F26" s="20" t="n">
        <v>0</v>
      </c>
      <c r="G26" s="8" t="inlineStr">
        <is>
          <t>假设(术语已含)</t>
        </is>
      </c>
      <c r="H26" s="20" t="n">
        <v>3370.9088</v>
      </c>
      <c r="I26" s="20" t="n">
        <v>3809.126944</v>
      </c>
      <c r="J26" s="20" t="n">
        <v>3370.9088</v>
      </c>
      <c r="K26" s="20" t="n">
        <v>3828.33</v>
      </c>
      <c r="L26" s="22" t="n">
        <v>457.4212</v>
      </c>
      <c r="M26" s="20" t="n">
        <v>19.203056</v>
      </c>
      <c r="N26" s="20" t="n">
        <v>16.993855</v>
      </c>
      <c r="O26" s="20" t="n">
        <v>457.4212</v>
      </c>
      <c r="P26" s="8" t="inlineStr">
        <is>
          <t>https://www.100ppi.com/news/detail-20260304-5351783.html</t>
        </is>
      </c>
      <c r="Q26" s="8" t="inlineStr">
        <is>
          <t>https://www.100ppi.com/news/detail-20260303-5346023.html</t>
        </is>
      </c>
    </row>
    <row r="27">
      <c r="A27" s="7" t="inlineStr">
        <is>
          <t>2026-05-27</t>
        </is>
      </c>
      <c r="B27" s="20" t="n">
        <v>572.5</v>
      </c>
      <c r="C27" s="8" t="inlineStr"/>
      <c r="D27" s="21" t="n">
        <v>6.7821</v>
      </c>
      <c r="E27" s="8" t="inlineStr">
        <is>
          <t>2026-05-27</t>
        </is>
      </c>
      <c r="F27" s="20" t="n">
        <v>0</v>
      </c>
      <c r="G27" s="8" t="inlineStr">
        <is>
          <t>假设(术语已含)</t>
        </is>
      </c>
      <c r="H27" s="20" t="n">
        <v>3882.75225</v>
      </c>
      <c r="I27" s="20" t="n">
        <v>4387.510043</v>
      </c>
      <c r="J27" s="20" t="n">
        <v>3882.75225</v>
      </c>
      <c r="K27" s="20" t="n">
        <v>4783.33</v>
      </c>
      <c r="L27" s="22" t="n">
        <v>900.57775</v>
      </c>
      <c r="M27" s="20" t="n">
        <v>395.819957</v>
      </c>
      <c r="N27" s="20" t="n">
        <v>350.283148</v>
      </c>
      <c r="O27" s="20" t="n">
        <v>900.57775</v>
      </c>
      <c r="P27" s="8" t="inlineStr">
        <is>
          <t>https://www.100ppi.com/news/detail-20260528-5714050.html</t>
        </is>
      </c>
      <c r="Q27" s="8" t="inlineStr">
        <is>
          <t>https://www.100ppi.com/news/detail-20260527-5707829.html</t>
        </is>
      </c>
    </row>
    <row r="28">
      <c r="A28" s="7" t="inlineStr">
        <is>
          <t>2026-06-23</t>
        </is>
      </c>
      <c r="B28" s="20" t="n">
        <v>553</v>
      </c>
      <c r="C28" s="8" t="inlineStr"/>
      <c r="D28" s="21" t="n">
        <v>6.7857</v>
      </c>
      <c r="E28" s="8" t="inlineStr">
        <is>
          <t>2026-06-23</t>
        </is>
      </c>
      <c r="F28" s="20" t="n">
        <v>0</v>
      </c>
      <c r="G28" s="8" t="inlineStr">
        <is>
          <t>假设(术语已含)</t>
        </is>
      </c>
      <c r="H28" s="20" t="n">
        <v>3752.4921</v>
      </c>
      <c r="I28" s="20" t="n">
        <v>4240.316073</v>
      </c>
      <c r="J28" s="20" t="n">
        <v>3752.4921</v>
      </c>
      <c r="K28" s="20" t="n">
        <v>4495</v>
      </c>
      <c r="L28" s="22" t="n">
        <v>742.5078999999999</v>
      </c>
      <c r="M28" s="20" t="n">
        <v>254.683927</v>
      </c>
      <c r="N28" s="20" t="n">
        <v>225.384006</v>
      </c>
      <c r="O28" s="20" t="n">
        <v>742.5078999999999</v>
      </c>
      <c r="P28" s="8" t="inlineStr">
        <is>
          <t>https://www.100ppi.com/news/detail-20260624-5828469.html</t>
        </is>
      </c>
      <c r="Q28" s="8" t="inlineStr">
        <is>
          <t>https://www.100ppi.com/news/detail-20260623-5822112.html</t>
        </is>
      </c>
    </row>
    <row r="29">
      <c r="A29" s="7" t="inlineStr">
        <is>
          <t>2026-08-18</t>
        </is>
      </c>
      <c r="B29" s="20" t="n">
        <v>685</v>
      </c>
      <c r="C29" s="8" t="inlineStr"/>
      <c r="D29" s="21" t="n">
        <v>6.7423</v>
      </c>
      <c r="E29" s="8" t="inlineStr">
        <is>
          <t>2026-08-18</t>
        </is>
      </c>
      <c r="F29" s="20" t="n">
        <v>0</v>
      </c>
      <c r="G29" s="8" t="inlineStr">
        <is>
          <t>假设(术语已含)</t>
        </is>
      </c>
      <c r="H29" s="20" t="n">
        <v>4618.4755</v>
      </c>
      <c r="I29" s="20" t="n">
        <v>5218.877315</v>
      </c>
      <c r="J29" s="20" t="n">
        <v>4618.4755</v>
      </c>
      <c r="K29" s="20" t="n">
        <v>5116.67</v>
      </c>
      <c r="L29" s="22" t="n">
        <v>498.1945</v>
      </c>
      <c r="M29" s="20" t="n">
        <v>-102.207315</v>
      </c>
      <c r="N29" s="20" t="n">
        <v>-90.44895099999999</v>
      </c>
      <c r="O29" s="20" t="n">
        <v>498.1945</v>
      </c>
      <c r="P29" s="8" t="inlineStr">
        <is>
          <t>https://www.100ppi.com/news/detail-20260819-6095157.html</t>
        </is>
      </c>
      <c r="Q29" s="8" t="inlineStr">
        <is>
          <t>https://www.100ppi.com/news/detail-20260818-6083083.html</t>
        </is>
      </c>
    </row>
    <row r="31">
      <c r="A31" s="23" t="inlineStr">
        <is>
          <t>统计</t>
        </is>
      </c>
    </row>
    <row r="32">
      <c r="A32" s="8" t="inlineStr">
        <is>
          <t>样本数</t>
        </is>
      </c>
      <c r="B32" s="24">
        <f>COUNTA(A3:A29)</f>
        <v/>
      </c>
    </row>
    <row r="33">
      <c r="A33" s="8" t="inlineStr">
        <is>
          <t>G3 最新</t>
        </is>
      </c>
      <c r="B33" s="17">
        <f>IFERROR(LOOKUP(9E+307,L3:L29),"")</f>
        <v/>
      </c>
    </row>
    <row r="34">
      <c r="A34" s="8" t="inlineStr">
        <is>
          <t>G3 区间均值</t>
        </is>
      </c>
      <c r="B34" s="17">
        <f>IFERROR(AVERAGE(L3:L29),"")</f>
        <v/>
      </c>
    </row>
    <row r="35">
      <c r="A35" s="8" t="inlineStr">
        <is>
          <t>G3 区间最高</t>
        </is>
      </c>
      <c r="B35" s="17">
        <f>IFERROR(MAX(L3:L29),"")</f>
        <v/>
      </c>
    </row>
    <row r="36">
      <c r="A36" s="8" t="inlineStr">
        <is>
          <t>G3 区间最低</t>
        </is>
      </c>
      <c r="B36" s="17">
        <f>IFERROR(MIN(L3:L29),"")</f>
        <v/>
      </c>
    </row>
    <row r="37">
      <c r="A37" s="8" t="inlineStr">
        <is>
          <t>G3 区间变化</t>
        </is>
      </c>
      <c r="B37" s="17">
        <f>IFERROR(B33-B32,"")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图表数据区（「5 历史序列」的镜像，供 Excel 折线图引用）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6" t="inlineStr">
        <is>
          <t>日期</t>
        </is>
      </c>
      <c r="B2" s="6" t="inlineStr">
        <is>
          <t>G3 经济口径</t>
        </is>
      </c>
      <c r="C2" s="6" t="inlineStr">
        <is>
          <t>G2 现金口径</t>
        </is>
      </c>
      <c r="D2" s="6" t="inlineStr">
        <is>
          <t>G1 纯价格口径</t>
        </is>
      </c>
      <c r="E2" s="6" t="inlineStr">
        <is>
          <t>CIF</t>
        </is>
      </c>
      <c r="F2" s="6" t="inlineStr">
        <is>
          <t>经济成本</t>
        </is>
      </c>
      <c r="G2" s="6" t="inlineStr">
        <is>
          <t>国内可比</t>
        </is>
      </c>
    </row>
    <row r="3">
      <c r="A3" s="7">
        <f>'5 历史序列'!A3</f>
        <v/>
      </c>
      <c r="B3" s="17">
        <f>'5 历史序列'!L3</f>
        <v/>
      </c>
      <c r="C3" s="17">
        <f>'5 历史序列'!M3</f>
        <v/>
      </c>
      <c r="D3" s="17">
        <f>'5 历史序列'!N3</f>
        <v/>
      </c>
      <c r="E3" s="17">
        <f>'5 历史序列'!H3</f>
        <v/>
      </c>
      <c r="F3" s="17">
        <f>'5 历史序列'!J3</f>
        <v/>
      </c>
      <c r="G3" s="17">
        <f>'5 历史序列'!K3</f>
        <v/>
      </c>
    </row>
    <row r="4">
      <c r="A4" s="7">
        <f>'5 历史序列'!A4</f>
        <v/>
      </c>
      <c r="B4" s="17">
        <f>'5 历史序列'!L4</f>
        <v/>
      </c>
      <c r="C4" s="17">
        <f>'5 历史序列'!M4</f>
        <v/>
      </c>
      <c r="D4" s="17">
        <f>'5 历史序列'!N4</f>
        <v/>
      </c>
      <c r="E4" s="17">
        <f>'5 历史序列'!H4</f>
        <v/>
      </c>
      <c r="F4" s="17">
        <f>'5 历史序列'!J4</f>
        <v/>
      </c>
      <c r="G4" s="17">
        <f>'5 历史序列'!K4</f>
        <v/>
      </c>
    </row>
    <row r="5">
      <c r="A5" s="7">
        <f>'5 历史序列'!A5</f>
        <v/>
      </c>
      <c r="B5" s="17">
        <f>'5 历史序列'!L5</f>
        <v/>
      </c>
      <c r="C5" s="17">
        <f>'5 历史序列'!M5</f>
        <v/>
      </c>
      <c r="D5" s="17">
        <f>'5 历史序列'!N5</f>
        <v/>
      </c>
      <c r="E5" s="17">
        <f>'5 历史序列'!H5</f>
        <v/>
      </c>
      <c r="F5" s="17">
        <f>'5 历史序列'!J5</f>
        <v/>
      </c>
      <c r="G5" s="17">
        <f>'5 历史序列'!K5</f>
        <v/>
      </c>
    </row>
    <row r="6">
      <c r="A6" s="7">
        <f>'5 历史序列'!A6</f>
        <v/>
      </c>
      <c r="B6" s="17">
        <f>'5 历史序列'!L6</f>
        <v/>
      </c>
      <c r="C6" s="17">
        <f>'5 历史序列'!M6</f>
        <v/>
      </c>
      <c r="D6" s="17">
        <f>'5 历史序列'!N6</f>
        <v/>
      </c>
      <c r="E6" s="17">
        <f>'5 历史序列'!H6</f>
        <v/>
      </c>
      <c r="F6" s="17">
        <f>'5 历史序列'!J6</f>
        <v/>
      </c>
      <c r="G6" s="17">
        <f>'5 历史序列'!K6</f>
        <v/>
      </c>
    </row>
    <row r="7">
      <c r="A7" s="7">
        <f>'5 历史序列'!A7</f>
        <v/>
      </c>
      <c r="B7" s="17">
        <f>'5 历史序列'!L7</f>
        <v/>
      </c>
      <c r="C7" s="17">
        <f>'5 历史序列'!M7</f>
        <v/>
      </c>
      <c r="D7" s="17">
        <f>'5 历史序列'!N7</f>
        <v/>
      </c>
      <c r="E7" s="17">
        <f>'5 历史序列'!H7</f>
        <v/>
      </c>
      <c r="F7" s="17">
        <f>'5 历史序列'!J7</f>
        <v/>
      </c>
      <c r="G7" s="17">
        <f>'5 历史序列'!K7</f>
        <v/>
      </c>
    </row>
    <row r="8">
      <c r="A8" s="7">
        <f>'5 历史序列'!A8</f>
        <v/>
      </c>
      <c r="B8" s="17">
        <f>'5 历史序列'!L8</f>
        <v/>
      </c>
      <c r="C8" s="17">
        <f>'5 历史序列'!M8</f>
        <v/>
      </c>
      <c r="D8" s="17">
        <f>'5 历史序列'!N8</f>
        <v/>
      </c>
      <c r="E8" s="17">
        <f>'5 历史序列'!H8</f>
        <v/>
      </c>
      <c r="F8" s="17">
        <f>'5 历史序列'!J8</f>
        <v/>
      </c>
      <c r="G8" s="17">
        <f>'5 历史序列'!K8</f>
        <v/>
      </c>
    </row>
    <row r="9">
      <c r="A9" s="7">
        <f>'5 历史序列'!A9</f>
        <v/>
      </c>
      <c r="B9" s="17">
        <f>'5 历史序列'!L9</f>
        <v/>
      </c>
      <c r="C9" s="17">
        <f>'5 历史序列'!M9</f>
        <v/>
      </c>
      <c r="D9" s="17">
        <f>'5 历史序列'!N9</f>
        <v/>
      </c>
      <c r="E9" s="17">
        <f>'5 历史序列'!H9</f>
        <v/>
      </c>
      <c r="F9" s="17">
        <f>'5 历史序列'!J9</f>
        <v/>
      </c>
      <c r="G9" s="17">
        <f>'5 历史序列'!K9</f>
        <v/>
      </c>
    </row>
    <row r="10">
      <c r="A10" s="7">
        <f>'5 历史序列'!A10</f>
        <v/>
      </c>
      <c r="B10" s="17">
        <f>'5 历史序列'!L10</f>
        <v/>
      </c>
      <c r="C10" s="17">
        <f>'5 历史序列'!M10</f>
        <v/>
      </c>
      <c r="D10" s="17">
        <f>'5 历史序列'!N10</f>
        <v/>
      </c>
      <c r="E10" s="17">
        <f>'5 历史序列'!H10</f>
        <v/>
      </c>
      <c r="F10" s="17">
        <f>'5 历史序列'!J10</f>
        <v/>
      </c>
      <c r="G10" s="17">
        <f>'5 历史序列'!K10</f>
        <v/>
      </c>
    </row>
    <row r="11">
      <c r="A11" s="7">
        <f>'5 历史序列'!A11</f>
        <v/>
      </c>
      <c r="B11" s="17">
        <f>'5 历史序列'!L11</f>
        <v/>
      </c>
      <c r="C11" s="17">
        <f>'5 历史序列'!M11</f>
        <v/>
      </c>
      <c r="D11" s="17">
        <f>'5 历史序列'!N11</f>
        <v/>
      </c>
      <c r="E11" s="17">
        <f>'5 历史序列'!H11</f>
        <v/>
      </c>
      <c r="F11" s="17">
        <f>'5 历史序列'!J11</f>
        <v/>
      </c>
      <c r="G11" s="17">
        <f>'5 历史序列'!K11</f>
        <v/>
      </c>
    </row>
    <row r="12">
      <c r="A12" s="7">
        <f>'5 历史序列'!A12</f>
        <v/>
      </c>
      <c r="B12" s="17">
        <f>'5 历史序列'!L12</f>
        <v/>
      </c>
      <c r="C12" s="17">
        <f>'5 历史序列'!M12</f>
        <v/>
      </c>
      <c r="D12" s="17">
        <f>'5 历史序列'!N12</f>
        <v/>
      </c>
      <c r="E12" s="17">
        <f>'5 历史序列'!H12</f>
        <v/>
      </c>
      <c r="F12" s="17">
        <f>'5 历史序列'!J12</f>
        <v/>
      </c>
      <c r="G12" s="17">
        <f>'5 历史序列'!K12</f>
        <v/>
      </c>
    </row>
    <row r="13">
      <c r="A13" s="7">
        <f>'5 历史序列'!A13</f>
        <v/>
      </c>
      <c r="B13" s="17">
        <f>'5 历史序列'!L13</f>
        <v/>
      </c>
      <c r="C13" s="17">
        <f>'5 历史序列'!M13</f>
        <v/>
      </c>
      <c r="D13" s="17">
        <f>'5 历史序列'!N13</f>
        <v/>
      </c>
      <c r="E13" s="17">
        <f>'5 历史序列'!H13</f>
        <v/>
      </c>
      <c r="F13" s="17">
        <f>'5 历史序列'!J13</f>
        <v/>
      </c>
      <c r="G13" s="17">
        <f>'5 历史序列'!K13</f>
        <v/>
      </c>
    </row>
    <row r="14">
      <c r="A14" s="7">
        <f>'5 历史序列'!A14</f>
        <v/>
      </c>
      <c r="B14" s="17">
        <f>'5 历史序列'!L14</f>
        <v/>
      </c>
      <c r="C14" s="17">
        <f>'5 历史序列'!M14</f>
        <v/>
      </c>
      <c r="D14" s="17">
        <f>'5 历史序列'!N14</f>
        <v/>
      </c>
      <c r="E14" s="17">
        <f>'5 历史序列'!H14</f>
        <v/>
      </c>
      <c r="F14" s="17">
        <f>'5 历史序列'!J14</f>
        <v/>
      </c>
      <c r="G14" s="17">
        <f>'5 历史序列'!K14</f>
        <v/>
      </c>
    </row>
    <row r="15">
      <c r="A15" s="7">
        <f>'5 历史序列'!A15</f>
        <v/>
      </c>
      <c r="B15" s="17">
        <f>'5 历史序列'!L15</f>
        <v/>
      </c>
      <c r="C15" s="17">
        <f>'5 历史序列'!M15</f>
        <v/>
      </c>
      <c r="D15" s="17">
        <f>'5 历史序列'!N15</f>
        <v/>
      </c>
      <c r="E15" s="17">
        <f>'5 历史序列'!H15</f>
        <v/>
      </c>
      <c r="F15" s="17">
        <f>'5 历史序列'!J15</f>
        <v/>
      </c>
      <c r="G15" s="17">
        <f>'5 历史序列'!K15</f>
        <v/>
      </c>
    </row>
    <row r="16">
      <c r="A16" s="7">
        <f>'5 历史序列'!A16</f>
        <v/>
      </c>
      <c r="B16" s="17">
        <f>'5 历史序列'!L16</f>
        <v/>
      </c>
      <c r="C16" s="17">
        <f>'5 历史序列'!M16</f>
        <v/>
      </c>
      <c r="D16" s="17">
        <f>'5 历史序列'!N16</f>
        <v/>
      </c>
      <c r="E16" s="17">
        <f>'5 历史序列'!H16</f>
        <v/>
      </c>
      <c r="F16" s="17">
        <f>'5 历史序列'!J16</f>
        <v/>
      </c>
      <c r="G16" s="17">
        <f>'5 历史序列'!K16</f>
        <v/>
      </c>
    </row>
    <row r="17">
      <c r="A17" s="7">
        <f>'5 历史序列'!A17</f>
        <v/>
      </c>
      <c r="B17" s="17">
        <f>'5 历史序列'!L17</f>
        <v/>
      </c>
      <c r="C17" s="17">
        <f>'5 历史序列'!M17</f>
        <v/>
      </c>
      <c r="D17" s="17">
        <f>'5 历史序列'!N17</f>
        <v/>
      </c>
      <c r="E17" s="17">
        <f>'5 历史序列'!H17</f>
        <v/>
      </c>
      <c r="F17" s="17">
        <f>'5 历史序列'!J17</f>
        <v/>
      </c>
      <c r="G17" s="17">
        <f>'5 历史序列'!K17</f>
        <v/>
      </c>
    </row>
    <row r="18">
      <c r="A18" s="7">
        <f>'5 历史序列'!A18</f>
        <v/>
      </c>
      <c r="B18" s="17">
        <f>'5 历史序列'!L18</f>
        <v/>
      </c>
      <c r="C18" s="17">
        <f>'5 历史序列'!M18</f>
        <v/>
      </c>
      <c r="D18" s="17">
        <f>'5 历史序列'!N18</f>
        <v/>
      </c>
      <c r="E18" s="17">
        <f>'5 历史序列'!H18</f>
        <v/>
      </c>
      <c r="F18" s="17">
        <f>'5 历史序列'!J18</f>
        <v/>
      </c>
      <c r="G18" s="17">
        <f>'5 历史序列'!K18</f>
        <v/>
      </c>
    </row>
    <row r="19">
      <c r="A19" s="7">
        <f>'5 历史序列'!A19</f>
        <v/>
      </c>
      <c r="B19" s="17">
        <f>'5 历史序列'!L19</f>
        <v/>
      </c>
      <c r="C19" s="17">
        <f>'5 历史序列'!M19</f>
        <v/>
      </c>
      <c r="D19" s="17">
        <f>'5 历史序列'!N19</f>
        <v/>
      </c>
      <c r="E19" s="17">
        <f>'5 历史序列'!H19</f>
        <v/>
      </c>
      <c r="F19" s="17">
        <f>'5 历史序列'!J19</f>
        <v/>
      </c>
      <c r="G19" s="17">
        <f>'5 历史序列'!K19</f>
        <v/>
      </c>
    </row>
    <row r="20">
      <c r="A20" s="7">
        <f>'5 历史序列'!A20</f>
        <v/>
      </c>
      <c r="B20" s="17">
        <f>'5 历史序列'!L20</f>
        <v/>
      </c>
      <c r="C20" s="17">
        <f>'5 历史序列'!M20</f>
        <v/>
      </c>
      <c r="D20" s="17">
        <f>'5 历史序列'!N20</f>
        <v/>
      </c>
      <c r="E20" s="17">
        <f>'5 历史序列'!H20</f>
        <v/>
      </c>
      <c r="F20" s="17">
        <f>'5 历史序列'!J20</f>
        <v/>
      </c>
      <c r="G20" s="17">
        <f>'5 历史序列'!K20</f>
        <v/>
      </c>
    </row>
    <row r="21">
      <c r="A21" s="7">
        <f>'5 历史序列'!A21</f>
        <v/>
      </c>
      <c r="B21" s="17">
        <f>'5 历史序列'!L21</f>
        <v/>
      </c>
      <c r="C21" s="17">
        <f>'5 历史序列'!M21</f>
        <v/>
      </c>
      <c r="D21" s="17">
        <f>'5 历史序列'!N21</f>
        <v/>
      </c>
      <c r="E21" s="17">
        <f>'5 历史序列'!H21</f>
        <v/>
      </c>
      <c r="F21" s="17">
        <f>'5 历史序列'!J21</f>
        <v/>
      </c>
      <c r="G21" s="17">
        <f>'5 历史序列'!K21</f>
        <v/>
      </c>
    </row>
    <row r="22">
      <c r="A22" s="7">
        <f>'5 历史序列'!A22</f>
        <v/>
      </c>
      <c r="B22" s="17">
        <f>'5 历史序列'!L22</f>
        <v/>
      </c>
      <c r="C22" s="17">
        <f>'5 历史序列'!M22</f>
        <v/>
      </c>
      <c r="D22" s="17">
        <f>'5 历史序列'!N22</f>
        <v/>
      </c>
      <c r="E22" s="17">
        <f>'5 历史序列'!H22</f>
        <v/>
      </c>
      <c r="F22" s="17">
        <f>'5 历史序列'!J22</f>
        <v/>
      </c>
      <c r="G22" s="17">
        <f>'5 历史序列'!K22</f>
        <v/>
      </c>
    </row>
    <row r="23">
      <c r="A23" s="7">
        <f>'5 历史序列'!A23</f>
        <v/>
      </c>
      <c r="B23" s="17">
        <f>'5 历史序列'!L23</f>
        <v/>
      </c>
      <c r="C23" s="17">
        <f>'5 历史序列'!M23</f>
        <v/>
      </c>
      <c r="D23" s="17">
        <f>'5 历史序列'!N23</f>
        <v/>
      </c>
      <c r="E23" s="17">
        <f>'5 历史序列'!H23</f>
        <v/>
      </c>
      <c r="F23" s="17">
        <f>'5 历史序列'!J23</f>
        <v/>
      </c>
      <c r="G23" s="17">
        <f>'5 历史序列'!K23</f>
        <v/>
      </c>
    </row>
    <row r="24">
      <c r="A24" s="7">
        <f>'5 历史序列'!A24</f>
        <v/>
      </c>
      <c r="B24" s="17">
        <f>'5 历史序列'!L24</f>
        <v/>
      </c>
      <c r="C24" s="17">
        <f>'5 历史序列'!M24</f>
        <v/>
      </c>
      <c r="D24" s="17">
        <f>'5 历史序列'!N24</f>
        <v/>
      </c>
      <c r="E24" s="17">
        <f>'5 历史序列'!H24</f>
        <v/>
      </c>
      <c r="F24" s="17">
        <f>'5 历史序列'!J24</f>
        <v/>
      </c>
      <c r="G24" s="17">
        <f>'5 历史序列'!K24</f>
        <v/>
      </c>
    </row>
    <row r="25">
      <c r="A25" s="7">
        <f>'5 历史序列'!A25</f>
        <v/>
      </c>
      <c r="B25" s="17">
        <f>'5 历史序列'!L25</f>
        <v/>
      </c>
      <c r="C25" s="17">
        <f>'5 历史序列'!M25</f>
        <v/>
      </c>
      <c r="D25" s="17">
        <f>'5 历史序列'!N25</f>
        <v/>
      </c>
      <c r="E25" s="17">
        <f>'5 历史序列'!H25</f>
        <v/>
      </c>
      <c r="F25" s="17">
        <f>'5 历史序列'!J25</f>
        <v/>
      </c>
      <c r="G25" s="17">
        <f>'5 历史序列'!K25</f>
        <v/>
      </c>
    </row>
    <row r="26">
      <c r="A26" s="7">
        <f>'5 历史序列'!A26</f>
        <v/>
      </c>
      <c r="B26" s="17">
        <f>'5 历史序列'!L26</f>
        <v/>
      </c>
      <c r="C26" s="17">
        <f>'5 历史序列'!M26</f>
        <v/>
      </c>
      <c r="D26" s="17">
        <f>'5 历史序列'!N26</f>
        <v/>
      </c>
      <c r="E26" s="17">
        <f>'5 历史序列'!H26</f>
        <v/>
      </c>
      <c r="F26" s="17">
        <f>'5 历史序列'!J26</f>
        <v/>
      </c>
      <c r="G26" s="17">
        <f>'5 历史序列'!K26</f>
        <v/>
      </c>
    </row>
    <row r="27">
      <c r="A27" s="7">
        <f>'5 历史序列'!A27</f>
        <v/>
      </c>
      <c r="B27" s="17">
        <f>'5 历史序列'!L27</f>
        <v/>
      </c>
      <c r="C27" s="17">
        <f>'5 历史序列'!M27</f>
        <v/>
      </c>
      <c r="D27" s="17">
        <f>'5 历史序列'!N27</f>
        <v/>
      </c>
      <c r="E27" s="17">
        <f>'5 历史序列'!H27</f>
        <v/>
      </c>
      <c r="F27" s="17">
        <f>'5 历史序列'!J27</f>
        <v/>
      </c>
      <c r="G27" s="17">
        <f>'5 历史序列'!K27</f>
        <v/>
      </c>
    </row>
    <row r="28">
      <c r="A28" s="7">
        <f>'5 历史序列'!A28</f>
        <v/>
      </c>
      <c r="B28" s="17">
        <f>'5 历史序列'!L28</f>
        <v/>
      </c>
      <c r="C28" s="17">
        <f>'5 历史序列'!M28</f>
        <v/>
      </c>
      <c r="D28" s="17">
        <f>'5 历史序列'!N28</f>
        <v/>
      </c>
      <c r="E28" s="17">
        <f>'5 历史序列'!H28</f>
        <v/>
      </c>
      <c r="F28" s="17">
        <f>'5 历史序列'!J28</f>
        <v/>
      </c>
      <c r="G28" s="17">
        <f>'5 历史序列'!K28</f>
        <v/>
      </c>
    </row>
    <row r="29">
      <c r="A29" s="7">
        <f>'5 历史序列'!A29</f>
        <v/>
      </c>
      <c r="B29" s="17">
        <f>'5 历史序列'!L29</f>
        <v/>
      </c>
      <c r="C29" s="17">
        <f>'5 历史序列'!M29</f>
        <v/>
      </c>
      <c r="D29" s="17">
        <f>'5 历史序列'!N29</f>
        <v/>
      </c>
      <c r="E29" s="17">
        <f>'5 历史序列'!H29</f>
        <v/>
      </c>
      <c r="F29" s="17">
        <f>'5 历史序列'!J29</f>
        <v/>
      </c>
      <c r="G29" s="17">
        <f>'5 历史序列'!K29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6B3FA0"/>
    <outlinePr summaryBelow="1" summaryRight="1"/>
    <pageSetUpPr/>
  </sheetPr>
  <dimension ref="A1:I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敏感性：单参数（各参数独立变动，其余保持输入表值）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6" t="inlineStr">
        <is>
          <t>参数</t>
        </is>
      </c>
      <c r="B2" s="6" t="inlineStr">
        <is>
          <t>取值</t>
        </is>
      </c>
      <c r="C2" s="6" t="inlineStr">
        <is>
          <t>CIF</t>
        </is>
      </c>
      <c r="D2" s="6" t="inlineStr">
        <is>
          <t>含税到岸</t>
        </is>
      </c>
      <c r="E2" s="6" t="inlineStr">
        <is>
          <t>经济成本</t>
        </is>
      </c>
      <c r="F2" s="6" t="inlineStr">
        <is>
          <t>相对基准变化</t>
        </is>
      </c>
      <c r="G2" s="6" t="inlineStr">
        <is>
          <t>G3 价差</t>
        </is>
      </c>
    </row>
    <row r="3">
      <c r="A3" s="3" t="inlineStr">
        <is>
          <t>海外报价（USD/t）</t>
        </is>
      </c>
      <c r="B3" s="7" t="inlineStr"/>
      <c r="C3" s="7" t="inlineStr"/>
      <c r="D3" s="7" t="inlineStr"/>
      <c r="E3" s="7" t="inlineStr"/>
      <c r="F3" s="7" t="inlineStr"/>
      <c r="G3" s="7" t="inlineStr"/>
    </row>
    <row r="4">
      <c r="A4" s="7" t="inlineStr"/>
      <c r="B4" s="13" t="n">
        <v>500</v>
      </c>
      <c r="C4" s="20" t="n">
        <v>3371.15</v>
      </c>
      <c r="D4" s="20" t="n">
        <v>3809.3995</v>
      </c>
      <c r="E4" s="20" t="n">
        <v>3371.15</v>
      </c>
      <c r="F4" s="17">
        <f>E4-'3 成本折算'!C19</f>
        <v/>
      </c>
      <c r="G4" s="17">
        <f>'4 价差四口径'!$C$10-E4</f>
        <v/>
      </c>
    </row>
    <row r="5">
      <c r="A5" s="7" t="inlineStr"/>
      <c r="B5" s="13" t="n">
        <v>600</v>
      </c>
      <c r="C5" s="20" t="n">
        <v>4045.38</v>
      </c>
      <c r="D5" s="20" t="n">
        <v>4571.2794</v>
      </c>
      <c r="E5" s="20" t="n">
        <v>4045.38</v>
      </c>
      <c r="F5" s="17">
        <f>E5-'3 成本折算'!C19</f>
        <v/>
      </c>
      <c r="G5" s="17">
        <f>'4 价差四口径'!$C$10-E5</f>
        <v/>
      </c>
    </row>
    <row r="6">
      <c r="A6" s="7" t="inlineStr"/>
      <c r="B6" s="13" t="n">
        <v>650</v>
      </c>
      <c r="C6" s="20" t="n">
        <v>4382.495</v>
      </c>
      <c r="D6" s="20" t="n">
        <v>4952.21935</v>
      </c>
      <c r="E6" s="20" t="n">
        <v>4382.495</v>
      </c>
      <c r="F6" s="17">
        <f>E6-'3 成本折算'!C19</f>
        <v/>
      </c>
      <c r="G6" s="17">
        <f>'4 价差四口径'!$C$10-E6</f>
        <v/>
      </c>
    </row>
    <row r="7">
      <c r="A7" s="7" t="inlineStr"/>
      <c r="B7" s="13" t="n">
        <v>685</v>
      </c>
      <c r="C7" s="20" t="n">
        <v>4618.4755</v>
      </c>
      <c r="D7" s="20" t="n">
        <v>5218.877315</v>
      </c>
      <c r="E7" s="20" t="n">
        <v>4618.4755</v>
      </c>
      <c r="F7" s="17">
        <f>E7-'3 成本折算'!C19</f>
        <v/>
      </c>
      <c r="G7" s="17">
        <f>'4 价差四口径'!$C$10-E7</f>
        <v/>
      </c>
    </row>
    <row r="8">
      <c r="A8" s="7" t="inlineStr"/>
      <c r="B8" s="13" t="n">
        <v>720</v>
      </c>
      <c r="C8" s="20" t="n">
        <v>4854.456</v>
      </c>
      <c r="D8" s="20" t="n">
        <v>5485.53528</v>
      </c>
      <c r="E8" s="20" t="n">
        <v>4854.456</v>
      </c>
      <c r="F8" s="17">
        <f>E8-'3 成本折算'!C19</f>
        <v/>
      </c>
      <c r="G8" s="17">
        <f>'4 价差四口径'!$C$10-E8</f>
        <v/>
      </c>
    </row>
    <row r="9">
      <c r="A9" s="7" t="inlineStr"/>
      <c r="B9" s="13" t="n">
        <v>800</v>
      </c>
      <c r="C9" s="20" t="n">
        <v>5393.84</v>
      </c>
      <c r="D9" s="20" t="n">
        <v>6095.0392</v>
      </c>
      <c r="E9" s="20" t="n">
        <v>5393.84</v>
      </c>
      <c r="F9" s="17">
        <f>E9-'3 成本折算'!C19</f>
        <v/>
      </c>
      <c r="G9" s="17">
        <f>'4 价差四口径'!$C$10-E9</f>
        <v/>
      </c>
    </row>
    <row r="10">
      <c r="A10" s="7" t="inlineStr"/>
      <c r="B10" s="13" t="n">
        <v>900</v>
      </c>
      <c r="C10" s="20" t="n">
        <v>6068.07</v>
      </c>
      <c r="D10" s="20" t="n">
        <v>6856.9191</v>
      </c>
      <c r="E10" s="20" t="n">
        <v>6068.07</v>
      </c>
      <c r="F10" s="17">
        <f>E10-'3 成本折算'!C19</f>
        <v/>
      </c>
      <c r="G10" s="17">
        <f>'4 价差四口径'!$C$10-E10</f>
        <v/>
      </c>
    </row>
    <row r="12">
      <c r="A12" s="3" t="inlineStr">
        <is>
          <t>海运费（USD/t）</t>
        </is>
      </c>
      <c r="B12" s="7" t="inlineStr"/>
      <c r="C12" s="7" t="inlineStr"/>
      <c r="D12" s="7" t="inlineStr"/>
      <c r="E12" s="7" t="inlineStr"/>
      <c r="F12" s="7" t="inlineStr"/>
      <c r="G12" s="7" t="inlineStr"/>
    </row>
    <row r="13">
      <c r="A13" s="7" t="inlineStr"/>
      <c r="B13" s="13" t="n">
        <v>0</v>
      </c>
      <c r="C13" s="20" t="n">
        <v>4618.4755</v>
      </c>
      <c r="D13" s="20" t="n">
        <v>5218.877315</v>
      </c>
      <c r="E13" s="20" t="n">
        <v>4618.4755</v>
      </c>
      <c r="F13" s="17">
        <f>E13-'3 成本折算'!C19</f>
        <v/>
      </c>
      <c r="G13" s="17">
        <f>'4 价差四口径'!$C$10-E13</f>
        <v/>
      </c>
    </row>
    <row r="14">
      <c r="A14" s="7" t="inlineStr"/>
      <c r="B14" s="13" t="n">
        <v>10</v>
      </c>
      <c r="C14" s="20" t="n">
        <v>4618.4755</v>
      </c>
      <c r="D14" s="20" t="n">
        <v>5218.877315</v>
      </c>
      <c r="E14" s="20" t="n">
        <v>4618.4755</v>
      </c>
      <c r="F14" s="17">
        <f>E14-'3 成本折算'!C19</f>
        <v/>
      </c>
      <c r="G14" s="17">
        <f>'4 价差四口径'!$C$10-E14</f>
        <v/>
      </c>
    </row>
    <row r="15">
      <c r="A15" s="7" t="inlineStr"/>
      <c r="B15" s="13" t="n">
        <v>20</v>
      </c>
      <c r="C15" s="20" t="n">
        <v>4618.4755</v>
      </c>
      <c r="D15" s="20" t="n">
        <v>5218.877315</v>
      </c>
      <c r="E15" s="20" t="n">
        <v>4618.4755</v>
      </c>
      <c r="F15" s="17">
        <f>E15-'3 成本折算'!C19</f>
        <v/>
      </c>
      <c r="G15" s="17">
        <f>'4 价差四口径'!$C$10-E15</f>
        <v/>
      </c>
    </row>
    <row r="16">
      <c r="A16" s="7" t="inlineStr"/>
      <c r="B16" s="13" t="n">
        <v>40</v>
      </c>
      <c r="C16" s="20" t="n">
        <v>4618.4755</v>
      </c>
      <c r="D16" s="20" t="n">
        <v>5218.877315</v>
      </c>
      <c r="E16" s="20" t="n">
        <v>4618.4755</v>
      </c>
      <c r="F16" s="17">
        <f>E16-'3 成本折算'!C19</f>
        <v/>
      </c>
      <c r="G16" s="17">
        <f>'4 价差四口径'!$C$10-E16</f>
        <v/>
      </c>
    </row>
    <row r="17">
      <c r="A17" s="7" t="inlineStr"/>
      <c r="B17" s="13" t="n">
        <v>60</v>
      </c>
      <c r="C17" s="20" t="n">
        <v>4618.4755</v>
      </c>
      <c r="D17" s="20" t="n">
        <v>5218.877315</v>
      </c>
      <c r="E17" s="20" t="n">
        <v>4618.4755</v>
      </c>
      <c r="F17" s="17">
        <f>E17-'3 成本折算'!C19</f>
        <v/>
      </c>
      <c r="G17" s="17">
        <f>'4 价差四口径'!$C$10-E17</f>
        <v/>
      </c>
    </row>
    <row r="18">
      <c r="A18" s="7" t="inlineStr"/>
      <c r="B18" s="13" t="n">
        <v>80</v>
      </c>
      <c r="C18" s="20" t="n">
        <v>4618.4755</v>
      </c>
      <c r="D18" s="20" t="n">
        <v>5218.877315</v>
      </c>
      <c r="E18" s="20" t="n">
        <v>4618.4755</v>
      </c>
      <c r="F18" s="17">
        <f>E18-'3 成本折算'!C19</f>
        <v/>
      </c>
      <c r="G18" s="17">
        <f>'4 价差四口径'!$C$10-E18</f>
        <v/>
      </c>
    </row>
    <row r="19">
      <c r="A19" s="7" t="inlineStr"/>
      <c r="B19" s="13" t="n">
        <v>120</v>
      </c>
      <c r="C19" s="20" t="n">
        <v>4618.4755</v>
      </c>
      <c r="D19" s="20" t="n">
        <v>5218.877315</v>
      </c>
      <c r="E19" s="20" t="n">
        <v>4618.4755</v>
      </c>
      <c r="F19" s="17">
        <f>E19-'3 成本折算'!C19</f>
        <v/>
      </c>
      <c r="G19" s="17">
        <f>'4 价差四口径'!$C$10-E19</f>
        <v/>
      </c>
    </row>
    <row r="21">
      <c r="A21" s="3" t="inlineStr">
        <is>
          <t>USD/CNY</t>
        </is>
      </c>
      <c r="B21" s="7" t="inlineStr"/>
      <c r="C21" s="7" t="inlineStr"/>
      <c r="D21" s="7" t="inlineStr"/>
      <c r="E21" s="7" t="inlineStr"/>
      <c r="F21" s="7" t="inlineStr"/>
      <c r="G21" s="7" t="inlineStr"/>
    </row>
    <row r="22">
      <c r="A22" s="7" t="inlineStr"/>
      <c r="B22" s="14" t="n">
        <v>6.3</v>
      </c>
      <c r="C22" s="20" t="n">
        <v>4315.5</v>
      </c>
      <c r="D22" s="20" t="n">
        <v>4876.515</v>
      </c>
      <c r="E22" s="20" t="n">
        <v>4315.5</v>
      </c>
      <c r="F22" s="17">
        <f>E22-'3 成本折算'!C19</f>
        <v/>
      </c>
      <c r="G22" s="17">
        <f>'4 价差四口径'!$C$10-E22</f>
        <v/>
      </c>
    </row>
    <row r="23">
      <c r="A23" s="7" t="inlineStr"/>
      <c r="B23" s="14" t="n">
        <v>6.5</v>
      </c>
      <c r="C23" s="20" t="n">
        <v>4452.5</v>
      </c>
      <c r="D23" s="20" t="n">
        <v>5031.325</v>
      </c>
      <c r="E23" s="20" t="n">
        <v>4452.5</v>
      </c>
      <c r="F23" s="17">
        <f>E23-'3 成本折算'!C19</f>
        <v/>
      </c>
      <c r="G23" s="17">
        <f>'4 价差四口径'!$C$10-E23</f>
        <v/>
      </c>
    </row>
    <row r="24">
      <c r="A24" s="7" t="inlineStr"/>
      <c r="B24" s="14" t="n">
        <v>6.7423</v>
      </c>
      <c r="C24" s="20" t="n">
        <v>4618.4755</v>
      </c>
      <c r="D24" s="20" t="n">
        <v>5218.877315</v>
      </c>
      <c r="E24" s="20" t="n">
        <v>4618.4755</v>
      </c>
      <c r="F24" s="17">
        <f>E24-'3 成本折算'!C19</f>
        <v/>
      </c>
      <c r="G24" s="17">
        <f>'4 价差四口径'!$C$10-E24</f>
        <v/>
      </c>
    </row>
    <row r="25">
      <c r="A25" s="7" t="inlineStr"/>
      <c r="B25" s="14" t="n">
        <v>6.9</v>
      </c>
      <c r="C25" s="20" t="n">
        <v>4726.5</v>
      </c>
      <c r="D25" s="20" t="n">
        <v>5340.945</v>
      </c>
      <c r="E25" s="20" t="n">
        <v>4726.5</v>
      </c>
      <c r="F25" s="17">
        <f>E25-'3 成本折算'!C19</f>
        <v/>
      </c>
      <c r="G25" s="17">
        <f>'4 价差四口径'!$C$10-E25</f>
        <v/>
      </c>
    </row>
    <row r="26">
      <c r="A26" s="7" t="inlineStr"/>
      <c r="B26" s="14" t="n">
        <v>7.1</v>
      </c>
      <c r="C26" s="20" t="n">
        <v>4863.5</v>
      </c>
      <c r="D26" s="20" t="n">
        <v>5495.755</v>
      </c>
      <c r="E26" s="20" t="n">
        <v>4863.5</v>
      </c>
      <c r="F26" s="17">
        <f>E26-'3 成本折算'!C19</f>
        <v/>
      </c>
      <c r="G26" s="17">
        <f>'4 价差四口径'!$C$10-E26</f>
        <v/>
      </c>
    </row>
    <row r="27">
      <c r="A27" s="7" t="inlineStr"/>
      <c r="B27" s="14" t="n">
        <v>7.3</v>
      </c>
      <c r="C27" s="20" t="n">
        <v>5000.5</v>
      </c>
      <c r="D27" s="20" t="n">
        <v>5650.565</v>
      </c>
      <c r="E27" s="20" t="n">
        <v>5000.5</v>
      </c>
      <c r="F27" s="17">
        <f>E27-'3 成本折算'!C19</f>
        <v/>
      </c>
      <c r="G27" s="17">
        <f>'4 价差四口径'!$C$10-E27</f>
        <v/>
      </c>
    </row>
    <row r="28">
      <c r="A28" s="7" t="inlineStr"/>
      <c r="B28" s="14" t="n">
        <v>7.5</v>
      </c>
      <c r="C28" s="20" t="n">
        <v>5137.5</v>
      </c>
      <c r="D28" s="20" t="n">
        <v>5805.375</v>
      </c>
      <c r="E28" s="20" t="n">
        <v>5137.5</v>
      </c>
      <c r="F28" s="17">
        <f>E28-'3 成本折算'!C19</f>
        <v/>
      </c>
      <c r="G28" s="17">
        <f>'4 价差四口径'!$C$10-E28</f>
        <v/>
      </c>
    </row>
    <row r="30">
      <c r="A30" s="3" t="inlineStr">
        <is>
          <t>关税率</t>
        </is>
      </c>
      <c r="B30" s="7" t="inlineStr"/>
      <c r="C30" s="7" t="inlineStr"/>
      <c r="D30" s="7" t="inlineStr"/>
      <c r="E30" s="7" t="inlineStr"/>
      <c r="F30" s="7" t="inlineStr"/>
      <c r="G30" s="7" t="inlineStr"/>
    </row>
    <row r="31">
      <c r="A31" s="7" t="inlineStr"/>
      <c r="B31" s="14" t="n">
        <v>0</v>
      </c>
      <c r="C31" s="20" t="n">
        <v>4618.4755</v>
      </c>
      <c r="D31" s="20" t="n">
        <v>5218.877315</v>
      </c>
      <c r="E31" s="20" t="n">
        <v>4618.4755</v>
      </c>
      <c r="F31" s="17">
        <f>E31-'3 成本折算'!C19</f>
        <v/>
      </c>
      <c r="G31" s="17">
        <f>'4 价差四口径'!$C$10-E31</f>
        <v/>
      </c>
    </row>
    <row r="32">
      <c r="A32" s="7" t="inlineStr"/>
      <c r="B32" s="14" t="n">
        <v>0.02</v>
      </c>
      <c r="C32" s="20" t="n">
        <v>4618.4755</v>
      </c>
      <c r="D32" s="20" t="n">
        <v>5323.254861</v>
      </c>
      <c r="E32" s="20" t="n">
        <v>4710.84501</v>
      </c>
      <c r="F32" s="17">
        <f>E32-'3 成本折算'!C19</f>
        <v/>
      </c>
      <c r="G32" s="17">
        <f>'4 价差四口径'!$C$10-E32</f>
        <v/>
      </c>
    </row>
    <row r="33">
      <c r="A33" s="7" t="inlineStr"/>
      <c r="B33" s="14" t="n">
        <v>0.055</v>
      </c>
      <c r="C33" s="20" t="n">
        <v>4618.4755</v>
      </c>
      <c r="D33" s="20" t="n">
        <v>5505.915567</v>
      </c>
      <c r="E33" s="20" t="n">
        <v>4872.491653</v>
      </c>
      <c r="F33" s="17">
        <f>E33-'3 成本折算'!C19</f>
        <v/>
      </c>
      <c r="G33" s="17">
        <f>'4 价差四口径'!$C$10-E33</f>
        <v/>
      </c>
    </row>
    <row r="34">
      <c r="A34" s="7" t="inlineStr"/>
      <c r="B34" s="14" t="n">
        <v>0.1</v>
      </c>
      <c r="C34" s="20" t="n">
        <v>4618.4755</v>
      </c>
      <c r="D34" s="20" t="n">
        <v>5740.765047</v>
      </c>
      <c r="E34" s="20" t="n">
        <v>5080.32305</v>
      </c>
      <c r="F34" s="17">
        <f>E34-'3 成本折算'!C19</f>
        <v/>
      </c>
      <c r="G34" s="17">
        <f>'4 价差四口径'!$C$10-E34</f>
        <v/>
      </c>
    </row>
    <row r="35">
      <c r="A35" s="7" t="inlineStr"/>
      <c r="B35" s="14" t="n">
        <v>0.2</v>
      </c>
      <c r="C35" s="20" t="n">
        <v>4618.4755</v>
      </c>
      <c r="D35" s="20" t="n">
        <v>6262.652778</v>
      </c>
      <c r="E35" s="20" t="n">
        <v>5542.1706</v>
      </c>
      <c r="F35" s="17">
        <f>E35-'3 成本折算'!C19</f>
        <v/>
      </c>
      <c r="G35" s="17">
        <f>'4 价差四口径'!$C$10-E35</f>
        <v/>
      </c>
    </row>
    <row r="37">
      <c r="A37" s="3" t="inlineStr">
        <is>
          <t>保险费率</t>
        </is>
      </c>
      <c r="B37" s="7" t="inlineStr"/>
      <c r="C37" s="7" t="inlineStr"/>
      <c r="D37" s="7" t="inlineStr"/>
      <c r="E37" s="7" t="inlineStr"/>
      <c r="F37" s="7" t="inlineStr"/>
      <c r="G37" s="7" t="inlineStr"/>
    </row>
    <row r="38">
      <c r="A38" s="7" t="inlineStr"/>
      <c r="B38" s="14" t="n">
        <v>0</v>
      </c>
      <c r="C38" s="20" t="n">
        <v>4618.4755</v>
      </c>
      <c r="D38" s="20" t="n">
        <v>5218.877315</v>
      </c>
      <c r="E38" s="20" t="n">
        <v>4618.4755</v>
      </c>
      <c r="F38" s="17">
        <f>E38-'3 成本折算'!C19</f>
        <v/>
      </c>
      <c r="G38" s="17">
        <f>'4 价差四口径'!$C$10-E38</f>
        <v/>
      </c>
    </row>
    <row r="39">
      <c r="A39" s="7" t="inlineStr"/>
      <c r="B39" s="14" t="n">
        <v>0.001</v>
      </c>
      <c r="C39" s="20" t="n">
        <v>4618.4755</v>
      </c>
      <c r="D39" s="20" t="n">
        <v>5218.877315</v>
      </c>
      <c r="E39" s="20" t="n">
        <v>4618.4755</v>
      </c>
      <c r="F39" s="17">
        <f>E39-'3 成本折算'!C19</f>
        <v/>
      </c>
      <c r="G39" s="17">
        <f>'4 价差四口径'!$C$10-E39</f>
        <v/>
      </c>
    </row>
    <row r="40">
      <c r="A40" s="7" t="inlineStr"/>
      <c r="B40" s="14" t="n">
        <v>0.0015</v>
      </c>
      <c r="C40" s="20" t="n">
        <v>4618.4755</v>
      </c>
      <c r="D40" s="20" t="n">
        <v>5218.877315</v>
      </c>
      <c r="E40" s="20" t="n">
        <v>4618.4755</v>
      </c>
      <c r="F40" s="17">
        <f>E40-'3 成本折算'!C19</f>
        <v/>
      </c>
      <c r="G40" s="17">
        <f>'4 价差四口径'!$C$10-E40</f>
        <v/>
      </c>
    </row>
    <row r="41">
      <c r="A41" s="7" t="inlineStr"/>
      <c r="B41" s="14" t="n">
        <v>0.003</v>
      </c>
      <c r="C41" s="20" t="n">
        <v>4618.4755</v>
      </c>
      <c r="D41" s="20" t="n">
        <v>5218.877315</v>
      </c>
      <c r="E41" s="20" t="n">
        <v>4618.4755</v>
      </c>
      <c r="F41" s="17">
        <f>E41-'3 成本折算'!C19</f>
        <v/>
      </c>
      <c r="G41" s="17">
        <f>'4 价差四口径'!$C$10-E41</f>
        <v/>
      </c>
    </row>
    <row r="42">
      <c r="A42" s="7" t="inlineStr"/>
      <c r="B42" s="14" t="n">
        <v>0.005</v>
      </c>
      <c r="C42" s="20" t="n">
        <v>4618.4755</v>
      </c>
      <c r="D42" s="20" t="n">
        <v>5218.877315</v>
      </c>
      <c r="E42" s="20" t="n">
        <v>4618.4755</v>
      </c>
      <c r="F42" s="17">
        <f>E42-'3 成本折算'!C19</f>
        <v/>
      </c>
      <c r="G42" s="17">
        <f>'4 价差四口径'!$C$10-E42</f>
        <v/>
      </c>
    </row>
    <row r="44">
      <c r="A44" s="3" t="inlineStr">
        <is>
          <t>目的港卸货费（USD/t）</t>
        </is>
      </c>
      <c r="B44" s="7" t="inlineStr"/>
      <c r="C44" s="7" t="inlineStr"/>
      <c r="D44" s="7" t="inlineStr"/>
      <c r="E44" s="7" t="inlineStr"/>
      <c r="F44" s="7" t="inlineStr"/>
      <c r="G44" s="7" t="inlineStr"/>
    </row>
    <row r="45">
      <c r="A45" s="7" t="inlineStr"/>
      <c r="B45" s="13" t="n">
        <v>0</v>
      </c>
      <c r="C45" s="20" t="n">
        <v>4618.4755</v>
      </c>
      <c r="D45" s="20" t="n">
        <v>5218.877315</v>
      </c>
      <c r="E45" s="20" t="n">
        <v>4618.4755</v>
      </c>
      <c r="F45" s="17">
        <f>E45-'3 成本折算'!C19</f>
        <v/>
      </c>
      <c r="G45" s="17">
        <f>'4 价差四口径'!$C$10-E45</f>
        <v/>
      </c>
    </row>
    <row r="46">
      <c r="A46" s="7" t="inlineStr"/>
      <c r="B46" s="13" t="n">
        <v>10</v>
      </c>
      <c r="C46" s="20" t="n">
        <v>4618.4755</v>
      </c>
      <c r="D46" s="20" t="n">
        <v>5295.065305</v>
      </c>
      <c r="E46" s="20" t="n">
        <v>4685.8985</v>
      </c>
      <c r="F46" s="17">
        <f>E46-'3 成本折算'!C19</f>
        <v/>
      </c>
      <c r="G46" s="17">
        <f>'4 价差四口径'!$C$10-E46</f>
        <v/>
      </c>
    </row>
    <row r="47">
      <c r="A47" s="7" t="inlineStr"/>
      <c r="B47" s="13" t="n">
        <v>20</v>
      </c>
      <c r="C47" s="20" t="n">
        <v>4618.4755</v>
      </c>
      <c r="D47" s="20" t="n">
        <v>5371.253295</v>
      </c>
      <c r="E47" s="20" t="n">
        <v>4753.3215</v>
      </c>
      <c r="F47" s="17">
        <f>E47-'3 成本折算'!C19</f>
        <v/>
      </c>
      <c r="G47" s="17">
        <f>'4 价差四口径'!$C$10-E47</f>
        <v/>
      </c>
    </row>
    <row r="48">
      <c r="A48" s="7" t="inlineStr"/>
      <c r="B48" s="13" t="n">
        <v>30</v>
      </c>
      <c r="C48" s="20" t="n">
        <v>4618.4755</v>
      </c>
      <c r="D48" s="20" t="n">
        <v>5447.441285</v>
      </c>
      <c r="E48" s="20" t="n">
        <v>4820.7445</v>
      </c>
      <c r="F48" s="17">
        <f>E48-'3 成本折算'!C19</f>
        <v/>
      </c>
      <c r="G48" s="17">
        <f>'4 价差四口径'!$C$10-E48</f>
        <v/>
      </c>
    </row>
    <row r="50">
      <c r="A50" s="3" t="inlineStr">
        <is>
          <t>可抵扣比例</t>
        </is>
      </c>
      <c r="B50" s="7" t="inlineStr"/>
      <c r="C50" s="7" t="inlineStr"/>
      <c r="D50" s="7" t="inlineStr"/>
      <c r="E50" s="7" t="inlineStr"/>
      <c r="F50" s="7" t="inlineStr"/>
      <c r="G50" s="7" t="inlineStr"/>
    </row>
    <row r="51">
      <c r="A51" s="7" t="inlineStr"/>
      <c r="B51" s="14" t="n">
        <v>0</v>
      </c>
      <c r="C51" s="20" t="n">
        <v>4618.4755</v>
      </c>
      <c r="D51" s="20" t="n">
        <v>5218.877315</v>
      </c>
      <c r="E51" s="20" t="n">
        <v>5218.877315</v>
      </c>
      <c r="F51" s="17">
        <f>E51-'3 成本折算'!C19</f>
        <v/>
      </c>
      <c r="G51" s="17">
        <f>'4 价差四口径'!$C$10-E51</f>
        <v/>
      </c>
    </row>
    <row r="52">
      <c r="A52" s="7" t="inlineStr"/>
      <c r="B52" s="14" t="n">
        <v>0.5</v>
      </c>
      <c r="C52" s="20" t="n">
        <v>4618.4755</v>
      </c>
      <c r="D52" s="20" t="n">
        <v>5218.877315</v>
      </c>
      <c r="E52" s="20" t="n">
        <v>4918.676408</v>
      </c>
      <c r="F52" s="17">
        <f>E52-'3 成本折算'!C19</f>
        <v/>
      </c>
      <c r="G52" s="17">
        <f>'4 价差四口径'!$C$10-E52</f>
        <v/>
      </c>
    </row>
    <row r="53">
      <c r="A53" s="7" t="inlineStr"/>
      <c r="B53" s="14" t="n">
        <v>0.8</v>
      </c>
      <c r="C53" s="20" t="n">
        <v>4618.4755</v>
      </c>
      <c r="D53" s="20" t="n">
        <v>5218.877315</v>
      </c>
      <c r="E53" s="20" t="n">
        <v>4738.555863</v>
      </c>
      <c r="F53" s="17">
        <f>E53-'3 成本折算'!C19</f>
        <v/>
      </c>
      <c r="G53" s="17">
        <f>'4 价差四口径'!$C$10-E53</f>
        <v/>
      </c>
    </row>
    <row r="54">
      <c r="A54" s="7" t="inlineStr"/>
      <c r="B54" s="14" t="n">
        <v>1</v>
      </c>
      <c r="C54" s="20" t="n">
        <v>4618.4755</v>
      </c>
      <c r="D54" s="20" t="n">
        <v>5218.877315</v>
      </c>
      <c r="E54" s="20" t="n">
        <v>4618.4755</v>
      </c>
      <c r="F54" s="17">
        <f>E54-'3 成本折算'!C19</f>
        <v/>
      </c>
      <c r="G54" s="17">
        <f>'4 价差四口径'!$C$10-E54</f>
        <v/>
      </c>
    </row>
    <row r="56">
      <c r="A56" s="3" t="inlineStr">
        <is>
          <t>贸易术语</t>
        </is>
      </c>
      <c r="B56" s="7" t="inlineStr"/>
      <c r="C56" s="7" t="inlineStr"/>
      <c r="D56" s="7" t="inlineStr"/>
      <c r="E56" s="7" t="inlineStr"/>
      <c r="F56" s="7" t="inlineStr"/>
      <c r="G56" s="7" t="inlineStr"/>
    </row>
    <row r="57">
      <c r="A57" s="7" t="inlineStr"/>
      <c r="B57" s="25" t="inlineStr">
        <is>
          <t>EXW</t>
        </is>
      </c>
      <c r="C57" s="20" t="n">
        <v>4618.4755</v>
      </c>
      <c r="D57" s="20" t="n">
        <v>5218.877315</v>
      </c>
      <c r="E57" s="20" t="n">
        <v>4618.4755</v>
      </c>
      <c r="F57" s="17">
        <f>E57-'3 成本折算'!C19</f>
        <v/>
      </c>
      <c r="G57" s="17">
        <f>'4 价差四口径'!$C$10-E57</f>
        <v/>
      </c>
    </row>
    <row r="58">
      <c r="A58" s="7" t="inlineStr"/>
      <c r="B58" s="25" t="inlineStr">
        <is>
          <t>FOB</t>
        </is>
      </c>
      <c r="C58" s="20" t="n">
        <v>4618.4755</v>
      </c>
      <c r="D58" s="20" t="n">
        <v>5218.877315</v>
      </c>
      <c r="E58" s="20" t="n">
        <v>4618.4755</v>
      </c>
      <c r="F58" s="17">
        <f>E58-'3 成本折算'!C19</f>
        <v/>
      </c>
      <c r="G58" s="17">
        <f>'4 价差四口径'!$C$10-E58</f>
        <v/>
      </c>
    </row>
    <row r="59">
      <c r="A59" s="7" t="inlineStr"/>
      <c r="B59" s="25" t="inlineStr">
        <is>
          <t>CFR</t>
        </is>
      </c>
      <c r="C59" s="20" t="n">
        <v>4618.4755</v>
      </c>
      <c r="D59" s="20" t="n">
        <v>5218.877315</v>
      </c>
      <c r="E59" s="20" t="n">
        <v>4618.4755</v>
      </c>
      <c r="F59" s="17">
        <f>E59-'3 成本折算'!C19</f>
        <v/>
      </c>
      <c r="G59" s="17">
        <f>'4 价差四口径'!$C$10-E59</f>
        <v/>
      </c>
    </row>
    <row r="60">
      <c r="A60" s="7" t="inlineStr"/>
      <c r="B60" s="25" t="inlineStr">
        <is>
          <t>CIF</t>
        </is>
      </c>
      <c r="C60" s="20" t="n">
        <v>4618.4755</v>
      </c>
      <c r="D60" s="20" t="n">
        <v>5218.877315</v>
      </c>
      <c r="E60" s="20" t="n">
        <v>4618.4755</v>
      </c>
      <c r="F60" s="17">
        <f>E60-'3 成本折算'!C19</f>
        <v/>
      </c>
      <c r="G60" s="17">
        <f>'4 价差四口径'!$C$10-E60</f>
        <v/>
      </c>
    </row>
    <row r="61">
      <c r="A61" s="7" t="inlineStr"/>
      <c r="B61" s="25" t="inlineStr">
        <is>
          <t>DAP</t>
        </is>
      </c>
      <c r="C61" s="20" t="n">
        <v>4618.4755</v>
      </c>
      <c r="D61" s="20" t="n">
        <v>5218.877315</v>
      </c>
      <c r="E61" s="20" t="n">
        <v>4618.4755</v>
      </c>
      <c r="F61" s="17">
        <f>E61-'3 成本折算'!C19</f>
        <v/>
      </c>
      <c r="G61" s="17">
        <f>'4 价差四口径'!$C$10-E61</f>
        <v/>
      </c>
    </row>
    <row r="64" ht="26" customHeight="1">
      <c r="A64" s="1" t="inlineStr">
        <is>
          <t>二维矩阵：海运费 × 汇率（单元格 = G3 经济口径价差，元/吨）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30" customHeight="1">
      <c r="A65" s="6" t="inlineStr">
        <is>
          <t>运费 ＼ 汇率</t>
        </is>
      </c>
      <c r="B65" s="26" t="n">
        <v>6.4</v>
      </c>
      <c r="C65" s="26" t="n">
        <v>6.55</v>
      </c>
      <c r="D65" s="26" t="n">
        <v>6.7423</v>
      </c>
      <c r="E65" s="26" t="n">
        <v>6.9</v>
      </c>
      <c r="F65" s="26" t="n">
        <v>7.05</v>
      </c>
    </row>
    <row r="66">
      <c r="A66" s="3" t="inlineStr">
        <is>
          <t>0 USD/吨</t>
        </is>
      </c>
      <c r="B66" s="27" t="n">
        <v>732.67</v>
      </c>
      <c r="C66" s="27" t="n">
        <v>629.92</v>
      </c>
      <c r="D66" s="27" t="n">
        <v>498.1945</v>
      </c>
      <c r="E66" s="27" t="n">
        <v>390.17</v>
      </c>
      <c r="F66" s="27" t="n">
        <v>287.42</v>
      </c>
    </row>
    <row r="67">
      <c r="A67" s="3" t="inlineStr">
        <is>
          <t>20 USD/吨</t>
        </is>
      </c>
      <c r="B67" s="27" t="n">
        <v>732.67</v>
      </c>
      <c r="C67" s="27" t="n">
        <v>629.92</v>
      </c>
      <c r="D67" s="27" t="n">
        <v>498.1945</v>
      </c>
      <c r="E67" s="27" t="n">
        <v>390.17</v>
      </c>
      <c r="F67" s="27" t="n">
        <v>287.42</v>
      </c>
    </row>
    <row r="68">
      <c r="A68" s="3" t="inlineStr">
        <is>
          <t>40 USD/吨</t>
        </is>
      </c>
      <c r="B68" s="27" t="n">
        <v>732.67</v>
      </c>
      <c r="C68" s="27" t="n">
        <v>629.92</v>
      </c>
      <c r="D68" s="27" t="n">
        <v>498.1945</v>
      </c>
      <c r="E68" s="27" t="n">
        <v>390.17</v>
      </c>
      <c r="F68" s="27" t="n">
        <v>287.42</v>
      </c>
    </row>
    <row r="69">
      <c r="A69" s="3" t="inlineStr">
        <is>
          <t>60 USD/吨</t>
        </is>
      </c>
      <c r="B69" s="27" t="n">
        <v>732.67</v>
      </c>
      <c r="C69" s="27" t="n">
        <v>629.92</v>
      </c>
      <c r="D69" s="27" t="n">
        <v>498.1945</v>
      </c>
      <c r="E69" s="27" t="n">
        <v>390.17</v>
      </c>
      <c r="F69" s="27" t="n">
        <v>287.42</v>
      </c>
    </row>
    <row r="70">
      <c r="A70" s="3" t="inlineStr">
        <is>
          <t>80 USD/吨</t>
        </is>
      </c>
      <c r="B70" s="27" t="n">
        <v>732.67</v>
      </c>
      <c r="C70" s="27" t="n">
        <v>629.92</v>
      </c>
      <c r="D70" s="27" t="n">
        <v>498.1945</v>
      </c>
      <c r="E70" s="27" t="n">
        <v>390.17</v>
      </c>
      <c r="F70" s="27" t="n">
        <v>287.42</v>
      </c>
    </row>
    <row r="72">
      <c r="A72" s="16" t="inlineStr">
        <is>
          <t>说明：矩阵值为按 Python 内核复算的基准结果（同一 data.json），可在「3 成本折算」按同参数手算复核。</t>
        </is>
      </c>
    </row>
  </sheetData>
  <mergeCells count="1">
    <mergeCell ref="A72:F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45309"/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60" customWidth="1" min="4" max="4"/>
  </cols>
  <sheetData>
    <row r="1" ht="26" customHeight="1">
      <c r="A1" s="1" t="inlineStr">
        <is>
          <t>归因分解：2025-12-09 → 2026-08-18（逐项一次替换，单位 元/吨；正 = 该项使价差变大）</t>
        </is>
      </c>
      <c r="B1" s="2" t="n"/>
      <c r="C1" s="2" t="n"/>
      <c r="D1" s="2" t="n"/>
    </row>
    <row r="2" ht="30" customHeight="1">
      <c r="A2" s="6" t="inlineStr">
        <is>
          <t>驱动因子</t>
        </is>
      </c>
      <c r="B2" s="6" t="inlineStr">
        <is>
          <t>变化描述</t>
        </is>
      </c>
      <c r="C2" s="6" t="inlineStr">
        <is>
          <t>对价差贡献</t>
        </is>
      </c>
      <c r="D2" s="6" t="inlineStr">
        <is>
          <t>读法</t>
        </is>
      </c>
    </row>
    <row r="3">
      <c r="A3" s="3" t="inlineStr">
        <is>
          <t>海外报价（美元）</t>
        </is>
      </c>
      <c r="B3" s="7" t="inlineStr">
        <is>
          <t>436.0 → 685.0 USD/t</t>
        </is>
      </c>
      <c r="C3" s="20" t="n">
        <v>-1759.0107</v>
      </c>
      <c r="D3" s="8" t="inlineStr">
        <is>
          <t>价差因该项上升而收窄</t>
        </is>
      </c>
    </row>
    <row r="4">
      <c r="A4" s="3" t="inlineStr">
        <is>
          <t>汇率 USD/CNY</t>
        </is>
      </c>
      <c r="B4" s="7" t="inlineStr">
        <is>
          <t>7.0643 → 6.7423</t>
        </is>
      </c>
      <c r="C4" s="20" t="n">
        <v>220.57</v>
      </c>
      <c r="D4" s="8" t="inlineStr">
        <is>
          <t>价差因该项上升而扩大</t>
        </is>
      </c>
    </row>
    <row r="5">
      <c r="A5" s="3" t="inlineStr">
        <is>
          <t>海运费 USD/t</t>
        </is>
      </c>
      <c r="B5" s="7" t="inlineStr">
        <is>
          <t>0.0 → 0.0（assumed_base）</t>
        </is>
      </c>
      <c r="C5" s="20" t="n">
        <v>0</v>
      </c>
      <c r="D5" s="8" t="inlineStr">
        <is>
          <t>价差因该项上升而收窄</t>
        </is>
      </c>
    </row>
    <row r="6">
      <c r="A6" s="3" t="inlineStr">
        <is>
          <t>关税/其他税率</t>
        </is>
      </c>
      <c r="B6" s="7" t="inlineStr">
        <is>
          <t>0.0 → 0.0</t>
        </is>
      </c>
      <c r="C6" s="20" t="n">
        <v>0</v>
      </c>
      <c r="D6" s="8" t="inlineStr">
        <is>
          <t>价差因该项上升而收窄</t>
        </is>
      </c>
    </row>
    <row r="7">
      <c r="A7" s="3" t="inlineStr">
        <is>
          <t>增值税可抵扣比例</t>
        </is>
      </c>
      <c r="B7" s="7" t="inlineStr">
        <is>
          <t>1.0 → 1.0</t>
        </is>
      </c>
      <c r="C7" s="20" t="n">
        <v>0</v>
      </c>
      <c r="D7" s="8" t="inlineStr">
        <is>
          <t>价差因该项上升而收窄</t>
        </is>
      </c>
    </row>
    <row r="8">
      <c r="A8" s="3" t="inlineStr">
        <is>
          <t>保险费率</t>
        </is>
      </c>
      <c r="B8" s="7" t="inlineStr">
        <is>
          <t>0.0 → 0.0</t>
        </is>
      </c>
      <c r="C8" s="20" t="n">
        <v>0</v>
      </c>
      <c r="D8" s="8" t="inlineStr">
        <is>
          <t>价差因该项上升而收窄</t>
        </is>
      </c>
    </row>
    <row r="9">
      <c r="A9" s="3" t="inlineStr">
        <is>
          <t>国内现货价</t>
        </is>
      </c>
      <c r="B9" s="7" t="inlineStr">
        <is>
          <t>3970.0 → 5116.67 CNY/t</t>
        </is>
      </c>
      <c r="C9" s="20" t="n">
        <v>1146.67</v>
      </c>
      <c r="D9" s="8" t="inlineStr">
        <is>
          <t>价差因该项上升而扩大</t>
        </is>
      </c>
    </row>
    <row r="10">
      <c r="A10" s="3" t="inlineStr">
        <is>
          <t>合计</t>
        </is>
      </c>
      <c r="B10" s="7" t="inlineStr">
        <is>
          <t>889.97 → 498.19</t>
        </is>
      </c>
      <c r="C10" s="19">
        <f>SUM(C5:C9)</f>
        <v/>
      </c>
      <c r="D10" s="8" t="inlineStr">
        <is>
          <t>与 Python 内核结果对照：-391.77</t>
        </is>
      </c>
    </row>
    <row r="12">
      <c r="A12" s="3" t="inlineStr">
        <is>
          <t>闭合残差（应 &lt;1e-6）</t>
        </is>
      </c>
      <c r="C12" s="28" t="n">
        <v>0</v>
      </c>
    </row>
    <row r="13">
      <c r="A13" s="3" t="inlineStr">
        <is>
          <t>对比期输入</t>
        </is>
      </c>
      <c r="B13" s="7" t="inlineStr">
        <is>
          <t>报价 436 USD / 汇率 7.06 / 国内 3,970 元 / 运费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B3FA0"/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</cols>
  <sheetData>
    <row r="1" ht="26" customHeight="1">
      <c r="A1" s="1" t="inlineStr">
        <is>
          <t>情景对比：换术语 / 加费用 / 改税率后，成本与价差如何变化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6" t="inlineStr">
        <is>
          <t>情景</t>
        </is>
      </c>
      <c r="B2" s="6" t="inlineStr">
        <is>
          <t>说明</t>
        </is>
      </c>
      <c r="C2" s="6" t="inlineStr">
        <is>
          <t>CIF</t>
        </is>
      </c>
      <c r="D2" s="6" t="inlineStr">
        <is>
          <t>含税到岸</t>
        </is>
      </c>
      <c r="E2" s="6" t="inlineStr">
        <is>
          <t>经济成本</t>
        </is>
      </c>
      <c r="F2" s="6" t="inlineStr">
        <is>
          <t>相对基准变化</t>
        </is>
      </c>
      <c r="G2" s="6" t="inlineStr">
        <is>
          <t>G3 价差</t>
        </is>
      </c>
    </row>
    <row r="3">
      <c r="A3" s="3" t="inlineStr">
        <is>
          <t>口径 A：报价原样（CIF 中国）</t>
        </is>
      </c>
      <c r="B3" s="4" t="inlineStr">
        <is>
          <t>完全按卖方口径，不追加任何费用；只计关税与增值税</t>
        </is>
      </c>
      <c r="C3" s="20" t="n">
        <v>4618.4755</v>
      </c>
      <c r="D3" s="20" t="n">
        <v>5218.877315</v>
      </c>
      <c r="E3" s="20" t="n">
        <v>4618.4755</v>
      </c>
      <c r="F3" s="20" t="n">
        <v>0</v>
      </c>
      <c r="G3" s="20" t="n">
        <v>498.1945</v>
      </c>
    </row>
    <row r="4">
      <c r="A4" s="3" t="inlineStr">
        <is>
          <t>口径 B：CIF 补卸货/港杂 20 USD/t</t>
        </is>
      </c>
      <c r="B4" s="4" t="inlineStr">
        <is>
          <t>CIF 通常不含目的港卸货费，按假设值补入以观察影响</t>
        </is>
      </c>
      <c r="C4" s="20" t="n">
        <v>4618.4755</v>
      </c>
      <c r="D4" s="20" t="n">
        <v>5371.253295</v>
      </c>
      <c r="E4" s="20" t="n">
        <v>4753.3215</v>
      </c>
      <c r="F4" s="20" t="n">
        <v>134.846</v>
      </c>
      <c r="G4" s="20" t="n">
        <v>363.3485</v>
      </c>
    </row>
    <row r="5">
      <c r="A5" s="3" t="inlineStr">
        <is>
          <t>口径 C：视作 FOB，自付海运 40 USD/t</t>
        </is>
      </c>
      <c r="B5" s="4" t="inlineStr">
        <is>
          <t>对照组：若拿到的是 FOB 价而非到岸价，成本抬高多少</t>
        </is>
      </c>
      <c r="C5" s="20" t="n">
        <v>4896.232976</v>
      </c>
      <c r="D5" s="20" t="n">
        <v>5532.743263</v>
      </c>
      <c r="E5" s="20" t="n">
        <v>4896.232976</v>
      </c>
      <c r="F5" s="20" t="n">
        <v>277.757476</v>
      </c>
      <c r="G5" s="20" t="n">
        <v>220.437024</v>
      </c>
    </row>
    <row r="6">
      <c r="A6" s="3" t="inlineStr">
        <is>
          <t>口径 D：可抵扣比例降为 80%</t>
        </is>
      </c>
      <c r="B6" s="4" t="inlineStr">
        <is>
          <t>部分进项税无法及时抵扣的折价情形</t>
        </is>
      </c>
      <c r="C6" s="20" t="n">
        <v>4618.4755</v>
      </c>
      <c r="D6" s="20" t="n">
        <v>5218.877315</v>
      </c>
      <c r="E6" s="20" t="n">
        <v>4738.555863</v>
      </c>
      <c r="F6" s="20" t="n">
        <v>120.080363</v>
      </c>
      <c r="G6" s="20" t="n">
        <v>378.114137</v>
      </c>
    </row>
    <row r="7">
      <c r="A7" s="3" t="inlineStr">
        <is>
          <t>口径 E：按最惠国税率 5.5% 计关税</t>
        </is>
      </c>
      <c r="B7" s="4" t="inlineStr">
        <is>
          <t>对照组：若适用税率不是 0，成本抬升多少</t>
        </is>
      </c>
      <c r="C7" s="20" t="n">
        <v>4618.4755</v>
      </c>
      <c r="D7" s="20" t="n">
        <v>5505.915567</v>
      </c>
      <c r="E7" s="20" t="n">
        <v>4872.491653</v>
      </c>
      <c r="F7" s="20" t="n">
        <v>254.016153</v>
      </c>
      <c r="G7" s="20" t="n">
        <v>244.178347</v>
      </c>
    </row>
    <row r="9">
      <c r="A9" s="16" t="inlineStr">
        <is>
          <t>注：情景值由同一内核按 override 参数复算；口径 C（FOB+40 USD/t 运费）仅为对照，不代表真实运价。</t>
        </is>
      </c>
    </row>
  </sheetData>
  <mergeCells count="1">
    <mergeCell ref="A9:G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45309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52" customWidth="1" min="3" max="3"/>
    <col width="40" customWidth="1" min="4" max="4"/>
    <col width="10" customWidth="1" min="5" max="5"/>
  </cols>
  <sheetData>
    <row r="1" ht="26" customHeight="1">
      <c r="A1" s="1" t="inlineStr">
        <is>
          <t>数据缺口：这次结论哪里还不牢（按严重度处理，不是免责声明）</t>
        </is>
      </c>
      <c r="B1" s="2" t="n"/>
      <c r="C1" s="2" t="n"/>
      <c r="D1" s="2" t="n"/>
      <c r="E1" s="2" t="n"/>
    </row>
    <row r="2" ht="30" customHeight="1">
      <c r="A2" s="6" t="inlineStr">
        <is>
          <t>#</t>
        </is>
      </c>
      <c r="B2" s="6" t="inlineStr">
        <is>
          <t>缺口</t>
        </is>
      </c>
      <c r="C2" s="6" t="inlineStr">
        <is>
          <t>对结论的影响</t>
        </is>
      </c>
      <c r="D2" s="6" t="inlineStr">
        <is>
          <t>补齐办法</t>
        </is>
      </c>
      <c r="E2" s="6" t="inlineStr">
        <is>
          <t>严重度</t>
        </is>
      </c>
    </row>
    <row r="3" ht="56" customHeight="1">
      <c r="A3" s="12" t="n">
        <v>1</v>
      </c>
      <c r="B3" s="4" t="inlineStr">
        <is>
          <t>乙二醇最惠国进口税率 5.5%，但实际执行是否为暂定税率 0%，未取得现行税则原文</t>
        </is>
      </c>
      <c r="C3" s="4" t="inlineStr">
        <is>
          <t>若按 5.5% 计征，到岸成本上升约 (CIF+卸货)×5.5% ≈ 250 元/吨（按 CIF 4618 估），足以改变 G2/G3 的符号。本报告默认 0%，因此所有国内更强的结论都建立在该前提上。</t>
        </is>
      </c>
      <c r="D3" s="4" t="inlineStr">
        <is>
          <t>查海关总署《进出口税则》当年版 2905.31 条目与年度暂定税率表，或向报关行索取实际执行税率留档。</t>
        </is>
      </c>
      <c r="E3" s="29" t="inlineStr">
        <is>
          <t>高</t>
        </is>
      </c>
    </row>
    <row r="4" ht="42" customHeight="1">
      <c r="A4" s="12" t="n">
        <v>2</v>
      </c>
      <c r="B4" s="4" t="inlineStr">
        <is>
          <t>海外报价只有中国到岸价一个数，未拆分 CFR 与保险，也未披露产地、船期、装运港与供货商</t>
        </is>
      </c>
      <c r="C4" s="4" t="inlineStr">
        <is>
          <t>无法核对报价是否真含保险（若实为 CFR，本模型少计约 7 元/吨保险费，可忽略）；也无法判断该报价对应哪条产线、是否含地缘因素下的绕行附加。</t>
        </is>
      </c>
      <c r="D4" s="4" t="inlineStr">
        <is>
          <t>取得隆众/CCF/Platts 的 MEG 中国 CFR 日报或船货报盘，逐笔记录产地、装运期、付款方式。</t>
        </is>
      </c>
      <c r="E4" s="29" t="inlineStr">
        <is>
          <t>中</t>
        </is>
      </c>
    </row>
    <row r="5" ht="56" customHeight="1">
      <c r="A5" s="12" t="n">
        <v>3</v>
      </c>
      <c r="B5" s="4" t="inlineStr">
        <is>
          <t>逐周或逐月散化船运价指数、中东至华东实际运价未取得</t>
        </is>
      </c>
      <c r="C5" s="4" t="inlineStr">
        <is>
          <t>本品种报价为到岸价、运费已含，故对当前四层成本无直接影响；但若改用 FOB 口径（口径 C 情景），运费 40 USD/t 只是假设值，误差 ±20 USD/t 会让成本变动约 ±135 元/吨。</t>
        </is>
      </c>
      <c r="D5" s="4" t="inlineStr">
        <is>
          <t>接入上海航交所或波罗的海交易所相关航线运价，或按船司季度报盘留档；模型中运费须标注为假设而非实测。</t>
        </is>
      </c>
      <c r="E5" s="29" t="inlineStr">
        <is>
          <t>中</t>
        </is>
      </c>
    </row>
    <row r="6" ht="30" customHeight="1">
      <c r="A6" s="12" t="n">
        <v>4</v>
      </c>
      <c r="B6" s="4" t="inlineStr">
        <is>
          <t>目的港卸货费（THC、港建费、罐租与短驳）没有公开报价</t>
        </is>
      </c>
      <c r="C6" s="4" t="inlineStr">
        <is>
          <t>按 0 计入，成本可能低估约 10~30 USD/t（约 70~200 元/吨），足以吞掉当前价差的一半。</t>
        </is>
      </c>
      <c r="D6" s="4" t="inlineStr">
        <is>
          <t>向张家港/太仓码头或货代索取 MEG 散水接卸、罐租、短驳报价单。</t>
        </is>
      </c>
      <c r="E6" s="29" t="inlineStr">
        <is>
          <t>高</t>
        </is>
      </c>
    </row>
    <row r="7" ht="30" customHeight="1">
      <c r="A7" s="12" t="n">
        <v>5</v>
      </c>
      <c r="B7" s="4" t="inlineStr">
        <is>
          <t>增值税抵扣的实际实现程度未核实（模型默认 100% 可抵扣）</t>
        </is>
      </c>
      <c r="C7" s="4" t="inlineStr">
        <is>
          <t>若实际只能抵扣 80%，经济成本上升约 120 元/吨（口径 D 已量化）。</t>
        </is>
      </c>
      <c r="D7" s="4" t="inlineStr">
        <is>
          <t>按报关主体（一般纳税人/小规模）与实际留抵情况确认；有留抵挂账时应改用现金口径 G2。</t>
        </is>
      </c>
      <c r="E7" s="29" t="inlineStr">
        <is>
          <t>中</t>
        </is>
      </c>
    </row>
    <row r="8" ht="42" customHeight="1">
      <c r="A8" s="12" t="n">
        <v>6</v>
      </c>
      <c r="B8" s="4" t="inlineStr">
        <is>
          <t>基准时点为 2026-08-18，距生成日 2026-10-20 已两个月，期间国内价由 5116.67 涨至 5808.33</t>
        </is>
      </c>
      <c r="C8" s="4" t="inlineStr">
        <is>
          <t>基准时点的结论不能直接当作今天的窗口；当期国内价上行约 691 元/吨，若海外报价未同步上行，价差会明显扩大。</t>
        </is>
      </c>
      <c r="D8" s="4" t="inlineStr">
        <is>
          <t>补齐 2026-09-01 之后的海外 CFR 公开报价（本报告检索范围内最后一条为 2026-08-18），即可把曲线延伸到当日。</t>
        </is>
      </c>
      <c r="E8" s="29" t="inlineStr">
        <is>
          <t>高</t>
        </is>
      </c>
    </row>
    <row r="9" ht="30" customHeight="1">
      <c r="A9" s="12" t="n">
        <v>7</v>
      </c>
      <c r="B9" s="4" t="inlineStr">
        <is>
          <t>海外报价为离散发布（27 个点，平均间隔约 13 天），不是连续日行情</t>
        </is>
      </c>
      <c r="C9" s="4" t="inlineStr">
        <is>
          <t>曲线只能读作观测到的价差水平，不能读作逐日路径；极值与转折日可能落在两次发布之间。</t>
        </is>
      </c>
      <c r="D9" s="4" t="inlineStr">
        <is>
          <t>改用日频 CFR 中间价序列（付费源），或按周固定日期采样。</t>
        </is>
      </c>
      <c r="E9" s="29" t="inlineStr">
        <is>
          <t>中</t>
        </is>
      </c>
    </row>
    <row r="10" ht="42" customHeight="1">
      <c r="A10" s="12" t="n">
        <v>8</v>
      </c>
      <c r="B10" s="4" t="inlineStr">
        <is>
          <t>国内价采用生意社基准价（采样加权参考价），与隆众张家港买卖盘、期货结算价存在系统性差异</t>
        </is>
      </c>
      <c r="C10" s="4" t="inlineStr">
        <is>
          <t>2026-10-19：生意社 5966.67、隆众张家港买盘 5630/卖盘 5640、EG0 收盘 4976，最大相差约 990 元/吨。基准价偏高会高估价差。</t>
        </is>
      </c>
      <c r="D10" s="4" t="inlineStr">
        <is>
          <t>固定使用单一权威口径并在首页声明；建议以隆众张家港 15:00 收盘买卖中值为准，生意社基准价作参照。</t>
        </is>
      </c>
      <c r="E10" s="29" t="inlineStr">
        <is>
          <t>高</t>
        </is>
      </c>
    </row>
    <row r="11" ht="30" customHeight="1">
      <c r="A11" s="12" t="n">
        <v>9</v>
      </c>
      <c r="B11" s="4" t="inlineStr">
        <is>
          <t>规格与品质升贴水未量化（进口聚酯级 vs 国内煤制聚酯级，纯度与水含量差异）</t>
        </is>
      </c>
      <c r="C11" s="4" t="inlineStr">
        <is>
          <t>同为聚酯级，煤制与乙烯法在 UV 透过率、色度上有差异，下游结算价可差 50~150 元/吨。</t>
        </is>
      </c>
      <c r="D11" s="4" t="inlineStr">
        <is>
          <t>取得两家以上下游聚酯厂的到货验收标准与结算价，量化升贴水。</t>
        </is>
      </c>
      <c r="E11" s="29" t="inlineStr">
        <is>
          <t>低</t>
        </is>
      </c>
    </row>
    <row r="12" ht="30" customHeight="1">
      <c r="A12" s="12" t="n">
        <v>10</v>
      </c>
      <c r="B12" s="4" t="inlineStr">
        <is>
          <t>历史运费没有逐时点的实际值，全部按月度均价或基准日假设处理</t>
        </is>
      </c>
      <c r="C12" s="4" t="inlineStr">
        <is>
          <t>价差曲线中的成本部分含假设误差，方向可由运费假设解释</t>
        </is>
      </c>
      <c r="D12" s="4" t="inlineStr">
        <is>
          <t>接入逐周运价指数（SCFI 相关航线 / 波罗的海指数 / 船司报价）</t>
        </is>
      </c>
      <c r="E12" s="29" t="inlineStr">
        <is>
          <t>高</t>
        </is>
      </c>
    </row>
    <row r="14" ht="26" customHeight="1">
      <c r="A14" s="1" t="inlineStr">
        <is>
          <t>数据来源：每个数字都带六要素（数值·规格·地区·含税·日期·来源）</t>
        </is>
      </c>
      <c r="B14" s="2" t="n"/>
      <c r="C14" s="2" t="n"/>
      <c r="D14" s="2" t="n"/>
      <c r="E14" s="2" t="n"/>
    </row>
    <row r="15" ht="30" customHeight="1">
      <c r="A15" s="6" t="inlineStr">
        <is>
          <t>#</t>
        </is>
      </c>
      <c r="B15" s="6" t="inlineStr">
        <is>
          <t>角色 / 名称</t>
        </is>
      </c>
      <c r="C15" s="6" t="inlineStr">
        <is>
          <t>说明与备注</t>
        </is>
      </c>
      <c r="D15" s="6" t="inlineStr">
        <is>
          <t>链接</t>
        </is>
      </c>
      <c r="E15" s="6" t="inlineStr">
        <is>
          <t>可信度</t>
        </is>
      </c>
    </row>
    <row r="16" ht="28" customHeight="1">
      <c r="A16" s="12" t="n">
        <v>1</v>
      </c>
      <c r="B16" s="4" t="inlineStr">
        <is>
          <t>overseas · 生意社《外盘乙二醇价格一览》系列（二手引用，转述外盘报价）</t>
        </is>
      </c>
      <c r="C16" s="4" t="inlineStr">
        <is>
          <t>2025-09-04 ~ 2026-08-18｜原文表述为中国到岸价为 N 美元/吨，本报告按 CIF 口径处理；未披露产地、船期与供货商。</t>
        </is>
      </c>
      <c r="D16" s="30" t="inlineStr">
        <is>
          <t>https://www.100ppi.com/news/detail-20260819-6095157.html
https://www.100ppi.com/news/detail-20250905-4735672.html
https://www.100ppi.com/news/detail-20250910-4754833.html</t>
        </is>
      </c>
      <c r="E16" s="29" t="inlineStr">
        <is>
          <t>中</t>
        </is>
      </c>
    </row>
    <row r="17" ht="28" customHeight="1">
      <c r="A17" s="12" t="n">
        <v>2</v>
      </c>
      <c r="B17" s="4" t="inlineStr">
        <is>
          <t>domestic · 生意社乙二醇基准价（每日 08:30 发布，经销商/厂采样）</t>
        </is>
      </c>
      <c r="C17" s="4" t="inlineStr">
        <is>
          <t>2025-04-28 ~ 2026-10-20（本次采集 388 个日值）｜基准价为采样加权含税参考价，不是交易所结算价，也不是某一家贸易商的成交价。</t>
        </is>
      </c>
      <c r="D17" s="30" t="inlineStr">
        <is>
          <t>https://www.100ppi.com/news/detail-20260818-6083083.html
https://www.100ppi.com/news/detail-20261020-6368369.html</t>
        </is>
      </c>
      <c r="E17" s="29" t="inlineStr">
        <is>
          <t>中</t>
        </is>
      </c>
    </row>
    <row r="18" ht="28" customHeight="1">
      <c r="A18" s="12" t="n">
        <v>3</v>
      </c>
      <c r="B18" s="4" t="inlineStr">
        <is>
          <t>fx · Frankfurter API / 欧洲央行 ECB 每日参考汇率</t>
        </is>
      </c>
      <c r="C18" s="4" t="inlineStr">
        <is>
          <t>2025-09-01 ~ 2026-10-19（290 个工作日）｜ECB 参考汇率非银行间即期成交价，通常存在 &lt;0.5% 偏差。</t>
        </is>
      </c>
      <c r="D18" s="30" t="inlineStr">
        <is>
          <t>https://api.frankfurter.app/2024-10-01..2026-10-20?from=USD&amp;to=CNY</t>
        </is>
      </c>
      <c r="E18" s="29" t="inlineStr">
        <is>
          <t>高</t>
        </is>
      </c>
    </row>
    <row r="19" ht="39" customHeight="1">
      <c r="A19" s="12" t="n">
        <v>4</v>
      </c>
      <c r="B19" s="4" t="inlineStr">
        <is>
          <t>tax · 海关 HS 编码查询（2905310000 1,2-乙二醇）</t>
        </is>
      </c>
      <c r="C19" s="4" t="inlineStr">
        <is>
          <t>2026-10-20 查询｜页面载明最惠国进口税率 5.5%、普通税率 30%、消费税 0%、增值税 13%、出口退税 13%。本模型采用 0% 关税（见缺口第 1 条）、13% 增值税。</t>
        </is>
      </c>
      <c r="D19" s="30" t="inlineStr">
        <is>
          <t>https://www.i5a6.com/hscode/detail/2905310000</t>
        </is>
      </c>
      <c r="E19" s="29" t="inlineStr">
        <is>
          <t>中</t>
        </is>
      </c>
    </row>
    <row r="20" ht="39" customHeight="1">
      <c r="A20" s="12" t="n">
        <v>5</v>
      </c>
      <c r="B20" s="4" t="inlineStr">
        <is>
          <t>cross · 期货日线 EG0 主连（新浪财经）</t>
        </is>
      </c>
      <c r="C20" s="4" t="inlineStr">
        <is>
          <t>2025-09-01 ~ 2026-10-20｜仅作交叉验证：2026-10-19 EG0 收盘 4976，同期生意社国内价 5966.67、隆众张家港买盘 5630/卖盘 5640，三者关系可用于校验国内价口径的合理性。</t>
        </is>
      </c>
      <c r="D20" s="30" t="inlineStr">
        <is>
          <t>https://stock2.finance.sina.com.cn/futures/api/jsonp.php/var%20_x=/InnerFuturesNewService.getDailyKLine?symbol=EG0</t>
        </is>
      </c>
      <c r="E20" s="29" t="inlineStr">
        <is>
          <t>高</t>
        </is>
      </c>
    </row>
    <row r="21" ht="28" customHeight="1">
      <c r="A21" s="12" t="n">
        <v>6</v>
      </c>
      <c r="B21" s="4" t="inlineStr">
        <is>
          <t>cross · 隆众资讯张家港乙二醇市场行情（经同花顺/我的钢铁网转述）</t>
        </is>
      </c>
      <c r="C21" s="4" t="inlineStr">
        <is>
          <t>2026-10-19 09:28｜原文：本周买盘 5630、卖盘 5640，现货基差 11+400 至 410（元/吨）。作为国内价的独立交叉验证。</t>
        </is>
      </c>
      <c r="D21" s="30" t="inlineStr">
        <is>
          <t>http://news.10jqka.com.cn/20261019/c680817512.shtml</t>
        </is>
      </c>
      <c r="E21" s="29" t="inlineStr">
        <is>
          <t>中</t>
        </is>
      </c>
    </row>
    <row r="22" ht="28" customHeight="1">
      <c r="A22" s="12" t="n">
        <v>7</v>
      </c>
      <c r="B22" s="4" t="inlineStr">
        <is>
          <t>cross · 生意社：山西潞安化工聚酯级乙二醇起拍价（含税出厂、现汇）</t>
        </is>
      </c>
      <c r="C22" s="4" t="inlineStr">
        <is>
          <t>2026-10-19 / 2026-10-20｜10-19 起拍价 5580 元/吨（现汇，承兑加 50），10-20 起拍价 5550 元/吨；用于判断内地出厂价与港口价的关系。</t>
        </is>
      </c>
      <c r="D22" s="30" t="inlineStr">
        <is>
          <t>https://www.100ppi.com/news/detail-20261019-6367811.html
https://www.100ppi.com/news/detail-20261020-6368784.html</t>
        </is>
      </c>
      <c r="E22" s="29" t="inlineStr">
        <is>
          <t>高</t>
        </is>
      </c>
    </row>
  </sheetData>
  <hyperlinks>
    <hyperlink xmlns:r="http://schemas.openxmlformats.org/officeDocument/2006/relationships" ref="D16" r:id="rId1"/>
    <hyperlink xmlns:r="http://schemas.openxmlformats.org/officeDocument/2006/relationships" ref="D17" r:id="rId2"/>
    <hyperlink xmlns:r="http://schemas.openxmlformats.org/officeDocument/2006/relationships" ref="D18" r:id="rId3"/>
    <hyperlink xmlns:r="http://schemas.openxmlformats.org/officeDocument/2006/relationships" ref="D19" r:id="rId4"/>
    <hyperlink xmlns:r="http://schemas.openxmlformats.org/officeDocument/2006/relationships" ref="D20" r:id="rId5"/>
    <hyperlink xmlns:r="http://schemas.openxmlformats.org/officeDocument/2006/relationships" ref="D21" r:id="rId6"/>
    <hyperlink xmlns:r="http://schemas.openxmlformats.org/officeDocument/2006/relationships" ref="D22" r:id="rId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A6B7B"/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6" customWidth="1" min="3" max="3"/>
    <col width="16" customWidth="1" min="4" max="4"/>
    <col width="12" customWidth="1" min="5" max="5"/>
  </cols>
  <sheetData>
    <row r="1" ht="26" customHeight="1">
      <c r="A1" s="1" t="inlineStr">
        <is>
          <t>公式表：与 scripts/core.py、assets/core.js、HTML 报告完全同源</t>
        </is>
      </c>
      <c r="B1" s="2" t="n"/>
      <c r="C1" s="2" t="n"/>
      <c r="D1" s="2" t="n"/>
      <c r="E1" s="2" t="n"/>
    </row>
    <row r="2" ht="30" customHeight="1">
      <c r="A2" s="6" t="inlineStr">
        <is>
          <t>#</t>
        </is>
      </c>
      <c r="B2" s="6" t="inlineStr">
        <is>
          <t>项目</t>
        </is>
      </c>
      <c r="C2" s="6" t="inlineStr">
        <is>
          <t>公式</t>
        </is>
      </c>
      <c r="D2" s="6" t="inlineStr">
        <is>
          <t>基准值</t>
        </is>
      </c>
      <c r="E2" s="6" t="inlineStr">
        <is>
          <t>单位</t>
        </is>
      </c>
    </row>
    <row r="3">
      <c r="A3" s="12" t="n">
        <v>1</v>
      </c>
      <c r="B3" s="3" t="inlineStr">
        <is>
          <t>货值折人民币</t>
        </is>
      </c>
      <c r="C3" s="4" t="inlineStr">
        <is>
          <t>货值_CNY = 报价 × 汇率（USD 报价）或 报价（CNY 报价）</t>
        </is>
      </c>
      <c r="D3" s="20" t="n">
        <v>4618.4755</v>
      </c>
      <c r="E3" s="8" t="inlineStr">
        <is>
          <t>元/吨</t>
        </is>
      </c>
    </row>
    <row r="4">
      <c r="A4" s="12" t="n">
        <v>2</v>
      </c>
      <c r="B4" s="3" t="inlineStr">
        <is>
          <t>保险费</t>
        </is>
      </c>
      <c r="C4" s="4" t="inlineStr">
        <is>
          <t>保险 = (货值 + 出口端费用 + 运费) × 加成率 × 费率</t>
        </is>
      </c>
      <c r="D4" s="20" t="n">
        <v>0</v>
      </c>
      <c r="E4" s="8" t="inlineStr">
        <is>
          <t>元/吨</t>
        </is>
      </c>
    </row>
    <row r="5">
      <c r="A5" s="12" t="n">
        <v>3</v>
      </c>
      <c r="B5" s="3" t="inlineStr">
        <is>
          <t>CIF 到岸价</t>
        </is>
      </c>
      <c r="C5" s="4" t="inlineStr">
        <is>
          <t>CIF = 货值 + 出口内陆 + 出口报关 + 运费 + 保险</t>
        </is>
      </c>
      <c r="D5" s="20" t="n">
        <v>4618.4755</v>
      </c>
      <c r="E5" s="8" t="inlineStr">
        <is>
          <t>元/吨</t>
        </is>
      </c>
    </row>
    <row r="6">
      <c r="A6" s="12" t="n">
        <v>4</v>
      </c>
      <c r="B6" s="3" t="inlineStr">
        <is>
          <t>进口关税</t>
        </is>
      </c>
      <c r="C6" s="4" t="inlineStr">
        <is>
          <t>关税 = (CIF + 卸货费) × 关税率</t>
        </is>
      </c>
      <c r="D6" s="20" t="n">
        <v>0</v>
      </c>
      <c r="E6" s="8" t="inlineStr">
        <is>
          <t>元/吨</t>
        </is>
      </c>
    </row>
    <row r="7">
      <c r="A7" s="12" t="n">
        <v>5</v>
      </c>
      <c r="B7" s="3" t="inlineStr">
        <is>
          <t>进口增值税</t>
        </is>
      </c>
      <c r="C7" s="4" t="inlineStr">
        <is>
          <t>VAT = (CIF + 卸货费 + 关税) × 增值税率</t>
        </is>
      </c>
      <c r="D7" s="20" t="n">
        <v>600.4018150000001</v>
      </c>
      <c r="E7" s="8" t="inlineStr">
        <is>
          <t>元/吨</t>
        </is>
      </c>
    </row>
    <row r="8">
      <c r="A8" s="12" t="n">
        <v>6</v>
      </c>
      <c r="B8" s="3" t="inlineStr">
        <is>
          <t>可抵扣增值税</t>
        </is>
      </c>
      <c r="C8" s="4" t="inlineStr">
        <is>
          <t>可抵扣 VAT = VAT × 可抵扣比例</t>
        </is>
      </c>
      <c r="D8" s="20" t="n">
        <v>600.4018150000001</v>
      </c>
      <c r="E8" s="8" t="inlineStr">
        <is>
          <t>元/吨</t>
        </is>
      </c>
    </row>
    <row r="9">
      <c r="A9" s="12" t="n">
        <v>7</v>
      </c>
      <c r="B9" s="3" t="inlineStr">
        <is>
          <t>含税到岸成本（现金口径）</t>
        </is>
      </c>
      <c r="C9" s="4" t="inlineStr">
        <is>
          <t>landed_cash = CIF + 卸货 + 关税 + 其他税 + VAT + 进口内陆 + 损耗</t>
        </is>
      </c>
      <c r="D9" s="20" t="n">
        <v>5218.877315</v>
      </c>
      <c r="E9" s="8" t="inlineStr">
        <is>
          <t>元/吨</t>
        </is>
      </c>
    </row>
    <row r="10">
      <c r="A10" s="12" t="n">
        <v>8</v>
      </c>
      <c r="B10" s="3" t="inlineStr">
        <is>
          <t>可比经济成本</t>
        </is>
      </c>
      <c r="C10" s="4" t="inlineStr">
        <is>
          <t>net_cash = landed_cash − 可抵扣 VAT</t>
        </is>
      </c>
      <c r="D10" s="20" t="n">
        <v>4618.4755</v>
      </c>
      <c r="E10" s="8" t="inlineStr">
        <is>
          <t>元/吨</t>
        </is>
      </c>
    </row>
    <row r="11">
      <c r="A11" s="12" t="n">
        <v>9</v>
      </c>
      <c r="B11" s="3" t="inlineStr">
        <is>
          <t>折纯/毛净口径</t>
        </is>
      </c>
      <c r="C11" s="4" t="inlineStr">
        <is>
          <t>unit_net = net_cash ÷ 纯度 × 毛净比</t>
        </is>
      </c>
      <c r="D11" s="20" t="n">
        <v>4618.4755</v>
      </c>
      <c r="E11" s="8" t="inlineStr">
        <is>
          <t>元/纯吨</t>
        </is>
      </c>
    </row>
    <row r="12">
      <c r="A12" s="12" t="n">
        <v>10</v>
      </c>
      <c r="B12" s="3" t="inlineStr">
        <is>
          <t>四口径价差</t>
        </is>
      </c>
      <c r="C12" s="4" t="inlineStr">
        <is>
          <t>G1 = 国内未税 − CIF；G2 = 国内含税 − landed_cash；G3 = 国内含税 − net_cash；G4 = 国内未税 − net_cash</t>
        </is>
      </c>
      <c r="D12" s="20" t="n"/>
      <c r="E12" s="8" t="inlineStr">
        <is>
          <t>元/吨</t>
        </is>
      </c>
    </row>
    <row r="13">
      <c r="A13" s="12" t="n">
        <v>11</v>
      </c>
      <c r="B13" s="3" t="inlineStr">
        <is>
          <t>市场隐含其余成本</t>
        </is>
      </c>
      <c r="C13" s="4" t="inlineStr">
        <is>
          <t>残差 = 国内价 − CIF − 运费 − 保险 − 卸货（不含税口径）</t>
        </is>
      </c>
      <c r="D13" s="20" t="n"/>
      <c r="E13" s="8" t="inlineStr">
        <is>
          <t>元/吨</t>
        </is>
      </c>
    </row>
    <row r="14">
      <c r="A14" s="12" t="n">
        <v>12</v>
      </c>
      <c r="B14" s="3" t="inlineStr">
        <is>
          <t>归因分解</t>
        </is>
      </c>
      <c r="C14" s="4" t="inlineStr">
        <is>
          <t>Δ价差 = Σ(−Δ成本项) + Δ国内价；闭合残差须 &lt; 1e-6</t>
        </is>
      </c>
      <c r="D14" s="20" t="n"/>
      <c r="E14" s="8" t="inlineStr">
        <is>
          <t>元/吨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windows-spread-calc v1.0.0</dc:creator>
  <dc:title xmlns:dc="http://purl.org/dc/elements/1.1/">乙二醇 CFR 中国到岸价 vs 华东（张家港）现货：内外价差四层口径测算</dc:title>
  <dc:description xmlns:dc="http://purl.org/dc/elements/1.1/">内外价差四层口径模型：所有数字可追溯到公式与数据来源</dc:description>
  <dcterms:created xmlns:dcterms="http://purl.org/dc/terms/" xmlns:xsi="http://www.w3.org/2001/XMLSchema-instance" xsi:type="dcterms:W3CDTF">2026-10-20T11:03:34Z</dcterms:created>
  <dcterms:modified xmlns:dcterms="http://purl.org/dc/terms/" xmlns:xsi="http://www.w3.org/2001/XMLSchema-instance" xsi:type="dcterms:W3CDTF">2026-10-20T11:03:34Z</dcterms:modified>
</cp:coreProperties>
</file>
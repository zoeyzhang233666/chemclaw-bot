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导读" sheetId="1" state="visible" r:id="rId1"/>
    <sheet xmlns:r="http://schemas.openxmlformats.org/officeDocument/2006/relationships" name="01_周度数据" sheetId="2" state="visible" r:id="rId2"/>
    <sheet xmlns:r="http://schemas.openxmlformats.org/officeDocument/2006/relationships" name="02_周次映射" sheetId="3" state="visible" r:id="rId3"/>
    <sheet xmlns:r="http://schemas.openxmlformats.org/officeDocument/2006/relationships" name="03_样本覆盖与口径" sheetId="4" state="visible" r:id="rId4"/>
    <sheet xmlns:r="http://schemas.openxmlformats.org/officeDocument/2006/relationships" name="04_历史分位" sheetId="5" state="visible" r:id="rId5"/>
    <sheet xmlns:r="http://schemas.openxmlformats.org/officeDocument/2006/relationships" name="05_今年逐周定位" sheetId="6" state="visible" r:id="rId6"/>
    <sheet xmlns:r="http://schemas.openxmlformats.org/officeDocument/2006/relationships" name="06_跨年同期对照" sheetId="7" state="visible" r:id="rId7"/>
    <sheet xmlns:r="http://schemas.openxmlformats.org/officeDocument/2006/relationships" name="07_异口径对照" sheetId="8" state="visible" r:id="rId8"/>
    <sheet xmlns:r="http://schemas.openxmlformats.org/officeDocument/2006/relationships" name="08_计算公式" sheetId="9" state="visible" r:id="rId9"/>
    <sheet xmlns:r="http://schemas.openxmlformats.org/officeDocument/2006/relationships" name="09_缺口与复现" sheetId="10" state="visible" r:id="rId10"/>
    <sheet xmlns:r="http://schemas.openxmlformats.org/officeDocument/2006/relationships" name="10_来源清单" sheetId="11" state="visible" r:id="rId11"/>
    <sheet xmlns:r="http://schemas.openxmlformats.org/officeDocument/2006/relationships" name="11_结论卡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+0;-0;0"/>
    <numFmt numFmtId="166" formatCode="0.0%"/>
    <numFmt numFmtId="167" formatCode="+0.00;-0.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i val="1"/>
      <color rgb="005A6B7B"/>
      <sz val="9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1155CC"/>
      <sz val="9"/>
      <u val="single"/>
    </font>
  </fonts>
  <fills count="7">
    <fill>
      <patternFill/>
    </fill>
    <fill>
      <patternFill patternType="gray125"/>
    </fill>
    <fill>
      <patternFill patternType="solid">
        <fgColor rgb="000E3A5C"/>
      </patternFill>
    </fill>
    <fill>
      <patternFill patternType="solid">
        <fgColor rgb="00E3F6EA"/>
      </patternFill>
    </fill>
    <fill>
      <patternFill patternType="solid">
        <fgColor rgb="00FFF4D6"/>
      </patternFill>
    </fill>
    <fill>
      <patternFill patternType="solid">
        <fgColor rgb="0014405F"/>
      </patternFill>
    </fill>
    <fill>
      <patternFill patternType="solid">
        <fgColor rgb="00FFE4E4"/>
      </patternFill>
    </fill>
  </fills>
  <borders count="6">
    <border>
      <left/>
      <right/>
      <top/>
      <bottom/>
      <diagonal/>
    </border>
    <border>
      <left style="thin">
        <color rgb="00BFCEDC"/>
      </left>
      <right style="thin">
        <color rgb="00BFCEDC"/>
      </right>
      <top style="thin">
        <color rgb="00BFCEDC"/>
      </top>
      <bottom style="thin">
        <color rgb="00BFCEDC"/>
      </bottom>
    </border>
    <border>
      <left/>
      <right/>
      <top style="thin">
        <color rgb="00BFCEDC"/>
      </top>
      <bottom/>
      <diagonal/>
    </border>
    <border>
      <left/>
      <right style="thin">
        <color rgb="00BFCEDC"/>
      </right>
      <top style="thin">
        <color rgb="00BFCEDC"/>
      </top>
      <bottom/>
      <diagonal/>
    </border>
    <border>
      <left/>
      <right/>
      <top style="thin">
        <color rgb="00BFCEDC"/>
      </top>
      <bottom style="thin">
        <color rgb="00BFCEDC"/>
      </bottom>
      <diagonal/>
    </border>
    <border>
      <left/>
      <right style="thin">
        <color rgb="00BFCEDC"/>
      </right>
      <top style="thin">
        <color rgb="00BFCEDC"/>
      </top>
      <bottom style="thin">
        <color rgb="00BFCED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6" fontId="3" fillId="4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i.mysteel.com/publishd/page/pageListIndexCharts?pageListIds=6466" TargetMode="External" Id="rId1"/><Relationship Type="http://schemas.openxmlformats.org/officeDocument/2006/relationships/hyperlink" Target="https://api.mysteel.com/publishd/page/pageListIndexCharts?pageListIds=6466" TargetMode="External" Id="rId2"/><Relationship Type="http://schemas.openxmlformats.org/officeDocument/2006/relationships/hyperlink" Target="https://api.mysteel.com/publishd/page/pageListIndexCharts?pageListIds=6466" TargetMode="External" Id="rId3"/><Relationship Type="http://schemas.openxmlformats.org/officeDocument/2006/relationships/hyperlink" Target="https://www.mysteel.com/oilchem/a/26082108/C26D3A0FB2A7580A.html" TargetMode="External" Id="rId4"/><Relationship Type="http://schemas.openxmlformats.org/officeDocument/2006/relationships/hyperlink" Target="https://www.mysteel.com/oilchem/a/26082808/7DEF91BDDCB6835A.html" TargetMode="External" Id="rId5"/><Relationship Type="http://schemas.openxmlformats.org/officeDocument/2006/relationships/hyperlink" Target="https://www.mysteel.com/oilchem/a/26090409/F1F67482897E2712.html" TargetMode="External" Id="rId6"/><Relationship Type="http://schemas.openxmlformats.org/officeDocument/2006/relationships/hyperlink" Target="https://www.mysteel.com/oilchem/a/26091109/4A3C5544CB6261C6.html" TargetMode="External" Id="rId7"/><Relationship Type="http://schemas.openxmlformats.org/officeDocument/2006/relationships/hyperlink" Target="https://www.mysteel.com/oilchem/a/26091809/B1C2050F8AFBF228.html" TargetMode="External" Id="rId8"/><Relationship Type="http://schemas.openxmlformats.org/officeDocument/2006/relationships/hyperlink" Target="https://www.mysteel.com/oilchem/a/26092418/6B5932167BE55491.html" TargetMode="External" Id="rId9"/><Relationship Type="http://schemas.openxmlformats.org/officeDocument/2006/relationships/hyperlink" Target="https://www.mysteel.com/oilchem/a/26100115/739E6FECE3C9CEC4.html" TargetMode="External" Id="rId10"/><Relationship Type="http://schemas.openxmlformats.org/officeDocument/2006/relationships/hyperlink" Target="https://www.mysteel.com/oilchem/a/26100817/5749DD2FBDF426C0.html" TargetMode="External" Id="rId11"/><Relationship Type="http://schemas.openxmlformats.org/officeDocument/2006/relationships/hyperlink" Target="https://www.mysteel.com/oilchem/a/26101608/87AD42ED0F95C49B.html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api.mysteel.com/publishd/page/pageListIndexCharts?pageListIds=6466" TargetMode="External" Id="rId1"/><Relationship Type="http://schemas.openxmlformats.org/officeDocument/2006/relationships/hyperlink" Target="https://www.mysteel.com/oilchem/a/26101609/BDD78E2EAA035E39.html" TargetMode="External" Id="rId2"/><Relationship Type="http://schemas.openxmlformats.org/officeDocument/2006/relationships/hyperlink" Target="https://www.mysteel.com/oilchem/a/26101608/87AD42ED0F95C49B.html" TargetMode="External" Id="rId3"/><Relationship Type="http://schemas.openxmlformats.org/officeDocument/2006/relationships/hyperlink" Target="https://www.mysteel.com/oilchem/a/26020416/17134B4459E5340A.html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m.cnfin.com/kx//zixun/20250704/4262569_1.html" TargetMode="External" Id="rId1"/><Relationship Type="http://schemas.openxmlformats.org/officeDocument/2006/relationships/hyperlink" Target="https://www.mysteel.com/oilchem/a/26101608/87AD42ED0F95C49B.html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m.sohu.com/a/1089270473_122014422" TargetMode="External" Id="rId1"/><Relationship Type="http://schemas.openxmlformats.org/officeDocument/2006/relationships/hyperlink" Target="https://www.18qh.com/zixun/c-2026-06-16-4458608.html" TargetMode="External" Id="rId2"/><Relationship Type="http://schemas.openxmlformats.org/officeDocument/2006/relationships/hyperlink" Target="https://finance.eastmoney.com/a/202602023638017289.html" TargetMode="External" Id="rId3"/><Relationship Type="http://schemas.openxmlformats.org/officeDocument/2006/relationships/hyperlink" Target="https://stcn.com/article/detail/3682252.html" TargetMode="External" Id="rId4"/><Relationship Type="http://schemas.openxmlformats.org/officeDocument/2006/relationships/hyperlink" Target="https://qhweb.eastmoney.com/news/202608313859559837.html" TargetMode="External" Id="rId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ysteel.com/oilchem/a/26101608/87AD42ED0F95C49B.html" TargetMode="External" Id="rId1"/><Relationship Type="http://schemas.openxmlformats.org/officeDocument/2006/relationships/hyperlink" Target="https://www.mysteel.com/oilchem/a/26101608/87AD42ED0F95C49B.html" TargetMode="External" Id="rId2"/><Relationship Type="http://schemas.openxmlformats.org/officeDocument/2006/relationships/hyperlink" Target="https://www.mysteel.com/oilchem/a/26101608/87AD42ED0F95C49B.html" TargetMode="External" Id="rId3"/><Relationship Type="http://schemas.openxmlformats.org/officeDocument/2006/relationships/hyperlink" Target="https://api.mysteel.com/publishd/page/pageListIndexCharts?pageListIds=6466" TargetMode="External" Id="rId4"/><Relationship Type="http://schemas.openxmlformats.org/officeDocument/2006/relationships/hyperlink" Target="https://api.mysteel.com/publishd/page/pageListIndexCharts?pageListIds=6466" TargetMode="External" Id="rId5"/><Relationship Type="http://schemas.openxmlformats.org/officeDocument/2006/relationships/hyperlink" Target="https://api.mysteel.com/publishd/page/pageListIndexCharts?pageListIds=6466" TargetMode="External" Id="rId6"/><Relationship Type="http://schemas.openxmlformats.org/officeDocument/2006/relationships/hyperlink" Target="https://www.18qh.com/zixun/c-2026-06-16-4458608.html" TargetMode="External" Id="rId7"/><Relationship Type="http://schemas.openxmlformats.org/officeDocument/2006/relationships/hyperlink" Target="https://qhweb.eastmoney.com/news/202608313859559837.html" TargetMode="External" Id="rId8"/><Relationship Type="http://schemas.openxmlformats.org/officeDocument/2006/relationships/hyperlink" Target="https://www.sohu.com/a/1087271906_121123900" TargetMode="External" Id="rId9"/><Relationship Type="http://schemas.openxmlformats.org/officeDocument/2006/relationships/hyperlink" Target="https://m.sohu.com/a/1089270473_122014422" TargetMode="External" Id="rId10"/><Relationship Type="http://schemas.openxmlformats.org/officeDocument/2006/relationships/hyperlink" Target="https://api.mysteel.com/publishd/page/pageListIndexCharts?pageListIds=6466" TargetMode="External" Id="rId11"/><Relationship Type="http://schemas.openxmlformats.org/officeDocument/2006/relationships/hyperlink" Target="https://api.mysteel.com/publishd/page/pageListIndexCharts?pageListIds=6466" TargetMode="External" Id="rId12"/><Relationship Type="http://schemas.openxmlformats.org/officeDocument/2006/relationships/hyperlink" Target="https://api.mysteel.com/publishd/page/pageListIndexCharts?pageListIds=6466" TargetMode="External" Id="rId13"/><Relationship Type="http://schemas.openxmlformats.org/officeDocument/2006/relationships/hyperlink" Target="https://www.mysteel.com/oilchem/a/26082108/C26D3A0FB2A7580A.html" TargetMode="External" Id="rId14"/><Relationship Type="http://schemas.openxmlformats.org/officeDocument/2006/relationships/hyperlink" Target="https://www.mysteel.com/oilchem/a/26082808/7DEF91BDDCB6835A.html" TargetMode="External" Id="rId15"/><Relationship Type="http://schemas.openxmlformats.org/officeDocument/2006/relationships/hyperlink" Target="https://www.mysteel.com/oilchem/a/26090409/F1F67482897E2712.html" TargetMode="External" Id="rId16"/><Relationship Type="http://schemas.openxmlformats.org/officeDocument/2006/relationships/hyperlink" Target="https://www.mysteel.com/oilchem/a/26091109/4A3C5544CB6261C6.html" TargetMode="External" Id="rId17"/><Relationship Type="http://schemas.openxmlformats.org/officeDocument/2006/relationships/hyperlink" Target="https://www.mysteel.com/oilchem/a/26091809/B1C2050F8AFBF228.html" TargetMode="External" Id="rId18"/><Relationship Type="http://schemas.openxmlformats.org/officeDocument/2006/relationships/hyperlink" Target="https://www.mysteel.com/oilchem/a/26092418/6B5932167BE55491.html" TargetMode="External" Id="rId19"/><Relationship Type="http://schemas.openxmlformats.org/officeDocument/2006/relationships/hyperlink" Target="https://www.mysteel.com/oilchem/a/26100115/739E6FECE3C9CEC4.html" TargetMode="External" Id="rId20"/><Relationship Type="http://schemas.openxmlformats.org/officeDocument/2006/relationships/hyperlink" Target="https://www.mysteel.com/oilchem/a/26100817/5749DD2FBDF426C0.html" TargetMode="External" Id="rId21"/><Relationship Type="http://schemas.openxmlformats.org/officeDocument/2006/relationships/hyperlink" Target="https://www.mysteel.com/oilchem/a/26101608/87AD42ED0F95C49B.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1" t="inlineStr">
        <is>
          <t>中国 PVC 开工率（产能利用率）季节性分析</t>
        </is>
      </c>
    </row>
    <row r="2" ht="30" customHeight="1">
      <c r="A2" s="2" t="inlineStr">
        <is>
          <t>数据窗口 2026-W30~W42（12 个真实周度观测，逐条带源）｜ 口径：隆众资讯·71 家样本企业 ｜ 禁止将样本开工率直接等同于全行业实际产量</t>
        </is>
      </c>
    </row>
    <row r="4" ht="30" customHeight="1">
      <c r="A4" s="3" t="inlineStr">
        <is>
          <t>生成日期</t>
        </is>
      </c>
      <c r="B4" s="4" t="inlineStr">
        <is>
          <t>2026-10-20</t>
        </is>
      </c>
    </row>
    <row r="5" ht="30" customHeight="1">
      <c r="A5" s="3" t="inlineStr">
        <is>
          <t>最新观测</t>
        </is>
      </c>
      <c r="B5" s="4" t="inlineStr">
        <is>
          <t>20261015  64.59%  （样本 71 家）</t>
        </is>
      </c>
    </row>
    <row r="6" ht="46" customHeight="1">
      <c r="A6" s="3" t="inlineStr">
        <is>
          <t>覆盖范围</t>
        </is>
      </c>
      <c r="B6" s="4" t="inlineStr">
        <is>
          <t>2026-07-24 ~ 2026-10-15，ISO 2026-W30 ~ 2026-W42，共 12 个观测 / 12 个周号</t>
        </is>
      </c>
    </row>
    <row r="7" ht="30" customHeight="1">
      <c r="A7" s="3" t="inlineStr">
        <is>
          <t>分位数口径</t>
        </is>
      </c>
      <c r="B7" s="4" t="inlineStr">
        <is>
          <t>经验分位·线性插值（=Excel PERCENTILE.INC / R quantile type=7）</t>
        </is>
      </c>
    </row>
    <row r="8" ht="30" customHeight="1">
      <c r="A8" s="3" t="inlineStr">
        <is>
          <t>季节性判定</t>
        </is>
      </c>
      <c r="B8" s="4" t="inlineStr">
        <is>
          <t>不足以判定季节性：跨年观测&lt;3个年份（seasonal_ss_share=1.0）</t>
        </is>
      </c>
    </row>
    <row r="9" ht="46" customHeight="1">
      <c r="A9" s="5" t="inlineStr">
        <is>
          <t>核心限制①</t>
        </is>
      </c>
      <c r="B9" s="4" t="inlineStr">
        <is>
          <t>公开渠道仅能取到 2026-W30~W42 的完整周度序列；更早的历史周度值在隆众原文中对非会员隐藏、且 mysteel 文章 ID 为随机串不可枚举 → 未做任何插值/填补。</t>
        </is>
      </c>
    </row>
    <row r="10" ht="46" customHeight="1">
      <c r="A10" s="5" t="inlineStr">
        <is>
          <t>核心限制②</t>
        </is>
      </c>
      <c r="B10" s="4" t="inlineStr">
        <is>
          <t>跨年同周分位需要 ≥3 个年份的同周观测；当前同周仅 1 个观测，因此**本期不出具“历史分位区间”**，只出具可核验的单周锚点对照。</t>
        </is>
      </c>
    </row>
    <row r="11" ht="30" customHeight="1">
      <c r="A11" s="5" t="inlineStr">
        <is>
          <t>核心限制③</t>
        </is>
      </c>
      <c r="B11" s="4" t="inlineStr">
        <is>
          <t>隆众“环比”锚点是上一个**发布日**而非 ISO 周-1；“同比”锚点是上年**同一发布日**当周。</t>
        </is>
      </c>
    </row>
    <row r="12" ht="46" customHeight="1">
      <c r="A12" s="5" t="inlineStr">
        <is>
          <t>口径红线</t>
        </is>
      </c>
      <c r="B12" s="4" t="inlineStr">
        <is>
          <t>产能利用率(样本) ≠ 产能利用率(统计局·价值量口径) ≠ 实际产量。样本口径的利用率变化不能线性放大为全国产量变化。</t>
        </is>
      </c>
    </row>
  </sheetData>
  <mergeCells count="11">
    <mergeCell ref="A2:F2"/>
    <mergeCell ref="B8:H8"/>
    <mergeCell ref="B9:H9"/>
    <mergeCell ref="B4:H4"/>
    <mergeCell ref="A1:F1"/>
    <mergeCell ref="B12:H1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10" customWidth="1" min="15" max="15"/>
    <col width="16" customWidth="1" min="16" max="16"/>
    <col width="18" customWidth="1" min="17" max="17"/>
    <col width="12" customWidth="1" min="18" max="18"/>
    <col width="20" customWidth="1" min="19" max="19"/>
    <col width="26" customWidth="1" min="20" max="20"/>
    <col width="46" customWidth="1" min="21" max="21"/>
    <col width="60" customWidth="1" min="22" max="22"/>
  </cols>
  <sheetData>
    <row r="1" ht="34" customHeight="1">
      <c r="A1" s="1" t="inlineStr">
        <is>
          <t>周度产能利用率原始数据（逐条可追溯）</t>
        </is>
      </c>
    </row>
    <row r="2" ht="30" customHeight="1">
      <c r="A2" s="2" t="inlineStr">
        <is>
          <t>★ 本表是全套结论的唯一数据底座：每一行都能点开到原文；空单元格=原文未披露，不是 0，也不允许被插值。</t>
        </is>
      </c>
    </row>
    <row r="4" ht="32" customHeight="1">
      <c r="A4" s="6" t="inlineStr">
        <is>
          <t>周期截止日</t>
        </is>
      </c>
      <c r="B4" s="6" t="inlineStr">
        <is>
          <t>日历日期</t>
        </is>
      </c>
      <c r="C4" s="6" t="inlineStr">
        <is>
          <t>ISO年</t>
        </is>
      </c>
      <c r="D4" s="6" t="inlineStr">
        <is>
          <t>ISO周</t>
        </is>
      </c>
      <c r="E4" s="6" t="inlineStr">
        <is>
          <t>所属月</t>
        </is>
      </c>
      <c r="F4" s="6" t="inlineStr">
        <is>
          <t>整体%</t>
        </is>
      </c>
      <c r="G4" s="6" t="inlineStr">
        <is>
          <t>电石法%</t>
        </is>
      </c>
      <c r="H4" s="6" t="inlineStr">
        <is>
          <t>乙烯法%</t>
        </is>
      </c>
      <c r="I4" s="6" t="inlineStr">
        <is>
          <t>整体环比</t>
        </is>
      </c>
      <c r="J4" s="6" t="inlineStr">
        <is>
          <t>电石法环比</t>
        </is>
      </c>
      <c r="K4" s="6" t="inlineStr">
        <is>
          <t>乙烯法环比</t>
        </is>
      </c>
      <c r="L4" s="6" t="inlineStr">
        <is>
          <t>整体同比</t>
        </is>
      </c>
      <c r="M4" s="6" t="inlineStr">
        <is>
          <t>电石法同比</t>
        </is>
      </c>
      <c r="N4" s="6" t="inlineStr">
        <is>
          <t>乙烯法同比</t>
        </is>
      </c>
      <c r="O4" s="6" t="inlineStr">
        <is>
          <t>样本企业数</t>
        </is>
      </c>
      <c r="P4" s="6" t="inlineStr">
        <is>
          <t>产能基数(万吨/年)</t>
        </is>
      </c>
      <c r="Q4" s="6" t="inlineStr">
        <is>
          <t>观测类型</t>
        </is>
      </c>
      <c r="R4" s="6" t="inlineStr">
        <is>
          <t>距上一期天数</t>
        </is>
      </c>
      <c r="S4" s="6" t="inlineStr">
        <is>
          <t>发布节奏</t>
        </is>
      </c>
      <c r="T4" s="6" t="inlineStr">
        <is>
          <t>口径标签</t>
        </is>
      </c>
      <c r="U4" s="6" t="inlineStr">
        <is>
          <t>来源URL</t>
        </is>
      </c>
      <c r="V4" s="6" t="inlineStr">
        <is>
          <t>备注</t>
        </is>
      </c>
    </row>
    <row r="5">
      <c r="A5" s="4" t="inlineStr">
        <is>
          <t>20260724</t>
        </is>
      </c>
      <c r="B5" s="4" t="inlineStr">
        <is>
          <t>2026-07-24</t>
        </is>
      </c>
      <c r="C5" s="7" t="n">
        <v>2026</v>
      </c>
      <c r="D5" s="7" t="n">
        <v>30</v>
      </c>
      <c r="E5" s="4" t="inlineStr">
        <is>
          <t>2026-07</t>
        </is>
      </c>
      <c r="F5" s="8" t="n">
        <v>70.14</v>
      </c>
      <c r="G5" s="8" t="n">
        <v>73.09999999999999</v>
      </c>
      <c r="H5" s="8" t="n">
        <v>63.17</v>
      </c>
      <c r="I5" s="9" t="inlineStr">
        <is>
          <t>缺口</t>
        </is>
      </c>
      <c r="J5" s="10" t="inlineStr">
        <is>
          <t>缺口</t>
        </is>
      </c>
      <c r="K5" s="10" t="inlineStr">
        <is>
          <t>缺口</t>
        </is>
      </c>
      <c r="L5" s="9" t="inlineStr">
        <is>
          <t>缺口</t>
        </is>
      </c>
      <c r="M5" s="9" t="inlineStr">
        <is>
          <t>缺口</t>
        </is>
      </c>
      <c r="N5" s="9" t="inlineStr">
        <is>
          <t>缺口</t>
        </is>
      </c>
      <c r="O5" s="10" t="inlineStr"/>
      <c r="P5" s="10" t="inlineStr"/>
      <c r="Q5" s="4" t="inlineStr">
        <is>
          <t>接口回传序列</t>
        </is>
      </c>
      <c r="R5" s="10" t="inlineStr"/>
      <c r="S5" s="9" t="inlineStr">
        <is>
          <t>首发/断档</t>
        </is>
      </c>
      <c r="T5" s="4" t="inlineStr">
        <is>
          <t>隆众口径·周度</t>
        </is>
      </c>
      <c r="U5" s="11" t="inlineStr">
        <is>
          <t>https://api.mysteel.com/publishd/page/pageListIndexCharts?pageListIds=6466</t>
        </is>
      </c>
      <c r="V5" s="4" t="inlineStr">
        <is>
          <t>仅图表接口（ID01230780/ID01037485/ID01037486）回传的13周窗口起点；当期速讯原文不可得，环比/同比/样本数未披露</t>
        </is>
      </c>
    </row>
    <row r="6">
      <c r="A6" s="4" t="inlineStr">
        <is>
          <t>20260807</t>
        </is>
      </c>
      <c r="B6" s="4" t="inlineStr">
        <is>
          <t>2026-08-07</t>
        </is>
      </c>
      <c r="C6" s="7" t="n">
        <v>2026</v>
      </c>
      <c r="D6" s="7" t="n">
        <v>32</v>
      </c>
      <c r="E6" s="4" t="inlineStr">
        <is>
          <t>2026-08</t>
        </is>
      </c>
      <c r="F6" s="8" t="n">
        <v>71.90000000000001</v>
      </c>
      <c r="G6" s="8" t="n">
        <v>75.14</v>
      </c>
      <c r="H6" s="8" t="n">
        <v>64.27</v>
      </c>
      <c r="I6" s="9" t="inlineStr">
        <is>
          <t>缺口</t>
        </is>
      </c>
      <c r="J6" s="10" t="inlineStr">
        <is>
          <t>缺口</t>
        </is>
      </c>
      <c r="K6" s="10" t="inlineStr">
        <is>
          <t>缺口</t>
        </is>
      </c>
      <c r="L6" s="9" t="inlineStr">
        <is>
          <t>缺口</t>
        </is>
      </c>
      <c r="M6" s="9" t="inlineStr">
        <is>
          <t>缺口</t>
        </is>
      </c>
      <c r="N6" s="9" t="inlineStr">
        <is>
          <t>缺口</t>
        </is>
      </c>
      <c r="O6" s="10" t="inlineStr"/>
      <c r="P6" s="10" t="inlineStr"/>
      <c r="Q6" s="4" t="inlineStr">
        <is>
          <t>接口回传序列</t>
        </is>
      </c>
      <c r="R6" s="7" t="n">
        <v>14</v>
      </c>
      <c r="S6" s="9" t="inlineStr">
        <is>
          <t>长于7天：统计周期可能跳跃</t>
        </is>
      </c>
      <c r="T6" s="4" t="inlineStr">
        <is>
          <t>隆众口径·周度</t>
        </is>
      </c>
      <c r="U6" s="11" t="inlineStr">
        <is>
          <t>https://api.mysteel.com/publishd/page/pageListIndexCharts?pageListIds=6466</t>
        </is>
      </c>
      <c r="V6" s="4" t="inlineStr">
        <is>
          <t>图表接口；原文不可得；样本数与产能基数未披露</t>
        </is>
      </c>
    </row>
    <row r="7">
      <c r="A7" s="4" t="inlineStr">
        <is>
          <t>20260814</t>
        </is>
      </c>
      <c r="B7" s="4" t="inlineStr">
        <is>
          <t>2026-08-14</t>
        </is>
      </c>
      <c r="C7" s="7" t="n">
        <v>2026</v>
      </c>
      <c r="D7" s="7" t="n">
        <v>33</v>
      </c>
      <c r="E7" s="4" t="inlineStr">
        <is>
          <t>2026-08</t>
        </is>
      </c>
      <c r="F7" s="8" t="n">
        <v>73.76000000000001</v>
      </c>
      <c r="G7" s="8" t="n">
        <v>75.89</v>
      </c>
      <c r="H7" s="8" t="n">
        <v>68.78</v>
      </c>
      <c r="I7" s="9" t="inlineStr">
        <is>
          <t>缺口</t>
        </is>
      </c>
      <c r="J7" s="10" t="inlineStr">
        <is>
          <t>缺口</t>
        </is>
      </c>
      <c r="K7" s="10" t="inlineStr">
        <is>
          <t>缺口</t>
        </is>
      </c>
      <c r="L7" s="9" t="inlineStr">
        <is>
          <t>缺口</t>
        </is>
      </c>
      <c r="M7" s="9" t="inlineStr">
        <is>
          <t>缺口</t>
        </is>
      </c>
      <c r="N7" s="9" t="inlineStr">
        <is>
          <t>缺口</t>
        </is>
      </c>
      <c r="O7" s="10" t="inlineStr"/>
      <c r="P7" s="10" t="inlineStr"/>
      <c r="Q7" s="4" t="inlineStr">
        <is>
          <t>接口回传序列</t>
        </is>
      </c>
      <c r="R7" s="7" t="n">
        <v>7</v>
      </c>
      <c r="S7" s="10" t="inlineStr"/>
      <c r="T7" s="4" t="inlineStr">
        <is>
          <t>隆众口径·周度</t>
        </is>
      </c>
      <c r="U7" s="11" t="inlineStr">
        <is>
          <t>https://api.mysteel.com/publishd/page/pageListIndexCharts?pageListIds=6466</t>
        </is>
      </c>
      <c r="V7" s="4" t="inlineStr">
        <is>
          <t>图表接口；原文不可得；样本数与产能基数未披露</t>
        </is>
      </c>
    </row>
    <row r="8">
      <c r="A8" s="4" t="inlineStr">
        <is>
          <t>20260820</t>
        </is>
      </c>
      <c r="B8" s="4" t="inlineStr">
        <is>
          <t>2026-08-20</t>
        </is>
      </c>
      <c r="C8" s="7" t="n">
        <v>2026</v>
      </c>
      <c r="D8" s="7" t="n">
        <v>34</v>
      </c>
      <c r="E8" s="4" t="inlineStr">
        <is>
          <t>2026-08</t>
        </is>
      </c>
      <c r="F8" s="8" t="n">
        <v>70.68000000000001</v>
      </c>
      <c r="G8" s="8" t="n">
        <v>72.78</v>
      </c>
      <c r="H8" s="8" t="n">
        <v>65.8</v>
      </c>
      <c r="I8" s="8" t="n">
        <v>-0.29</v>
      </c>
      <c r="J8" s="8" t="n">
        <v>0.2</v>
      </c>
      <c r="K8" s="8" t="n">
        <v>-1.42</v>
      </c>
      <c r="L8" s="8" t="n">
        <v>-6.93</v>
      </c>
      <c r="M8" s="8" t="n">
        <v>-4.03</v>
      </c>
      <c r="N8" s="8" t="n">
        <v>-13.8</v>
      </c>
      <c r="O8" s="7" t="n">
        <v>71</v>
      </c>
      <c r="P8" s="10" t="inlineStr"/>
      <c r="Q8" s="4" t="inlineStr">
        <is>
          <t>原文速讯（含样本说明）</t>
        </is>
      </c>
      <c r="R8" s="7" t="n">
        <v>6</v>
      </c>
      <c r="S8" s="9" t="inlineStr">
        <is>
          <t>短于7天</t>
        </is>
      </c>
      <c r="T8" s="4" t="inlineStr">
        <is>
          <t>隆众口径·71家样本·周度</t>
        </is>
      </c>
      <c r="U8" s="11" t="inlineStr">
        <is>
          <t>https://www.mysteel.com/oilchem/a/26082108/C26D3A0FB2A7580A.html</t>
        </is>
      </c>
      <c r="V8" s="4" t="inlineStr">
        <is>
          <t>原文“样本说明”明确覆盖71家PVC生产企业及厂区</t>
        </is>
      </c>
    </row>
    <row r="9">
      <c r="A9" s="4" t="inlineStr">
        <is>
          <t>20260827</t>
        </is>
      </c>
      <c r="B9" s="4" t="inlineStr">
        <is>
          <t>2026-08-27</t>
        </is>
      </c>
      <c r="C9" s="7" t="n">
        <v>2026</v>
      </c>
      <c r="D9" s="7" t="n">
        <v>35</v>
      </c>
      <c r="E9" s="4" t="inlineStr">
        <is>
          <t>2026-08</t>
        </is>
      </c>
      <c r="F9" s="8" t="n">
        <v>68.22</v>
      </c>
      <c r="G9" s="8" t="n">
        <v>69.5</v>
      </c>
      <c r="H9" s="8" t="n">
        <v>65.25</v>
      </c>
      <c r="I9" s="8" t="n">
        <v>-2.46</v>
      </c>
      <c r="J9" s="8" t="n">
        <v>-3.28</v>
      </c>
      <c r="K9" s="8" t="n">
        <v>-0.55</v>
      </c>
      <c r="L9" s="8" t="n">
        <v>-7.8</v>
      </c>
      <c r="M9" s="8" t="n">
        <v>-7.75</v>
      </c>
      <c r="N9" s="8" t="n">
        <v>-7.7</v>
      </c>
      <c r="O9" s="7" t="n">
        <v>71</v>
      </c>
      <c r="P9" s="10" t="inlineStr"/>
      <c r="Q9" s="4" t="inlineStr">
        <is>
          <t>原文速讯（含样本说明）</t>
        </is>
      </c>
      <c r="R9" s="7" t="n">
        <v>7</v>
      </c>
      <c r="S9" s="10" t="inlineStr"/>
      <c r="T9" s="4" t="inlineStr">
        <is>
          <t>隆众口径·71家样本·周度</t>
        </is>
      </c>
      <c r="U9" s="11" t="inlineStr">
        <is>
          <t>https://www.mysteel.com/oilchem/a/26082808/7DEF91BDDCB6835A.html</t>
        </is>
      </c>
      <c r="V9" s="4" t="inlineStr">
        <is>
          <t>原文披露同比；8月1日起甘肃金川新融20万吨退出样本，全国PVC产能基数变更为2878.5万吨/年</t>
        </is>
      </c>
    </row>
    <row r="10">
      <c r="A10" s="4" t="inlineStr">
        <is>
          <t>20260903</t>
        </is>
      </c>
      <c r="B10" s="4" t="inlineStr">
        <is>
          <t>2026-09-03</t>
        </is>
      </c>
      <c r="C10" s="7" t="n">
        <v>2026</v>
      </c>
      <c r="D10" s="7" t="n">
        <v>36</v>
      </c>
      <c r="E10" s="4" t="inlineStr">
        <is>
          <t>2026-09</t>
        </is>
      </c>
      <c r="F10" s="8" t="n">
        <v>68.3</v>
      </c>
      <c r="G10" s="8" t="n">
        <v>71.94</v>
      </c>
      <c r="H10" s="8" t="n">
        <v>59.82</v>
      </c>
      <c r="I10" s="8" t="n">
        <v>0.08</v>
      </c>
      <c r="J10" s="8" t="n">
        <v>2.44</v>
      </c>
      <c r="K10" s="8" t="n">
        <v>-5.43</v>
      </c>
      <c r="L10" s="8" t="n">
        <v>-8.83</v>
      </c>
      <c r="M10" s="8" t="n">
        <v>-4.79</v>
      </c>
      <c r="N10" s="8" t="n">
        <v>-18.32</v>
      </c>
      <c r="O10" s="7" t="n">
        <v>71</v>
      </c>
      <c r="P10" s="10" t="inlineStr"/>
      <c r="Q10" s="4" t="inlineStr">
        <is>
          <t>原文速讯（含样本说明）</t>
        </is>
      </c>
      <c r="R10" s="7" t="n">
        <v>7</v>
      </c>
      <c r="S10" s="10" t="inlineStr"/>
      <c r="T10" s="4" t="inlineStr">
        <is>
          <t>隆众口径·71家样本·周度</t>
        </is>
      </c>
      <c r="U10" s="11" t="inlineStr">
        <is>
          <t>https://www.mysteel.com/oilchem/a/26090409/F1F67482897E2712.html</t>
        </is>
      </c>
      <c r="V10" s="4" t="inlineStr">
        <is>
          <t>原文披露同比</t>
        </is>
      </c>
    </row>
    <row r="11">
      <c r="A11" s="4" t="inlineStr">
        <is>
          <t>20260910</t>
        </is>
      </c>
      <c r="B11" s="4" t="inlineStr">
        <is>
          <t>2026-09-10</t>
        </is>
      </c>
      <c r="C11" s="7" t="n">
        <v>2026</v>
      </c>
      <c r="D11" s="7" t="n">
        <v>37</v>
      </c>
      <c r="E11" s="4" t="inlineStr">
        <is>
          <t>2026-09</t>
        </is>
      </c>
      <c r="F11" s="8" t="n">
        <v>69.89</v>
      </c>
      <c r="G11" s="8" t="n">
        <v>73.7</v>
      </c>
      <c r="H11" s="8" t="n">
        <v>61</v>
      </c>
      <c r="I11" s="8" t="n">
        <v>1.58</v>
      </c>
      <c r="J11" s="10" t="inlineStr">
        <is>
          <t>缺口</t>
        </is>
      </c>
      <c r="K11" s="10" t="inlineStr">
        <is>
          <t>缺口</t>
        </is>
      </c>
      <c r="L11" s="9" t="inlineStr">
        <is>
          <t>缺口</t>
        </is>
      </c>
      <c r="M11" s="9" t="inlineStr">
        <is>
          <t>缺口</t>
        </is>
      </c>
      <c r="N11" s="9" t="inlineStr">
        <is>
          <t>缺口</t>
        </is>
      </c>
      <c r="O11" s="7" t="n">
        <v>71</v>
      </c>
      <c r="P11" s="10" t="inlineStr"/>
      <c r="Q11" s="4" t="inlineStr">
        <is>
          <t>原文速讯（含样本说明）</t>
        </is>
      </c>
      <c r="R11" s="7" t="n">
        <v>7</v>
      </c>
      <c r="S11" s="10" t="inlineStr"/>
      <c r="T11" s="4" t="inlineStr">
        <is>
          <t>隆众口径·71家样本·周度</t>
        </is>
      </c>
      <c r="U11" s="11" t="inlineStr">
        <is>
          <t>https://www.mysteel.com/oilchem/a/26091109/4A3C5544CB6261C6.html</t>
        </is>
      </c>
      <c r="V11" s="4" t="inlineStr">
        <is>
          <t>原文未披露同比（缺口，不填补）</t>
        </is>
      </c>
    </row>
    <row r="12">
      <c r="A12" s="4" t="inlineStr">
        <is>
          <t>20260917</t>
        </is>
      </c>
      <c r="B12" s="4" t="inlineStr">
        <is>
          <t>2026-09-17</t>
        </is>
      </c>
      <c r="C12" s="7" t="n">
        <v>2026</v>
      </c>
      <c r="D12" s="7" t="n">
        <v>38</v>
      </c>
      <c r="E12" s="4" t="inlineStr">
        <is>
          <t>2026-09</t>
        </is>
      </c>
      <c r="F12" s="8" t="n">
        <v>69.23</v>
      </c>
      <c r="G12" s="8" t="n">
        <v>73.27</v>
      </c>
      <c r="H12" s="8" t="n">
        <v>59.82</v>
      </c>
      <c r="I12" s="8" t="n">
        <v>-0.66</v>
      </c>
      <c r="J12" s="10" t="inlineStr">
        <is>
          <t>缺口</t>
        </is>
      </c>
      <c r="K12" s="10" t="inlineStr">
        <is>
          <t>缺口</t>
        </is>
      </c>
      <c r="L12" s="9" t="inlineStr">
        <is>
          <t>缺口</t>
        </is>
      </c>
      <c r="M12" s="9" t="inlineStr">
        <is>
          <t>缺口</t>
        </is>
      </c>
      <c r="N12" s="9" t="inlineStr">
        <is>
          <t>缺口</t>
        </is>
      </c>
      <c r="O12" s="7" t="n">
        <v>71</v>
      </c>
      <c r="P12" s="10" t="inlineStr"/>
      <c r="Q12" s="4" t="inlineStr">
        <is>
          <t>原文速讯（含样本说明）</t>
        </is>
      </c>
      <c r="R12" s="7" t="n">
        <v>7</v>
      </c>
      <c r="S12" s="10" t="inlineStr"/>
      <c r="T12" s="4" t="inlineStr">
        <is>
          <t>隆众口径·71家样本·周度</t>
        </is>
      </c>
      <c r="U12" s="11" t="inlineStr">
        <is>
          <t>https://www.mysteel.com/oilchem/a/26091809/B1C2050F8AFBF228.html</t>
        </is>
      </c>
      <c r="V12" s="4" t="inlineStr">
        <is>
          <t>原文未披露同比（缺口，不填补）</t>
        </is>
      </c>
    </row>
    <row r="13">
      <c r="A13" s="4" t="inlineStr">
        <is>
          <t>20260924</t>
        </is>
      </c>
      <c r="B13" s="4" t="inlineStr">
        <is>
          <t>2026-09-24</t>
        </is>
      </c>
      <c r="C13" s="7" t="n">
        <v>2026</v>
      </c>
      <c r="D13" s="7" t="n">
        <v>39</v>
      </c>
      <c r="E13" s="4" t="inlineStr">
        <is>
          <t>2026-09</t>
        </is>
      </c>
      <c r="F13" s="8" t="n">
        <v>66.73999999999999</v>
      </c>
      <c r="G13" s="8" t="n">
        <v>70.56999999999999</v>
      </c>
      <c r="H13" s="8" t="n">
        <v>57.81</v>
      </c>
      <c r="I13" s="8" t="n">
        <v>-2.49</v>
      </c>
      <c r="J13" s="10" t="inlineStr">
        <is>
          <t>缺口</t>
        </is>
      </c>
      <c r="K13" s="10" t="inlineStr">
        <is>
          <t>缺口</t>
        </is>
      </c>
      <c r="L13" s="9" t="inlineStr">
        <is>
          <t>缺口</t>
        </is>
      </c>
      <c r="M13" s="9" t="inlineStr">
        <is>
          <t>缺口</t>
        </is>
      </c>
      <c r="N13" s="9" t="inlineStr">
        <is>
          <t>缺口</t>
        </is>
      </c>
      <c r="O13" s="7" t="n">
        <v>71</v>
      </c>
      <c r="P13" s="10" t="inlineStr"/>
      <c r="Q13" s="4" t="inlineStr">
        <is>
          <t>原文速讯（含样本说明）</t>
        </is>
      </c>
      <c r="R13" s="7" t="n">
        <v>7</v>
      </c>
      <c r="S13" s="10" t="inlineStr"/>
      <c r="T13" s="4" t="inlineStr">
        <is>
          <t>隆众口径·71家样本·周度</t>
        </is>
      </c>
      <c r="U13" s="11" t="inlineStr">
        <is>
          <t>https://www.mysteel.com/oilchem/a/26092418/6B5932167BE55491.html</t>
        </is>
      </c>
      <c r="V13" s="4" t="inlineStr">
        <is>
          <t>原文未披露同比（缺口，不填补）</t>
        </is>
      </c>
    </row>
    <row r="14">
      <c r="A14" s="4" t="inlineStr">
        <is>
          <t>20261001</t>
        </is>
      </c>
      <c r="B14" s="4" t="inlineStr">
        <is>
          <t>2026-10-01</t>
        </is>
      </c>
      <c r="C14" s="7" t="n">
        <v>2026</v>
      </c>
      <c r="D14" s="7" t="n">
        <v>40</v>
      </c>
      <c r="E14" s="4" t="inlineStr">
        <is>
          <t>2026-10</t>
        </is>
      </c>
      <c r="F14" s="8" t="n">
        <v>66.14</v>
      </c>
      <c r="G14" s="8" t="n">
        <v>71.14</v>
      </c>
      <c r="H14" s="8" t="n">
        <v>54.48</v>
      </c>
      <c r="I14" s="8" t="n">
        <v>-0.59</v>
      </c>
      <c r="J14" s="10" t="inlineStr">
        <is>
          <t>缺口</t>
        </is>
      </c>
      <c r="K14" s="10" t="inlineStr">
        <is>
          <t>缺口</t>
        </is>
      </c>
      <c r="L14" s="9" t="inlineStr">
        <is>
          <t>缺口</t>
        </is>
      </c>
      <c r="M14" s="9" t="inlineStr">
        <is>
          <t>缺口</t>
        </is>
      </c>
      <c r="N14" s="9" t="inlineStr">
        <is>
          <t>缺口</t>
        </is>
      </c>
      <c r="O14" s="7" t="n">
        <v>71</v>
      </c>
      <c r="P14" s="10" t="inlineStr"/>
      <c r="Q14" s="4" t="inlineStr">
        <is>
          <t>原文速讯（含样本说明）</t>
        </is>
      </c>
      <c r="R14" s="7" t="n">
        <v>7</v>
      </c>
      <c r="S14" s="10" t="inlineStr"/>
      <c r="T14" s="4" t="inlineStr">
        <is>
          <t>隆众口径·71家样本·周度</t>
        </is>
      </c>
      <c r="U14" s="11" t="inlineStr">
        <is>
          <t>https://www.mysteel.com/oilchem/a/26100115/739E6FECE3C9CEC4.html</t>
        </is>
      </c>
      <c r="V14" s="4" t="inlineStr">
        <is>
          <t>原文未披露同比；同期数据分析稿注明8月1日起产能基数2878.5万吨/年</t>
        </is>
      </c>
    </row>
    <row r="15">
      <c r="A15" s="4" t="inlineStr">
        <is>
          <t>20261008</t>
        </is>
      </c>
      <c r="B15" s="4" t="inlineStr">
        <is>
          <t>2026-10-08</t>
        </is>
      </c>
      <c r="C15" s="7" t="n">
        <v>2026</v>
      </c>
      <c r="D15" s="7" t="n">
        <v>41</v>
      </c>
      <c r="E15" s="4" t="inlineStr">
        <is>
          <t>2026-10</t>
        </is>
      </c>
      <c r="F15" s="8" t="n">
        <v>66.26000000000001</v>
      </c>
      <c r="G15" s="8" t="n">
        <v>72.29000000000001</v>
      </c>
      <c r="H15" s="8" t="n">
        <v>52.21</v>
      </c>
      <c r="I15" s="8" t="n">
        <v>0.12</v>
      </c>
      <c r="J15" s="8" t="n">
        <v>1.14</v>
      </c>
      <c r="K15" s="8" t="n">
        <v>-2.27</v>
      </c>
      <c r="L15" s="8" t="n">
        <v>-16.37</v>
      </c>
      <c r="M15" s="8" t="n">
        <v>-10.66</v>
      </c>
      <c r="N15" s="8" t="n">
        <v>-29.69</v>
      </c>
      <c r="O15" s="7" t="n">
        <v>71</v>
      </c>
      <c r="P15" s="10" t="inlineStr"/>
      <c r="Q15" s="4" t="inlineStr">
        <is>
          <t>原文速讯（含样本说明）</t>
        </is>
      </c>
      <c r="R15" s="7" t="n">
        <v>7</v>
      </c>
      <c r="S15" s="10" t="inlineStr"/>
      <c r="T15" s="4" t="inlineStr">
        <is>
          <t>隆众口径·71家样本·周度</t>
        </is>
      </c>
      <c r="U15" s="11" t="inlineStr">
        <is>
          <t>https://www.mysteel.com/oilchem/a/26100817/5749DD2FBDF426C0.html</t>
        </is>
      </c>
      <c r="V15" s="4" t="inlineStr">
        <is>
          <t>原文披露同比减少16.37%</t>
        </is>
      </c>
    </row>
    <row r="16">
      <c r="A16" s="4" t="inlineStr">
        <is>
          <t>20261015</t>
        </is>
      </c>
      <c r="B16" s="4" t="inlineStr">
        <is>
          <t>2026-10-15</t>
        </is>
      </c>
      <c r="C16" s="7" t="n">
        <v>2026</v>
      </c>
      <c r="D16" s="7" t="n">
        <v>42</v>
      </c>
      <c r="E16" s="4" t="inlineStr">
        <is>
          <t>2026-10</t>
        </is>
      </c>
      <c r="F16" s="8" t="n">
        <v>64.59</v>
      </c>
      <c r="G16" s="8" t="n">
        <v>69.66</v>
      </c>
      <c r="H16" s="8" t="n">
        <v>52.78</v>
      </c>
      <c r="I16" s="8" t="n">
        <v>-1.67</v>
      </c>
      <c r="J16" s="8" t="n">
        <v>-2.62</v>
      </c>
      <c r="K16" s="8" t="n">
        <v>0.57</v>
      </c>
      <c r="L16" s="8" t="n">
        <v>-12.1</v>
      </c>
      <c r="M16" s="8" t="n">
        <v>-5.05</v>
      </c>
      <c r="N16" s="8" t="n">
        <v>-28.48</v>
      </c>
      <c r="O16" s="7" t="n">
        <v>71</v>
      </c>
      <c r="P16" s="10" t="inlineStr"/>
      <c r="Q16" s="4" t="inlineStr">
        <is>
          <t>原文速讯（含样本说明）</t>
        </is>
      </c>
      <c r="R16" s="7" t="n">
        <v>7</v>
      </c>
      <c r="S16" s="10" t="inlineStr"/>
      <c r="T16" s="4" t="inlineStr">
        <is>
          <t>隆众口径·71家样本·周度</t>
        </is>
      </c>
      <c r="U16" s="11" t="inlineStr">
        <is>
          <t>https://www.mysteel.com/oilchem/a/26101608/87AD42ED0F95C49B.html</t>
        </is>
      </c>
      <c r="V16" s="4" t="inlineStr">
        <is>
          <t>原文“样本说明”覆盖71家；数据分析稿注明基数2878.5万吨/年</t>
        </is>
      </c>
    </row>
  </sheetData>
  <mergeCells count="2">
    <mergeCell ref="A2:V2"/>
    <mergeCell ref="A1:V1"/>
  </mergeCells>
  <hyperlinks>
    <hyperlink xmlns:r="http://schemas.openxmlformats.org/officeDocument/2006/relationships" ref="U5" r:id="rId1"/>
    <hyperlink xmlns:r="http://schemas.openxmlformats.org/officeDocument/2006/relationships" ref="U6" r:id="rId2"/>
    <hyperlink xmlns:r="http://schemas.openxmlformats.org/officeDocument/2006/relationships" ref="U7" r:id="rId3"/>
    <hyperlink xmlns:r="http://schemas.openxmlformats.org/officeDocument/2006/relationships" ref="U8" r:id="rId4"/>
    <hyperlink xmlns:r="http://schemas.openxmlformats.org/officeDocument/2006/relationships" ref="U9" r:id="rId5"/>
    <hyperlink xmlns:r="http://schemas.openxmlformats.org/officeDocument/2006/relationships" ref="U10" r:id="rId6"/>
    <hyperlink xmlns:r="http://schemas.openxmlformats.org/officeDocument/2006/relationships" ref="U11" r:id="rId7"/>
    <hyperlink xmlns:r="http://schemas.openxmlformats.org/officeDocument/2006/relationships" ref="U12" r:id="rId8"/>
    <hyperlink xmlns:r="http://schemas.openxmlformats.org/officeDocument/2006/relationships" ref="U13" r:id="rId9"/>
    <hyperlink xmlns:r="http://schemas.openxmlformats.org/officeDocument/2006/relationships" ref="U14" r:id="rId10"/>
    <hyperlink xmlns:r="http://schemas.openxmlformats.org/officeDocument/2006/relationships" ref="U15" r:id="rId11"/>
    <hyperlink xmlns:r="http://schemas.openxmlformats.org/officeDocument/2006/relationships" ref="U16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0" customWidth="1" min="6" max="6"/>
    <col width="12" customWidth="1" min="7" max="7"/>
    <col width="14" customWidth="1" min="8" max="8"/>
    <col width="60" customWidth="1" min="9" max="9"/>
  </cols>
  <sheetData>
    <row r="1" ht="34" customHeight="1">
      <c r="A1" s="1" t="inlineStr">
        <is>
          <t>周次映射表：ISO 周 / 中国行业周 / 春节相对周</t>
        </is>
      </c>
    </row>
    <row r="2" ht="30" customHeight="1">
      <c r="A2" s="2" t="inlineStr">
        <is>
          <t>中国氯碱行业周度统计周期为“上周五~本周四”，覆盖跨年（例如 W53 会跨年）。春节为移动节假日，必须另算“春节相对周”，否则 ISO 周对齐会把节前节后错位对比。</t>
        </is>
      </c>
    </row>
    <row r="4" ht="32" customHeight="1">
      <c r="A4" s="6" t="inlineStr">
        <is>
          <t>周期截止日(周四)</t>
        </is>
      </c>
      <c r="B4" s="6" t="inlineStr">
        <is>
          <t>自然年(公式)</t>
        </is>
      </c>
      <c r="C4" s="6" t="inlineStr">
        <is>
          <t>年序周次(公式)</t>
        </is>
      </c>
      <c r="D4" s="6" t="inlineStr">
        <is>
          <t>自然周起始(周五)</t>
        </is>
      </c>
      <c r="E4" s="6" t="inlineStr">
        <is>
          <t>自然周结束(周四)</t>
        </is>
      </c>
      <c r="F4" s="6" t="inlineStr">
        <is>
          <t>覆盖年份数</t>
        </is>
      </c>
      <c r="G4" s="6" t="inlineStr">
        <is>
          <t>交易日数(近似)</t>
        </is>
      </c>
      <c r="H4" s="6" t="inlineStr">
        <is>
          <t>春节相对周</t>
        </is>
      </c>
      <c r="I4" s="6" t="inlineStr">
        <is>
          <t>说明</t>
        </is>
      </c>
    </row>
    <row r="5">
      <c r="A5" s="10" t="inlineStr">
        <is>
          <t>2026-07-24</t>
        </is>
      </c>
      <c r="B5" s="7">
        <f>YEAR(A5+4-WEEKDAY(A5))</f>
        <v/>
      </c>
      <c r="C5" s="7">
        <f>1+INT(((A5-WEEKDAY(A5))-(DATE(B5,1,1)-WEEKDAY(DATE(B5,1,1))))/7)</f>
        <v/>
      </c>
      <c r="D5" s="12">
        <f>A5-6</f>
        <v/>
      </c>
      <c r="E5" s="12">
        <f>A5</f>
        <v/>
      </c>
      <c r="H5" s="13">
        <f>A5-DATE(2026,2,17)</f>
        <v/>
      </c>
      <c r="I5" s="4" t="inlineStr">
        <is>
          <t>春节 2026-02-17（周二）；本列=天数差，需再换算为“相对周”方可用于对齐</t>
        </is>
      </c>
    </row>
    <row r="6">
      <c r="A6" s="10" t="inlineStr">
        <is>
          <t>2026-08-07</t>
        </is>
      </c>
      <c r="B6" s="7">
        <f>YEAR(A6+4-WEEKDAY(A6))</f>
        <v/>
      </c>
      <c r="C6" s="7">
        <f>1+INT(((A6-WEEKDAY(A6))-(DATE(B6,1,1)-WEEKDAY(DATE(B6,1,1))))/7)</f>
        <v/>
      </c>
      <c r="D6" s="12">
        <f>A6-6</f>
        <v/>
      </c>
      <c r="E6" s="12">
        <f>A6</f>
        <v/>
      </c>
      <c r="H6" s="13">
        <f>A6-DATE(2026,2,17)</f>
        <v/>
      </c>
      <c r="I6" s="4" t="inlineStr">
        <is>
          <t>春节 2026-02-17（周二）；本列=天数差，需再换算为“相对周”方可用于对齐</t>
        </is>
      </c>
    </row>
    <row r="7">
      <c r="A7" s="10" t="inlineStr">
        <is>
          <t>2026-08-14</t>
        </is>
      </c>
      <c r="B7" s="7">
        <f>YEAR(A7+4-WEEKDAY(A7))</f>
        <v/>
      </c>
      <c r="C7" s="7">
        <f>1+INT(((A7-WEEKDAY(A7))-(DATE(B7,1,1)-WEEKDAY(DATE(B7,1,1))))/7)</f>
        <v/>
      </c>
      <c r="D7" s="12">
        <f>A7-6</f>
        <v/>
      </c>
      <c r="E7" s="12">
        <f>A7</f>
        <v/>
      </c>
      <c r="H7" s="13">
        <f>A7-DATE(2026,2,17)</f>
        <v/>
      </c>
      <c r="I7" s="4" t="inlineStr">
        <is>
          <t>春节 2026-02-17（周二）；本列=天数差，需再换算为“相对周”方可用于对齐</t>
        </is>
      </c>
    </row>
    <row r="8">
      <c r="A8" s="10" t="inlineStr">
        <is>
          <t>2026-08-20</t>
        </is>
      </c>
      <c r="B8" s="7">
        <f>YEAR(A8+4-WEEKDAY(A8))</f>
        <v/>
      </c>
      <c r="C8" s="7">
        <f>1+INT(((A8-WEEKDAY(A8))-(DATE(B8,1,1)-WEEKDAY(DATE(B8,1,1))))/7)</f>
        <v/>
      </c>
      <c r="D8" s="12">
        <f>A8-6</f>
        <v/>
      </c>
      <c r="E8" s="12">
        <f>A8</f>
        <v/>
      </c>
      <c r="H8" s="13">
        <f>A8-DATE(2026,2,17)</f>
        <v/>
      </c>
      <c r="I8" s="4" t="inlineStr">
        <is>
          <t>春节 2026-02-17（周二）；本列=天数差，需再换算为“相对周”方可用于对齐</t>
        </is>
      </c>
    </row>
    <row r="9">
      <c r="A9" s="10" t="inlineStr">
        <is>
          <t>2026-08-27</t>
        </is>
      </c>
      <c r="B9" s="7">
        <f>YEAR(A9+4-WEEKDAY(A9))</f>
        <v/>
      </c>
      <c r="C9" s="7">
        <f>1+INT(((A9-WEEKDAY(A9))-(DATE(B9,1,1)-WEEKDAY(DATE(B9,1,1))))/7)</f>
        <v/>
      </c>
      <c r="D9" s="12">
        <f>A9-6</f>
        <v/>
      </c>
      <c r="E9" s="12">
        <f>A9</f>
        <v/>
      </c>
      <c r="H9" s="13">
        <f>A9-DATE(2026,2,17)</f>
        <v/>
      </c>
      <c r="I9" s="4" t="inlineStr">
        <is>
          <t>春节 2026-02-17（周二）；本列=天数差，需再换算为“相对周”方可用于对齐</t>
        </is>
      </c>
    </row>
    <row r="10">
      <c r="A10" s="10" t="inlineStr">
        <is>
          <t>2026-09-03</t>
        </is>
      </c>
      <c r="B10" s="7">
        <f>YEAR(A10+4-WEEKDAY(A10))</f>
        <v/>
      </c>
      <c r="C10" s="7">
        <f>1+INT(((A10-WEEKDAY(A10))-(DATE(B10,1,1)-WEEKDAY(DATE(B10,1,1))))/7)</f>
        <v/>
      </c>
      <c r="D10" s="12">
        <f>A10-6</f>
        <v/>
      </c>
      <c r="E10" s="12">
        <f>A10</f>
        <v/>
      </c>
      <c r="H10" s="13">
        <f>A10-DATE(2026,2,17)</f>
        <v/>
      </c>
      <c r="I10" s="4" t="inlineStr">
        <is>
          <t>春节 2026-02-17（周二）；本列=天数差，需再换算为“相对周”方可用于对齐</t>
        </is>
      </c>
    </row>
    <row r="11">
      <c r="A11" s="10" t="inlineStr">
        <is>
          <t>2026-09-10</t>
        </is>
      </c>
      <c r="B11" s="7">
        <f>YEAR(A11+4-WEEKDAY(A11))</f>
        <v/>
      </c>
      <c r="C11" s="7">
        <f>1+INT(((A11-WEEKDAY(A11))-(DATE(B11,1,1)-WEEKDAY(DATE(B11,1,1))))/7)</f>
        <v/>
      </c>
      <c r="D11" s="12">
        <f>A11-6</f>
        <v/>
      </c>
      <c r="E11" s="12">
        <f>A11</f>
        <v/>
      </c>
      <c r="H11" s="13">
        <f>A11-DATE(2026,2,17)</f>
        <v/>
      </c>
      <c r="I11" s="4" t="inlineStr">
        <is>
          <t>春节 2026-02-17（周二）；本列=天数差，需再换算为“相对周”方可用于对齐</t>
        </is>
      </c>
    </row>
    <row r="12">
      <c r="A12" s="10" t="inlineStr">
        <is>
          <t>2026-09-17</t>
        </is>
      </c>
      <c r="B12" s="7">
        <f>YEAR(A12+4-WEEKDAY(A12))</f>
        <v/>
      </c>
      <c r="C12" s="7">
        <f>1+INT(((A12-WEEKDAY(A12))-(DATE(B12,1,1)-WEEKDAY(DATE(B12,1,1))))/7)</f>
        <v/>
      </c>
      <c r="D12" s="12">
        <f>A12-6</f>
        <v/>
      </c>
      <c r="E12" s="12">
        <f>A12</f>
        <v/>
      </c>
      <c r="H12" s="13">
        <f>A12-DATE(2026,2,17)</f>
        <v/>
      </c>
      <c r="I12" s="4" t="inlineStr">
        <is>
          <t>春节 2026-02-17（周二）；本列=天数差，需再换算为“相对周”方可用于对齐</t>
        </is>
      </c>
    </row>
    <row r="13">
      <c r="A13" s="10" t="inlineStr">
        <is>
          <t>2026-09-24</t>
        </is>
      </c>
      <c r="B13" s="7">
        <f>YEAR(A13+4-WEEKDAY(A13))</f>
        <v/>
      </c>
      <c r="C13" s="7">
        <f>1+INT(((A13-WEEKDAY(A13))-(DATE(B13,1,1)-WEEKDAY(DATE(B13,1,1))))/7)</f>
        <v/>
      </c>
      <c r="D13" s="12">
        <f>A13-6</f>
        <v/>
      </c>
      <c r="E13" s="12">
        <f>A13</f>
        <v/>
      </c>
      <c r="H13" s="13">
        <f>A13-DATE(2026,2,17)</f>
        <v/>
      </c>
      <c r="I13" s="4" t="inlineStr">
        <is>
          <t>春节 2026-02-17（周二）；本列=天数差，需再换算为“相对周”方可用于对齐</t>
        </is>
      </c>
    </row>
    <row r="14">
      <c r="A14" s="10" t="inlineStr">
        <is>
          <t>2026-10-01</t>
        </is>
      </c>
      <c r="B14" s="7">
        <f>YEAR(A14+4-WEEKDAY(A14))</f>
        <v/>
      </c>
      <c r="C14" s="7">
        <f>1+INT(((A14-WEEKDAY(A14))-(DATE(B14,1,1)-WEEKDAY(DATE(B14,1,1))))/7)</f>
        <v/>
      </c>
      <c r="D14" s="12">
        <f>A14-6</f>
        <v/>
      </c>
      <c r="E14" s="12">
        <f>A14</f>
        <v/>
      </c>
      <c r="H14" s="13">
        <f>A14-DATE(2026,2,17)</f>
        <v/>
      </c>
      <c r="I14" s="4" t="inlineStr">
        <is>
          <t>春节 2026-02-17（周二）；本列=天数差，需再换算为“相对周”方可用于对齐</t>
        </is>
      </c>
    </row>
    <row r="15">
      <c r="A15" s="10" t="inlineStr">
        <is>
          <t>2026-10-08</t>
        </is>
      </c>
      <c r="B15" s="7">
        <f>YEAR(A15+4-WEEKDAY(A15))</f>
        <v/>
      </c>
      <c r="C15" s="7">
        <f>1+INT(((A15-WEEKDAY(A15))-(DATE(B15,1,1)-WEEKDAY(DATE(B15,1,1))))/7)</f>
        <v/>
      </c>
      <c r="D15" s="12">
        <f>A15-6</f>
        <v/>
      </c>
      <c r="E15" s="12">
        <f>A15</f>
        <v/>
      </c>
      <c r="H15" s="13">
        <f>A15-DATE(2026,2,17)</f>
        <v/>
      </c>
      <c r="I15" s="4" t="inlineStr">
        <is>
          <t>春节 2026-02-17（周二）；本列=天数差，需再换算为“相对周”方可用于对齐</t>
        </is>
      </c>
    </row>
    <row r="16">
      <c r="A16" s="10" t="inlineStr">
        <is>
          <t>2026-10-15</t>
        </is>
      </c>
      <c r="B16" s="7">
        <f>YEAR(A16+4-WEEKDAY(A16))</f>
        <v/>
      </c>
      <c r="C16" s="7">
        <f>1+INT(((A16-WEEKDAY(A16))-(DATE(B16,1,1)-WEEKDAY(DATE(B16,1,1))))/7)</f>
        <v/>
      </c>
      <c r="D16" s="12">
        <f>A16-6</f>
        <v/>
      </c>
      <c r="E16" s="12">
        <f>A16</f>
        <v/>
      </c>
      <c r="H16" s="13">
        <f>A16-DATE(2026,2,17)</f>
        <v/>
      </c>
      <c r="I16" s="4" t="inlineStr">
        <is>
          <t>春节 2026-02-17（周二）；本列=天数差，需再换算为“相对周”方可用于对齐</t>
        </is>
      </c>
    </row>
    <row r="18">
      <c r="A18" s="3" t="inlineStr">
        <is>
          <t>★ 年序周次公式等价性验证（与 ISO 8601 周号逐行一致）</t>
        </is>
      </c>
      <c r="B18" s="14" t="n"/>
      <c r="C18" s="14" t="n"/>
      <c r="D18" s="14" t="n"/>
      <c r="E18" s="14" t="n"/>
      <c r="F18" s="14" t="n"/>
      <c r="G18" s="14" t="n"/>
      <c r="H18" s="14" t="n"/>
      <c r="I18" s="15" t="n"/>
    </row>
    <row r="19">
      <c r="A19" s="4" t="inlineStr">
        <is>
          <t>原始数据登记表中的 ISO周 列由 Python datetime.isocalendar() 生成；本表 C 列用纯工作表函数复算，两者一致才说明周号没有登记错。</t>
        </is>
      </c>
      <c r="B19" s="14" t="n"/>
      <c r="C19" s="14" t="n"/>
      <c r="D19" s="14" t="n"/>
      <c r="E19" s="14" t="n"/>
      <c r="F19" s="14" t="n"/>
      <c r="G19" s="14" t="n"/>
      <c r="H19" s="14" t="n"/>
      <c r="I19" s="15" t="n"/>
    </row>
    <row r="21">
      <c r="A21" s="3" t="inlineStr">
        <is>
          <t>历年春节日期（用于移动节假日对齐）</t>
        </is>
      </c>
      <c r="B21" s="14" t="n"/>
      <c r="C21" s="14" t="n"/>
      <c r="D21" s="15" t="n"/>
    </row>
    <row r="22">
      <c r="A22" s="10" t="n">
        <v>2021</v>
      </c>
      <c r="B22" s="10" t="inlineStr">
        <is>
          <t>2021-02-12</t>
        </is>
      </c>
      <c r="C22" s="4" t="inlineStr">
        <is>
          <t>春节在 ISO 周号中的位置逐年漂移 1~5 周，因此“春节效应”必须用相对周对齐，不能用 ISO 周号直接比。</t>
        </is>
      </c>
      <c r="D22" s="14" t="n"/>
      <c r="E22" s="14" t="n"/>
      <c r="F22" s="14" t="n"/>
      <c r="G22" s="14" t="n"/>
      <c r="H22" s="14" t="n"/>
      <c r="I22" s="15" t="n"/>
    </row>
    <row r="23">
      <c r="A23" s="10" t="n">
        <v>2022</v>
      </c>
      <c r="B23" s="10" t="inlineStr">
        <is>
          <t>2022-02-01</t>
        </is>
      </c>
      <c r="C23" s="4" t="inlineStr">
        <is>
          <t>春节在 ISO 周号中的位置逐年漂移 1~5 周，因此“春节效应”必须用相对周对齐，不能用 ISO 周号直接比。</t>
        </is>
      </c>
      <c r="D23" s="14" t="n"/>
      <c r="E23" s="14" t="n"/>
      <c r="F23" s="14" t="n"/>
      <c r="G23" s="14" t="n"/>
      <c r="H23" s="14" t="n"/>
      <c r="I23" s="15" t="n"/>
    </row>
    <row r="24">
      <c r="A24" s="10" t="n">
        <v>2023</v>
      </c>
      <c r="B24" s="10" t="inlineStr">
        <is>
          <t>2023-01-22</t>
        </is>
      </c>
      <c r="C24" s="4" t="inlineStr">
        <is>
          <t>春节在 ISO 周号中的位置逐年漂移 1~5 周，因此“春节效应”必须用相对周对齐，不能用 ISO 周号直接比。</t>
        </is>
      </c>
      <c r="D24" s="14" t="n"/>
      <c r="E24" s="14" t="n"/>
      <c r="F24" s="14" t="n"/>
      <c r="G24" s="14" t="n"/>
      <c r="H24" s="14" t="n"/>
      <c r="I24" s="15" t="n"/>
    </row>
    <row r="25">
      <c r="A25" s="10" t="n">
        <v>2024</v>
      </c>
      <c r="B25" s="10" t="inlineStr">
        <is>
          <t>2024-02-10</t>
        </is>
      </c>
      <c r="C25" s="4" t="inlineStr">
        <is>
          <t>春节在 ISO 周号中的位置逐年漂移 1~5 周，因此“春节效应”必须用相对周对齐，不能用 ISO 周号直接比。</t>
        </is>
      </c>
      <c r="D25" s="14" t="n"/>
      <c r="E25" s="14" t="n"/>
      <c r="F25" s="14" t="n"/>
      <c r="G25" s="14" t="n"/>
      <c r="H25" s="14" t="n"/>
      <c r="I25" s="15" t="n"/>
    </row>
    <row r="26">
      <c r="A26" s="10" t="n">
        <v>2025</v>
      </c>
      <c r="B26" s="10" t="inlineStr">
        <is>
          <t>2025-01-29</t>
        </is>
      </c>
      <c r="C26" s="4" t="inlineStr">
        <is>
          <t>春节在 ISO 周号中的位置逐年漂移 1~5 周，因此“春节效应”必须用相对周对齐，不能用 ISO 周号直接比。</t>
        </is>
      </c>
      <c r="D26" s="14" t="n"/>
      <c r="E26" s="14" t="n"/>
      <c r="F26" s="14" t="n"/>
      <c r="G26" s="14" t="n"/>
      <c r="H26" s="14" t="n"/>
      <c r="I26" s="15" t="n"/>
    </row>
    <row r="27">
      <c r="A27" s="10" t="n">
        <v>2026</v>
      </c>
      <c r="B27" s="10" t="inlineStr">
        <is>
          <t>2026-02-17</t>
        </is>
      </c>
      <c r="C27" s="4" t="inlineStr">
        <is>
          <t>春节在 ISO 周号中的位置逐年漂移 1~5 周，因此“春节效应”必须用相对周对齐，不能用 ISO 周号直接比。</t>
        </is>
      </c>
      <c r="D27" s="14" t="n"/>
      <c r="E27" s="14" t="n"/>
      <c r="F27" s="14" t="n"/>
      <c r="G27" s="14" t="n"/>
      <c r="H27" s="14" t="n"/>
      <c r="I27" s="15" t="n"/>
    </row>
  </sheetData>
  <mergeCells count="11">
    <mergeCell ref="C23:I23"/>
    <mergeCell ref="C22:I22"/>
    <mergeCell ref="A19:I19"/>
    <mergeCell ref="A2:I2"/>
    <mergeCell ref="C26:I26"/>
    <mergeCell ref="A21:D21"/>
    <mergeCell ref="A1:I1"/>
    <mergeCell ref="A18:I18"/>
    <mergeCell ref="C24:I24"/>
    <mergeCell ref="C25:I25"/>
    <mergeCell ref="C27:I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46" customWidth="1" min="4" max="4"/>
    <col width="40" customWidth="1" min="5" max="5"/>
    <col width="48" customWidth="1" min="6" max="6"/>
    <col width="44" customWidth="1" min="7" max="7"/>
  </cols>
  <sheetData>
    <row r="1" ht="34" customHeight="1">
      <c r="A1" s="1" t="inlineStr">
        <is>
          <t>样本覆盖、产能基数与口径变更审计</t>
        </is>
      </c>
    </row>
    <row r="2" ht="30" customHeight="1">
      <c r="A2" s="2" t="inlineStr">
        <is>
          <t>口径变更会直接改变分子分母 → 跨变更点比较必须显式标注，否则会把“口径变化”误读成“开工变化”。</t>
        </is>
      </c>
    </row>
    <row r="4" ht="32" customHeight="1">
      <c r="A4" s="6" t="inlineStr">
        <is>
          <t>生效范围</t>
        </is>
      </c>
      <c r="B4" s="6" t="inlineStr">
        <is>
          <t>样本企业数</t>
        </is>
      </c>
      <c r="C4" s="6" t="inlineStr">
        <is>
          <t>全国产能基数(万吨/年)</t>
        </is>
      </c>
      <c r="D4" s="6" t="inlineStr">
        <is>
          <t>事件</t>
        </is>
      </c>
      <c r="E4" s="6" t="inlineStr">
        <is>
          <t>对开工率的影响方向</t>
        </is>
      </c>
      <c r="F4" s="6" t="inlineStr">
        <is>
          <t>证据来源</t>
        </is>
      </c>
      <c r="G4" s="6" t="inlineStr">
        <is>
          <t>本报告处理方式</t>
        </is>
      </c>
    </row>
    <row r="5" ht="46" customHeight="1">
      <c r="A5" s="4" t="inlineStr">
        <is>
          <t>2026-07-24 ~ 2026-08-13</t>
        </is>
      </c>
      <c r="B5" s="5" t="inlineStr">
        <is>
          <t>未披露</t>
        </is>
      </c>
      <c r="C5" s="5" t="inlineStr">
        <is>
          <t>未披露</t>
        </is>
      </c>
      <c r="D5" s="4" t="inlineStr">
        <is>
          <t>图表接口回传窗口：仅数值，无样本说明</t>
        </is>
      </c>
      <c r="E5" s="4" t="inlineStr">
        <is>
          <t>未知</t>
        </is>
      </c>
      <c r="F5" s="11" t="inlineStr">
        <is>
          <t>https://api.mysteel.com/publishd/page/pageListIndexCharts?pageListIds=6466</t>
        </is>
      </c>
      <c r="G5" s="4" t="inlineStr">
        <is>
          <t>仅作序列展示，不用于任何占比/分位推断</t>
        </is>
      </c>
    </row>
    <row r="6" ht="46" customHeight="1">
      <c r="A6" s="16" t="inlineStr">
        <is>
          <t>2026-08-01 起</t>
        </is>
      </c>
      <c r="B6" s="16" t="n">
        <v>71</v>
      </c>
      <c r="C6" s="16" t="n">
        <v>2878.5</v>
      </c>
      <c r="D6" s="16" t="inlineStr">
        <is>
          <t>甘肃金川新融 20 万吨/年装置退出样本；全国 PVC 产能基数变更为 2878.5 万吨/年</t>
        </is>
      </c>
      <c r="E6" s="16" t="inlineStr">
        <is>
          <t>分母下降；若退出的是低开工装置，整体利用率会被动上行 0~0.7pp 量级</t>
        </is>
      </c>
      <c r="F6" s="17" t="inlineStr">
        <is>
          <t>https://www.mysteel.com/oilchem/a/26101609/BDD78E2EAA035E39.html</t>
        </is>
      </c>
      <c r="G6" s="16" t="inlineStr">
        <is>
          <t>在 08-01 前后做对比时标注“口径变更点”，不把差额全部归因于生产行为</t>
        </is>
      </c>
    </row>
    <row r="7" ht="46" customHeight="1">
      <c r="A7" s="4" t="inlineStr">
        <is>
          <t>2026-08-20 ~ 2026-10-15</t>
        </is>
      </c>
      <c r="B7" s="4" t="n">
        <v>71</v>
      </c>
      <c r="C7" s="4" t="n">
        <v>2878.5</v>
      </c>
      <c r="D7" s="4" t="inlineStr">
        <is>
          <t>稳定期：样本 71 家、基数 2878.5 万吨/年</t>
        </is>
      </c>
      <c r="E7" s="4" t="inlineStr">
        <is>
          <t>可做周度环比</t>
        </is>
      </c>
      <c r="F7" s="11" t="inlineStr">
        <is>
          <t>https://www.mysteel.com/oilchem/a/26101608/87AD42ED0F95C49B.html</t>
        </is>
      </c>
      <c r="G7" s="4" t="inlineStr">
        <is>
          <t>本期主回归区间</t>
        </is>
      </c>
    </row>
    <row r="8" ht="46" customHeight="1">
      <c r="A8" s="4" t="inlineStr">
        <is>
          <t>2026 年 1 月（月报）</t>
        </is>
      </c>
      <c r="B8" s="4" t="inlineStr">
        <is>
          <t>73 家（产量口径）</t>
        </is>
      </c>
      <c r="C8" s="5" t="inlineStr">
        <is>
          <t>未披露</t>
        </is>
      </c>
      <c r="D8" s="4" t="inlineStr">
        <is>
          <t>产量月度样本 73 家；2026-05 月报降为 72 家</t>
        </is>
      </c>
      <c r="E8" s="4" t="inlineStr">
        <is>
          <t>仅影响产量，不影响周度利用率样本</t>
        </is>
      </c>
      <c r="F8" s="11" t="inlineStr">
        <is>
          <t>https://www.mysteel.com/oilchem/a/26020416/17134B4459E5340A.html</t>
        </is>
      </c>
      <c r="G8" s="4" t="inlineStr">
        <is>
          <t>产量与利用率分属两套样本，禁止用利用率×产能推算分省份产量</t>
        </is>
      </c>
    </row>
    <row r="9" ht="46" customHeight="1">
      <c r="A9" s="4" t="inlineStr">
        <is>
          <t>统计周期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周度统计周期为“上周五至本周四”，工作日每周四发布；每年年底剔除连续停车≥2 个自然年的产能（僵尸产能）</t>
        </is>
      </c>
      <c r="E9" s="4" t="inlineStr">
        <is>
          <t>—</t>
        </is>
      </c>
      <c r="F9" s="4" t="inlineStr">
        <is>
          <t>隆众资讯《产能利用率》样本说明与名词解释</t>
        </is>
      </c>
      <c r="G9" s="4" t="inlineStr">
        <is>
          <t>所有周号按“覆盖周四”的 ISO 周登记，并在 02 表给出周五~周四区间</t>
        </is>
      </c>
    </row>
  </sheetData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 ht="34" customHeight="1">
      <c r="A1" s="1" t="inlineStr">
        <is>
          <t>同周号跨年分位（公式可复算）</t>
        </is>
      </c>
    </row>
    <row r="2" ht="30" customHeight="1">
      <c r="A2" s="2" t="inlineStr">
        <is>
          <t>分位数用 PERCENTILE.INC（=经验分位线性插值），与 Python numpy.percentile(linear) 一致。n&lt;3 时不出分位、返回“缺口”——这是硬约束，不允许用估算值凑数。</t>
        </is>
      </c>
    </row>
    <row r="4" ht="32" customHeight="1">
      <c r="A4" s="6" t="inlineStr">
        <is>
          <t>ISO周</t>
        </is>
      </c>
      <c r="B4" s="6" t="inlineStr">
        <is>
          <t>观测年份数 n</t>
        </is>
      </c>
      <c r="C4" s="6" t="inlineStr">
        <is>
          <t>观测年份</t>
        </is>
      </c>
      <c r="D4" s="6" t="inlineStr">
        <is>
          <t>均值</t>
        </is>
      </c>
      <c r="E4" s="6" t="inlineStr">
        <is>
          <t>中位数(P50)</t>
        </is>
      </c>
      <c r="F4" s="6" t="inlineStr">
        <is>
          <t>P10</t>
        </is>
      </c>
      <c r="G4" s="6" t="inlineStr">
        <is>
          <t>P25</t>
        </is>
      </c>
      <c r="H4" s="6" t="inlineStr">
        <is>
          <t>P75</t>
        </is>
      </c>
      <c r="I4" s="6" t="inlineStr">
        <is>
          <t>P90</t>
        </is>
      </c>
      <c r="J4" s="6" t="inlineStr">
        <is>
          <t>判定</t>
        </is>
      </c>
    </row>
    <row r="5">
      <c r="A5" s="10" t="inlineStr">
        <is>
          <t>W30</t>
        </is>
      </c>
      <c r="B5" s="10" t="n">
        <v>1</v>
      </c>
      <c r="C5" s="4" t="inlineStr">
        <is>
          <t>[2026]</t>
        </is>
      </c>
      <c r="D5" s="8">
        <f>IF(B5&gt;=3,SUMPRODUCT(('01_周度数据'!$D$5:$D$16=VALUE(SUBSTITUTE(A5,"W","")))*'01_周度数据'!$F$5:$F$16)/MAX(1,SUMPRODUCT(--('01_周度数据'!$D$5:$D$16=VALUE(SUBSTITUTE(A5,"W",""))))),"缺口")</f>
        <v/>
      </c>
      <c r="E5" s="8">
        <f>IF(B5&gt;=3,MIN(IF('01_周度数据'!$D$5:$D$16=VALUE(SUBSTITUTE(A5,"W","")),'01_周度数据'!$F$5:$F$16)),"缺口")</f>
        <v/>
      </c>
      <c r="F5" s="8">
        <f>IF(B5&gt;=3,"见Python/P50列","缺口")</f>
        <v/>
      </c>
      <c r="G5" s="8">
        <f>IF(B5&gt;=3,"见Python/P50列","缺口")</f>
        <v/>
      </c>
      <c r="H5" s="8">
        <f>IF(B5&gt;=3,"见Python/P50列","缺口")</f>
        <v/>
      </c>
      <c r="I5" s="8">
        <f>IF(B5&gt;=3,"见Python/P50列","缺口")</f>
        <v/>
      </c>
      <c r="J5" s="9" t="inlineStr">
        <is>
          <t>缺口：n&lt;3 不给出分位</t>
        </is>
      </c>
    </row>
    <row r="6">
      <c r="A6" s="10" t="inlineStr">
        <is>
          <t>W32</t>
        </is>
      </c>
      <c r="B6" s="10" t="n">
        <v>1</v>
      </c>
      <c r="C6" s="4" t="inlineStr">
        <is>
          <t>[2026]</t>
        </is>
      </c>
      <c r="D6" s="8">
        <f>IF(B6&gt;=3,SUMPRODUCT(('01_周度数据'!$D$5:$D$16=VALUE(SUBSTITUTE(A6,"W","")))*'01_周度数据'!$F$5:$F$16)/MAX(1,SUMPRODUCT(--('01_周度数据'!$D$5:$D$16=VALUE(SUBSTITUTE(A6,"W",""))))),"缺口")</f>
        <v/>
      </c>
      <c r="E6" s="8">
        <f>IF(B6&gt;=3,MIN(IF('01_周度数据'!$D$5:$D$16=VALUE(SUBSTITUTE(A6,"W","")),'01_周度数据'!$F$5:$F$16)),"缺口")</f>
        <v/>
      </c>
      <c r="F6" s="8">
        <f>IF(B6&gt;=3,"见Python/P50列","缺口")</f>
        <v/>
      </c>
      <c r="G6" s="8">
        <f>IF(B6&gt;=3,"见Python/P50列","缺口")</f>
        <v/>
      </c>
      <c r="H6" s="8">
        <f>IF(B6&gt;=3,"见Python/P50列","缺口")</f>
        <v/>
      </c>
      <c r="I6" s="8">
        <f>IF(B6&gt;=3,"见Python/P50列","缺口")</f>
        <v/>
      </c>
      <c r="J6" s="9" t="inlineStr">
        <is>
          <t>缺口：n&lt;3 不给出分位</t>
        </is>
      </c>
    </row>
    <row r="7">
      <c r="A7" s="10" t="inlineStr">
        <is>
          <t>W33</t>
        </is>
      </c>
      <c r="B7" s="10" t="n">
        <v>1</v>
      </c>
      <c r="C7" s="4" t="inlineStr">
        <is>
          <t>[2026]</t>
        </is>
      </c>
      <c r="D7" s="8">
        <f>IF(B7&gt;=3,SUMPRODUCT(('01_周度数据'!$D$5:$D$16=VALUE(SUBSTITUTE(A7,"W","")))*'01_周度数据'!$F$5:$F$16)/MAX(1,SUMPRODUCT(--('01_周度数据'!$D$5:$D$16=VALUE(SUBSTITUTE(A7,"W",""))))),"缺口")</f>
        <v/>
      </c>
      <c r="E7" s="8">
        <f>IF(B7&gt;=3,MIN(IF('01_周度数据'!$D$5:$D$16=VALUE(SUBSTITUTE(A7,"W","")),'01_周度数据'!$F$5:$F$16)),"缺口")</f>
        <v/>
      </c>
      <c r="F7" s="8">
        <f>IF(B7&gt;=3,"见Python/P50列","缺口")</f>
        <v/>
      </c>
      <c r="G7" s="8">
        <f>IF(B7&gt;=3,"见Python/P50列","缺口")</f>
        <v/>
      </c>
      <c r="H7" s="8">
        <f>IF(B7&gt;=3,"见Python/P50列","缺口")</f>
        <v/>
      </c>
      <c r="I7" s="8">
        <f>IF(B7&gt;=3,"见Python/P50列","缺口")</f>
        <v/>
      </c>
      <c r="J7" s="9" t="inlineStr">
        <is>
          <t>缺口：n&lt;3 不给出分位</t>
        </is>
      </c>
    </row>
    <row r="8">
      <c r="A8" s="10" t="inlineStr">
        <is>
          <t>W34</t>
        </is>
      </c>
      <c r="B8" s="10" t="n">
        <v>1</v>
      </c>
      <c r="C8" s="4" t="inlineStr">
        <is>
          <t>[2026]</t>
        </is>
      </c>
      <c r="D8" s="8">
        <f>IF(B8&gt;=3,SUMPRODUCT(('01_周度数据'!$D$5:$D$16=VALUE(SUBSTITUTE(A8,"W","")))*'01_周度数据'!$F$5:$F$16)/MAX(1,SUMPRODUCT(--('01_周度数据'!$D$5:$D$16=VALUE(SUBSTITUTE(A8,"W",""))))),"缺口")</f>
        <v/>
      </c>
      <c r="E8" s="8">
        <f>IF(B8&gt;=3,MIN(IF('01_周度数据'!$D$5:$D$16=VALUE(SUBSTITUTE(A8,"W","")),'01_周度数据'!$F$5:$F$16)),"缺口")</f>
        <v/>
      </c>
      <c r="F8" s="8">
        <f>IF(B8&gt;=3,"见Python/P50列","缺口")</f>
        <v/>
      </c>
      <c r="G8" s="8">
        <f>IF(B8&gt;=3,"见Python/P50列","缺口")</f>
        <v/>
      </c>
      <c r="H8" s="8">
        <f>IF(B8&gt;=3,"见Python/P50列","缺口")</f>
        <v/>
      </c>
      <c r="I8" s="8">
        <f>IF(B8&gt;=3,"见Python/P50列","缺口")</f>
        <v/>
      </c>
      <c r="J8" s="9" t="inlineStr">
        <is>
          <t>缺口：n&lt;3 不给出分位</t>
        </is>
      </c>
    </row>
    <row r="9">
      <c r="A9" s="10" t="inlineStr">
        <is>
          <t>W35</t>
        </is>
      </c>
      <c r="B9" s="10" t="n">
        <v>1</v>
      </c>
      <c r="C9" s="4" t="inlineStr">
        <is>
          <t>[2026]</t>
        </is>
      </c>
      <c r="D9" s="8">
        <f>IF(B9&gt;=3,SUMPRODUCT(('01_周度数据'!$D$5:$D$16=VALUE(SUBSTITUTE(A9,"W","")))*'01_周度数据'!$F$5:$F$16)/MAX(1,SUMPRODUCT(--('01_周度数据'!$D$5:$D$16=VALUE(SUBSTITUTE(A9,"W",""))))),"缺口")</f>
        <v/>
      </c>
      <c r="E9" s="8">
        <f>IF(B9&gt;=3,MIN(IF('01_周度数据'!$D$5:$D$16=VALUE(SUBSTITUTE(A9,"W","")),'01_周度数据'!$F$5:$F$16)),"缺口")</f>
        <v/>
      </c>
      <c r="F9" s="8">
        <f>IF(B9&gt;=3,"见Python/P50列","缺口")</f>
        <v/>
      </c>
      <c r="G9" s="8">
        <f>IF(B9&gt;=3,"见Python/P50列","缺口")</f>
        <v/>
      </c>
      <c r="H9" s="8">
        <f>IF(B9&gt;=3,"见Python/P50列","缺口")</f>
        <v/>
      </c>
      <c r="I9" s="8">
        <f>IF(B9&gt;=3,"见Python/P50列","缺口")</f>
        <v/>
      </c>
      <c r="J9" s="9" t="inlineStr">
        <is>
          <t>缺口：n&lt;3 不给出分位</t>
        </is>
      </c>
    </row>
    <row r="10">
      <c r="A10" s="10" t="inlineStr">
        <is>
          <t>W36</t>
        </is>
      </c>
      <c r="B10" s="10" t="n">
        <v>1</v>
      </c>
      <c r="C10" s="4" t="inlineStr">
        <is>
          <t>[2026]</t>
        </is>
      </c>
      <c r="D10" s="8">
        <f>IF(B10&gt;=3,SUMPRODUCT(('01_周度数据'!$D$5:$D$16=VALUE(SUBSTITUTE(A10,"W","")))*'01_周度数据'!$F$5:$F$16)/MAX(1,SUMPRODUCT(--('01_周度数据'!$D$5:$D$16=VALUE(SUBSTITUTE(A10,"W",""))))),"缺口")</f>
        <v/>
      </c>
      <c r="E10" s="8">
        <f>IF(B10&gt;=3,MIN(IF('01_周度数据'!$D$5:$D$16=VALUE(SUBSTITUTE(A10,"W","")),'01_周度数据'!$F$5:$F$16)),"缺口")</f>
        <v/>
      </c>
      <c r="F10" s="8">
        <f>IF(B10&gt;=3,"见Python/P50列","缺口")</f>
        <v/>
      </c>
      <c r="G10" s="8">
        <f>IF(B10&gt;=3,"见Python/P50列","缺口")</f>
        <v/>
      </c>
      <c r="H10" s="8">
        <f>IF(B10&gt;=3,"见Python/P50列","缺口")</f>
        <v/>
      </c>
      <c r="I10" s="8">
        <f>IF(B10&gt;=3,"见Python/P50列","缺口")</f>
        <v/>
      </c>
      <c r="J10" s="9" t="inlineStr">
        <is>
          <t>缺口：n&lt;3 不给出分位</t>
        </is>
      </c>
    </row>
    <row r="11">
      <c r="A11" s="10" t="inlineStr">
        <is>
          <t>W37</t>
        </is>
      </c>
      <c r="B11" s="10" t="n">
        <v>1</v>
      </c>
      <c r="C11" s="4" t="inlineStr">
        <is>
          <t>[2026]</t>
        </is>
      </c>
      <c r="D11" s="8">
        <f>IF(B11&gt;=3,SUMPRODUCT(('01_周度数据'!$D$5:$D$16=VALUE(SUBSTITUTE(A11,"W","")))*'01_周度数据'!$F$5:$F$16)/MAX(1,SUMPRODUCT(--('01_周度数据'!$D$5:$D$16=VALUE(SUBSTITUTE(A11,"W",""))))),"缺口")</f>
        <v/>
      </c>
      <c r="E11" s="8">
        <f>IF(B11&gt;=3,MIN(IF('01_周度数据'!$D$5:$D$16=VALUE(SUBSTITUTE(A11,"W","")),'01_周度数据'!$F$5:$F$16)),"缺口")</f>
        <v/>
      </c>
      <c r="F11" s="8">
        <f>IF(B11&gt;=3,"见Python/P50列","缺口")</f>
        <v/>
      </c>
      <c r="G11" s="8">
        <f>IF(B11&gt;=3,"见Python/P50列","缺口")</f>
        <v/>
      </c>
      <c r="H11" s="8">
        <f>IF(B11&gt;=3,"见Python/P50列","缺口")</f>
        <v/>
      </c>
      <c r="I11" s="8">
        <f>IF(B11&gt;=3,"见Python/P50列","缺口")</f>
        <v/>
      </c>
      <c r="J11" s="9" t="inlineStr">
        <is>
          <t>缺口：n&lt;3 不给出分位</t>
        </is>
      </c>
    </row>
    <row r="12">
      <c r="A12" s="10" t="inlineStr">
        <is>
          <t>W38</t>
        </is>
      </c>
      <c r="B12" s="10" t="n">
        <v>1</v>
      </c>
      <c r="C12" s="4" t="inlineStr">
        <is>
          <t>[2026]</t>
        </is>
      </c>
      <c r="D12" s="8">
        <f>IF(B12&gt;=3,SUMPRODUCT(('01_周度数据'!$D$5:$D$16=VALUE(SUBSTITUTE(A12,"W","")))*'01_周度数据'!$F$5:$F$16)/MAX(1,SUMPRODUCT(--('01_周度数据'!$D$5:$D$16=VALUE(SUBSTITUTE(A12,"W",""))))),"缺口")</f>
        <v/>
      </c>
      <c r="E12" s="8">
        <f>IF(B12&gt;=3,MIN(IF('01_周度数据'!$D$5:$D$16=VALUE(SUBSTITUTE(A12,"W","")),'01_周度数据'!$F$5:$F$16)),"缺口")</f>
        <v/>
      </c>
      <c r="F12" s="8">
        <f>IF(B12&gt;=3,"见Python/P50列","缺口")</f>
        <v/>
      </c>
      <c r="G12" s="8">
        <f>IF(B12&gt;=3,"见Python/P50列","缺口")</f>
        <v/>
      </c>
      <c r="H12" s="8">
        <f>IF(B12&gt;=3,"见Python/P50列","缺口")</f>
        <v/>
      </c>
      <c r="I12" s="8">
        <f>IF(B12&gt;=3,"见Python/P50列","缺口")</f>
        <v/>
      </c>
      <c r="J12" s="9" t="inlineStr">
        <is>
          <t>缺口：n&lt;3 不给出分位</t>
        </is>
      </c>
    </row>
    <row r="13">
      <c r="A13" s="10" t="inlineStr">
        <is>
          <t>W39</t>
        </is>
      </c>
      <c r="B13" s="10" t="n">
        <v>1</v>
      </c>
      <c r="C13" s="4" t="inlineStr">
        <is>
          <t>[2026]</t>
        </is>
      </c>
      <c r="D13" s="8">
        <f>IF(B13&gt;=3,SUMPRODUCT(('01_周度数据'!$D$5:$D$16=VALUE(SUBSTITUTE(A13,"W","")))*'01_周度数据'!$F$5:$F$16)/MAX(1,SUMPRODUCT(--('01_周度数据'!$D$5:$D$16=VALUE(SUBSTITUTE(A13,"W",""))))),"缺口")</f>
        <v/>
      </c>
      <c r="E13" s="8">
        <f>IF(B13&gt;=3,MIN(IF('01_周度数据'!$D$5:$D$16=VALUE(SUBSTITUTE(A13,"W","")),'01_周度数据'!$F$5:$F$16)),"缺口")</f>
        <v/>
      </c>
      <c r="F13" s="8">
        <f>IF(B13&gt;=3,"见Python/P50列","缺口")</f>
        <v/>
      </c>
      <c r="G13" s="8">
        <f>IF(B13&gt;=3,"见Python/P50列","缺口")</f>
        <v/>
      </c>
      <c r="H13" s="8">
        <f>IF(B13&gt;=3,"见Python/P50列","缺口")</f>
        <v/>
      </c>
      <c r="I13" s="8">
        <f>IF(B13&gt;=3,"见Python/P50列","缺口")</f>
        <v/>
      </c>
      <c r="J13" s="9" t="inlineStr">
        <is>
          <t>缺口：n&lt;3 不给出分位</t>
        </is>
      </c>
    </row>
    <row r="14">
      <c r="A14" s="10" t="inlineStr">
        <is>
          <t>W40</t>
        </is>
      </c>
      <c r="B14" s="10" t="n">
        <v>1</v>
      </c>
      <c r="C14" s="4" t="inlineStr">
        <is>
          <t>[2026]</t>
        </is>
      </c>
      <c r="D14" s="8">
        <f>IF(B14&gt;=3,SUMPRODUCT(('01_周度数据'!$D$5:$D$16=VALUE(SUBSTITUTE(A14,"W","")))*'01_周度数据'!$F$5:$F$16)/MAX(1,SUMPRODUCT(--('01_周度数据'!$D$5:$D$16=VALUE(SUBSTITUTE(A14,"W",""))))),"缺口")</f>
        <v/>
      </c>
      <c r="E14" s="8">
        <f>IF(B14&gt;=3,MIN(IF('01_周度数据'!$D$5:$D$16=VALUE(SUBSTITUTE(A14,"W","")),'01_周度数据'!$F$5:$F$16)),"缺口")</f>
        <v/>
      </c>
      <c r="F14" s="8">
        <f>IF(B14&gt;=3,"见Python/P50列","缺口")</f>
        <v/>
      </c>
      <c r="G14" s="8">
        <f>IF(B14&gt;=3,"见Python/P50列","缺口")</f>
        <v/>
      </c>
      <c r="H14" s="8">
        <f>IF(B14&gt;=3,"见Python/P50列","缺口")</f>
        <v/>
      </c>
      <c r="I14" s="8">
        <f>IF(B14&gt;=3,"见Python/P50列","缺口")</f>
        <v/>
      </c>
      <c r="J14" s="9" t="inlineStr">
        <is>
          <t>缺口：n&lt;3 不给出分位</t>
        </is>
      </c>
    </row>
    <row r="15">
      <c r="A15" s="10" t="inlineStr">
        <is>
          <t>W41</t>
        </is>
      </c>
      <c r="B15" s="10" t="n">
        <v>1</v>
      </c>
      <c r="C15" s="4" t="inlineStr">
        <is>
          <t>[2026]</t>
        </is>
      </c>
      <c r="D15" s="8">
        <f>IF(B15&gt;=3,SUMPRODUCT(('01_周度数据'!$D$5:$D$16=VALUE(SUBSTITUTE(A15,"W","")))*'01_周度数据'!$F$5:$F$16)/MAX(1,SUMPRODUCT(--('01_周度数据'!$D$5:$D$16=VALUE(SUBSTITUTE(A15,"W",""))))),"缺口")</f>
        <v/>
      </c>
      <c r="E15" s="8">
        <f>IF(B15&gt;=3,MIN(IF('01_周度数据'!$D$5:$D$16=VALUE(SUBSTITUTE(A15,"W","")),'01_周度数据'!$F$5:$F$16)),"缺口")</f>
        <v/>
      </c>
      <c r="F15" s="8">
        <f>IF(B15&gt;=3,"见Python/P50列","缺口")</f>
        <v/>
      </c>
      <c r="G15" s="8">
        <f>IF(B15&gt;=3,"见Python/P50列","缺口")</f>
        <v/>
      </c>
      <c r="H15" s="8">
        <f>IF(B15&gt;=3,"见Python/P50列","缺口")</f>
        <v/>
      </c>
      <c r="I15" s="8">
        <f>IF(B15&gt;=3,"见Python/P50列","缺口")</f>
        <v/>
      </c>
      <c r="J15" s="9" t="inlineStr">
        <is>
          <t>缺口：n&lt;3 不给出分位</t>
        </is>
      </c>
    </row>
    <row r="16">
      <c r="A16" s="10" t="inlineStr">
        <is>
          <t>W42</t>
        </is>
      </c>
      <c r="B16" s="10" t="n">
        <v>1</v>
      </c>
      <c r="C16" s="4" t="inlineStr">
        <is>
          <t>[2026]</t>
        </is>
      </c>
      <c r="D16" s="8">
        <f>IF(B16&gt;=3,SUMPRODUCT(('01_周度数据'!$D$5:$D$16=VALUE(SUBSTITUTE(A16,"W","")))*'01_周度数据'!$F$5:$F$16)/MAX(1,SUMPRODUCT(--('01_周度数据'!$D$5:$D$16=VALUE(SUBSTITUTE(A16,"W",""))))),"缺口")</f>
        <v/>
      </c>
      <c r="E16" s="8">
        <f>IF(B16&gt;=3,MIN(IF('01_周度数据'!$D$5:$D$16=VALUE(SUBSTITUTE(A16,"W","")),'01_周度数据'!$F$5:$F$16)),"缺口")</f>
        <v/>
      </c>
      <c r="F16" s="8">
        <f>IF(B16&gt;=3,"见Python/P50列","缺口")</f>
        <v/>
      </c>
      <c r="G16" s="8">
        <f>IF(B16&gt;=3,"见Python/P50列","缺口")</f>
        <v/>
      </c>
      <c r="H16" s="8">
        <f>IF(B16&gt;=3,"见Python/P50列","缺口")</f>
        <v/>
      </c>
      <c r="I16" s="8">
        <f>IF(B16&gt;=3,"见Python/P50列","缺口")</f>
        <v/>
      </c>
      <c r="J16" s="9" t="inlineStr">
        <is>
          <t>缺口：n&lt;3 不给出分位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22" customWidth="1" min="7" max="7"/>
    <col width="14" customWidth="1" min="8" max="8"/>
    <col width="14" customWidth="1" min="9" max="9"/>
    <col width="34" customWidth="1" min="10" max="10"/>
  </cols>
  <sheetData>
    <row r="1" ht="34" customHeight="1">
      <c r="A1" s="1" t="inlineStr">
        <is>
          <t>2026 年逐周：位置、4 周与 12 周变化</t>
        </is>
      </c>
    </row>
    <row r="2" ht="30" customHeight="1">
      <c r="A2" s="2" t="inlineStr">
        <is>
          <t>位置指标（分位、z 值）需要 ≥3 年同周样本才有意义；当前为 1，故位置列显示“缺口”。4 周/12 周变化只用本年内真实观测相减，不做任何平滑。</t>
        </is>
      </c>
    </row>
    <row r="4" ht="32" customHeight="1">
      <c r="A4" s="6" t="inlineStr">
        <is>
          <t>周期截止日</t>
        </is>
      </c>
      <c r="B4" s="6" t="inlineStr">
        <is>
          <t>ISO周</t>
        </is>
      </c>
      <c r="C4" s="6" t="inlineStr">
        <is>
          <t>整体%</t>
        </is>
      </c>
      <c r="D4" s="6" t="inlineStr">
        <is>
          <t>同周历史n</t>
        </is>
      </c>
      <c r="E4" s="6" t="inlineStr">
        <is>
          <t>同周均值</t>
        </is>
      </c>
      <c r="F4" s="6" t="inlineStr">
        <is>
          <t>同周P50</t>
        </is>
      </c>
      <c r="G4" s="6" t="inlineStr">
        <is>
          <t>低于本周的历史占比</t>
        </is>
      </c>
      <c r="H4" s="6" t="inlineStr">
        <is>
          <t>4周变化(pp)</t>
        </is>
      </c>
      <c r="I4" s="6" t="inlineStr">
        <is>
          <t>12周变化(pp)</t>
        </is>
      </c>
      <c r="J4" s="6" t="inlineStr">
        <is>
          <t>位置判定</t>
        </is>
      </c>
    </row>
    <row r="5">
      <c r="A5" s="12" t="inlineStr">
        <is>
          <t>2026-07-24</t>
        </is>
      </c>
      <c r="B5" s="10" t="inlineStr">
        <is>
          <t>W30</t>
        </is>
      </c>
      <c r="C5" s="8" t="n">
        <v>70.14</v>
      </c>
      <c r="D5" s="10" t="n">
        <v>1</v>
      </c>
      <c r="E5" s="9" t="n">
        <v>70.14</v>
      </c>
      <c r="F5" s="9" t="inlineStr">
        <is>
          <t>缺口</t>
        </is>
      </c>
      <c r="G5" s="18" t="inlineStr">
        <is>
          <t>缺口</t>
        </is>
      </c>
      <c r="H5" s="19" t="inlineStr">
        <is>
          <t>缺口</t>
        </is>
      </c>
      <c r="I5" s="19" t="inlineStr">
        <is>
          <t>缺口</t>
        </is>
      </c>
      <c r="J5" s="9" t="inlineStr">
        <is>
          <t>同周无历史样本 → 无法给出分位位置</t>
        </is>
      </c>
    </row>
    <row r="6">
      <c r="A6" s="12" t="inlineStr">
        <is>
          <t>2026-08-07</t>
        </is>
      </c>
      <c r="B6" s="10" t="inlineStr">
        <is>
          <t>W32</t>
        </is>
      </c>
      <c r="C6" s="8" t="n">
        <v>71.90000000000001</v>
      </c>
      <c r="D6" s="10" t="n">
        <v>1</v>
      </c>
      <c r="E6" s="9" t="n">
        <v>71.90000000000001</v>
      </c>
      <c r="F6" s="9" t="inlineStr">
        <is>
          <t>缺口</t>
        </is>
      </c>
      <c r="G6" s="18" t="inlineStr">
        <is>
          <t>缺口</t>
        </is>
      </c>
      <c r="H6" s="19" t="inlineStr">
        <is>
          <t>缺口</t>
        </is>
      </c>
      <c r="I6" s="19" t="inlineStr">
        <is>
          <t>缺口</t>
        </is>
      </c>
      <c r="J6" s="9" t="inlineStr">
        <is>
          <t>同周无历史样本 → 无法给出分位位置</t>
        </is>
      </c>
    </row>
    <row r="7">
      <c r="A7" s="12" t="inlineStr">
        <is>
          <t>2026-08-14</t>
        </is>
      </c>
      <c r="B7" s="10" t="inlineStr">
        <is>
          <t>W33</t>
        </is>
      </c>
      <c r="C7" s="8" t="n">
        <v>73.76000000000001</v>
      </c>
      <c r="D7" s="10" t="n">
        <v>1</v>
      </c>
      <c r="E7" s="9" t="n">
        <v>73.76000000000001</v>
      </c>
      <c r="F7" s="9" t="inlineStr">
        <is>
          <t>缺口</t>
        </is>
      </c>
      <c r="G7" s="18" t="inlineStr">
        <is>
          <t>缺口</t>
        </is>
      </c>
      <c r="H7" s="19" t="inlineStr">
        <is>
          <t>缺口</t>
        </is>
      </c>
      <c r="I7" s="19" t="inlineStr">
        <is>
          <t>缺口</t>
        </is>
      </c>
      <c r="J7" s="9" t="inlineStr">
        <is>
          <t>同周无历史样本 → 无法给出分位位置</t>
        </is>
      </c>
    </row>
    <row r="8">
      <c r="A8" s="12" t="inlineStr">
        <is>
          <t>2026-08-20</t>
        </is>
      </c>
      <c r="B8" s="10" t="inlineStr">
        <is>
          <t>W34</t>
        </is>
      </c>
      <c r="C8" s="8" t="n">
        <v>70.68000000000001</v>
      </c>
      <c r="D8" s="10" t="n">
        <v>1</v>
      </c>
      <c r="E8" s="9" t="n">
        <v>70.68000000000001</v>
      </c>
      <c r="F8" s="9" t="inlineStr">
        <is>
          <t>缺口</t>
        </is>
      </c>
      <c r="G8" s="18" t="inlineStr">
        <is>
          <t>缺口</t>
        </is>
      </c>
      <c r="H8" s="19" t="inlineStr">
        <is>
          <t>缺口</t>
        </is>
      </c>
      <c r="I8" s="19" t="inlineStr">
        <is>
          <t>缺口</t>
        </is>
      </c>
      <c r="J8" s="9" t="inlineStr">
        <is>
          <t>同周无历史样本 → 无法给出分位位置</t>
        </is>
      </c>
    </row>
    <row r="9">
      <c r="A9" s="12" t="inlineStr">
        <is>
          <t>2026-08-27</t>
        </is>
      </c>
      <c r="B9" s="10" t="inlineStr">
        <is>
          <t>W35</t>
        </is>
      </c>
      <c r="C9" s="8" t="n">
        <v>68.22</v>
      </c>
      <c r="D9" s="10" t="n">
        <v>1</v>
      </c>
      <c r="E9" s="9" t="n">
        <v>68.22</v>
      </c>
      <c r="F9" s="9" t="inlineStr">
        <is>
          <t>缺口</t>
        </is>
      </c>
      <c r="G9" s="18" t="inlineStr">
        <is>
          <t>缺口</t>
        </is>
      </c>
      <c r="H9" s="19">
        <f>IF(ROW()&lt;9,"缺口",ROUND(C9-C5,2))</f>
        <v/>
      </c>
      <c r="I9" s="19" t="inlineStr">
        <is>
          <t>缺口</t>
        </is>
      </c>
      <c r="J9" s="9" t="inlineStr">
        <is>
          <t>同周无历史样本 → 无法给出分位位置</t>
        </is>
      </c>
    </row>
    <row r="10">
      <c r="A10" s="12" t="inlineStr">
        <is>
          <t>2026-09-03</t>
        </is>
      </c>
      <c r="B10" s="10" t="inlineStr">
        <is>
          <t>W36</t>
        </is>
      </c>
      <c r="C10" s="8" t="n">
        <v>68.3</v>
      </c>
      <c r="D10" s="10" t="n">
        <v>1</v>
      </c>
      <c r="E10" s="9" t="n">
        <v>68.3</v>
      </c>
      <c r="F10" s="9" t="inlineStr">
        <is>
          <t>缺口</t>
        </is>
      </c>
      <c r="G10" s="18" t="inlineStr">
        <is>
          <t>缺口</t>
        </is>
      </c>
      <c r="H10" s="19">
        <f>IF(ROW()&lt;9,"缺口",ROUND(C10-C6,2))</f>
        <v/>
      </c>
      <c r="I10" s="19" t="inlineStr">
        <is>
          <t>缺口</t>
        </is>
      </c>
      <c r="J10" s="9" t="inlineStr">
        <is>
          <t>同周无历史样本 → 无法给出分位位置</t>
        </is>
      </c>
    </row>
    <row r="11">
      <c r="A11" s="12" t="inlineStr">
        <is>
          <t>2026-09-10</t>
        </is>
      </c>
      <c r="B11" s="10" t="inlineStr">
        <is>
          <t>W37</t>
        </is>
      </c>
      <c r="C11" s="8" t="n">
        <v>69.89</v>
      </c>
      <c r="D11" s="10" t="n">
        <v>1</v>
      </c>
      <c r="E11" s="9" t="n">
        <v>69.89</v>
      </c>
      <c r="F11" s="9" t="inlineStr">
        <is>
          <t>缺口</t>
        </is>
      </c>
      <c r="G11" s="18" t="inlineStr">
        <is>
          <t>缺口</t>
        </is>
      </c>
      <c r="H11" s="19">
        <f>IF(ROW()&lt;9,"缺口",ROUND(C11-C7,2))</f>
        <v/>
      </c>
      <c r="I11" s="19" t="inlineStr">
        <is>
          <t>缺口</t>
        </is>
      </c>
      <c r="J11" s="9" t="inlineStr">
        <is>
          <t>同周无历史样本 → 无法给出分位位置</t>
        </is>
      </c>
    </row>
    <row r="12">
      <c r="A12" s="12" t="inlineStr">
        <is>
          <t>2026-09-17</t>
        </is>
      </c>
      <c r="B12" s="10" t="inlineStr">
        <is>
          <t>W38</t>
        </is>
      </c>
      <c r="C12" s="8" t="n">
        <v>69.23</v>
      </c>
      <c r="D12" s="10" t="n">
        <v>1</v>
      </c>
      <c r="E12" s="9" t="n">
        <v>69.23</v>
      </c>
      <c r="F12" s="9" t="inlineStr">
        <is>
          <t>缺口</t>
        </is>
      </c>
      <c r="G12" s="18" t="inlineStr">
        <is>
          <t>缺口</t>
        </is>
      </c>
      <c r="H12" s="19">
        <f>IF(ROW()&lt;9,"缺口",ROUND(C12-C8,2))</f>
        <v/>
      </c>
      <c r="I12" s="19" t="inlineStr">
        <is>
          <t>缺口</t>
        </is>
      </c>
      <c r="J12" s="9" t="inlineStr">
        <is>
          <t>同周无历史样本 → 无法给出分位位置</t>
        </is>
      </c>
    </row>
    <row r="13">
      <c r="A13" s="12" t="inlineStr">
        <is>
          <t>2026-09-24</t>
        </is>
      </c>
      <c r="B13" s="10" t="inlineStr">
        <is>
          <t>W39</t>
        </is>
      </c>
      <c r="C13" s="8" t="n">
        <v>66.73999999999999</v>
      </c>
      <c r="D13" s="10" t="n">
        <v>1</v>
      </c>
      <c r="E13" s="9" t="n">
        <v>66.73999999999999</v>
      </c>
      <c r="F13" s="9" t="inlineStr">
        <is>
          <t>缺口</t>
        </is>
      </c>
      <c r="G13" s="18" t="inlineStr">
        <is>
          <t>缺口</t>
        </is>
      </c>
      <c r="H13" s="19">
        <f>IF(ROW()&lt;9,"缺口",ROUND(C13-C9,2))</f>
        <v/>
      </c>
      <c r="I13" s="19" t="inlineStr">
        <is>
          <t>缺口</t>
        </is>
      </c>
      <c r="J13" s="9" t="inlineStr">
        <is>
          <t>同周无历史样本 → 无法给出分位位置</t>
        </is>
      </c>
    </row>
    <row r="14">
      <c r="A14" s="12" t="inlineStr">
        <is>
          <t>2026-10-01</t>
        </is>
      </c>
      <c r="B14" s="10" t="inlineStr">
        <is>
          <t>W40</t>
        </is>
      </c>
      <c r="C14" s="8" t="n">
        <v>66.14</v>
      </c>
      <c r="D14" s="10" t="n">
        <v>1</v>
      </c>
      <c r="E14" s="9" t="n">
        <v>66.14</v>
      </c>
      <c r="F14" s="9" t="inlineStr">
        <is>
          <t>缺口</t>
        </is>
      </c>
      <c r="G14" s="18" t="inlineStr">
        <is>
          <t>缺口</t>
        </is>
      </c>
      <c r="H14" s="19">
        <f>IF(ROW()&lt;9,"缺口",ROUND(C14-C10,2))</f>
        <v/>
      </c>
      <c r="I14" s="19" t="inlineStr">
        <is>
          <t>缺口</t>
        </is>
      </c>
      <c r="J14" s="9" t="inlineStr">
        <is>
          <t>同周无历史样本 → 无法给出分位位置</t>
        </is>
      </c>
    </row>
    <row r="15">
      <c r="A15" s="12" t="inlineStr">
        <is>
          <t>2026-10-08</t>
        </is>
      </c>
      <c r="B15" s="10" t="inlineStr">
        <is>
          <t>W41</t>
        </is>
      </c>
      <c r="C15" s="8" t="n">
        <v>66.26000000000001</v>
      </c>
      <c r="D15" s="10" t="n">
        <v>1</v>
      </c>
      <c r="E15" s="9" t="n">
        <v>66.26000000000001</v>
      </c>
      <c r="F15" s="9" t="inlineStr">
        <is>
          <t>缺口</t>
        </is>
      </c>
      <c r="G15" s="18" t="inlineStr">
        <is>
          <t>缺口</t>
        </is>
      </c>
      <c r="H15" s="19">
        <f>IF(ROW()&lt;9,"缺口",ROUND(C15-C11,2))</f>
        <v/>
      </c>
      <c r="I15" s="19" t="inlineStr">
        <is>
          <t>缺口</t>
        </is>
      </c>
      <c r="J15" s="9" t="inlineStr">
        <is>
          <t>同周无历史样本 → 无法给出分位位置</t>
        </is>
      </c>
    </row>
    <row r="16">
      <c r="A16" s="12" t="inlineStr">
        <is>
          <t>2026-10-15</t>
        </is>
      </c>
      <c r="B16" s="10" t="inlineStr">
        <is>
          <t>W42</t>
        </is>
      </c>
      <c r="C16" s="8" t="n">
        <v>64.59</v>
      </c>
      <c r="D16" s="10" t="n">
        <v>1</v>
      </c>
      <c r="E16" s="9" t="n">
        <v>64.59</v>
      </c>
      <c r="F16" s="9" t="inlineStr">
        <is>
          <t>缺口</t>
        </is>
      </c>
      <c r="G16" s="18" t="inlineStr">
        <is>
          <t>缺口</t>
        </is>
      </c>
      <c r="H16" s="19">
        <f>IF(ROW()&lt;9,"缺口",ROUND(C16-C12,2))</f>
        <v/>
      </c>
      <c r="I16" s="19" t="inlineStr">
        <is>
          <t>缺口</t>
        </is>
      </c>
      <c r="J16" s="9" t="inlineStr">
        <is>
          <t>同周无历史样本 → 无法给出分位位置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34" customWidth="1" min="6" max="6"/>
    <col width="18" customWidth="1" min="7" max="7"/>
    <col width="50" customWidth="1" min="8" max="8"/>
    <col width="52" customWidth="1" min="9" max="9"/>
  </cols>
  <sheetData>
    <row r="1" ht="34" customHeight="1">
      <c r="A1" s="1" t="inlineStr">
        <is>
          <t>与历年可核验同期值的对照（同口径锚点）</t>
        </is>
      </c>
    </row>
    <row r="2" ht="30" customHeight="1">
      <c r="A2" s="2" t="inlineStr">
        <is>
          <t>只有“同发布方、同指标、同定义”的单周观测才能进这张表。卓创/钢联的开工负荷率列在下一张表，不参与任何对比计算。</t>
        </is>
      </c>
    </row>
    <row r="4" ht="32" customHeight="1">
      <c r="A4" s="6" t="inlineStr">
        <is>
          <t>数据集周</t>
        </is>
      </c>
      <c r="B4" s="6" t="inlineStr">
        <is>
          <t>数据集值%</t>
        </is>
      </c>
      <c r="C4" s="6" t="inlineStr">
        <is>
          <t>对照周</t>
        </is>
      </c>
      <c r="D4" s="6" t="inlineStr">
        <is>
          <t>对照值%</t>
        </is>
      </c>
      <c r="E4" s="6" t="inlineStr">
        <is>
          <t>差值(pp)</t>
        </is>
      </c>
      <c r="F4" s="6" t="inlineStr">
        <is>
          <t>对照来源</t>
        </is>
      </c>
      <c r="G4" s="6" t="inlineStr">
        <is>
          <t>口径</t>
        </is>
      </c>
      <c r="H4" s="6" t="inlineStr">
        <is>
          <t>URL</t>
        </is>
      </c>
      <c r="I4" s="6" t="inlineStr">
        <is>
          <t>结论标注</t>
        </is>
      </c>
    </row>
    <row r="5" ht="34" customHeight="1">
      <c r="A5" s="12" t="inlineStr">
        <is>
          <t>2026-10-15</t>
        </is>
      </c>
      <c r="B5" s="8" t="n">
        <v>64.59</v>
      </c>
      <c r="C5" s="10" t="inlineStr">
        <is>
          <t>20250704</t>
        </is>
      </c>
      <c r="D5" s="8" t="n">
        <v>77.44</v>
      </c>
      <c r="E5" s="19">
        <f>B5-D5</f>
        <v/>
      </c>
      <c r="F5" s="4" t="inlineStr">
        <is>
          <t>新华财经（转引隆众资讯快讯）</t>
        </is>
      </c>
      <c r="G5" s="20" t="inlineStr">
        <is>
          <t>隆众口径·与主样本同源同定义</t>
        </is>
      </c>
      <c r="H5" s="11" t="inlineStr">
        <is>
          <t>https://m.cnfin.com/kx//zixun/20250704/4262569_1.html</t>
        </is>
      </c>
      <c r="I5" s="9" t="inlineStr">
        <is>
          <t>非同周号，仅作水平量级参照（相距约 14 周），不得当作“同周同比”</t>
        </is>
      </c>
    </row>
    <row r="6" ht="34" customHeight="1">
      <c r="A6" s="12" t="inlineStr">
        <is>
          <t>2026-10-15</t>
        </is>
      </c>
      <c r="B6" s="8" t="n">
        <v>64.59</v>
      </c>
      <c r="C6" s="10" t="inlineStr">
        <is>
          <t>20261015</t>
        </is>
      </c>
      <c r="D6" s="8" t="n">
        <v>64.59</v>
      </c>
      <c r="E6" s="19">
        <f>B6-D6</f>
        <v/>
      </c>
      <c r="F6" s="4" t="inlineStr">
        <is>
          <t>隆众资讯速讯（mysteel 转载）</t>
        </is>
      </c>
      <c r="G6" s="20" t="inlineStr">
        <is>
          <t>隆众口径·与主样本同源同定义</t>
        </is>
      </c>
      <c r="H6" s="11" t="inlineStr">
        <is>
          <t>https://www.mysteel.com/oilchem/a/26101608/87AD42ED0F95C49B.html</t>
        </is>
      </c>
      <c r="I6" s="20" t="inlineStr">
        <is>
          <t>同一周号，可直接比较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12" customWidth="1" min="5" max="5"/>
    <col width="42" customWidth="1" min="6" max="6"/>
    <col width="50" customWidth="1" min="7" max="7"/>
    <col width="44" customWidth="1" min="8" max="8"/>
  </cols>
  <sheetData>
    <row r="1" ht="34" customHeight="1">
      <c r="A1" s="1" t="inlineStr">
        <is>
          <t>异口径数据登记（严禁并入主序列）</t>
        </is>
      </c>
    </row>
    <row r="2" ht="30" customHeight="1">
      <c r="A2" s="2" t="inlineStr">
        <is>
          <t>同一周，不同发布方的“开工率”可以差 1~3 个百分点，因为样本、权重与定义不同。把它们拼成一条线会造成虚假的“季节性”，因此只登记、不参与计算。</t>
        </is>
      </c>
    </row>
    <row r="4" ht="32" customHeight="1">
      <c r="A4" s="6" t="inlineStr">
        <is>
          <t>周</t>
        </is>
      </c>
      <c r="B4" s="6" t="inlineStr">
        <is>
          <t>发布方/口径</t>
        </is>
      </c>
      <c r="C4" s="6" t="inlineStr">
        <is>
          <t>整体值%</t>
        </is>
      </c>
      <c r="D4" s="6" t="inlineStr">
        <is>
          <t>电石法%</t>
        </is>
      </c>
      <c r="E4" s="6" t="inlineStr">
        <is>
          <t>乙烯法%</t>
        </is>
      </c>
      <c r="F4" s="6" t="inlineStr">
        <is>
          <t>与隆众的差异量级</t>
        </is>
      </c>
      <c r="G4" s="6" t="inlineStr">
        <is>
          <t>URL</t>
        </is>
      </c>
      <c r="H4" s="6" t="inlineStr">
        <is>
          <t>禁止事项</t>
        </is>
      </c>
    </row>
    <row r="5" ht="40" customHeight="1">
      <c r="A5" s="10" t="inlineStr">
        <is>
          <t>20261016</t>
        </is>
      </c>
      <c r="B5" s="4" t="inlineStr">
        <is>
          <t>钢联数据（媒体转引，口径为“开工负荷率”）（异口径·仅作方向性对照，禁止并入隆众序列）</t>
        </is>
      </c>
      <c r="C5" s="21" t="n">
        <v>61.5</v>
      </c>
      <c r="D5" s="22" t="inlineStr">
        <is>
          <t>缺口</t>
        </is>
      </c>
      <c r="E5" s="22" t="inlineStr">
        <is>
          <t>缺口</t>
        </is>
      </c>
      <c r="F5" s="4" t="inlineStr">
        <is>
          <t>同周可差 1~3pp，方向性对照可以，数值相减不可以</t>
        </is>
      </c>
      <c r="G5" s="11" t="inlineStr">
        <is>
          <t>https://m.sohu.com/a/1089270473_122014422</t>
        </is>
      </c>
      <c r="H5" s="23" t="inlineStr">
        <is>
          <t>禁止并入 01_周度数据；禁止与隆众值相互做同比/环比</t>
        </is>
      </c>
    </row>
    <row r="6" ht="40" customHeight="1">
      <c r="A6" s="10" t="inlineStr">
        <is>
          <t>20260618</t>
        </is>
      </c>
      <c r="B6" s="4" t="inlineStr">
        <is>
          <t>卓创资讯（开工负荷率，媒体转引）（异口径·开工负荷率，禁止并入隆众序列）</t>
        </is>
      </c>
      <c r="C6" s="21" t="n">
        <v>65.83</v>
      </c>
      <c r="D6" s="21" t="n">
        <v>76.03</v>
      </c>
      <c r="E6" s="21" t="n">
        <v>43.01</v>
      </c>
      <c r="F6" s="4" t="inlineStr">
        <is>
          <t>同周可差 1~3pp，方向性对照可以，数值相减不可以</t>
        </is>
      </c>
      <c r="G6" s="11" t="inlineStr">
        <is>
          <t>https://www.18qh.com/zixun/c-2026-06-16-4458608.html</t>
        </is>
      </c>
      <c r="H6" s="23" t="inlineStr">
        <is>
          <t>禁止并入 01_周度数据；禁止与隆众值相互做同比/环比</t>
        </is>
      </c>
    </row>
    <row r="7" ht="40" customHeight="1">
      <c r="A7" s="10" t="inlineStr">
        <is>
          <t>20260225</t>
        </is>
      </c>
      <c r="B7" s="4" t="inlineStr">
        <is>
          <t>媒体转引“隆众资讯 1 月月度产能利用率预估”（月度口径（非周度）·仅供量级参考）</t>
        </is>
      </c>
      <c r="C7" s="21" t="n">
        <v>78.98</v>
      </c>
      <c r="D7" s="21" t="n">
        <v>79.76000000000001</v>
      </c>
      <c r="E7" s="21" t="n">
        <v>77.14</v>
      </c>
      <c r="F7" s="4" t="inlineStr">
        <is>
          <t>同周可差 1~3pp，方向性对照可以，数值相减不可以</t>
        </is>
      </c>
      <c r="G7" s="11" t="inlineStr">
        <is>
          <t>https://finance.eastmoney.com/a/202602023638017289.html</t>
        </is>
      </c>
      <c r="H7" s="23" t="inlineStr">
        <is>
          <t>禁止并入 01_周度数据；禁止与隆众值相互做同比/环比</t>
        </is>
      </c>
    </row>
    <row r="8" ht="40" customHeight="1">
      <c r="A8" s="10" t="inlineStr">
        <is>
          <t>20260312</t>
        </is>
      </c>
      <c r="B8" s="4" t="inlineStr">
        <is>
          <t>卓创资讯（开工负荷率，证券时报转引）（异口径·且统计周期为周五至次周四的另一口径，禁止并入）</t>
        </is>
      </c>
      <c r="C8" s="21" t="n">
        <v>78.48999999999999</v>
      </c>
      <c r="D8" s="21" t="n">
        <v>81.89</v>
      </c>
      <c r="E8" s="21" t="n">
        <v>71</v>
      </c>
      <c r="F8" s="4" t="inlineStr">
        <is>
          <t>同周可差 1~3pp，方向性对照可以，数值相减不可以</t>
        </is>
      </c>
      <c r="G8" s="11" t="inlineStr">
        <is>
          <t>https://stcn.com/article/detail/3682252.html</t>
        </is>
      </c>
      <c r="H8" s="23" t="inlineStr">
        <is>
          <t>禁止并入 01_周度数据；禁止与隆众值相互做同比/环比</t>
        </is>
      </c>
    </row>
    <row r="9" ht="40" customHeight="1">
      <c r="A9" s="10" t="inlineStr">
        <is>
          <t>20260827</t>
        </is>
      </c>
      <c r="B9" s="4" t="inlineStr">
        <is>
          <t>卓创资讯（媒体转引）（异口径·同文“开工率/产能利用率”混用，禁止并入）</t>
        </is>
      </c>
      <c r="C9" s="21" t="n">
        <v>66.69</v>
      </c>
      <c r="D9" s="21" t="n">
        <v>68.42</v>
      </c>
      <c r="E9" s="21" t="n">
        <v>62.81</v>
      </c>
      <c r="F9" s="4" t="inlineStr">
        <is>
          <t>同周可差 1~3pp，方向性对照可以，数值相减不可以</t>
        </is>
      </c>
      <c r="G9" s="11" t="inlineStr">
        <is>
          <t>https://qhweb.eastmoney.com/news/202608313859559837.html</t>
        </is>
      </c>
      <c r="H9" s="23" t="inlineStr">
        <is>
          <t>禁止并入 01_周度数据；禁止与隆众值相互做同比/环比</t>
        </is>
      </c>
    </row>
  </sheetData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8" customWidth="1" min="3" max="3"/>
    <col width="34" customWidth="1" min="4" max="4"/>
    <col width="44" customWidth="1" min="5" max="5"/>
  </cols>
  <sheetData>
    <row r="1" ht="34" customHeight="1">
      <c r="A1" s="1" t="inlineStr">
        <is>
          <t>口径、公式与复算说明</t>
        </is>
      </c>
    </row>
    <row r="2" ht="30" customHeight="1">
      <c r="A2" s="2" t="inlineStr">
        <is>
          <t>审核者可按本表用原始数据独立复算每一个结论。</t>
        </is>
      </c>
    </row>
    <row r="4" ht="32" customHeight="1">
      <c r="A4" s="6" t="inlineStr">
        <is>
          <t>指标</t>
        </is>
      </c>
      <c r="B4" s="6" t="inlineStr">
        <is>
          <t>公式/口径</t>
        </is>
      </c>
      <c r="C4" s="6" t="inlineStr">
        <is>
          <t>Excel 写法</t>
        </is>
      </c>
      <c r="D4" s="6" t="inlineStr">
        <is>
          <t>Python 写法</t>
        </is>
      </c>
      <c r="E4" s="6" t="inlineStr">
        <is>
          <t>注意事项</t>
        </is>
      </c>
    </row>
    <row r="5" ht="42" customHeight="1">
      <c r="A5" s="4" t="inlineStr">
        <is>
          <t>产能利用率（样本）</t>
        </is>
      </c>
      <c r="B5" s="4" t="inlineStr">
        <is>
          <t>样本企业周产量 ÷ 样本企业有效产能 × 100%；有效产能每年年底剔除连续停车≥2 年产能</t>
        </is>
      </c>
      <c r="C5" s="10">
        <f>样本周产量/样本有效产能</f>
        <v/>
      </c>
      <c r="D5" s="4" t="inlineStr">
        <is>
          <t>util = qty / eff_cap * 100</t>
        </is>
      </c>
      <c r="E5" s="4" t="inlineStr">
        <is>
          <t>分子分母必须来自同一套样本，否则无效</t>
        </is>
      </c>
    </row>
    <row r="6" ht="42" customHeight="1">
      <c r="A6" s="4" t="inlineStr">
        <is>
          <t>环比（隆众口径）</t>
        </is>
      </c>
      <c r="B6" s="4" t="inlineStr">
        <is>
          <t>本期值 − 上一**发布日**值</t>
        </is>
      </c>
      <c r="C6" s="10">
        <f>C_t-C_{t-1}</f>
        <v/>
      </c>
      <c r="D6" s="4" t="inlineStr">
        <is>
          <t>v[t]-v[t-1]</t>
        </is>
      </c>
      <c r="E6" s="16" t="inlineStr">
        <is>
          <t>★不是 ISO 周-1；发布节奏跳跃时会错配（本项目已踩坑）</t>
        </is>
      </c>
    </row>
    <row r="7" ht="42" customHeight="1">
      <c r="A7" s="4" t="inlineStr">
        <is>
          <t>同比（隆众口径）</t>
        </is>
      </c>
      <c r="B7" s="4" t="inlineStr">
        <is>
          <t>本期值 − 上年**同一发布日**当周值</t>
        </is>
      </c>
      <c r="C7" s="10">
        <f>C_t-C_{t-52}</f>
        <v/>
      </c>
      <c r="D7" s="4" t="inlineStr">
        <is>
          <t>v[t]-v[t-52]</t>
        </is>
      </c>
      <c r="E7" s="4" t="inlineStr">
        <is>
          <t>跨年周号会漂移，52 周近似必须注明</t>
        </is>
      </c>
    </row>
    <row r="8" ht="42" customHeight="1">
      <c r="A8" s="4" t="inlineStr">
        <is>
          <t>经验分位数</t>
        </is>
      </c>
      <c r="B8" s="4" t="inlineStr">
        <is>
          <t>线性插值：pos=(n-1)p，取相邻两点线性插值</t>
        </is>
      </c>
      <c r="C8" s="10">
        <f>PERCENTILE.INC(区域, q)</f>
        <v/>
      </c>
      <c r="D8" s="4" t="inlineStr">
        <is>
          <t>numpy.percentile(a, q*100, method="linear")</t>
        </is>
      </c>
      <c r="E8" s="4">
        <f> R quantile(type=7)；与 PERCENTILE.EXC 不同，勿混用</f>
        <v/>
      </c>
    </row>
    <row r="9" ht="42" customHeight="1">
      <c r="A9" s="4" t="inlineStr">
        <is>
          <t>中位数</t>
        </is>
      </c>
      <c r="B9" s="4" t="inlineStr">
        <is>
          <t>P50</t>
        </is>
      </c>
      <c r="C9" s="10">
        <f>MEDIAN(区域)</f>
        <v/>
      </c>
      <c r="D9" s="4" t="inlineStr">
        <is>
          <t>numpy.percentile(a,50)</t>
        </is>
      </c>
      <c r="E9" s="4" t="inlineStr">
        <is>
          <t>与均值并列报告：均值易被单周异常拉偏</t>
        </is>
      </c>
    </row>
    <row r="10" ht="42" customHeight="1">
      <c r="A10" s="4" t="inlineStr">
        <is>
          <t>跨年同周均值</t>
        </is>
      </c>
      <c r="B10" s="4" t="inlineStr">
        <is>
          <t>同一 ISO 周号在各年份观测的算术平均</t>
        </is>
      </c>
      <c r="C10" s="10">
        <f>AVERAGEIF(周号区域, 本周号, 值区域)</f>
        <v/>
      </c>
      <c r="D10" s="4" t="inlineStr">
        <is>
          <t>groupby(iso_week).mean()</t>
        </is>
      </c>
      <c r="E10" s="4" t="inlineStr">
        <is>
          <t>n&lt;3 不出分位；n&lt;5 结论要写“样本不足”</t>
        </is>
      </c>
    </row>
    <row r="11" ht="42" customHeight="1">
      <c r="A11" s="4" t="inlineStr">
        <is>
          <t>季节性强度</t>
        </is>
      </c>
      <c r="B11" s="4" t="inlineStr">
        <is>
          <t>seasonal_ss_share = 组间平方和 ÷ 总平方和</t>
        </is>
      </c>
      <c r="C11" s="10">
        <f>1-DEVSQ(全部)/…（建议 Python 算）</f>
        <v/>
      </c>
      <c r="D11" s="4" t="inlineStr">
        <is>
          <t>SSR/SST via one-way ANOVA</t>
        </is>
      </c>
      <c r="E11" s="4" t="inlineStr">
        <is>
          <t>周次解释力；样本年份少时会虚高，必须同时报 n 与年份</t>
        </is>
      </c>
    </row>
    <row r="12" ht="42" customHeight="1">
      <c r="A12" s="4" t="inlineStr">
        <is>
          <t>位置（低于本周的历史占比）</t>
        </is>
      </c>
      <c r="B12" s="4" t="inlineStr">
        <is>
          <t>历史同周观测中严格小于本周值的个数 ÷ 历史 n</t>
        </is>
      </c>
      <c r="C12" s="10">
        <f>COUNTIF(区域,"&lt;"&amp;本周值)/COUNT(区域)</f>
        <v/>
      </c>
      <c r="D12" s="4" t="inlineStr">
        <is>
          <t>(hist &lt; v).mean()</t>
        </is>
      </c>
      <c r="E12" s="4" t="inlineStr">
        <is>
          <t>n&lt;3 无意义，只显示“缺口”</t>
        </is>
      </c>
    </row>
    <row r="13" ht="42" customHeight="1">
      <c r="A13" s="4" t="inlineStr">
        <is>
          <t>4 周变化</t>
        </is>
      </c>
      <c r="B13" s="4" t="inlineStr">
        <is>
          <t>本周值 − 第 4 个观测前（不是 4 个自然周）</t>
        </is>
      </c>
      <c r="C13" s="10">
        <f>C_t-C_{t-4}</f>
        <v/>
      </c>
      <c r="D13" s="4" t="inlineStr">
        <is>
          <t>v[t]-v[t-4]</t>
        </is>
      </c>
      <c r="E13" s="4" t="inlineStr">
        <is>
          <t>有断档时必须按“观测序”而非“日历周”，否则会跨过缺口</t>
        </is>
      </c>
    </row>
    <row r="14" ht="42" customHeight="1">
      <c r="A14" s="4" t="inlineStr">
        <is>
          <t>12 周变化</t>
        </is>
      </c>
      <c r="B14" s="4" t="inlineStr">
        <is>
          <t>本周值 − 第 12 个观测前</t>
        </is>
      </c>
      <c r="C14" s="10">
        <f>C_t-C_{t-12}</f>
        <v/>
      </c>
      <c r="D14" s="4" t="inlineStr">
        <is>
          <t>v[t]-v[t-12]</t>
        </is>
      </c>
      <c r="E14" s="4" t="inlineStr">
        <is>
          <t>同上；本数据集仅 12 个观测，12 周变化只有最后一周可算</t>
        </is>
      </c>
    </row>
    <row r="15" ht="42" customHeight="1">
      <c r="A15" s="16" t="inlineStr">
        <is>
          <t>不可做的换算</t>
        </is>
      </c>
      <c r="B15" s="16" t="inlineStr">
        <is>
          <t>严禁 利用率×产能 = 全行业实际产量</t>
        </is>
      </c>
      <c r="C15" s="23" t="inlineStr">
        <is>
          <t>—</t>
        </is>
      </c>
      <c r="D15" s="16" t="inlineStr">
        <is>
          <t>—</t>
        </is>
      </c>
      <c r="E15" s="16" t="inlineStr">
        <is>
          <t>样本覆盖率&lt;100% 且口径为“有效产能”，与实际统计口径（规上工业/氯碱协会）不同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4" customWidth="1" min="3" max="3"/>
    <col width="60" customWidth="1" min="4" max="4"/>
    <col width="50" customWidth="1" min="5" max="5"/>
    <col width="40" customWidth="1" min="6" max="6"/>
  </cols>
  <sheetData>
    <row r="1" ht="34" customHeight="1">
      <c r="A1" s="1" t="inlineStr">
        <is>
          <t>数据缺口登记 + 复现路径</t>
        </is>
      </c>
    </row>
    <row r="2" ht="30" customHeight="1">
      <c r="A2" s="2" t="inlineStr">
        <is>
          <t>“没拿到”和“不存在”是两件事，本表把每处缺口的原因、已尝试路径、补救办法写清楚。</t>
        </is>
      </c>
    </row>
    <row r="4" ht="32" customHeight="1">
      <c r="A4" s="6" t="inlineStr">
        <is>
          <t>缺口</t>
        </is>
      </c>
      <c r="B4" s="6" t="inlineStr">
        <is>
          <t>范围</t>
        </is>
      </c>
      <c r="C4" s="6" t="inlineStr">
        <is>
          <t>为什么缺</t>
        </is>
      </c>
      <c r="D4" s="6" t="inlineStr">
        <is>
          <t>已尝试的获取路径及结果</t>
        </is>
      </c>
      <c r="E4" s="6" t="inlineStr">
        <is>
          <t>补救办法（按优先级）</t>
        </is>
      </c>
      <c r="F4" s="6" t="inlineStr">
        <is>
          <t>对结论的影响</t>
        </is>
      </c>
    </row>
    <row r="5" ht="78" customHeight="1">
      <c r="A5" s="5" t="inlineStr">
        <is>
          <t>2026-W01 ~ W29 周度值</t>
        </is>
      </c>
      <c r="B5" s="4" t="inlineStr">
        <is>
          <t>29 个周号</t>
        </is>
      </c>
      <c r="C5" s="4" t="inlineStr">
        <is>
          <t>隆众原文正文对非会员隐藏；mysteel 转载仅保留近 7 期在栏目页</t>
        </is>
      </c>
      <c r="D5" s="4" t="inlineStr">
        <is>
          <t>① myteel 栏目分页 index_N.html → 近 1 期后即触发验证码；② list.oilchem.net/381/38021 分页 → 可枚举标题但正文需会员；③ 文章ID 16 位随机十六进制 → 不可枚举；④ 图表接口仅回传 13 周窗口；⑤ Bing/百度 反爬</t>
        </is>
      </c>
      <c r="E5" s="4" t="inlineStr">
        <is>
          <t>① 直接读图表接口 pageListIds 系列（可拿 13 周滚动窗口，长期滚动抓取即可攒满）；② 采购隆众/卓创数据终端；③ 用券商研报里的公开摘要做单周锚点</t>
        </is>
      </c>
      <c r="F5" s="4" t="inlineStr">
        <is>
          <t>无法出具“2026 全年季节性曲线”，也无法做 5 年分位区间</t>
        </is>
      </c>
    </row>
    <row r="6" ht="78" customHeight="1">
      <c r="A6" s="5" t="inlineStr">
        <is>
          <t>2025 及更早的逐周序列</t>
        </is>
      </c>
      <c r="B6" s="4" t="inlineStr">
        <is>
          <t>5 年目标</t>
        </is>
      </c>
      <c r="C6" s="4" t="inlineStr">
        <is>
          <t>同上；且历史文章列表已被归档</t>
        </is>
      </c>
      <c r="D6" s="4" t="inlineStr">
        <is>
          <t>新华财经/中国金融信息网快讯可检索到单周原句（已取到 2025-07-04）</t>
        </is>
      </c>
      <c r="E6" s="4" t="inlineStr">
        <is>
          <t>按“单周锚点”逐个补，每条带 URL；攒够 3 年即可算同周分位</t>
        </is>
      </c>
      <c r="F6" s="4" t="inlineStr">
        <is>
          <t>跨年同期比较只能点对点，不能给区间</t>
        </is>
      </c>
    </row>
    <row r="7" ht="78" customHeight="1">
      <c r="A7" s="5" t="inlineStr">
        <is>
          <t>春节效应的量化</t>
        </is>
      </c>
      <c r="B7" s="4" t="inlineStr">
        <is>
          <t>2 月各周</t>
        </is>
      </c>
      <c r="C7" s="4" t="inlineStr">
        <is>
          <t>缺 2021-2025 年 2 月的逐周值</t>
        </is>
      </c>
      <c r="D7" s="4" t="inlineStr">
        <is>
          <t>已确认春节日期表（2021-02-12 … 2026-02-17）</t>
        </is>
      </c>
      <c r="E7" s="4" t="inlineStr">
        <is>
          <t>补 2 月逐周数据后，用“春节相对周”对齐重算</t>
        </is>
      </c>
      <c r="F7" s="4" t="inlineStr">
        <is>
          <t>本期只能做机制解释，不能给数值结论</t>
        </is>
      </c>
    </row>
    <row r="8" ht="78" customHeight="1">
      <c r="A8" s="5" t="inlineStr">
        <is>
          <t>分工艺（电石法/乙烯法）历史</t>
        </is>
      </c>
      <c r="B8" s="4" t="inlineStr">
        <is>
          <t>全部历史</t>
        </is>
      </c>
      <c r="C8" s="4" t="inlineStr">
        <is>
          <t>快讯正文对非会员隐藏，仅近 7 期可见</t>
        </is>
      </c>
      <c r="D8" s="4" t="inlineStr">
        <is>
          <t>图表接口 ID01037485/ID01037486 提供 13 周双口径</t>
        </is>
      </c>
      <c r="E8" s="4" t="inlineStr">
        <is>
          <t>同主序列，靠滚动抓取积累</t>
        </is>
      </c>
      <c r="F8" s="4" t="inlineStr">
        <is>
          <t>分工艺季节性无法在本期出结论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0" customWidth="1" min="5" max="5"/>
    <col width="96" customWidth="1" min="6" max="6"/>
  </cols>
  <sheetData>
    <row r="1" ht="34" customHeight="1">
      <c r="A1" s="1" t="inlineStr">
        <is>
          <t>逐条来源与原文摘录（可复制粘贴验证）</t>
        </is>
      </c>
    </row>
    <row r="2" ht="30" customHeight="1">
      <c r="A2" s="2" t="inlineStr">
        <is>
          <t>每条结论都必须能追到这一行。没有这一行的数字，不进报告。</t>
        </is>
      </c>
    </row>
    <row r="4" ht="32" customHeight="1">
      <c r="A4" s="6" t="inlineStr">
        <is>
          <t>编号</t>
        </is>
      </c>
      <c r="B4" s="6" t="inlineStr">
        <is>
          <t>发布方/口径</t>
        </is>
      </c>
      <c r="C4" s="6" t="inlineStr">
        <is>
          <t>周</t>
        </is>
      </c>
      <c r="D4" s="6" t="inlineStr">
        <is>
          <t>指标</t>
        </is>
      </c>
      <c r="E4" s="6" t="inlineStr">
        <is>
          <t>值</t>
        </is>
      </c>
      <c r="F4" s="6" t="inlineStr">
        <is>
          <t>原文摘录 / URL</t>
        </is>
      </c>
    </row>
    <row r="5" ht="48" customHeight="1">
      <c r="A5" s="10" t="inlineStr">
        <is>
          <t>M1</t>
        </is>
      </c>
      <c r="B5" s="4" t="inlineStr">
        <is>
          <t>隆众资讯（转载于 myteel.com）</t>
        </is>
      </c>
      <c r="C5" s="10" t="inlineStr">
        <is>
          <t>20261015</t>
        </is>
      </c>
      <c r="D5" s="4" t="inlineStr">
        <is>
          <t>整体产能利用率</t>
        </is>
      </c>
      <c r="E5" s="8" t="n">
        <v>64.59</v>
      </c>
      <c r="F5" s="4" t="inlineStr">
        <is>
          <t>本周PVC生产企业产能利用率在64.59%，环比减少1.67%，同比减少12.10%；其中电石法在69.66%，环比减少2.62%，同比减少5.05%，乙烯法在52.78%，环比增加0.57%，同比减少28.48%
https://www.mysteel.com/oilchem/a/26101608/87AD42ED0F95C49B.html</t>
        </is>
      </c>
    </row>
    <row r="6" ht="48" customHeight="1">
      <c r="A6" s="10" t="inlineStr">
        <is>
          <t>M2</t>
        </is>
      </c>
      <c r="B6" s="4" t="inlineStr">
        <is>
          <t>隆众资讯（转载于 myteel.com）</t>
        </is>
      </c>
      <c r="C6" s="10" t="inlineStr">
        <is>
          <t>20261015</t>
        </is>
      </c>
      <c r="D6" s="4" t="inlineStr">
        <is>
          <t>电石法产能利用率</t>
        </is>
      </c>
      <c r="E6" s="8" t="n">
        <v>69.66</v>
      </c>
      <c r="F6" s="4" t="inlineStr">
        <is>
          <t>电石法在69.66%，环比减少2.62%，同比减少5.05%
https://www.mysteel.com/oilchem/a/26101608/87AD42ED0F95C49B.html</t>
        </is>
      </c>
    </row>
    <row r="7" ht="48" customHeight="1">
      <c r="A7" s="10" t="inlineStr">
        <is>
          <t>M3</t>
        </is>
      </c>
      <c r="B7" s="4" t="inlineStr">
        <is>
          <t>隆众资讯（转载于 myteel.com）</t>
        </is>
      </c>
      <c r="C7" s="10" t="inlineStr">
        <is>
          <t>20261015</t>
        </is>
      </c>
      <c r="D7" s="4" t="inlineStr">
        <is>
          <t>乙烯法产能利用率</t>
        </is>
      </c>
      <c r="E7" s="8" t="n">
        <v>52.78</v>
      </c>
      <c r="F7" s="4" t="inlineStr">
        <is>
          <t>乙烯法在52.78%，环比增加0.57%，同比减少28.48%
https://www.mysteel.com/oilchem/a/26101608/87AD42ED0F95C49B.html</t>
        </is>
      </c>
    </row>
    <row r="8" ht="48" customHeight="1">
      <c r="A8" s="10" t="inlineStr">
        <is>
          <t>M4</t>
        </is>
      </c>
      <c r="B8" s="4" t="inlineStr">
        <is>
          <t>隆众资讯图表接口（mysteel.com/pvczq 数据可视化组件 ID01230780）</t>
        </is>
      </c>
      <c r="C8" s="10" t="inlineStr">
        <is>
          <t>20260807</t>
        </is>
      </c>
      <c r="D8" s="4" t="inlineStr">
        <is>
          <t>整体产能利用率</t>
        </is>
      </c>
      <c r="E8" s="8" t="n">
        <v>73.76000000000001</v>
      </c>
      <c r="F8" s="4" t="inlineStr">
        <is>
          <t>xaxis 2026-08-07 -&gt; yaxis 73.76（PVC周度产能利用率）
https://api.mysteel.com/publishd/page/pageListIndexCharts?pageListIds=6466</t>
        </is>
      </c>
    </row>
    <row r="9" ht="48" customHeight="1">
      <c r="A9" s="10" t="inlineStr">
        <is>
          <t>M5</t>
        </is>
      </c>
      <c r="B9" s="4" t="inlineStr">
        <is>
          <t>同 M4（ID01037485）</t>
        </is>
      </c>
      <c r="C9" s="10" t="inlineStr">
        <is>
          <t>20260807</t>
        </is>
      </c>
      <c r="D9" s="4" t="inlineStr">
        <is>
          <t>电石法产能利用率</t>
        </is>
      </c>
      <c r="E9" s="8" t="n">
        <v>75.89</v>
      </c>
      <c r="F9" s="4" t="inlineStr">
        <is>
          <t>xaxis 2026-08-07 -&gt; yaxis 75.89（电石法PVC周度产能利用率）
https://api.mysteel.com/publishd/page/pageListIndexCharts?pageListIds=6466</t>
        </is>
      </c>
    </row>
    <row r="10" ht="48" customHeight="1">
      <c r="A10" s="10" t="inlineStr">
        <is>
          <t>M6</t>
        </is>
      </c>
      <c r="B10" s="4" t="inlineStr">
        <is>
          <t>同 M4（ID01037486）</t>
        </is>
      </c>
      <c r="C10" s="10" t="inlineStr">
        <is>
          <t>20260807</t>
        </is>
      </c>
      <c r="D10" s="4" t="inlineStr">
        <is>
          <t>乙烯法产能利用率</t>
        </is>
      </c>
      <c r="E10" s="8" t="n">
        <v>68.78</v>
      </c>
      <c r="F10" s="4" t="inlineStr">
        <is>
          <t>xaxis 2026-08-07 -&gt; yaxis 68.78（乙烯法PVC周度产能利用率）
https://api.mysteel.com/publishd/page/pageListIndexCharts?pageListIds=6466</t>
        </is>
      </c>
    </row>
    <row r="11" ht="48" customHeight="1">
      <c r="A11" s="10" t="inlineStr">
        <is>
          <t>Z1</t>
        </is>
      </c>
      <c r="B11" s="4" t="inlineStr">
        <is>
          <t>卓创资讯开工负荷率（媒体转引，期货公司或财经媒体）</t>
        </is>
      </c>
      <c r="C11" s="10" t="inlineStr">
        <is>
          <t>20260618</t>
        </is>
      </c>
      <c r="D11" s="4" t="inlineStr">
        <is>
          <t>PVC粉整体开工负荷率</t>
        </is>
      </c>
      <c r="E11" s="8" t="n">
        <v>65.83</v>
      </c>
      <c r="F11" s="4" t="inlineStr">
        <is>
          <t>本期PVC粉整体开工负荷率为65.83%，环比上期+0.91%；其中电石法PVC粉开工负荷率为76.03%，乙烯法PVC粉开工负荷率为43.01%
https://www.18qh.com/zixun/c-2026-06-16-4458608.html</t>
        </is>
      </c>
    </row>
    <row r="12" ht="48" customHeight="1">
      <c r="A12" s="10" t="inlineStr">
        <is>
          <t>Z2</t>
        </is>
      </c>
      <c r="B12" s="4" t="inlineStr">
        <is>
          <t>卓创资讯开工负荷率（媒体转引）</t>
        </is>
      </c>
      <c r="C12" s="10" t="inlineStr">
        <is>
          <t>20260827</t>
        </is>
      </c>
      <c r="D12" s="4" t="inlineStr">
        <is>
          <t>PVC粉整体产能利用率</t>
        </is>
      </c>
      <c r="E12" s="8" t="n">
        <v>66.69</v>
      </c>
      <c r="F12" s="4" t="inlineStr">
        <is>
          <t>截至8月27日当周，国内PVC粉整体产能利用率回落至66.69%，环比下降1.68个百分点；电石法开工率为68.42%，乙烯法开工率为62.81%
https://qhweb.eastmoney.com/news/202608313859559837.html</t>
        </is>
      </c>
    </row>
    <row r="13" ht="48" customHeight="1">
      <c r="A13" s="10" t="inlineStr">
        <is>
          <t>Z3</t>
        </is>
      </c>
      <c r="B13" s="4" t="inlineStr">
        <is>
          <t>卓创资讯（转引，中国经营报系）</t>
        </is>
      </c>
      <c r="C13" s="10" t="inlineStr">
        <is>
          <t>20260930</t>
        </is>
      </c>
      <c r="D13" s="4" t="inlineStr">
        <is>
          <t>乙烯法产能利用率</t>
        </is>
      </c>
      <c r="E13" s="8" t="n">
        <v>54.48</v>
      </c>
      <c r="F13" s="4" t="inlineStr">
        <is>
          <t>9月PVC检修企业产能规模在1119万吨，同比增加40.75%；截止9月底乙烯法产能利用率降至54.48%，同比减少25.27%
https://www.sohu.com/a/1087271906_121123900</t>
        </is>
      </c>
    </row>
    <row r="14" ht="48" customHeight="1">
      <c r="A14" s="10" t="inlineStr">
        <is>
          <t>B1</t>
        </is>
      </c>
      <c r="B14" s="4" t="inlineStr">
        <is>
          <t>钢联/卓创混合引用（搜狐期货评述）</t>
        </is>
      </c>
      <c r="C14" s="10" t="inlineStr">
        <is>
          <t>20261016</t>
        </is>
      </c>
      <c r="D14" s="4" t="inlineStr">
        <is>
          <t>PVC整体开工负荷</t>
        </is>
      </c>
      <c r="E14" s="8" t="n">
        <v>61.5</v>
      </c>
      <c r="F14" s="4" t="inlineStr">
        <is>
          <t>钢联数据显示本周PVC整体开工负荷率61.5%，环比-2.99%
https://m.sohu.com/a/1089270473_122014422</t>
        </is>
      </c>
    </row>
    <row r="15" ht="42" customHeight="1">
      <c r="A15" s="10" t="inlineStr">
        <is>
          <t>W20260724</t>
        </is>
      </c>
      <c r="B15" s="4" t="inlineStr">
        <is>
          <t>隆众口径·周度</t>
        </is>
      </c>
      <c r="C15" s="10" t="inlineStr">
        <is>
          <t>20260724</t>
        </is>
      </c>
      <c r="D15" s="4" t="inlineStr">
        <is>
          <t>整体产能利用率</t>
        </is>
      </c>
      <c r="E15" s="8" t="n">
        <v>70.14</v>
      </c>
      <c r="F15" s="4" t="inlineStr">
        <is>
          <t>仅图表接口（ID01230780/ID01037485/ID01037486）回传的13周窗口起点；当期速讯原文不可得，环比/同比/样本数未披露
https://api.mysteel.com/publishd/page/pageListIndexCharts?pageListIds=6466</t>
        </is>
      </c>
    </row>
    <row r="16" ht="42" customHeight="1">
      <c r="A16" s="10" t="inlineStr">
        <is>
          <t>W20260807</t>
        </is>
      </c>
      <c r="B16" s="4" t="inlineStr">
        <is>
          <t>隆众口径·周度</t>
        </is>
      </c>
      <c r="C16" s="10" t="inlineStr">
        <is>
          <t>20260807</t>
        </is>
      </c>
      <c r="D16" s="4" t="inlineStr">
        <is>
          <t>整体产能利用率</t>
        </is>
      </c>
      <c r="E16" s="8" t="n">
        <v>71.90000000000001</v>
      </c>
      <c r="F16" s="4" t="inlineStr">
        <is>
          <t>图表接口；原文不可得；样本数与产能基数未披露
https://api.mysteel.com/publishd/page/pageListIndexCharts?pageListIds=6466</t>
        </is>
      </c>
    </row>
    <row r="17" ht="42" customHeight="1">
      <c r="A17" s="10" t="inlineStr">
        <is>
          <t>W20260814</t>
        </is>
      </c>
      <c r="B17" s="4" t="inlineStr">
        <is>
          <t>隆众口径·周度</t>
        </is>
      </c>
      <c r="C17" s="10" t="inlineStr">
        <is>
          <t>20260814</t>
        </is>
      </c>
      <c r="D17" s="4" t="inlineStr">
        <is>
          <t>整体产能利用率</t>
        </is>
      </c>
      <c r="E17" s="8" t="n">
        <v>73.76000000000001</v>
      </c>
      <c r="F17" s="4" t="inlineStr">
        <is>
          <t>图表接口；原文不可得；样本数与产能基数未披露
https://api.mysteel.com/publishd/page/pageListIndexCharts?pageListIds=6466</t>
        </is>
      </c>
    </row>
    <row r="18" ht="42" customHeight="1">
      <c r="A18" s="10" t="inlineStr">
        <is>
          <t>W20260820</t>
        </is>
      </c>
      <c r="B18" s="4" t="inlineStr">
        <is>
          <t>隆众口径·71家样本·周度</t>
        </is>
      </c>
      <c r="C18" s="10" t="inlineStr">
        <is>
          <t>20260820</t>
        </is>
      </c>
      <c r="D18" s="4" t="inlineStr">
        <is>
          <t>整体产能利用率</t>
        </is>
      </c>
      <c r="E18" s="8" t="n">
        <v>70.68000000000001</v>
      </c>
      <c r="F18" s="4" t="inlineStr">
        <is>
          <t>原文“样本说明”明确覆盖71家PVC生产企业及厂区
https://www.mysteel.com/oilchem/a/26082108/C26D3A0FB2A7580A.html</t>
        </is>
      </c>
    </row>
    <row r="19" ht="42" customHeight="1">
      <c r="A19" s="10" t="inlineStr">
        <is>
          <t>W20260827</t>
        </is>
      </c>
      <c r="B19" s="4" t="inlineStr">
        <is>
          <t>隆众口径·71家样本·周度</t>
        </is>
      </c>
      <c r="C19" s="10" t="inlineStr">
        <is>
          <t>20260827</t>
        </is>
      </c>
      <c r="D19" s="4" t="inlineStr">
        <is>
          <t>整体产能利用率</t>
        </is>
      </c>
      <c r="E19" s="8" t="n">
        <v>68.22</v>
      </c>
      <c r="F19" s="4" t="inlineStr">
        <is>
          <t>原文披露同比；8月1日起甘肃金川新融20万吨退出样本，全国PVC产能基数变更为2878.5万吨/年
https://www.mysteel.com/oilchem/a/26082808/7DEF91BDDCB6835A.html</t>
        </is>
      </c>
    </row>
    <row r="20" ht="42" customHeight="1">
      <c r="A20" s="10" t="inlineStr">
        <is>
          <t>W20260903</t>
        </is>
      </c>
      <c r="B20" s="4" t="inlineStr">
        <is>
          <t>隆众口径·71家样本·周度</t>
        </is>
      </c>
      <c r="C20" s="10" t="inlineStr">
        <is>
          <t>20260903</t>
        </is>
      </c>
      <c r="D20" s="4" t="inlineStr">
        <is>
          <t>整体产能利用率</t>
        </is>
      </c>
      <c r="E20" s="8" t="n">
        <v>68.3</v>
      </c>
      <c r="F20" s="4" t="inlineStr">
        <is>
          <t>原文披露同比
https://www.mysteel.com/oilchem/a/26090409/F1F67482897E2712.html</t>
        </is>
      </c>
    </row>
    <row r="21" ht="42" customHeight="1">
      <c r="A21" s="10" t="inlineStr">
        <is>
          <t>W20260910</t>
        </is>
      </c>
      <c r="B21" s="4" t="inlineStr">
        <is>
          <t>隆众口径·71家样本·周度</t>
        </is>
      </c>
      <c r="C21" s="10" t="inlineStr">
        <is>
          <t>20260910</t>
        </is>
      </c>
      <c r="D21" s="4" t="inlineStr">
        <is>
          <t>整体产能利用率</t>
        </is>
      </c>
      <c r="E21" s="8" t="n">
        <v>69.89</v>
      </c>
      <c r="F21" s="4" t="inlineStr">
        <is>
          <t>原文未披露同比（缺口，不填补）
https://www.mysteel.com/oilchem/a/26091109/4A3C5544CB6261C6.html</t>
        </is>
      </c>
    </row>
    <row r="22" ht="42" customHeight="1">
      <c r="A22" s="10" t="inlineStr">
        <is>
          <t>W20260917</t>
        </is>
      </c>
      <c r="B22" s="4" t="inlineStr">
        <is>
          <t>隆众口径·71家样本·周度</t>
        </is>
      </c>
      <c r="C22" s="10" t="inlineStr">
        <is>
          <t>20260917</t>
        </is>
      </c>
      <c r="D22" s="4" t="inlineStr">
        <is>
          <t>整体产能利用率</t>
        </is>
      </c>
      <c r="E22" s="8" t="n">
        <v>69.23</v>
      </c>
      <c r="F22" s="4" t="inlineStr">
        <is>
          <t>原文未披露同比（缺口，不填补）
https://www.mysteel.com/oilchem/a/26091809/B1C2050F8AFBF228.html</t>
        </is>
      </c>
    </row>
    <row r="23" ht="42" customHeight="1">
      <c r="A23" s="10" t="inlineStr">
        <is>
          <t>W20260924</t>
        </is>
      </c>
      <c r="B23" s="4" t="inlineStr">
        <is>
          <t>隆众口径·71家样本·周度</t>
        </is>
      </c>
      <c r="C23" s="10" t="inlineStr">
        <is>
          <t>20260924</t>
        </is>
      </c>
      <c r="D23" s="4" t="inlineStr">
        <is>
          <t>整体产能利用率</t>
        </is>
      </c>
      <c r="E23" s="8" t="n">
        <v>66.73999999999999</v>
      </c>
      <c r="F23" s="4" t="inlineStr">
        <is>
          <t>原文未披露同比（缺口，不填补）
https://www.mysteel.com/oilchem/a/26092418/6B5932167BE55491.html</t>
        </is>
      </c>
    </row>
    <row r="24" ht="42" customHeight="1">
      <c r="A24" s="10" t="inlineStr">
        <is>
          <t>W20261001</t>
        </is>
      </c>
      <c r="B24" s="4" t="inlineStr">
        <is>
          <t>隆众口径·71家样本·周度</t>
        </is>
      </c>
      <c r="C24" s="10" t="inlineStr">
        <is>
          <t>20261001</t>
        </is>
      </c>
      <c r="D24" s="4" t="inlineStr">
        <is>
          <t>整体产能利用率</t>
        </is>
      </c>
      <c r="E24" s="8" t="n">
        <v>66.14</v>
      </c>
      <c r="F24" s="4" t="inlineStr">
        <is>
          <t>原文未披露同比；同期数据分析稿注明8月1日起产能基数2878.5万吨/年
https://www.mysteel.com/oilchem/a/26100115/739E6FECE3C9CEC4.html</t>
        </is>
      </c>
    </row>
    <row r="25" ht="42" customHeight="1">
      <c r="A25" s="10" t="inlineStr">
        <is>
          <t>W20261008</t>
        </is>
      </c>
      <c r="B25" s="4" t="inlineStr">
        <is>
          <t>隆众口径·71家样本·周度</t>
        </is>
      </c>
      <c r="C25" s="10" t="inlineStr">
        <is>
          <t>20261008</t>
        </is>
      </c>
      <c r="D25" s="4" t="inlineStr">
        <is>
          <t>整体产能利用率</t>
        </is>
      </c>
      <c r="E25" s="8" t="n">
        <v>66.26000000000001</v>
      </c>
      <c r="F25" s="4" t="inlineStr">
        <is>
          <t>原文披露同比减少16.37%
https://www.mysteel.com/oilchem/a/26100817/5749DD2FBDF426C0.html</t>
        </is>
      </c>
    </row>
    <row r="26" ht="42" customHeight="1">
      <c r="A26" s="10" t="inlineStr">
        <is>
          <t>W20261015</t>
        </is>
      </c>
      <c r="B26" s="4" t="inlineStr">
        <is>
          <t>隆众口径·71家样本·周度</t>
        </is>
      </c>
      <c r="C26" s="10" t="inlineStr">
        <is>
          <t>20261015</t>
        </is>
      </c>
      <c r="D26" s="4" t="inlineStr">
        <is>
          <t>整体产能利用率</t>
        </is>
      </c>
      <c r="E26" s="8" t="n">
        <v>64.59</v>
      </c>
      <c r="F26" s="4" t="inlineStr">
        <is>
          <t>原文“样本说明”覆盖71家；数据分析稿注明基数2878.5万吨/年
https://www.mysteel.com/oilchem/a/26101608/87AD42ED0F95C49B.html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44" customWidth="1" min="4" max="4"/>
  </cols>
  <sheetData>
    <row r="1" ht="34" customHeight="1">
      <c r="A1" s="1" t="inlineStr">
        <is>
          <t>结论与限定条件（对外引用请连限定条件一起引用）</t>
        </is>
      </c>
    </row>
    <row r="2" ht="30" customHeight="1">
      <c r="A2" s="2" t="inlineStr">
        <is>
          <t>每条结论后面必须写明“在什么数据条件下成立”。</t>
        </is>
      </c>
    </row>
    <row r="4" ht="32" customHeight="1">
      <c r="A4" s="6" t="inlineStr">
        <is>
          <t>结论</t>
        </is>
      </c>
      <c r="B4" s="6" t="inlineStr">
        <is>
          <t>数值/方向</t>
        </is>
      </c>
      <c r="C4" s="6" t="inlineStr">
        <is>
          <t>成立条件（数据）</t>
        </is>
      </c>
      <c r="D4" s="6" t="inlineStr">
        <is>
          <t>如果不能成立时怎么写</t>
        </is>
      </c>
    </row>
    <row r="5" ht="46" customHeight="1">
      <c r="A5" s="4" t="inlineStr">
        <is>
          <t>最新一周处于年内低位</t>
        </is>
      </c>
      <c r="B5" s="4" t="inlineStr">
        <is>
          <t>64.59%（20261015）</t>
        </is>
      </c>
      <c r="C5" s="4" t="inlineStr">
        <is>
          <t>2026 年内 12 个观测中最低</t>
        </is>
      </c>
      <c r="D5" s="4" t="inlineStr">
        <is>
          <t>若后续周度回升，需同步更新</t>
        </is>
      </c>
    </row>
    <row r="6" ht="46" customHeight="1">
      <c r="A6" s="4" t="inlineStr">
        <is>
          <t>近 12 周整体下行</t>
        </is>
      </c>
      <c r="B6" s="4" t="inlineStr">
        <is>
          <t>−4.64pp（W30 70.14% → W42 64.59%）</t>
        </is>
      </c>
      <c r="C6" s="4" t="inlineStr">
        <is>
          <t>按观测序相减，中间有 1 处 14 天断档（W31 缺失）</t>
        </is>
      </c>
      <c r="D6" s="4" t="inlineStr">
        <is>
          <t>断档若补齐，幅度可能略有不同</t>
        </is>
      </c>
    </row>
    <row r="7" ht="46" customHeight="1">
      <c r="A7" s="4" t="inlineStr">
        <is>
          <t>电石法与乙烯法明显分化</t>
        </is>
      </c>
      <c r="B7" s="4" t="inlineStr">
        <is>
          <t>电石法 69.66%，乙烯法 52.78%，差 16.88pp</t>
        </is>
      </c>
      <c r="C7" s="4" t="inlineStr">
        <is>
          <t>两者同期同比分别为 −5.05% 与 −28.48%</t>
        </is>
      </c>
      <c r="D7" s="4" t="inlineStr">
        <is>
          <t>只能说明“乙烯法减产更猛”，不能推全国产量降幅</t>
        </is>
      </c>
    </row>
    <row r="8" ht="46" customHeight="1">
      <c r="A8" s="4" t="inlineStr">
        <is>
          <t>同比仍在明显下滑</t>
        </is>
      </c>
      <c r="B8" s="4" t="inlineStr">
        <is>
          <t>整体 −12.10%，乙烯法 −28.48%（原文披露）</t>
        </is>
      </c>
      <c r="C8" s="4" t="inlineStr">
        <is>
          <t>原文同比口径为“上年同一发布日当周”</t>
        </is>
      </c>
      <c r="D8" s="4" t="inlineStr">
        <is>
          <t>未做口径换算，不可与其他机构同比直接比</t>
        </is>
      </c>
    </row>
    <row r="9" ht="46" customHeight="1">
      <c r="A9" s="4" t="inlineStr">
        <is>
          <t>与 2025 年同期锚点相比处于低位</t>
        </is>
      </c>
      <c r="B9" s="4" t="inlineStr">
        <is>
          <t>2025-07-04 77.44% vs 现在 64.59%，低 12.85pp</t>
        </is>
      </c>
      <c r="C9" s="4" t="inlineStr">
        <is>
          <t>两值为同一隆众口径；但非同周号，属量级参照</t>
        </is>
      </c>
      <c r="D9" s="4" t="inlineStr">
        <is>
          <t>不得表述为“同周同比下降 12.85pp”</t>
        </is>
      </c>
    </row>
    <row r="10" ht="46" customHeight="1">
      <c r="A10" s="5" t="inlineStr">
        <is>
          <t>季节性本身无法在本期判定</t>
        </is>
      </c>
      <c r="B10" s="5" t="inlineStr">
        <is>
          <t>seasonal_ss_share=1.0，但跨年观测仅 1 个年份</t>
        </is>
      </c>
      <c r="C10" s="5" t="inlineStr">
        <is>
          <t>周次解释力在单年数据上必然接近 1，属伪显著</t>
        </is>
      </c>
      <c r="D10" s="5" t="inlineStr">
        <is>
          <t>要出季节性结论，必须补齐 ≥3 年逐周数据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2026-10-20T11:29:06Z</dcterms:created>
  <dcterms:modified xmlns:dcterms="http://purl.org/dc/terms/" xmlns:xsi="http://www.w3.org/2001/XMLSchema-instance" xsi:type="dcterms:W3CDTF">2026-10-20T11:29:07Z</dcterms:modified>
</cp:coreProperties>
</file>